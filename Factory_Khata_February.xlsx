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119" documentId="8_{5FA7CF9A-3CD5-4319-9FC5-E34696581AAD}" xr6:coauthVersionLast="47" xr6:coauthVersionMax="47" xr10:uidLastSave="{369E21E0-869B-49DF-9213-CCE1C267CA05}"/>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0"/>
    <pivotCache cacheId="13" r:id="rId21"/>
    <pivotCache cacheId="18" r:id="rId22"/>
    <pivotCache cacheId="24" r:id="rId23"/>
    <pivotCache cacheId="28"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1" i="1" l="1" a="1"/>
  <c r="J231" i="1" s="1"/>
  <c r="J232" i="1" a="1"/>
  <c r="J232" i="1" s="1"/>
  <c r="J233" i="1" a="1"/>
  <c r="J233" i="1" s="1"/>
  <c r="J234" i="1" a="1"/>
  <c r="J234" i="1" s="1"/>
  <c r="J235" i="1" a="1"/>
  <c r="J235" i="1" s="1"/>
  <c r="J230" i="1" a="1"/>
  <c r="J230" i="1" s="1"/>
  <c r="I231" i="1"/>
  <c r="I232" i="1"/>
  <c r="I233" i="1"/>
  <c r="I234" i="1"/>
  <c r="I235" i="1"/>
  <c r="H231" i="1"/>
  <c r="H236" i="1"/>
  <c r="H237" i="1"/>
  <c r="G48" i="15"/>
  <c r="C751" i="17"/>
  <c r="D72" i="14"/>
  <c r="D73" i="14"/>
  <c r="D74" i="14"/>
  <c r="D75" i="14"/>
  <c r="J71" i="14"/>
  <c r="J72" i="14"/>
  <c r="J73" i="14"/>
  <c r="J74" i="14"/>
  <c r="J75" i="14"/>
  <c r="J76" i="14"/>
  <c r="I222" i="1"/>
  <c r="J222" i="1" a="1"/>
  <c r="J222" i="1" s="1"/>
  <c r="I223" i="1"/>
  <c r="J223" i="1" s="1" a="1"/>
  <c r="J223" i="1" s="1"/>
  <c r="I224" i="1"/>
  <c r="J224" i="1" a="1"/>
  <c r="J224" i="1" s="1"/>
  <c r="I225" i="1"/>
  <c r="J225" i="1" s="1" a="1"/>
  <c r="J225" i="1" s="1"/>
  <c r="I226" i="1"/>
  <c r="J226" i="1" a="1"/>
  <c r="J226" i="1" s="1"/>
  <c r="I227" i="1"/>
  <c r="J227" i="1" s="1" a="1"/>
  <c r="J227" i="1" s="1"/>
  <c r="I228" i="1"/>
  <c r="J228" i="1" s="1" a="1"/>
  <c r="J228" i="1" s="1"/>
  <c r="I229" i="1"/>
  <c r="J229" i="1" s="1" a="1"/>
  <c r="J229" i="1" s="1"/>
  <c r="I230" i="1"/>
  <c r="G79" i="6"/>
  <c r="G80" i="6"/>
  <c r="G81" i="6"/>
  <c r="I70" i="6"/>
  <c r="I71" i="6"/>
  <c r="I72" i="6"/>
  <c r="I73" i="6"/>
  <c r="I74" i="6"/>
  <c r="I75" i="6"/>
  <c r="I76" i="6"/>
  <c r="I77" i="6"/>
  <c r="I78" i="6"/>
  <c r="I79" i="6"/>
  <c r="I80" i="6"/>
  <c r="I127" i="6" s="1"/>
  <c r="G74" i="6"/>
  <c r="G75" i="6"/>
  <c r="G76" i="6"/>
  <c r="G77" i="6"/>
  <c r="G78" i="6"/>
  <c r="G70" i="6"/>
  <c r="G71" i="6"/>
  <c r="G72" i="6"/>
  <c r="G73" i="6"/>
  <c r="C750" i="17"/>
  <c r="K714" i="17"/>
  <c r="C733" i="17"/>
  <c r="I214" i="1"/>
  <c r="J214" i="1" a="1"/>
  <c r="J214" i="1" s="1"/>
  <c r="I215" i="1"/>
  <c r="J215" i="1" s="1" a="1"/>
  <c r="J215" i="1" s="1"/>
  <c r="I216" i="1"/>
  <c r="J216" i="1" s="1" a="1"/>
  <c r="J216" i="1" s="1"/>
  <c r="I217" i="1"/>
  <c r="J217" i="1" s="1" a="1"/>
  <c r="J217" i="1" s="1"/>
  <c r="B49" i="9" a="1"/>
  <c r="E117" i="9" s="1"/>
  <c r="U24" i="9" s="1" a="1"/>
  <c r="U24" i="9" s="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6" i="15"/>
  <c r="H46" i="15" s="1"/>
  <c r="G47" i="15"/>
  <c r="H47" i="15" s="1"/>
  <c r="F43"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a="1"/>
  <c r="J194" i="1" s="1"/>
  <c r="I195" i="1"/>
  <c r="J195" i="1" s="1" a="1"/>
  <c r="J195" i="1" s="1"/>
  <c r="I77" i="1"/>
  <c r="J77" i="1" s="1" a="1"/>
  <c r="J77" i="1" s="1"/>
  <c r="I127" i="1"/>
  <c r="J127" i="1" s="1" a="1"/>
  <c r="J127" i="1" s="1"/>
  <c r="I130" i="1"/>
  <c r="J130" i="1" s="1" a="1"/>
  <c r="J130" i="1" s="1"/>
  <c r="I131" i="1"/>
  <c r="J131" i="1" s="1" a="1"/>
  <c r="J131" i="1" s="1"/>
  <c r="I132" i="1"/>
  <c r="J132" i="1" a="1"/>
  <c r="J132" i="1" s="1"/>
  <c r="I133" i="1"/>
  <c r="J133" i="1" s="1" a="1"/>
  <c r="J133" i="1" s="1"/>
  <c r="I137" i="1"/>
  <c r="J137" i="1" a="1"/>
  <c r="J137" i="1" s="1"/>
  <c r="I138" i="1"/>
  <c r="J138" i="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a="1"/>
  <c r="J76" i="1" s="1"/>
  <c r="I78" i="1"/>
  <c r="J78" i="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a="1"/>
  <c r="J153" i="1" s="1"/>
  <c r="I154" i="1"/>
  <c r="J154" i="1" s="1" a="1"/>
  <c r="J154" i="1" s="1"/>
  <c r="I155" i="1"/>
  <c r="J155" i="1" s="1" a="1"/>
  <c r="J155" i="1" s="1"/>
  <c r="I160" i="1"/>
  <c r="J160" i="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a="1"/>
  <c r="J189" i="1" s="1"/>
  <c r="I191" i="1"/>
  <c r="J191" i="1" s="1" a="1"/>
  <c r="J191" i="1" s="1"/>
  <c r="I196" i="1"/>
  <c r="J196" i="1" s="1" a="1"/>
  <c r="J196" i="1" s="1"/>
  <c r="I197" i="1"/>
  <c r="J197" i="1" s="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H40" i="15" s="1"/>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H30" i="15" s="1"/>
  <c r="G31" i="15"/>
  <c r="H31" i="15" s="1"/>
  <c r="G32" i="15"/>
  <c r="G33" i="15"/>
  <c r="H33" i="15" s="1"/>
  <c r="G34" i="15"/>
  <c r="H34" i="15" s="1"/>
  <c r="G35" i="15"/>
  <c r="H35" i="15" s="1"/>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C6" i="8" s="1"/>
  <c r="F6" i="15"/>
  <c r="F7" i="15"/>
  <c r="F49" i="15" s="1"/>
  <c r="F8" i="15"/>
  <c r="F9" i="15"/>
  <c r="F10" i="15"/>
  <c r="H10" i="15" s="1"/>
  <c r="F23" i="15"/>
  <c r="F25" i="15"/>
  <c r="F29" i="15"/>
  <c r="G28" i="15"/>
  <c r="H28" i="15" s="1"/>
  <c r="G29" i="15"/>
  <c r="H29" i="15" s="1"/>
  <c r="C204" i="17"/>
  <c r="G27" i="15"/>
  <c r="H27" i="15" s="1"/>
  <c r="AD39" i="9" a="1"/>
  <c r="AD39" i="9" s="1"/>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A32" i="20" s="1"/>
  <c r="G14" i="6"/>
  <c r="A38" i="21"/>
  <c r="B38" i="21" s="1"/>
  <c r="G2" i="21" a="1"/>
  <c r="A34" i="21" s="1"/>
  <c r="B34" i="21" s="1"/>
  <c r="G23" i="15"/>
  <c r="H23" i="15" s="1"/>
  <c r="G25" i="15"/>
  <c r="H25" i="15" s="1"/>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AD40" i="9" s="1" a="1"/>
  <c r="AD40"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H88" i="2"/>
  <c r="I88" i="2" s="1"/>
  <c r="D88" i="2" s="1"/>
  <c r="E89" i="2"/>
  <c r="F89" i="2"/>
  <c r="H89" i="2" s="1"/>
  <c r="I89" i="2" s="1"/>
  <c r="D89" i="2" s="1"/>
  <c r="E90" i="2"/>
  <c r="F90" i="2"/>
  <c r="E91" i="2"/>
  <c r="F91" i="2"/>
  <c r="H91" i="2" s="1"/>
  <c r="I91" i="2" s="1"/>
  <c r="D91" i="2" s="1"/>
  <c r="E92" i="2"/>
  <c r="F92" i="2"/>
  <c r="H92" i="2" s="1"/>
  <c r="I92" i="2" s="1"/>
  <c r="D92" i="2" s="1"/>
  <c r="E93" i="2"/>
  <c r="G93" i="2" s="1"/>
  <c r="H213" i="1" s="1"/>
  <c r="F93" i="2"/>
  <c r="H93" i="2" s="1"/>
  <c r="I93" i="2" s="1"/>
  <c r="D93" i="2" s="1"/>
  <c r="E94" i="2"/>
  <c r="F94" i="2"/>
  <c r="H94" i="2" s="1"/>
  <c r="I94" i="2" s="1"/>
  <c r="D94" i="2" s="1"/>
  <c r="E95" i="2"/>
  <c r="F95" i="2"/>
  <c r="G95" i="2" s="1"/>
  <c r="H215" i="1" s="1"/>
  <c r="E96" i="2"/>
  <c r="F96" i="2"/>
  <c r="H96" i="2" s="1"/>
  <c r="I96" i="2" s="1"/>
  <c r="D96" i="2" s="1"/>
  <c r="E97" i="2"/>
  <c r="F97" i="2"/>
  <c r="G97" i="2"/>
  <c r="H217" i="1"/>
  <c r="E98" i="2"/>
  <c r="F98" i="2"/>
  <c r="E99" i="2"/>
  <c r="F99" i="2"/>
  <c r="E100" i="2"/>
  <c r="F100" i="2"/>
  <c r="G100" i="2" s="1"/>
  <c r="H221" i="1" s="1"/>
  <c r="E101" i="2"/>
  <c r="F101" i="2"/>
  <c r="G101" i="2" s="1"/>
  <c r="H222" i="1" s="1"/>
  <c r="E102" i="2"/>
  <c r="F102" i="2"/>
  <c r="E103" i="2"/>
  <c r="F103" i="2"/>
  <c r="H103" i="2" s="1"/>
  <c r="I103" i="2" s="1"/>
  <c r="D103" i="2" s="1"/>
  <c r="G103" i="2"/>
  <c r="H225" i="1" s="1"/>
  <c r="E104" i="2"/>
  <c r="F104" i="2"/>
  <c r="E105" i="2"/>
  <c r="F105" i="2"/>
  <c r="H105" i="2" s="1"/>
  <c r="I105" i="2" s="1"/>
  <c r="D105" i="2" s="1"/>
  <c r="G105" i="2"/>
  <c r="H232" i="1" s="1"/>
  <c r="E106" i="2"/>
  <c r="F106" i="2"/>
  <c r="H106" i="2" s="1"/>
  <c r="I106" i="2" s="1"/>
  <c r="D106" i="2" s="1"/>
  <c r="G106" i="2"/>
  <c r="H233" i="1" s="1"/>
  <c r="E107" i="2"/>
  <c r="F107" i="2"/>
  <c r="G107" i="2" s="1"/>
  <c r="H234" i="1" s="1"/>
  <c r="H107" i="2"/>
  <c r="I107" i="2" s="1"/>
  <c r="D107" i="2" s="1"/>
  <c r="E108" i="2"/>
  <c r="F108" i="2"/>
  <c r="H108" i="2" s="1"/>
  <c r="I108" i="2" s="1"/>
  <c r="D108" i="2" s="1"/>
  <c r="G108" i="2"/>
  <c r="H235" i="1" s="1"/>
  <c r="E109" i="2"/>
  <c r="F109" i="2"/>
  <c r="G109" i="2" s="1"/>
  <c r="H109" i="2"/>
  <c r="I109" i="2" s="1"/>
  <c r="D109" i="2" s="1"/>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190" i="1" s="1"/>
  <c r="E76" i="2"/>
  <c r="F76" i="2"/>
  <c r="H76" i="2"/>
  <c r="I76" i="2" s="1"/>
  <c r="D76" i="2" s="1"/>
  <c r="E77" i="2"/>
  <c r="F77" i="2"/>
  <c r="E78" i="2"/>
  <c r="F78" i="2"/>
  <c r="H78" i="2" s="1"/>
  <c r="I78" i="2" s="1"/>
  <c r="D78" i="2" s="1"/>
  <c r="E79" i="2"/>
  <c r="F79" i="2"/>
  <c r="H79" i="2" s="1"/>
  <c r="I79" i="2" s="1"/>
  <c r="D79" i="2"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G27" i="2" s="1"/>
  <c r="H99" i="1" s="1"/>
  <c r="E27" i="2"/>
  <c r="E59" i="2"/>
  <c r="F59" i="2"/>
  <c r="H59" i="2" s="1"/>
  <c r="I59" i="2" s="1"/>
  <c r="D59" i="2" s="1"/>
  <c r="F28" i="2"/>
  <c r="H28" i="2"/>
  <c r="I28" i="2" s="1"/>
  <c r="D28" i="2" s="1"/>
  <c r="E28" i="2"/>
  <c r="E60" i="2"/>
  <c r="F60" i="2"/>
  <c r="G60" i="2" s="1"/>
  <c r="H164" i="1" s="1"/>
  <c r="E61" i="2"/>
  <c r="F61" i="2"/>
  <c r="G61" i="2" s="1"/>
  <c r="H165" i="1" s="1"/>
  <c r="F62" i="2"/>
  <c r="G62" i="2" s="1"/>
  <c r="H166" i="1" s="1"/>
  <c r="E62" i="2"/>
  <c r="E63" i="2"/>
  <c r="F63" i="2"/>
  <c r="H63" i="2"/>
  <c r="I63" i="2" s="1"/>
  <c r="D63" i="2" s="1"/>
  <c r="E64" i="2"/>
  <c r="F64" i="2"/>
  <c r="G64" i="2"/>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G70" i="2"/>
  <c r="H182" i="1" s="1"/>
  <c r="E71" i="2"/>
  <c r="F71" i="2"/>
  <c r="G71" i="2" s="1"/>
  <c r="H183" i="1" s="1"/>
  <c r="E72" i="2"/>
  <c r="F72" i="2"/>
  <c r="H72" i="2" s="1"/>
  <c r="I72" i="2" s="1"/>
  <c r="D72" i="2" s="1"/>
  <c r="E73" i="2"/>
  <c r="F73" i="2"/>
  <c r="H73" i="2" s="1"/>
  <c r="I73" i="2" s="1"/>
  <c r="D73" i="2" s="1"/>
  <c r="E45" i="2"/>
  <c r="F45" i="2"/>
  <c r="G45" i="2" s="1"/>
  <c r="H130" i="1" s="1"/>
  <c r="E46" i="2"/>
  <c r="F46" i="2"/>
  <c r="H46" i="2"/>
  <c r="I46" i="2"/>
  <c r="D46" i="2" s="1"/>
  <c r="E47" i="2"/>
  <c r="G47" i="2" s="1"/>
  <c r="F47" i="2"/>
  <c r="H47" i="2"/>
  <c r="I47" i="2" s="1"/>
  <c r="D47" i="2" s="1"/>
  <c r="E48" i="2"/>
  <c r="F48" i="2"/>
  <c r="G48" i="2" s="1"/>
  <c r="H132" i="1" s="1"/>
  <c r="H48" i="2"/>
  <c r="I48" i="2"/>
  <c r="D48" i="2" s="1"/>
  <c r="F20" i="2"/>
  <c r="H20" i="2" s="1"/>
  <c r="I20" i="2" s="1"/>
  <c r="D20" i="2" s="1"/>
  <c r="E20" i="2"/>
  <c r="E49" i="2"/>
  <c r="F49" i="2"/>
  <c r="G49" i="2" s="1"/>
  <c r="H136" i="1" s="1"/>
  <c r="H49" i="2"/>
  <c r="I49" i="2" s="1"/>
  <c r="D49" i="2" s="1"/>
  <c r="F21" i="2"/>
  <c r="H21" i="2"/>
  <c r="I21" i="2" s="1"/>
  <c r="D21" i="2" s="1"/>
  <c r="E21" i="2"/>
  <c r="E50" i="2"/>
  <c r="F50" i="2"/>
  <c r="G50" i="2" s="1"/>
  <c r="H50" i="2"/>
  <c r="I50" i="2" s="1"/>
  <c r="D50" i="2" s="1"/>
  <c r="E51" i="2"/>
  <c r="F51" i="2"/>
  <c r="H51" i="2" s="1"/>
  <c r="I51" i="2" s="1"/>
  <c r="D51" i="2" s="1"/>
  <c r="E52" i="2"/>
  <c r="F52" i="2"/>
  <c r="E53" i="2"/>
  <c r="F53" i="2"/>
  <c r="E54" i="2"/>
  <c r="F54" i="2"/>
  <c r="H54" i="2" s="1"/>
  <c r="I54" i="2" s="1"/>
  <c r="D54" i="2" s="1"/>
  <c r="F24" i="2"/>
  <c r="H24" i="2" s="1"/>
  <c r="I24" i="2" s="1"/>
  <c r="D24" i="2" s="1"/>
  <c r="E24" i="2"/>
  <c r="E55" i="2"/>
  <c r="F55" i="2"/>
  <c r="H55" i="2" s="1"/>
  <c r="I55" i="2" s="1"/>
  <c r="D55" i="2" s="1"/>
  <c r="F25" i="2"/>
  <c r="H25" i="2"/>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G6" i="2" s="1"/>
  <c r="H88" i="1" s="1"/>
  <c r="F5" i="2"/>
  <c r="H5" i="2" s="1"/>
  <c r="I5" i="2" s="1"/>
  <c r="D5" i="2" s="1"/>
  <c r="E5" i="2"/>
  <c r="E34" i="2"/>
  <c r="F34" i="2"/>
  <c r="G34" i="2" s="1"/>
  <c r="H110" i="1" s="1"/>
  <c r="F18" i="2"/>
  <c r="H18" i="2" s="1"/>
  <c r="I18" i="2" s="1"/>
  <c r="D18" i="2" s="1"/>
  <c r="E18" i="2"/>
  <c r="E35" i="2"/>
  <c r="F35" i="2"/>
  <c r="E36" i="2"/>
  <c r="F36" i="2"/>
  <c r="H36" i="2" s="1"/>
  <c r="I36" i="2" s="1"/>
  <c r="D36" i="2" s="1"/>
  <c r="F22" i="2"/>
  <c r="E22" i="2"/>
  <c r="F7" i="2"/>
  <c r="H7" i="2"/>
  <c r="I7" i="2" s="1"/>
  <c r="D7" i="2" s="1"/>
  <c r="E7" i="2"/>
  <c r="E37" i="2"/>
  <c r="F37" i="2"/>
  <c r="H37" i="2" s="1"/>
  <c r="I37" i="2" s="1"/>
  <c r="D37" i="2" s="1"/>
  <c r="E39" i="2"/>
  <c r="G39" i="2" s="1"/>
  <c r="F39" i="2"/>
  <c r="H39" i="2"/>
  <c r="I39" i="2" s="1"/>
  <c r="D39" i="2" s="1"/>
  <c r="E40" i="2"/>
  <c r="F40" i="2"/>
  <c r="G40" i="2" s="1"/>
  <c r="H119" i="1" s="1"/>
  <c r="H40" i="2"/>
  <c r="I40" i="2"/>
  <c r="D40" i="2" s="1"/>
  <c r="E41" i="2"/>
  <c r="G41" i="2" s="1"/>
  <c r="F41" i="2"/>
  <c r="H41" i="2"/>
  <c r="I41" i="2"/>
  <c r="D41" i="2" s="1"/>
  <c r="E42" i="2"/>
  <c r="F42" i="2"/>
  <c r="H42" i="2" s="1"/>
  <c r="I42" i="2" s="1"/>
  <c r="D42" i="2" s="1"/>
  <c r="F43" i="2"/>
  <c r="H43" i="2" s="1"/>
  <c r="I43" i="2" s="1"/>
  <c r="D43" i="2" s="1"/>
  <c r="E43" i="2"/>
  <c r="E44" i="2"/>
  <c r="F44" i="2"/>
  <c r="H44" i="2"/>
  <c r="I44" i="2" s="1"/>
  <c r="D44" i="2" s="1"/>
  <c r="F19" i="2"/>
  <c r="H19" i="2" s="1"/>
  <c r="I19" i="2" s="1"/>
  <c r="D19" i="2" s="1"/>
  <c r="E19" i="2"/>
  <c r="F38" i="2"/>
  <c r="H38" i="2" s="1"/>
  <c r="I38" i="2" s="1"/>
  <c r="D38" i="2" s="1"/>
  <c r="E38" i="2"/>
  <c r="G38" i="2" s="1"/>
  <c r="H116"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s="1"/>
  <c r="I23" i="2" s="1"/>
  <c r="D23" i="2" s="1"/>
  <c r="E23" i="2"/>
  <c r="F15" i="2"/>
  <c r="H15" i="2" s="1"/>
  <c r="I15" i="2" s="1"/>
  <c r="D15" i="2" s="1"/>
  <c r="E15" i="2"/>
  <c r="F16" i="2"/>
  <c r="H16" i="2" s="1"/>
  <c r="I16" i="2" s="1"/>
  <c r="D16" i="2" s="1"/>
  <c r="E16" i="2"/>
  <c r="F17" i="2"/>
  <c r="H17" i="2" s="1"/>
  <c r="I17" i="2" s="1"/>
  <c r="D17" i="2" s="1"/>
  <c r="E17" i="2"/>
  <c r="F29" i="2"/>
  <c r="G29" i="2" s="1"/>
  <c r="H29" i="2"/>
  <c r="I29" i="2" s="1"/>
  <c r="D29" i="2" s="1"/>
  <c r="E29" i="2"/>
  <c r="F30" i="2"/>
  <c r="H30" i="2" s="1"/>
  <c r="I30" i="2" s="1"/>
  <c r="D30" i="2" s="1"/>
  <c r="F31" i="2"/>
  <c r="G31" i="2" s="1"/>
  <c r="H31" i="2"/>
  <c r="I31" i="2" s="1"/>
  <c r="D31" i="2" s="1"/>
  <c r="E31" i="2"/>
  <c r="F32" i="2"/>
  <c r="F14" i="2"/>
  <c r="E14" i="2"/>
  <c r="E30" i="2"/>
  <c r="E32" i="2"/>
  <c r="G32" i="2" s="1"/>
  <c r="H106" i="1" s="1"/>
  <c r="N4" i="17"/>
  <c r="F12" i="2"/>
  <c r="E12" i="2"/>
  <c r="F11" i="2"/>
  <c r="H11" i="2" s="1"/>
  <c r="I11" i="2" s="1"/>
  <c r="E11" i="2"/>
  <c r="F9" i="2"/>
  <c r="E9" i="2"/>
  <c r="E8" i="2"/>
  <c r="F8" i="2"/>
  <c r="H8" i="2"/>
  <c r="I8" i="2"/>
  <c r="D8" i="2" s="1"/>
  <c r="E10" i="2"/>
  <c r="F10" i="2"/>
  <c r="H10" i="2" s="1"/>
  <c r="I10" i="2" s="1"/>
  <c r="D10" i="2" s="1"/>
  <c r="E4" i="2"/>
  <c r="F4" i="2"/>
  <c r="H4" i="2"/>
  <c r="I4" i="2" s="1"/>
  <c r="D4" i="2" s="1"/>
  <c r="N3" i="7"/>
  <c r="N5" i="7"/>
  <c r="E6" i="11"/>
  <c r="D6" i="11"/>
  <c r="F3" i="2"/>
  <c r="J15" i="14"/>
  <c r="H98" i="2"/>
  <c r="I98" i="2"/>
  <c r="D98" i="2" s="1"/>
  <c r="H95" i="2"/>
  <c r="I95" i="2" s="1"/>
  <c r="D95" i="2" s="1"/>
  <c r="H97" i="2"/>
  <c r="I97" i="2" s="1"/>
  <c r="D97" i="2" s="1"/>
  <c r="B2" i="2"/>
  <c r="H127" i="6"/>
  <c r="H77" i="2"/>
  <c r="I77" i="2" s="1"/>
  <c r="D77" i="2" s="1"/>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H64" i="2"/>
  <c r="I64" i="2" s="1"/>
  <c r="D64" i="2" s="1"/>
  <c r="G92" i="2"/>
  <c r="H230" i="1" s="1"/>
  <c r="H212" i="1"/>
  <c r="H82" i="2"/>
  <c r="I82" i="2" s="1"/>
  <c r="D82" i="2" s="1"/>
  <c r="G91" i="2"/>
  <c r="H210" i="1" s="1"/>
  <c r="G44" i="2"/>
  <c r="H126" i="1" s="1"/>
  <c r="H90" i="2"/>
  <c r="I90" i="2"/>
  <c r="D90" i="2" s="1"/>
  <c r="H85" i="2"/>
  <c r="I85" i="2" s="1"/>
  <c r="D85" i="2" s="1"/>
  <c r="H71" i="2"/>
  <c r="I71" i="2" s="1"/>
  <c r="D71" i="2" s="1"/>
  <c r="G63" i="2"/>
  <c r="H169" i="1"/>
  <c r="G53" i="2"/>
  <c r="H144" i="1" s="1"/>
  <c r="G54" i="2"/>
  <c r="H199" i="1" s="1"/>
  <c r="G4" i="2"/>
  <c r="K30" i="15"/>
  <c r="P56" i="7"/>
  <c r="E76" i="7"/>
  <c r="G9" i="2"/>
  <c r="H82" i="1" s="1"/>
  <c r="G28" i="2"/>
  <c r="H100" i="1" s="1"/>
  <c r="G66" i="2"/>
  <c r="H181" i="1"/>
  <c r="H53" i="2"/>
  <c r="I53" i="2" s="1"/>
  <c r="D53" i="2" s="1"/>
  <c r="G8" i="2"/>
  <c r="H72" i="1" s="1"/>
  <c r="G46" i="2"/>
  <c r="H128" i="1" s="1"/>
  <c r="G13" i="2"/>
  <c r="H79" i="1"/>
  <c r="H22" i="2"/>
  <c r="I22" i="2" s="1"/>
  <c r="D22" i="2" s="1"/>
  <c r="H66" i="2"/>
  <c r="I66" i="2" s="1"/>
  <c r="D66" i="2" s="1"/>
  <c r="G56" i="2"/>
  <c r="H148" i="1" s="1"/>
  <c r="H12" i="2"/>
  <c r="I12" i="2" s="1"/>
  <c r="D12" i="2" s="1"/>
  <c r="H9" i="2"/>
  <c r="I9" i="2" s="1"/>
  <c r="D9" i="2" s="1"/>
  <c r="H6" i="2"/>
  <c r="I6" i="2"/>
  <c r="D6" i="2" s="1"/>
  <c r="H35" i="2"/>
  <c r="I35" i="2" s="1"/>
  <c r="D35" i="2" s="1"/>
  <c r="H211" i="1"/>
  <c r="H176" i="1"/>
  <c r="H83" i="1"/>
  <c r="H218" i="1"/>
  <c r="H14" i="2"/>
  <c r="I14" i="2" s="1"/>
  <c r="D14" i="2" s="1"/>
  <c r="G59" i="2"/>
  <c r="H157" i="1"/>
  <c r="G87" i="2"/>
  <c r="H207" i="1" s="1"/>
  <c r="G78" i="2"/>
  <c r="H195" i="1"/>
  <c r="G17" i="2"/>
  <c r="H76" i="1" s="1"/>
  <c r="G83" i="2"/>
  <c r="H202" i="1" s="1"/>
  <c r="G69" i="2"/>
  <c r="H187" i="1" s="1"/>
  <c r="G22" i="2"/>
  <c r="H90" i="1"/>
  <c r="G24" i="2"/>
  <c r="G89" i="2"/>
  <c r="H209" i="1" s="1"/>
  <c r="G21" i="2"/>
  <c r="G11" i="2"/>
  <c r="H91" i="1" s="1"/>
  <c r="G76" i="2"/>
  <c r="H192" i="1"/>
  <c r="G94" i="2"/>
  <c r="H214" i="1" s="1"/>
  <c r="H129" i="1"/>
  <c r="G80" i="2"/>
  <c r="H197" i="1" s="1"/>
  <c r="G98" i="2"/>
  <c r="H219" i="1" s="1"/>
  <c r="G35" i="2"/>
  <c r="H111" i="1"/>
  <c r="G85" i="2"/>
  <c r="H204" i="1" s="1"/>
  <c r="H146" i="1"/>
  <c r="G18" i="2"/>
  <c r="H133" i="1" s="1"/>
  <c r="G33" i="2"/>
  <c r="H158" i="1" s="1"/>
  <c r="H180" i="1"/>
  <c r="H173" i="1"/>
  <c r="H171" i="1"/>
  <c r="H86" i="1"/>
  <c r="H85" i="1"/>
  <c r="G43" i="2"/>
  <c r="H125" i="1"/>
  <c r="G26" i="2"/>
  <c r="H98" i="1"/>
  <c r="G55" i="2"/>
  <c r="H147" i="1"/>
  <c r="H45" i="2"/>
  <c r="I45" i="2" s="1"/>
  <c r="D45" i="2" s="1"/>
  <c r="H60" i="2"/>
  <c r="I60" i="2"/>
  <c r="D60" i="2" s="1"/>
  <c r="H75" i="2"/>
  <c r="I75" i="2"/>
  <c r="D75" i="2" s="1"/>
  <c r="G96" i="2"/>
  <c r="H216" i="1" s="1"/>
  <c r="H159" i="1"/>
  <c r="H52" i="2"/>
  <c r="I52" i="2"/>
  <c r="D52" i="2"/>
  <c r="H175" i="1"/>
  <c r="H32" i="2"/>
  <c r="I32" i="2" s="1"/>
  <c r="D32" i="2" s="1"/>
  <c r="G42" i="2"/>
  <c r="H124" i="1" s="1"/>
  <c r="G57" i="2"/>
  <c r="H152" i="1" s="1"/>
  <c r="H101" i="2"/>
  <c r="I101" i="2" s="1"/>
  <c r="D101" i="2" s="1"/>
  <c r="G81" i="2"/>
  <c r="H200" i="1"/>
  <c r="H99" i="2"/>
  <c r="I99" i="2" s="1"/>
  <c r="D99" i="2" s="1"/>
  <c r="H149" i="1"/>
  <c r="H172" i="1"/>
  <c r="H163" i="1"/>
  <c r="H162" i="1"/>
  <c r="H170" i="1"/>
  <c r="H179" i="1"/>
  <c r="H193" i="1"/>
  <c r="H156" i="1"/>
  <c r="H123" i="1"/>
  <c r="C2" i="2"/>
  <c r="H140" i="1" l="1"/>
  <c r="H137" i="1"/>
  <c r="H101" i="1"/>
  <c r="H105" i="1"/>
  <c r="G12" i="2"/>
  <c r="H168" i="1" s="1"/>
  <c r="G7" i="2"/>
  <c r="H81" i="1" s="1"/>
  <c r="G58" i="2"/>
  <c r="H154" i="1" s="1"/>
  <c r="G74" i="2"/>
  <c r="G102" i="2"/>
  <c r="H223" i="1" s="1"/>
  <c r="G14" i="2"/>
  <c r="H97" i="1" s="1"/>
  <c r="G73" i="2"/>
  <c r="H188" i="1" s="1"/>
  <c r="G77" i="2"/>
  <c r="H194" i="1" s="1"/>
  <c r="H27" i="2"/>
  <c r="I27" i="2" s="1"/>
  <c r="D27" i="2" s="1"/>
  <c r="H109" i="1"/>
  <c r="G84" i="2"/>
  <c r="H203" i="1" s="1"/>
  <c r="H227" i="1"/>
  <c r="G52" i="2"/>
  <c r="G68" i="2"/>
  <c r="H178" i="1" s="1"/>
  <c r="G82" i="2"/>
  <c r="H201" i="1" s="1"/>
  <c r="H142" i="1"/>
  <c r="H34" i="2"/>
  <c r="I34" i="2" s="1"/>
  <c r="D34" i="2" s="1"/>
  <c r="G65" i="2"/>
  <c r="H174" i="1" s="1"/>
  <c r="H145" i="1"/>
  <c r="G72" i="2"/>
  <c r="H184" i="1" s="1"/>
  <c r="H62" i="2"/>
  <c r="I62" i="2" s="1"/>
  <c r="D62" i="2" s="1"/>
  <c r="G104" i="2"/>
  <c r="G90" i="2"/>
  <c r="H205" i="1" s="1"/>
  <c r="G86" i="2"/>
  <c r="H206" i="1" s="1"/>
  <c r="G23" i="2"/>
  <c r="G19" i="2"/>
  <c r="H78" i="1" s="1"/>
  <c r="G25" i="2"/>
  <c r="H96" i="1" s="1"/>
  <c r="G10" i="2"/>
  <c r="H80" i="1" s="1"/>
  <c r="G37" i="2"/>
  <c r="H115" i="1" s="1"/>
  <c r="G99" i="2"/>
  <c r="H220" i="1" s="1"/>
  <c r="A37" i="21"/>
  <c r="B37" i="21" s="1"/>
  <c r="H48" i="15"/>
  <c r="H32" i="15"/>
  <c r="D84" i="17"/>
  <c r="H120" i="1"/>
  <c r="H122" i="1"/>
  <c r="H228" i="1"/>
  <c r="H229" i="1"/>
  <c r="H103" i="1"/>
  <c r="H104" i="1"/>
  <c r="H191" i="1"/>
  <c r="H189" i="1"/>
  <c r="H150" i="1"/>
  <c r="H143" i="1"/>
  <c r="H155" i="1"/>
  <c r="H117" i="1"/>
  <c r="H161" i="1"/>
  <c r="H131" i="1"/>
  <c r="H141" i="1"/>
  <c r="H118" i="1"/>
  <c r="G30" i="2"/>
  <c r="G51" i="2"/>
  <c r="H138" i="1" s="1"/>
  <c r="H135" i="1"/>
  <c r="G15" i="2"/>
  <c r="G67" i="2"/>
  <c r="H167" i="1"/>
  <c r="G36" i="2"/>
  <c r="H77" i="1"/>
  <c r="H127" i="1"/>
  <c r="H61" i="2"/>
  <c r="I61" i="2" s="1"/>
  <c r="D61" i="2" s="1"/>
  <c r="H160" i="1"/>
  <c r="H100" i="2"/>
  <c r="I100" i="2" s="1"/>
  <c r="D100" i="2" s="1"/>
  <c r="H224" i="1"/>
  <c r="G20" i="2"/>
  <c r="H68" i="2"/>
  <c r="I68" i="2" s="1"/>
  <c r="D68" i="2" s="1"/>
  <c r="G16" i="2"/>
  <c r="H104" i="2"/>
  <c r="I104" i="2" s="1"/>
  <c r="D104" i="2" s="1"/>
  <c r="H102" i="2"/>
  <c r="I102" i="2" s="1"/>
  <c r="D102" i="2" s="1"/>
  <c r="H86" i="2"/>
  <c r="I86" i="2" s="1"/>
  <c r="D86" i="2" s="1"/>
  <c r="H198" i="1"/>
  <c r="G79" i="2"/>
  <c r="H196" i="1" s="1"/>
  <c r="H75" i="1"/>
  <c r="H153" i="1"/>
  <c r="H107" i="1"/>
  <c r="G5" i="2"/>
  <c r="H139" i="1" s="1"/>
  <c r="H226" i="1"/>
  <c r="I238" i="1" a="1"/>
  <c r="I238" i="1" s="1"/>
  <c r="E4" i="8" s="1"/>
  <c r="J121" i="9"/>
  <c r="Z28" i="9" s="1" a="1"/>
  <c r="Z28" i="9" s="1"/>
  <c r="K103" i="9"/>
  <c r="P59" i="9"/>
  <c r="L52" i="9" a="1"/>
  <c r="L52" i="9" s="1"/>
  <c r="D128" i="9"/>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A38" i="20"/>
  <c r="A15" i="20"/>
  <c r="A39" i="20"/>
  <c r="E121" i="9"/>
  <c r="U28" i="9" s="1" a="1"/>
  <c r="U28" i="9" s="1"/>
  <c r="H117" i="9"/>
  <c r="I118" i="9"/>
  <c r="Y25" i="9" s="1" a="1"/>
  <c r="Y25" i="9" s="1"/>
  <c r="D127" i="9"/>
  <c r="T34" i="9" s="1" a="1"/>
  <c r="T34" i="9" s="1"/>
  <c r="L64" i="9" a="1"/>
  <c r="L64" i="9" s="1"/>
  <c r="H118" i="9"/>
  <c r="X25" i="9" s="1" a="1"/>
  <c r="X25" i="9" s="1"/>
  <c r="K56" i="9" a="1"/>
  <c r="K56" i="9" s="1"/>
  <c r="AD13" i="9" a="1"/>
  <c r="AD13" i="9" s="1"/>
  <c r="K102" i="9"/>
  <c r="C102" i="9"/>
  <c r="K101" i="9"/>
  <c r="AA8" i="9" s="1" a="1"/>
  <c r="AA8" i="9" s="1"/>
  <c r="H109" i="9"/>
  <c r="P123" i="9"/>
  <c r="AF30" i="9" s="1"/>
  <c r="B18" i="20" s="1"/>
  <c r="A23" i="20"/>
  <c r="A21" i="20"/>
  <c r="M103" i="9"/>
  <c r="AC10" i="9" s="1" a="1"/>
  <c r="AC10" i="9" s="1"/>
  <c r="P103" i="9"/>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9" i="20" s="1"/>
  <c r="L79" i="9" a="1"/>
  <c r="L79" i="9" s="1"/>
  <c r="P72" i="9"/>
  <c r="J118" i="9"/>
  <c r="Z25" i="9" s="1" a="1"/>
  <c r="Z25" i="9" s="1"/>
  <c r="AD6" i="9" a="1"/>
  <c r="AD6" i="9" s="1"/>
  <c r="H121" i="9"/>
  <c r="X28" i="9" s="1" a="1"/>
  <c r="X28" i="9" s="1"/>
  <c r="P100" i="9"/>
  <c r="AF7" i="9" s="1"/>
  <c r="B12"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10" i="20"/>
  <c r="B11" i="9"/>
  <c r="E11" i="9" s="1"/>
  <c r="G99" i="9"/>
  <c r="W6" i="9" s="1" a="1"/>
  <c r="W6" i="9" s="1"/>
  <c r="F109" i="9"/>
  <c r="V16" i="9" s="1" a="1"/>
  <c r="V16" i="9" s="1"/>
  <c r="F128" i="9"/>
  <c r="V35" i="9" s="1" a="1"/>
  <c r="V35" i="9" s="1"/>
  <c r="M66" i="9" a="1"/>
  <c r="M66" i="9" s="1"/>
  <c r="J101" i="9"/>
  <c r="Z8" i="9" s="1" a="1"/>
  <c r="Z8" i="9" s="1"/>
  <c r="D118" i="9"/>
  <c r="T25" i="9" s="1" a="1"/>
  <c r="T25" i="9" s="1"/>
  <c r="P74" i="9"/>
  <c r="L111" i="9"/>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A24"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M59" i="9" a="1"/>
  <c r="M59" i="9" s="1"/>
  <c r="A8" i="21"/>
  <c r="B8" i="21" s="1"/>
  <c r="M117" i="9"/>
  <c r="AC24" i="9" s="1" a="1"/>
  <c r="AC24" i="9" s="1"/>
  <c r="E128" i="9"/>
  <c r="U35" i="9" s="1" a="1"/>
  <c r="U35" i="9" s="1"/>
  <c r="D131" i="9"/>
  <c r="T38" i="9" s="1" a="1"/>
  <c r="T38" i="9" s="1"/>
  <c r="S9" i="9" a="1"/>
  <c r="S9"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3"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29"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M61" i="9" a="1"/>
  <c r="M61" i="9" s="1"/>
  <c r="K71" i="9" a="1"/>
  <c r="K71" i="9" s="1"/>
  <c r="M130" i="9"/>
  <c r="AC37" i="9" s="1" a="1"/>
  <c r="AC37" i="9" s="1"/>
  <c r="N72" i="9" a="1"/>
  <c r="N72" i="9" s="1"/>
  <c r="N68" i="9" a="1"/>
  <c r="N68" i="9" s="1"/>
  <c r="H107" i="9"/>
  <c r="X14" i="9" s="1" a="1"/>
  <c r="X14" i="9" s="1"/>
  <c r="H120" i="9"/>
  <c r="X27" i="9" s="1" a="1"/>
  <c r="X27" i="9" s="1"/>
  <c r="G50" i="9" a="1"/>
  <c r="G50" i="9" s="1"/>
  <c r="L132" i="9"/>
  <c r="E104" i="9"/>
  <c r="U11" i="9" s="1" a="1"/>
  <c r="U11" i="9" s="1"/>
  <c r="H66" i="9" a="1"/>
  <c r="H66" i="9" s="1"/>
  <c r="L102" i="9"/>
  <c r="AB9" i="9" s="1" a="1"/>
  <c r="AB9" i="9" s="1"/>
  <c r="P119" i="9"/>
  <c r="AF26" i="9"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4" i="20" s="1"/>
  <c r="T35" i="9" a="1"/>
  <c r="T35" i="9" s="1"/>
  <c r="X8" i="9" a="1"/>
  <c r="X8" i="9"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0" i="20" s="1"/>
  <c r="J104" i="9"/>
  <c r="Z11" i="9" s="1" a="1"/>
  <c r="Z11" i="9" s="1"/>
  <c r="AD31" i="9" a="1"/>
  <c r="AD31" i="9" s="1"/>
  <c r="K121" i="9"/>
  <c r="AA28" i="9" s="1" a="1"/>
  <c r="AA28" i="9" s="1"/>
  <c r="B3" i="9"/>
  <c r="B10" i="9"/>
  <c r="P62" i="9"/>
  <c r="C101" i="9"/>
  <c r="S8" i="9" s="1" a="1"/>
  <c r="S8" i="9" s="1"/>
  <c r="C103" i="9"/>
  <c r="S10" i="9" s="1" a="1"/>
  <c r="S10" i="9" s="1"/>
  <c r="P104" i="9"/>
  <c r="AF11" i="9" s="1"/>
  <c r="B13" i="20" s="1"/>
  <c r="P109" i="9"/>
  <c r="AF16" i="9" s="1"/>
  <c r="B15"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G125" i="9"/>
  <c r="W32" i="9" s="1" a="1"/>
  <c r="W32" i="9" s="1"/>
  <c r="AD28" i="9" a="1"/>
  <c r="AD28" i="9" s="1"/>
  <c r="G122" i="9"/>
  <c r="W29" i="9" s="1" a="1"/>
  <c r="W29" i="9" s="1"/>
  <c r="AD10" i="9" a="1"/>
  <c r="AD10" i="9" s="1"/>
  <c r="C122" i="9"/>
  <c r="S29" i="9" s="1" a="1"/>
  <c r="S29" i="9" s="1"/>
  <c r="P131" i="9"/>
  <c r="AF38" i="9" s="1"/>
  <c r="E100" i="9"/>
  <c r="U7" i="9" s="1" a="1"/>
  <c r="U7" i="9" s="1"/>
  <c r="C99" i="9"/>
  <c r="S6" i="9" s="1" a="1"/>
  <c r="S6" i="9" s="1"/>
  <c r="P115" i="9"/>
  <c r="AF22" i="9" s="1"/>
  <c r="B24" i="20" s="1"/>
  <c r="H115" i="9"/>
  <c r="X22" i="9" s="1" a="1"/>
  <c r="X22" i="9" s="1"/>
  <c r="AD14" i="9" a="1"/>
  <c r="AD14" i="9" s="1"/>
  <c r="P126" i="9"/>
  <c r="AF33" i="9"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0" i="20" s="1"/>
  <c r="L114" i="9"/>
  <c r="AB21" i="9" s="1" a="1"/>
  <c r="AB21" i="9" s="1"/>
  <c r="K115" i="9"/>
  <c r="AA22" i="9" s="1" a="1"/>
  <c r="AA22" i="9" s="1"/>
  <c r="P122" i="9"/>
  <c r="AF29" i="9" s="1"/>
  <c r="B26" i="20" s="1"/>
  <c r="H132" i="9"/>
  <c r="M118" i="9"/>
  <c r="AC25" i="9" s="1" a="1"/>
  <c r="AC25" i="9" s="1"/>
  <c r="K60" i="9" a="1"/>
  <c r="K60" i="9" s="1"/>
  <c r="B6" i="9"/>
  <c r="C6" i="9" s="1"/>
  <c r="I71" i="9" a="1"/>
  <c r="I71" i="9" s="1"/>
  <c r="K53" i="9" a="1"/>
  <c r="K53" i="9" s="1"/>
  <c r="J105" i="9"/>
  <c r="Z12" i="9" s="1" a="1"/>
  <c r="Z12" i="9" s="1"/>
  <c r="E108" i="9"/>
  <c r="U15" i="9" s="1" a="1"/>
  <c r="U15" i="9" s="1"/>
  <c r="P121" i="9"/>
  <c r="AF28" i="9" s="1"/>
  <c r="B27"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V28" i="9" a="1"/>
  <c r="V28"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E126" i="9"/>
  <c r="U33" i="9" s="1" a="1"/>
  <c r="U33" i="9" s="1"/>
  <c r="P99" i="9"/>
  <c r="AF6" i="9" s="1"/>
  <c r="B11"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AA9" i="9" a="1"/>
  <c r="AA9"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X24" i="9" a="1"/>
  <c r="X24"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1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D107" i="9"/>
  <c r="T14" i="9" s="1" a="1"/>
  <c r="T14" i="9" s="1"/>
  <c r="M104" i="9"/>
  <c r="AC11" i="9" s="1" a="1"/>
  <c r="AC11" i="9" s="1"/>
  <c r="AD15" i="9" a="1"/>
  <c r="AD15" i="9" s="1"/>
  <c r="K83" i="9" a="1"/>
  <c r="K83" i="9" s="1"/>
  <c r="P101" i="9"/>
  <c r="AF8" i="9" s="1"/>
  <c r="B21"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P110" i="9"/>
  <c r="AF17" i="9" s="1"/>
  <c r="B28"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4" i="20" s="1"/>
  <c r="J124" i="9"/>
  <c r="Z31" i="9" s="1" a="1"/>
  <c r="Z31" i="9" s="1"/>
  <c r="H112" i="9"/>
  <c r="X19" i="9" s="1" a="1"/>
  <c r="X19" i="9" s="1"/>
  <c r="G83" i="9" a="1"/>
  <c r="G83" i="9" s="1"/>
  <c r="J132" i="9"/>
  <c r="F132" i="9"/>
  <c r="D116" i="9"/>
  <c r="T23" i="9" s="1" a="1"/>
  <c r="T23" i="9" s="1"/>
  <c r="P128" i="9"/>
  <c r="AF35" i="9" s="1"/>
  <c r="B39" i="20" s="1"/>
  <c r="D122" i="9"/>
  <c r="T29" i="9" s="1" a="1"/>
  <c r="T29" i="9" s="1"/>
  <c r="P105" i="9"/>
  <c r="AF12" i="9" s="1"/>
  <c r="B22"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A9" i="20"/>
  <c r="A11" i="20"/>
  <c r="A8" i="20"/>
  <c r="A25" i="20"/>
  <c r="A31" i="20"/>
  <c r="AF10" i="9"/>
  <c r="B25" i="20" s="1"/>
  <c r="A19" i="20"/>
  <c r="A18" i="20"/>
  <c r="A7" i="20"/>
  <c r="A17" i="20"/>
  <c r="A20" i="20"/>
  <c r="R5" i="9"/>
  <c r="D14" i="19" s="1" a="1"/>
  <c r="D14" i="19" s="1"/>
  <c r="E14" i="19" s="1"/>
  <c r="A22" i="20"/>
  <c r="A27" i="20"/>
  <c r="K132" i="9"/>
  <c r="A27" i="21"/>
  <c r="B27" i="21" s="1"/>
  <c r="A18" i="21"/>
  <c r="B18" i="21" s="1"/>
  <c r="A12" i="21"/>
  <c r="B12" i="21" s="1"/>
  <c r="A14" i="21"/>
  <c r="B14" i="21" s="1"/>
  <c r="A6" i="21"/>
  <c r="B6" i="21" s="1"/>
  <c r="M132" i="9"/>
  <c r="N83" i="9" a="1"/>
  <c r="N83" i="9" s="1"/>
  <c r="A35" i="21"/>
  <c r="B35" i="21" s="1"/>
  <c r="G82" i="9" a="1"/>
  <c r="G82" i="9" s="1"/>
  <c r="P80" i="9"/>
  <c r="A29" i="21"/>
  <c r="B29" i="21" s="1"/>
  <c r="A15" i="21"/>
  <c r="B15" i="21" s="1"/>
  <c r="A22" i="21"/>
  <c r="B22" i="21" s="1"/>
  <c r="P50" i="9"/>
  <c r="J82" i="9" a="1"/>
  <c r="J82" i="9" s="1"/>
  <c r="G69" i="9" a="1"/>
  <c r="G69" i="9" s="1"/>
  <c r="A25" i="21"/>
  <c r="B25" i="21" s="1"/>
  <c r="A10" i="21"/>
  <c r="B10" i="21" s="1"/>
  <c r="A23" i="21"/>
  <c r="B23" i="21" s="1"/>
  <c r="H51" i="9" a="1"/>
  <c r="H51" i="9" s="1"/>
  <c r="G67" i="9" a="1"/>
  <c r="G67" i="9" s="1"/>
  <c r="C12" i="9"/>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A10" i="9" a="1"/>
  <c r="AA10" i="9" s="1"/>
  <c r="A6" i="20"/>
  <c r="M120" i="9"/>
  <c r="AC27" i="9" s="1" a="1"/>
  <c r="AC27" i="9" s="1"/>
  <c r="F126" i="9"/>
  <c r="V33" i="9" s="1" a="1"/>
  <c r="V33" i="9" s="1"/>
  <c r="G120" i="9"/>
  <c r="W27" i="9" s="1" a="1"/>
  <c r="W27" i="9" s="1"/>
  <c r="A28"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12" i="20"/>
  <c r="A3" i="20"/>
  <c r="G108" i="9"/>
  <c r="W15" i="9" s="1" a="1"/>
  <c r="W15" i="9" s="1"/>
  <c r="K51" i="9" a="1"/>
  <c r="K51" i="9" s="1"/>
  <c r="H50" i="9" a="1"/>
  <c r="H50" i="9" s="1"/>
  <c r="N54" i="9" a="1"/>
  <c r="N54" i="9" s="1"/>
  <c r="I51" i="9" a="1"/>
  <c r="I51" i="9" s="1"/>
  <c r="A16" i="20"/>
  <c r="A5" i="20"/>
  <c r="A37" i="20"/>
  <c r="AD41" i="9" a="1"/>
  <c r="AD41" i="9" s="1"/>
  <c r="N64" i="9" a="1"/>
  <c r="N64" i="9" s="1"/>
  <c r="P113" i="9"/>
  <c r="AF20" i="9" s="1"/>
  <c r="B37" i="20" s="1"/>
  <c r="L54" i="9" a="1"/>
  <c r="L54" i="9" s="1"/>
  <c r="G75" i="9" a="1"/>
  <c r="G75" i="9" s="1"/>
  <c r="A30" i="20"/>
  <c r="J54" i="9" a="1"/>
  <c r="J54" i="9" s="1"/>
  <c r="A14" i="20"/>
  <c r="A36" i="20"/>
  <c r="I54" i="9" a="1"/>
  <c r="I54" i="9" s="1"/>
  <c r="A40" i="20"/>
  <c r="A26" i="20"/>
  <c r="A4" i="20"/>
  <c r="B49" i="9"/>
  <c r="L49" i="9" s="1" a="1"/>
  <c r="L49" i="9" s="1"/>
  <c r="H80" i="9" a="1"/>
  <c r="H80" i="9" s="1"/>
  <c r="H57" i="9" a="1"/>
  <c r="H57" i="9" s="1"/>
  <c r="W35" i="9" a="1"/>
  <c r="W35" i="9" s="1"/>
  <c r="G79" i="9" a="1"/>
  <c r="G79" i="9" s="1"/>
  <c r="L80" i="9" a="1"/>
  <c r="L80" i="9" s="1"/>
  <c r="G81" i="9" a="1"/>
  <c r="G81" i="9" s="1"/>
  <c r="G55" i="9" a="1"/>
  <c r="G55" i="9" s="1"/>
  <c r="H71" i="9" a="1"/>
  <c r="H71" i="9" s="1"/>
  <c r="H65" i="9" a="1"/>
  <c r="H65" i="9" s="1"/>
  <c r="W31" i="9" a="1"/>
  <c r="W31" i="9" s="1"/>
  <c r="G59" i="9" a="1"/>
  <c r="G59" i="9" s="1"/>
  <c r="AD34" i="9" a="1"/>
  <c r="AD34" i="9" s="1"/>
  <c r="X13" i="9" a="1"/>
  <c r="X13" i="9" s="1"/>
  <c r="AB36" i="9" a="1"/>
  <c r="AB36" i="9" s="1"/>
  <c r="G51" i="9" a="1"/>
  <c r="G51" i="9" s="1"/>
  <c r="J238" i="1" a="1"/>
  <c r="J238" i="1" s="1"/>
  <c r="AC33" i="9" a="1"/>
  <c r="AC33" i="9" s="1"/>
  <c r="E18" i="9"/>
  <c r="AB18" i="9" a="1"/>
  <c r="AB18" i="9" s="1"/>
  <c r="N78" i="9" a="1"/>
  <c r="N78" i="9" s="1"/>
  <c r="K238" i="1"/>
  <c r="G54" i="9" a="1"/>
  <c r="G54" i="9" s="1"/>
  <c r="AB15" i="9" a="1"/>
  <c r="AB15" i="9" s="1"/>
  <c r="L59" i="9" a="1"/>
  <c r="L59" i="9" s="1"/>
  <c r="C11" i="9"/>
  <c r="H99" i="9"/>
  <c r="G131" i="9"/>
  <c r="K6" i="6"/>
  <c r="C4" i="8" s="1"/>
  <c r="G127" i="6"/>
  <c r="C12" i="10"/>
  <c r="C7" i="8"/>
  <c r="N5" i="17"/>
  <c r="N7" i="17" s="1"/>
  <c r="C19" i="10" s="1"/>
  <c r="C16" i="10"/>
  <c r="C768" i="17"/>
  <c r="K4" i="17" s="1"/>
  <c r="B29" i="20"/>
  <c r="E42" i="7"/>
  <c r="B3" i="20"/>
  <c r="B17" i="20"/>
  <c r="H10" i="7"/>
  <c r="H42" i="7" s="1"/>
  <c r="B23" i="20"/>
  <c r="E44" i="18"/>
  <c r="I37" i="12"/>
  <c r="G42" i="7"/>
  <c r="J77" i="14"/>
  <c r="C12" i="8" s="1"/>
  <c r="C43" i="12"/>
  <c r="D44" i="18"/>
  <c r="D76" i="14"/>
  <c r="C10" i="8" s="1"/>
  <c r="H49" i="15"/>
  <c r="G49" i="15"/>
  <c r="AF36" i="9"/>
  <c r="D768" i="17"/>
  <c r="D2" i="2"/>
  <c r="H92" i="1" l="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4" i="20" s="1"/>
  <c r="O132" i="9"/>
  <c r="Q132" i="9" s="1"/>
  <c r="O53" i="9"/>
  <c r="Q53" i="9" s="1"/>
  <c r="O116" i="9"/>
  <c r="Q116" i="9" s="1"/>
  <c r="A2" i="20"/>
  <c r="O110" i="9"/>
  <c r="Q110" i="9" s="1"/>
  <c r="E14" i="9"/>
  <c r="O102" i="9"/>
  <c r="AE9" i="9"/>
  <c r="AG9" i="9" s="1"/>
  <c r="C30" i="20" s="1"/>
  <c r="O109" i="9"/>
  <c r="Q109" i="9" s="1"/>
  <c r="O124" i="9"/>
  <c r="Q124" i="9" s="1"/>
  <c r="AE14" i="9"/>
  <c r="AG14" i="9" s="1"/>
  <c r="C14" i="20" s="1"/>
  <c r="AE17" i="9"/>
  <c r="AG17" i="9" s="1"/>
  <c r="C28" i="20" s="1"/>
  <c r="O82" i="9"/>
  <c r="Q82" i="9" s="1"/>
  <c r="O63" i="9"/>
  <c r="Q63" i="9" s="1"/>
  <c r="O52" i="9"/>
  <c r="Q52" i="9" s="1"/>
  <c r="O68" i="9"/>
  <c r="Q68" i="9" s="1"/>
  <c r="O77" i="9"/>
  <c r="Q77" i="9" s="1"/>
  <c r="AE28" i="9"/>
  <c r="AG28" i="9" s="1"/>
  <c r="C27" i="20" s="1"/>
  <c r="O58" i="9"/>
  <c r="Q58" i="9" s="1"/>
  <c r="O56" i="9"/>
  <c r="Q56" i="9" s="1"/>
  <c r="O76" i="9"/>
  <c r="Q76" i="9" s="1"/>
  <c r="O71" i="9"/>
  <c r="Q71" i="9" s="1"/>
  <c r="AE11" i="9"/>
  <c r="AG11" i="9" s="1"/>
  <c r="C13" i="20" s="1"/>
  <c r="O75" i="9"/>
  <c r="Q75" i="9" s="1"/>
  <c r="O66" i="9"/>
  <c r="Q66" i="9" s="1"/>
  <c r="AE8" i="9"/>
  <c r="AG8" i="9" s="1"/>
  <c r="C21"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5" i="20" s="1"/>
  <c r="O83" i="9"/>
  <c r="Q83" i="9" s="1"/>
  <c r="O69" i="9"/>
  <c r="Q69" i="9" s="1"/>
  <c r="O62" i="9"/>
  <c r="Q62" i="9" s="1"/>
  <c r="AE12" i="9"/>
  <c r="AG12" i="9" s="1"/>
  <c r="C22" i="20" s="1"/>
  <c r="O60" i="9"/>
  <c r="Q60" i="9" s="1"/>
  <c r="Q102" i="9"/>
  <c r="O55" i="9"/>
  <c r="Q55" i="9" s="1"/>
  <c r="AE37" i="9"/>
  <c r="AG37" i="9" s="1"/>
  <c r="C20" i="20" s="1"/>
  <c r="O119" i="9"/>
  <c r="Q119" i="9" s="1"/>
  <c r="O121" i="9"/>
  <c r="Q121" i="9" s="1"/>
  <c r="O73" i="9"/>
  <c r="Q73" i="9" s="1"/>
  <c r="O113" i="9"/>
  <c r="O104" i="9"/>
  <c r="Q104" i="9" s="1"/>
  <c r="O61" i="9"/>
  <c r="Q61" i="9" s="1"/>
  <c r="O81" i="9"/>
  <c r="Q81" i="9" s="1"/>
  <c r="O117" i="9"/>
  <c r="Q117" i="9" s="1"/>
  <c r="O67" i="9"/>
  <c r="Q67" i="9" s="1"/>
  <c r="AE22" i="9"/>
  <c r="AG22" i="9" s="1"/>
  <c r="C24"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3" i="20" s="1"/>
  <c r="O106" i="9"/>
  <c r="Q106" i="9" s="1"/>
  <c r="C10" i="9"/>
  <c r="E10" i="9"/>
  <c r="AE31" i="9"/>
  <c r="AG31" i="9" s="1"/>
  <c r="C36" i="20" s="1"/>
  <c r="O120" i="9"/>
  <c r="Q120" i="9" s="1"/>
  <c r="O115" i="9"/>
  <c r="Q115" i="9" s="1"/>
  <c r="AE29" i="9"/>
  <c r="AG29" i="9" s="1"/>
  <c r="C26" i="20" s="1"/>
  <c r="AB20" i="9" a="1"/>
  <c r="AB20" i="9" s="1"/>
  <c r="AE20" i="9" s="1"/>
  <c r="AG20" i="9" s="1"/>
  <c r="C37" i="20" s="1"/>
  <c r="E3" i="9"/>
  <c r="C3" i="9"/>
  <c r="D8" i="19" a="1"/>
  <c r="D8" i="19" s="1"/>
  <c r="O65" i="9"/>
  <c r="Q65" i="9" s="1"/>
  <c r="O128" i="9"/>
  <c r="Q128" i="9" s="1"/>
  <c r="AE7" i="9"/>
  <c r="AG7" i="9" s="1"/>
  <c r="C12"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29" i="20" s="1"/>
  <c r="E17" i="9"/>
  <c r="C17" i="9"/>
  <c r="E7" i="9" a="1"/>
  <c r="E7" i="9" s="1"/>
  <c r="C7" i="9"/>
  <c r="E9" i="9"/>
  <c r="C9" i="9"/>
  <c r="O123" i="9"/>
  <c r="Q123" i="9" s="1"/>
  <c r="AE13" i="9"/>
  <c r="AG13" i="9" s="1"/>
  <c r="C10" i="20" s="1"/>
  <c r="C15" i="9"/>
  <c r="E15" i="9"/>
  <c r="AE30" i="9"/>
  <c r="AG30" i="9" s="1"/>
  <c r="C18" i="20" s="1"/>
  <c r="AE10" i="9"/>
  <c r="AG10" i="9" s="1"/>
  <c r="C25" i="20" s="1"/>
  <c r="AE27" i="9"/>
  <c r="AG27" i="9" s="1"/>
  <c r="C9" i="20" s="1"/>
  <c r="AE21" i="9"/>
  <c r="AG21" i="9" s="1"/>
  <c r="C17" i="20" s="1"/>
  <c r="O51" i="9"/>
  <c r="Q51" i="9" s="1"/>
  <c r="AE36" i="9"/>
  <c r="AG36" i="9" s="1"/>
  <c r="C8" i="20" s="1"/>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11" i="20" s="1"/>
  <c r="Q113" i="9"/>
  <c r="AE15" i="9"/>
  <c r="AG15" i="9" s="1"/>
  <c r="C6" i="20" s="1"/>
  <c r="O80" i="9"/>
  <c r="Q80" i="9" s="1"/>
  <c r="W38" i="9" a="1"/>
  <c r="W38" i="9" s="1"/>
  <c r="AE38" i="9" s="1"/>
  <c r="AG38" i="9" s="1"/>
  <c r="C3" i="20" s="1"/>
  <c r="P7" i="17"/>
  <c r="F44" i="18"/>
  <c r="C11" i="8"/>
  <c r="C14" i="8" s="1"/>
  <c r="C4" i="10" s="1"/>
  <c r="B8" i="20"/>
  <c r="K5" i="17"/>
  <c r="K6" i="17" s="1"/>
  <c r="F768" i="17"/>
  <c r="E20" i="19" l="1"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<sst xmlns="http://schemas.openxmlformats.org/spreadsheetml/2006/main" count="3494" uniqueCount="719">
  <si>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</si>
  <si>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</si>
  <si>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</si>
  <si>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</si>
  <si>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</si>
  <si>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</si>
  <si>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</si>
  <si>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</si>
  <si>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</si>
  <si>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</si>
  <si>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</si>
  <si>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</si>
  <si>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</si>
  <si>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</si>
  <si>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</si>
  <si>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</si>
  <si>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</si>
  <si>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</si>
  <si>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</si>
  <si>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</si>
  <si>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</si>
  <si>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</si>
  <si>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</si>
  <si>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</si>
  <si>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</si>
  <si>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</si>
  <si>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</si>
  <si>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</si>
  <si>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</si>
  <si>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</si>
  <si>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</si>
  <si>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</si>
  <si>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</si>
  <si>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</si>
  <si>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</si>
  <si>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</si>
  <si>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</si>
  <si>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</si>
  <si>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</si>
  <si>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</si>
  <si>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</si>
  <si>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</si>
  <si>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</si>
  <si>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</si>
  <si>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</si>
  <si>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</si>
  <si>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</si>
  <si>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</si>
  <si>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</si>
  <si>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</si>
  <si>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</si>
  <si>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</si>
  <si>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</si>
  <si>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</si>
  <si>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</si>
  <si>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</si>
  <si>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</si>
  <si>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</si>
  <si>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</si>
  <si>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</si>
  <si>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</si>
  <si>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</si>
  <si>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</si>
  <si>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</si>
  <si>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</si>
  <si>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</si>
  <si>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</si>
  <si>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</si>
  <si>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</si>
  <si>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</si>
  <si>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</si>
  <si>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</si>
  <si>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</si>
  <si>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</si>
  <si>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</si>
  <si>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</si>
  <si>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</si>
  <si>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</si>
  <si>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</si>
  <si>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</si>
  <si>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</si>
  <si>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</si>
  <si>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</si>
  <si>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</si>
  <si>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</si>
  <si>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</si>
  <si>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</si>
  <si>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</si>
  <si>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</si>
  <si>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</si>
  <si>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</si>
  <si>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</si>
  <si>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</si>
  <si>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</si>
  <si>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</si>
  <si>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</si>
  <si>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</si>
  <si>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</si>
  <si>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</si>
  <si>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</si>
  <si>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</si>
  <si>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</si>
  <si>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</si>
  <si>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</si>
  <si>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</si>
  <si>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</si>
  <si>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</si>
  <si>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</si>
  <si>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</si>
  <si>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</si>
  <si>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</si>
  <si>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</si>
  <si>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</si>
  <si>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</si>
  <si>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</si>
  <si>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</si>
  <si>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</si>
  <si>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</si>
  <si>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</si>
  <si>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</si>
  <si>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</si>
  <si>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</si>
  <si>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</si>
  <si>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</si>
  <si>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</si>
  <si>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</si>
  <si>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</si>
  <si>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</si>
  <si>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</si>
  <si>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</si>
  <si>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</si>
  <si>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</si>
  <si>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</si>
  <si>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</si>
  <si>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</si>
  <si>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</si>
  <si>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</si>
  <si>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</si>
  <si>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</si>
  <si>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</si>
  <si>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</si>
  <si>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</si>
  <si>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</si>
  <si>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</si>
  <si>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</si>
  <si>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</si>
  <si>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</si>
  <si>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</si>
  <si>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</si>
  <si>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</si>
  <si>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</si>
  <si>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</si>
  <si>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</si>
  <si>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</si>
  <si>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</si>
  <si>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</si>
  <si>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</si>
  <si>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</si>
  <si>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</si>
  <si>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</si>
  <si>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</si>
  <si>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</si>
  <si>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</si>
  <si>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</si>
  <si>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</si>
  <si>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</si>
  <si>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</si>
  <si>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</si>
  <si>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</si>
  <si>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</si>
  <si>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</si>
  <si>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</si>
  <si>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</si>
  <si>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</si>
  <si>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</si>
  <si>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</si>
  <si>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</si>
  <si>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</si>
  <si>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</si>
  <si>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</si>
  <si>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</si>
  <si>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</si>
  <si>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</si>
  <si>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</si>
  <si>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</si>
  <si>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</si>
  <si>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</si>
  <si>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</si>
  <si>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</si>
  <si>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</si>
  <si>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</si>
  <si>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</si>
  <si>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</si>
  <si>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</si>
  <si>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</si>
  <si>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</si>
  <si>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</si>
  <si>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</si>
  <si>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</si>
  <si>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</si>
  <si>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</si>
  <si>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</si>
  <si>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</si>
  <si>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</si>
  <si>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</si>
  <si>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</si>
  <si>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</si>
  <si>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</si>
  <si>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</si>
  <si>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</si>
  <si>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</si>
  <si>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</si>
  <si>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</si>
  <si>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</si>
  <si>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</si>
  <si>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</si>
  <si>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</si>
  <si>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</si>
  <si>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</si>
  <si>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</si>
  <si>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</si>
  <si>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</si>
  <si>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</si>
  <si>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</si>
  <si>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</si>
  <si>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</si>
  <si>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</si>
  <si>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</si>
  <si>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</si>
  <si>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</si>
  <si>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</si>
  <si>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</si>
  <si>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</si>
  <si>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</si>
  <si>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</si>
  <si>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</si>
  <si>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</si>
  <si>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</si>
  <si>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</si>
  <si>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</si>
  <si>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</si>
  <si>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</si>
  <si>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</si>
  <si>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</si>
  <si>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</si>
  <si>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</si>
  <si>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</si>
  <si>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</si>
  <si>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</si>
  <si>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</si>
  <si>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</si>
  <si>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</si>
  <si>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</si>
  <si>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</si>
  <si>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</si>
  <si>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</si>
  <si>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</si>
  <si>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</si>
  <si>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</si>
  <si>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</si>
  <si>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</si>
  <si>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</si>
  <si>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</si>
  <si>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</si>
  <si>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</si>
  <si>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</si>
  <si>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</si>
  <si>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</si>
  <si>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</si>
  <si>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</si>
  <si>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</si>
  <si>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</si>
  <si>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</si>
  <si>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</si>
  <si>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</si>
  <si>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</si>
  <si>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</si>
  <si>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</si>
  <si>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</si>
  <si>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</si>
  <si>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</si>
  <si>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</si>
  <si>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</si>
  <si>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</si>
  <si>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</si>
  <si>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</si>
  <si>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</si>
  <si>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</si>
  <si>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</si>
  <si>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</si>
  <si>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</si>
  <si>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</si>
  <si>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</si>
  <si>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</si>
  <si>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</si>
  <si>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</si>
  <si>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</si>
  <si>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</si>
  <si>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</si>
  <si>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</si>
  <si>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</si>
  <si>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</si>
  <si>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</si>
  <si>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</si>
  <si>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</si>
  <si>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</si>
  <si>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</si>
  <si>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</si>
  <si>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</si>
  <si>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</si>
  <si>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</si>
  <si>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</si>
  <si>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</si>
  <si>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</si>
  <si>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</si>
  <si>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</si>
  <si>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</si>
  <si>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</si>
  <si>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</si>
  <si>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</si>
  <si>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</si>
  <si>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</si>
  <si>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</si>
  <si>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</si>
  <si>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</si>
  <si>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</si>
  <si>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</si>
  <si>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</si>
  <si>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</si>
  <si>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</si>
  <si>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</si>
  <si>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</si>
  <si>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</si>
  <si>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</si>
  <si>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</si>
  <si>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</si>
  <si>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</si>
  <si>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</si>
  <si>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</si>
  <si>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</si>
  <si>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</si>
  <si>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</si>
  <si>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</si>
  <si>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</si>
  <si>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</si>
  <si>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</si>
  <si>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</si>
  <si>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</si>
  <si>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</si>
  <si>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</si>
  <si>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</si>
  <si>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</si>
  <si>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</si>
  <si>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</si>
  <si>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</si>
  <si>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</si>
  <si>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</si>
  <si>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</si>
  <si>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</si>
  <si>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</si>
  <si>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</si>
  <si>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</si>
  <si>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</si>
  <si>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</si>
  <si>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</si>
  <si>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</si>
  <si>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</si>
  <si>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</si>
  <si>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</si>
  <si>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</si>
  <si>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</si>
  <si>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</si>
  <si>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</si>
  <si>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</si>
  <si>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</si>
  <si>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</si>
  <si>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</si>
  <si>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</si>
  <si>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</si>
  <si>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</si>
  <si>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</si>
  <si>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</si>
  <si>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</si>
  <si>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</si>
  <si>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</si>
  <si>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</si>
  <si>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</si>
  <si>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</si>
  <si>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</si>
  <si>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</si>
  <si>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</si>
  <si>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</si>
  <si>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</si>
  <si>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</si>
  <si>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</si>
  <si>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</si>
  <si>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</si>
  <si>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</si>
  <si>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</si>
  <si>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</si>
  <si>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</si>
  <si>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</si>
  <si>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</si>
  <si>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</si>
  <si>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</si>
  <si>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</si>
  <si>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</si>
  <si>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</si>
  <si>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</si>
  <si>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</si>
  <si>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</si>
  <si>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</si>
  <si>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</si>
  <si>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</si>
  <si>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</si>
  <si>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</si>
  <si>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</si>
  <si>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</si>
  <si>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</si>
  <si>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</si>
  <si>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</si>
  <si>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</si>
  <si>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</si>
  <si>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</si>
  <si>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</si>
  <si>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</si>
  <si>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</si>
  <si>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</si>
  <si>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</si>
  <si>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</si>
  <si>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</si>
  <si>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</si>
  <si>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</si>
  <si>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</si>
  <si>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</si>
  <si>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</si>
  <si>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</si>
  <si>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</si>
  <si>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</si>
  <si>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</si>
  <si>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</si>
  <si>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</si>
  <si>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</si>
  <si>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</si>
  <si>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</si>
  <si>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</si>
  <si>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</si>
  <si>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</si>
  <si>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</si>
  <si>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</si>
  <si>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</si>
  <si>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</si>
  <si>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</si>
  <si>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</si>
  <si>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</si>
  <si>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</si>
  <si>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</si>
  <si>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</si>
  <si>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</si>
  <si>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</si>
  <si>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</si>
  <si>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</si>
  <si>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</si>
  <si>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</si>
  <si>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</si>
  <si>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</si>
  <si>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</si>
  <si>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</si>
  <si>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</si>
  <si>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</si>
  <si>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</si>
  <si>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</si>
  <si>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</si>
  <si>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</si>
  <si>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</si>
  <si>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</si>
  <si>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</si>
  <si>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</si>
  <si>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</si>
  <si>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</si>
  <si>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</si>
  <si>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</si>
  <si>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</si>
  <si>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</si>
  <si>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</si>
  <si>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</si>
  <si>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</si>
  <si>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</si>
  <si>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</si>
  <si>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</si>
  <si>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</si>
  <si>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</si>
  <si>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</si>
  <si>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</si>
  <si>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</si>
  <si>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</si>
  <si>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</si>
  <si>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</si>
  <si>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</si>
  <si>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</si>
  <si>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</si>
  <si>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</si>
  <si>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</si>
  <si>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</si>
  <si>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</si>
  <si>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</si>
  <si>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</si>
  <si>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</si>
  <si>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</si>
  <si>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</si>
  <si>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</si>
  <si>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</si>
  <si>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</si>
  <si>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</si>
  <si>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</si>
  <si>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</si>
  <si>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</si>
  <si>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</si>
  <si>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</si>
  <si>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</si>
  <si>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</si>
  <si>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</si>
  <si>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</si>
  <si>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</si>
  <si>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</si>
  <si>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</si>
  <si>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</si>
  <si>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</si>
  <si>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</si>
  <si>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</si>
  <si>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</si>
  <si>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</si>
  <si>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</si>
  <si>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</si>
  <si>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</si>
  <si>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</si>
  <si>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</si>
  <si>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</si>
  <si>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</si>
  <si>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</si>
  <si>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</si>
  <si>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</si>
  <si>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</si>
  <si>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</si>
  <si>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</si>
  <si>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</si>
  <si>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</si>
  <si>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</si>
  <si>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</si>
  <si>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</si>
  <si>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</si>
  <si>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</si>
  <si>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</si>
  <si>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</si>
  <si>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</si>
  <si>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</si>
  <si>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</si>
  <si>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</si>
  <si>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</si>
  <si>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</si>
  <si>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</si>
  <si>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</si>
  <si>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</si>
  <si>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</si>
  <si>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</si>
  <si>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</si>
  <si>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</si>
  <si>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</si>
  <si>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</si>
  <si>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</si>
  <si>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</si>
  <si>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</si>
  <si>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</si>
  <si>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</si>
  <si>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</si>
  <si>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</si>
  <si>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</si>
  <si>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</si>
  <si>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</si>
  <si>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</si>
  <si>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</si>
  <si>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</si>
  <si>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</si>
  <si>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</si>
  <si>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</si>
  <si>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</si>
  <si>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</si>
  <si>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</si>
  <si>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</si>
  <si>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</si>
  <si>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</si>
  <si>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</si>
  <si>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</si>
  <si>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</si>
  <si>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</si>
  <si>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</si>
  <si>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</si>
  <si>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</si>
  <si>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</si>
  <si>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</si>
  <si>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</si>
  <si>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</si>
  <si>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</si>
  <si>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</si>
  <si>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</si>
  <si>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</si>
  <si>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</si>
  <si>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</si>
  <si>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</si>
  <si>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</si>
  <si>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</si>
  <si>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</si>
  <si>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</si>
  <si>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</si>
  <si>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</si>
  <si>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</si>
  <si>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</si>
  <si>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</si>
  <si>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</si>
  <si>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</si>
  <si>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</si>
  <si>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</si>
  <si>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</si>
  <si>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</si>
  <si>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</si>
  <si>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</si>
  <si>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</si>
  <si>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</si>
  <si>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</si>
  <si>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</si>
  <si>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</si>
  <si>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</si>
  <si>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</si>
  <si>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</si>
  <si>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</si>
  <si>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</si>
  <si>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</si>
  <si>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</si>
  <si>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</si>
  <si>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</si>
  <si>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</si>
  <si>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</si>
  <si>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</si>
  <si>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</si>
  <si>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</si>
  <si>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</si>
  <si>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</si>
  <si>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</si>
  <si>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</si>
  <si>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</si>
  <si>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</si>
  <si>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</si>
  <si>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</si>
  <si>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</si>
  <si>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</si>
  <si>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</si>
  <si>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</si>
  <si>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</si>
  <si>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</si>
  <si>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</si>
  <si>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</si>
  <si>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</si>
  <si>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</si>
  <si>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</si>
  <si>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</si>
  <si>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</si>
  <si>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</si>
  <si>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</si>
  <si>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</si>
  <si>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</si>
  <si>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</si>
  <si>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</si>
  <si>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</si>
  <si>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</si>
  <si>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</si>
  <si>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</si>
  <si>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</si>
  <si>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</si>
  <si>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</si>
  <si>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</si>
  <si>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</si>
  <si>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</si>
  <si>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</si>
  <si>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</si>
  <si>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</si>
  <si>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</si>
  <si>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</si>
  <si>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</si>
  <si>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</si>
  <si>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</si>
  <si>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</si>
  <si>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</si>
  <si>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</si>
  <si>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</si>
  <si>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</si>
  <si>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</si>
  <si>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</si>
  <si>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</si>
  <si>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</si>
  <si>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</si>
  <si>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</si>
  <si>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</si>
  <si>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</si>
  <si>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</si>
  <si>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</si>
  <si>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</si>
  <si>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</si>
  <si>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</si>
  <si>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</si>
  <si>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</si>
  <si>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</si>
  <si>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</si>
  <si>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</si>
  <si>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</si>
  <si>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</si>
  <si>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</si>
  <si>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</si>
  <si>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Wood party</t>
  </si>
  <si>
    <t>Farhaan 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</si>
</sst>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5949071" createdVersion="8" refreshedVersion="8" minRefreshableVersion="3" recordCount="766" xr:uid="{B5BDFB73-D93A-4A7A-8149-666BC190B09B}">
  <cacheSource type="worksheet">
    <worksheetSource name="Table14"/>
  </cacheSource>
  <cacheFields count="7">
    <cacheField name="Date" numFmtId="14">
      <sharedItems containsNonDate="0" containsDate="1" containsString="0" containsBlank="1" minDate="2025-12-23T00:00:00" maxDate="2026-05-05T00:00:00"/>
    </cacheField>
    <cacheField name="Party" numFmtId="0">
      <sharedItems containsBlank="1" count="105">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Wood party"/>
        <m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629629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30695.86686174106"/>
    </cacheField>
    <cacheField name="Rate" numFmtId="0">
      <sharedItems containsString="0" containsBlank="1" containsNumber="1" minValue="10" maxValue="12"/>
    </cacheField>
    <cacheField name="Total" numFmtId="164">
      <sharedItems containsSemiMixedTypes="0" containsString="0" containsNumber="1" minValue="0" maxValue="5987757.863935626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64120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03T00:00:00" count="93">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6527779"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0">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6" maxValue="458"/>
    </cacheField>
    <cacheField name="Rate" numFmtId="164">
      <sharedItems containsString="0" containsBlank="1" containsNumber="1" containsInteger="1" minValue="450" maxValue="12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6643517" createdVersion="8" refreshedVersion="8" minRefreshableVersion="3" recordCount="44" xr:uid="{376A650C-1F79-4049-BC45-E34989F046B2}">
  <cacheSource type="worksheet">
    <worksheetSource name="Table2"/>
  </cacheSource>
  <cacheFields count="8">
    <cacheField name="Date" numFmtId="14">
      <sharedItems containsNonDate="0" containsDate="1" containsString="0" containsBlank="1" minDate="2026-02-20T00:00:00" maxDate="2026-05-05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7.089996875002" createdVersion="8" refreshedVersion="8" minRefreshableVersion="3" recordCount="236" xr:uid="{46CBB50D-3613-4E5B-8212-DD0313DCD05A}">
  <cacheSource type="worksheet">
    <worksheetSource name="Table1"/>
  </cacheSource>
  <cacheFields count="14">
    <cacheField name="Date" numFmtId="0">
      <sharedItems containsNonDate="0" containsDate="1" containsString="0" containsBlank="1" minDate="2026-02-02T00:00:00" maxDate="2026-05-05T00:00:00"/>
    </cacheField>
    <cacheField name="Party Name" numFmtId="0">
      <sharedItems containsBlank="1" count="44">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m/>
        <s v="zaid ejaz" u="1"/>
        <s v="Reject" u="1"/>
        <s v="YING" u="1"/>
        <s v="Meow" u="1"/>
        <s v="Umer Sb" u="1"/>
        <s v="-" u="1"/>
        <s v="Sajjad" u="1"/>
        <s v="Haji Ejaz" u="1"/>
      </sharedItems>
    </cacheField>
    <cacheField name="Bill Number" numFmtId="0">
      <sharedItems containsBlank="1" containsMixedTypes="1" containsNumber="1" containsInteger="1" minValue="1509" maxValue="1673"/>
    </cacheField>
    <cacheField name="Quality" numFmtId="0">
      <sharedItems containsBlank="1"/>
    </cacheField>
    <cacheField name="Shipment Number" numFmtId="164">
      <sharedItems containsBlank="1" containsMixedTypes="1" containsNumber="1" containsInteger="1" minValue="1558" maxValue="17000" count="535">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6">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60000"/>
    <m/>
    <m/>
    <s v="Bank"/>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30695.86686174106"/>
    <n v="10"/>
    <n v="5987757.8639356261"/>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200"/>
    <n v="82600"/>
    <n v="499200"/>
    <m/>
    <n v="499200"/>
  </r>
  <r>
    <x v="27"/>
    <x v="6"/>
    <x v="1"/>
    <n v="245"/>
    <n v="920"/>
    <m/>
    <n v="225400"/>
    <m/>
    <n v="225400"/>
  </r>
  <r>
    <x v="28"/>
    <x v="1"/>
    <x v="1"/>
    <n v="239"/>
    <n v="1200"/>
    <n v="60200"/>
    <n v="286800"/>
    <m/>
    <n v="286800"/>
  </r>
  <r>
    <x v="28"/>
    <x v="1"/>
    <x v="1"/>
    <n v="46"/>
    <n v="580"/>
    <m/>
    <n v="26680"/>
    <m/>
    <n v="2668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58.966464281722104"/>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e v="#DIV/0!"/>
    <n v="9229.1514264813468"/>
    <n v="92291.514264813464"/>
    <m/>
  </r>
  <r>
    <d v="2026-04-30T00:00:00"/>
    <x v="20"/>
    <n v="1664"/>
    <s v="Chamki"/>
    <x v="92"/>
    <n v="78482"/>
    <n v="44174"/>
    <n v="2.5084090589677857"/>
    <n v="40393.196781272862"/>
    <n v="403931.9678127286"/>
    <m/>
  </r>
  <r>
    <d v="2026-05-01T00:00:00"/>
    <x v="0"/>
    <n v="1665"/>
    <s v="Chamki"/>
    <x v="91"/>
    <n v="14993"/>
    <n v="5614"/>
    <n v="58.966464281722104"/>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s v="NF"/>
    <n v="32954.462326261892"/>
    <n v="428408.01024140458"/>
    <m/>
  </r>
  <r>
    <d v="2026-05-04T00:00:00"/>
    <x v="34"/>
    <n v="1670"/>
    <s v="Silky"/>
    <x v="101"/>
    <n v="50029"/>
    <n v="16005"/>
    <s v="NF"/>
    <n v="14635.149963423557"/>
    <n v="190256.94952450623"/>
    <m/>
  </r>
  <r>
    <d v="2026-05-04T00:00:00"/>
    <x v="34"/>
    <n v="1671"/>
    <s v="Silky"/>
    <x v="102"/>
    <n v="36740"/>
    <n v="38709"/>
    <s v="NF"/>
    <n v="35395.940014630578"/>
    <n v="460147.22019019752"/>
    <m/>
  </r>
  <r>
    <d v="2026-05-04T00:00:00"/>
    <x v="34"/>
    <n v="1672"/>
    <s v="Silky"/>
    <x v="103"/>
    <n v="39984"/>
    <n v="41078"/>
    <s v="NF"/>
    <n v="37562.179956108266"/>
    <n v="488308.33942940744"/>
    <m/>
  </r>
  <r>
    <d v="2026-05-04T00:00:00"/>
    <x v="34"/>
    <n v="1673"/>
    <s v="Silky"/>
    <x v="104"/>
    <n v="30346"/>
    <n v="32052"/>
    <s v="NF"/>
    <n v="29308.705193855159"/>
    <n v="381013.16752011707"/>
    <m/>
  </r>
  <r>
    <m/>
    <x v="35"/>
    <m/>
    <m/>
    <x v="0"/>
    <m/>
    <m/>
    <e v="#DIV/0!"/>
    <m/>
    <m/>
    <m/>
  </r>
  <r>
    <m/>
    <x v="35"/>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221">
        <item m="1" x="204"/>
        <item m="1" x="205"/>
        <item m="1" x="206"/>
        <item m="1" x="207"/>
        <item m="1" x="208"/>
        <item m="1" x="209"/>
        <item m="1" x="210"/>
        <item m="1" x="219"/>
        <item m="1" x="200"/>
        <item m="1" x="211"/>
        <item m="1" x="212"/>
        <item m="1" x="213"/>
        <item m="1" x="214"/>
        <item m="1" x="215"/>
        <item m="1" x="216"/>
        <item m="1" x="217"/>
        <item m="1" x="171"/>
        <item m="1" x="172"/>
        <item m="1" x="218"/>
        <item m="1" x="173"/>
        <item m="1" x="170"/>
        <item m="1" x="174"/>
        <item m="1" x="176"/>
        <item m="1" x="177"/>
        <item m="1" x="178"/>
        <item m="1" x="180"/>
        <item m="1" x="181"/>
        <item m="1" x="182"/>
        <item m="1" x="175"/>
        <item m="1" x="179"/>
        <item m="1" x="183"/>
        <item m="1" x="184"/>
        <item m="1" x="185"/>
        <item m="1" x="186"/>
        <item m="1" x="169"/>
        <item m="1" x="187"/>
        <item m="1" x="201"/>
        <item m="1" x="202"/>
        <item m="1" x="203"/>
        <item m="1" x="188"/>
        <item m="1" x="189"/>
        <item m="1" x="190"/>
        <item m="1" x="191"/>
        <item m="1" x="192"/>
        <item m="1" x="193"/>
        <item m="1" x="194"/>
        <item m="1" x="195"/>
        <item m="1" x="196"/>
        <item m="1" x="197"/>
        <item m="1" x="198"/>
        <item m="1" x="199"/>
        <item m="1" x="140"/>
        <item m="1" x="141"/>
        <item m="1" x="142"/>
        <item m="1" x="143"/>
        <item m="1" x="144"/>
        <item m="1" x="145"/>
        <item m="1" x="146"/>
        <item m="1" x="147"/>
        <item m="1" x="149"/>
        <item m="1" x="150"/>
        <item m="1" x="151"/>
        <item m="1" x="148"/>
        <item m="1" x="152"/>
        <item m="1" x="153"/>
        <item m="1" x="154"/>
        <item m="1" x="155"/>
        <item m="1" x="156"/>
        <item m="1" x="157"/>
        <item m="1" x="158"/>
        <item m="1" x="159"/>
        <item m="1" x="160"/>
        <item m="1" x="161"/>
        <item m="1" x="162"/>
        <item m="1" x="163"/>
        <item m="1" x="164"/>
        <item m="1" x="165"/>
        <item m="1" x="166"/>
        <item m="1" x="167"/>
        <item m="1" x="168"/>
        <item m="1" x="86"/>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87"/>
        <item m="1" x="90"/>
        <item m="1" x="88"/>
        <item m="1" x="89"/>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54"/>
        <item m="1" x="55"/>
        <item m="1" x="56"/>
        <item m="1" x="57"/>
        <item m="1" x="58"/>
        <item m="1" x="59"/>
        <item m="1" x="60"/>
        <item m="1" x="61"/>
        <item x="1"/>
        <item m="1" x="62"/>
        <item m="1" x="63"/>
        <item m="1" x="64"/>
        <item m="1" x="65"/>
        <item m="1" x="66"/>
        <item m="1" x="67"/>
        <item m="1" x="85"/>
        <item m="1" x="68"/>
        <item m="1" x="69"/>
        <item m="1" x="53"/>
        <item m="1" x="52"/>
        <item m="1" x="70"/>
        <item m="1" x="71"/>
        <item m="1" x="72"/>
        <item m="1" x="73"/>
        <item m="1" x="74"/>
        <item m="1" x="75"/>
        <item m="1" x="76"/>
        <item m="1" x="77"/>
        <item m="1" x="78"/>
        <item m="1" x="79"/>
        <item m="1" x="80"/>
        <item m="1" x="81"/>
        <item m="1" x="82"/>
        <item m="1" x="83"/>
        <item m="1" x="84"/>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x="4"/>
        <item x="0"/>
        <item x="2"/>
        <item x="3"/>
        <item x="5"/>
        <item x="6"/>
        <item x="7"/>
        <item x="8"/>
        <item x="9"/>
        <item x="10"/>
        <item x="11"/>
        <item x="12"/>
        <item x="13"/>
        <item x="14"/>
        <item x="15"/>
        <item x="16"/>
        <item x="17"/>
        <item x="18"/>
        <item x="19"/>
        <item x="21"/>
        <item x="22"/>
        <item x="20"/>
        <item x="23"/>
        <item x="24"/>
        <item x="25"/>
        <item x="26"/>
        <item x="27"/>
        <item x="28"/>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0">
      <pivotArea dataOnly="0" labelOnly="1" outline="0" fieldPosition="0">
        <references count="1">
          <reference field="1" count="1">
            <x v="1"/>
          </reference>
        </references>
      </pivotArea>
    </format>
    <format dxfId="10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7" firstHeaderRow="0" firstDataRow="1" firstDataCol="1"/>
  <pivotFields count="7">
    <pivotField numFmtId="14" showAll="0"/>
    <pivotField axis="axisRow" showAll="0">
      <items count="106">
        <item x="33"/>
        <item x="18"/>
        <item m="1" x="75"/>
        <item m="1" x="92"/>
        <item m="1" x="95"/>
        <item x="13"/>
        <item x="20"/>
        <item x="14"/>
        <item x="5"/>
        <item x="35"/>
        <item x="24"/>
        <item m="1" x="103"/>
        <item m="1" x="71"/>
        <item x="10"/>
        <item m="1" x="58"/>
        <item m="1" x="101"/>
        <item x="3"/>
        <item m="1" x="56"/>
        <item x="0"/>
        <item x="4"/>
        <item m="1" x="53"/>
        <item x="39"/>
        <item m="1" x="104"/>
        <item m="1" x="72"/>
        <item x="15"/>
        <item m="1" x="102"/>
        <item m="1" x="94"/>
        <item x="29"/>
        <item m="1" x="96"/>
        <item m="1" x="97"/>
        <item m="1" x="98"/>
        <item m="1" x="99"/>
        <item x="48"/>
        <item m="1" x="100"/>
        <item x="40"/>
        <item m="1" x="66"/>
        <item x="34"/>
        <item m="1" x="64"/>
        <item m="1" x="91"/>
        <item m="1" x="87"/>
        <item m="1" x="69"/>
        <item x="21"/>
        <item x="17"/>
        <item m="1" x="93"/>
        <item x="2"/>
        <item x="22"/>
        <item m="1" x="82"/>
        <item x="7"/>
        <item x="26"/>
        <item m="1" x="83"/>
        <item m="1" x="84"/>
        <item m="1" x="85"/>
        <item m="1" x="86"/>
        <item m="1" x="88"/>
        <item m="1" x="63"/>
        <item m="1" x="76"/>
        <item m="1" x="89"/>
        <item m="1" x="90"/>
        <item m="1" x="74"/>
        <item m="1" x="65"/>
        <item m="1" x="73"/>
        <item x="8"/>
        <item m="1" x="77"/>
        <item x="46"/>
        <item m="1" x="81"/>
        <item x="25"/>
        <item x="30"/>
        <item m="1" x="79"/>
        <item x="31"/>
        <item m="1" x="78"/>
        <item x="27"/>
        <item m="1" x="80"/>
        <item x="19"/>
        <item x="44"/>
        <item x="1"/>
        <item m="1" x="67"/>
        <item m="1" x="55"/>
        <item m="1" x="70"/>
        <item x="12"/>
        <item m="1" x="62"/>
        <item m="1" x="68"/>
        <item m="1" x="57"/>
        <item x="9"/>
        <item x="32"/>
        <item m="1" x="59"/>
        <item m="1" x="60"/>
        <item m="1" x="61"/>
        <item x="43"/>
        <item x="23"/>
        <item x="11"/>
        <item x="6"/>
        <item x="16"/>
        <item x="28"/>
        <item x="36"/>
        <item x="37"/>
        <item x="38"/>
        <item x="41"/>
        <item x="42"/>
        <item x="45"/>
        <item x="47"/>
        <item m="1" x="54"/>
        <item x="49"/>
        <item x="50"/>
        <item x="51"/>
        <item x="52"/>
        <item t="default"/>
      </items>
    </pivotField>
    <pivotField dataField="1" showAll="0"/>
    <pivotField dataField="1" showAll="0"/>
    <pivotField showAll="0"/>
    <pivotField showAll="0"/>
    <pivotField showAll="0"/>
  </pivotFields>
  <rowFields count="1">
    <field x="1"/>
  </rowFields>
  <rowItems count="54">
    <i>
      <x/>
    </i>
    <i>
      <x v="1"/>
    </i>
    <i>
      <x v="5"/>
    </i>
    <i>
      <x v="6"/>
    </i>
    <i>
      <x v="7"/>
    </i>
    <i>
      <x v="8"/>
    </i>
    <i>
      <x v="9"/>
    </i>
    <i>
      <x v="10"/>
    </i>
    <i>
      <x v="13"/>
    </i>
    <i>
      <x v="16"/>
    </i>
    <i>
      <x v="18"/>
    </i>
    <i>
      <x v="19"/>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4"/>
    </i>
    <i t="grand">
      <x/>
    </i>
  </rowItems>
  <colFields count="1">
    <field x="-2"/>
  </colFields>
  <colItems count="2">
    <i>
      <x/>
    </i>
    <i i="1">
      <x v="1"/>
    </i>
  </colItems>
  <dataFields count="2">
    <dataField name="Sum of Credit" fld="3" baseField="0" baseItem="0"/>
    <dataField name="Sum of Debit" fld="2" baseField="0" baseItem="0"/>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4">
        <item m="1" x="88"/>
        <item m="1" x="89"/>
        <item m="1" x="90"/>
        <item m="1" x="91"/>
        <item m="1" x="92"/>
        <item m="1" x="87"/>
        <item m="1" x="75"/>
        <item m="1" x="76"/>
        <item m="1" x="80"/>
        <item m="1" x="81"/>
        <item m="1" x="77"/>
        <item m="1" x="82"/>
        <item m="1" x="83"/>
        <item m="1" x="84"/>
        <item m="1" x="85"/>
        <item m="1" x="86"/>
        <item m="1" x="74"/>
        <item m="1" x="78"/>
        <item m="1" x="79"/>
        <item m="1" x="67"/>
        <item m="1" x="68"/>
        <item m="1" x="69"/>
        <item m="1" x="70"/>
        <item m="1" x="71"/>
        <item m="1" x="72"/>
        <item m="1" x="73"/>
        <item m="1" x="43"/>
        <item m="1" x="59"/>
        <item m="1" x="60"/>
        <item m="1" x="61"/>
        <item m="1" x="62"/>
        <item m="1" x="63"/>
        <item m="1" x="64"/>
        <item m="1" x="65"/>
        <item m="1" x="66"/>
        <item m="1" x="44"/>
        <item m="1" x="45"/>
        <item m="1" x="46"/>
        <item m="1" x="47"/>
        <item m="1" x="48"/>
        <item m="1" x="49"/>
        <item m="1" x="50"/>
        <item m="1" x="52"/>
        <item m="1" x="53"/>
        <item m="1" x="51"/>
        <item m="1" x="54"/>
        <item m="1" x="55"/>
        <item m="1" x="56"/>
        <item m="1" x="57"/>
        <item m="1" x="58"/>
        <item m="1" x="19"/>
        <item m="1" x="30"/>
        <item m="1" x="31"/>
        <item m="1" x="32"/>
        <item m="1" x="33"/>
        <item m="1" x="34"/>
        <item m="1" x="35"/>
        <item m="1" x="36"/>
        <item m="1" x="37"/>
        <item m="1" x="38"/>
        <item m="1" x="39"/>
        <item m="1" x="40"/>
        <item m="1" x="41"/>
        <item m="1" x="42"/>
        <item m="1" x="20"/>
        <item m="1" x="21"/>
        <item m="1" x="22"/>
        <item m="1" x="23"/>
        <item m="1" x="24"/>
        <item x="16"/>
        <item m="1" x="25"/>
        <item m="1" x="26"/>
        <item m="1" x="27"/>
        <item m="1" x="28"/>
        <item m="1" x="29"/>
        <item x="0"/>
        <item x="1"/>
        <item x="2"/>
        <item x="3"/>
        <item x="4"/>
        <item x="5"/>
        <item x="6"/>
        <item x="7"/>
        <item x="8"/>
        <item x="9"/>
        <item x="10"/>
        <item x="11"/>
        <item x="12"/>
        <item x="13"/>
        <item x="14"/>
        <item x="15"/>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9" firstHeaderRow="0" firstDataRow="1" firstDataCol="1" rowPageCount="1" colPageCount="1"/>
  <pivotFields count="14">
    <pivotField showAll="0"/>
    <pivotField axis="axisPage" multipleItemSelectionAllowed="1" showAll="0">
      <items count="45">
        <item m="1" x="41"/>
        <item x="2"/>
        <item x="0"/>
        <item x="1"/>
        <item m="1" x="43"/>
        <item m="1" x="39"/>
        <item x="6"/>
        <item m="1" x="42"/>
        <item x="3"/>
        <item x="4"/>
        <item m="1" x="40"/>
        <item m="1" x="38"/>
        <item x="35"/>
        <item x="5"/>
        <item x="10"/>
        <item x="8"/>
        <item x="9"/>
        <item x="7"/>
        <item x="11"/>
        <item m="1" x="37"/>
        <item x="13"/>
        <item x="14"/>
        <item x="15"/>
        <item x="16"/>
        <item x="17"/>
        <item x="18"/>
        <item x="19"/>
        <item x="20"/>
        <item x="21"/>
        <item x="22"/>
        <item x="23"/>
        <item x="24"/>
        <item x="25"/>
        <item x="12"/>
        <item x="27"/>
        <item x="26"/>
        <item x="28"/>
        <item x="29"/>
        <item x="30"/>
        <item x="31"/>
        <item x="32"/>
        <item m="1" x="36"/>
        <item x="33"/>
        <item x="34"/>
        <item t="default"/>
      </items>
    </pivotField>
    <pivotField showAll="0"/>
    <pivotField showAll="0"/>
    <pivotField axis="axisRow" showAll="0">
      <items count="536">
        <item m="1" x="518"/>
        <item m="1" x="519"/>
        <item m="1" x="517"/>
        <item m="1" x="516"/>
        <item m="1" x="520"/>
        <item m="1" x="522"/>
        <item m="1" x="521"/>
        <item m="1" x="523"/>
        <item m="1" x="524"/>
        <item m="1" x="525"/>
        <item m="1" x="526"/>
        <item m="1" x="527"/>
        <item m="1" x="528"/>
        <item m="1" x="529"/>
        <item m="1" x="454"/>
        <item m="1" x="476"/>
        <item m="1" x="530"/>
        <item m="1" x="531"/>
        <item m="1" x="532"/>
        <item m="1" x="484"/>
        <item m="1" x="483"/>
        <item m="1" x="533"/>
        <item m="1" x="534"/>
        <item m="1" x="493"/>
        <item m="1" x="485"/>
        <item m="1" x="486"/>
        <item m="1" x="487"/>
        <item m="1" x="488"/>
        <item m="1" x="489"/>
        <item m="1" x="490"/>
        <item m="1" x="491"/>
        <item m="1" x="492"/>
        <item m="1" x="494"/>
        <item m="1" x="514"/>
        <item m="1" x="495"/>
        <item m="1" x="515"/>
        <item m="1" x="496"/>
        <item m="1" x="497"/>
        <item m="1" x="498"/>
        <item m="1" x="499"/>
        <item m="1" x="500"/>
        <item m="1" x="431"/>
        <item m="1" x="501"/>
        <item m="1" x="502"/>
        <item m="1" x="503"/>
        <item m="1" x="504"/>
        <item m="1" x="505"/>
        <item m="1" x="506"/>
        <item m="1" x="507"/>
        <item m="1" x="508"/>
        <item m="1" x="509"/>
        <item m="1" x="510"/>
        <item m="1" x="511"/>
        <item m="1" x="512"/>
        <item m="1" x="513"/>
        <item x="0"/>
        <item m="1" x="430"/>
        <item m="1" x="432"/>
        <item m="1" x="433"/>
        <item m="1" x="434"/>
        <item m="1" x="435"/>
        <item m="1" x="436"/>
        <item m="1" x="437"/>
        <item m="1" x="438"/>
        <item m="1" x="439"/>
        <item m="1" x="440"/>
        <item m="1" x="441"/>
        <item m="1" x="442"/>
        <item m="1" x="443"/>
        <item m="1" x="444"/>
        <item m="1" x="169"/>
        <item m="1" x="445"/>
        <item m="1" x="446"/>
        <item m="1" x="447"/>
        <item m="1" x="448"/>
        <item m="1" x="449"/>
        <item m="1" x="450"/>
        <item m="1" x="451"/>
        <item m="1" x="452"/>
        <item m="1" x="453"/>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7"/>
        <item m="1" x="478"/>
        <item m="1" x="479"/>
        <item m="1" x="480"/>
        <item m="1" x="481"/>
        <item m="1" x="482"/>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185"/>
        <item m="1" x="399"/>
        <item m="1" x="400"/>
        <item m="1" x="401"/>
        <item m="1" x="402"/>
        <item m="1" x="403"/>
        <item m="1" x="404"/>
        <item m="1" x="405"/>
        <item m="1" x="406"/>
        <item m="1" x="407"/>
        <item m="1" x="408"/>
        <item m="1" x="409"/>
        <item m="1" x="429"/>
        <item m="1" x="410"/>
        <item m="1" x="411"/>
        <item m="1" x="412"/>
        <item m="1" x="413"/>
        <item m="1" x="414"/>
        <item m="1" x="415"/>
        <item m="1" x="416"/>
        <item m="1" x="417"/>
        <item m="1" x="418"/>
        <item m="1" x="419"/>
        <item m="1" x="420"/>
        <item m="1" x="421"/>
        <item m="1" x="422"/>
        <item m="1" x="423"/>
        <item m="1" x="424"/>
        <item m="1" x="425"/>
        <item m="1" x="426"/>
        <item m="1" x="427"/>
        <item m="1" x="428"/>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225"/>
        <item m="1" x="348"/>
        <item m="1" x="216"/>
        <item m="1" x="217"/>
        <item m="1" x="218"/>
        <item m="1" x="219"/>
        <item m="1" x="220"/>
        <item m="1" x="221"/>
        <item m="1" x="222"/>
        <item m="1" x="223"/>
        <item m="1" x="224"/>
        <item m="1" x="226"/>
        <item m="1" x="227"/>
        <item m="1" x="228"/>
        <item m="1" x="229"/>
        <item m="1" x="230"/>
        <item m="1" x="231"/>
        <item m="1" x="232"/>
        <item m="1" x="233"/>
        <item m="1" x="234"/>
        <item m="1" x="235"/>
        <item m="1" x="236"/>
        <item m="1" x="237"/>
        <item m="1" x="238"/>
        <item m="1" x="239"/>
        <item m="1" x="166"/>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170"/>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167"/>
        <item m="1" x="291"/>
        <item m="1" x="292"/>
        <item m="1" x="164"/>
        <item m="1" x="173"/>
        <item m="1" x="165"/>
        <item m="1" x="168"/>
        <item m="1" x="171"/>
        <item m="1" x="172"/>
        <item m="1" x="174"/>
        <item m="1" x="175"/>
        <item m="1" x="176"/>
        <item m="1" x="177"/>
        <item m="1" x="178"/>
        <item m="1" x="179"/>
        <item m="1" x="180"/>
        <item m="1" x="181"/>
        <item m="1" x="182"/>
        <item m="1" x="183"/>
        <item x="46"/>
        <item m="1" x="184"/>
        <item m="1" x="186"/>
        <item m="1" x="187"/>
        <item m="1" x="188"/>
        <item m="1" x="145"/>
        <item m="1" x="121"/>
        <item m="1" x="189"/>
        <item m="1" x="190"/>
        <item m="1" x="191"/>
        <item m="1" x="113"/>
        <item m="1" x="192"/>
        <item m="1" x="193"/>
        <item m="1" x="194"/>
        <item m="1" x="195"/>
        <item m="1" x="160"/>
        <item m="1" x="196"/>
        <item m="1" x="197"/>
        <item m="1" x="198"/>
        <item m="1" x="199"/>
        <item m="1" x="200"/>
        <item m="1" x="201"/>
        <item m="1" x="202"/>
        <item m="1" x="203"/>
        <item m="1" x="204"/>
        <item m="1" x="205"/>
        <item m="1" x="206"/>
        <item m="1" x="207"/>
        <item m="1" x="215"/>
        <item m="1" x="208"/>
        <item m="1" x="209"/>
        <item m="1" x="110"/>
        <item m="1" x="111"/>
        <item m="1" x="210"/>
        <item m="1" x="122"/>
        <item m="1" x="211"/>
        <item m="1" x="212"/>
        <item m="1" x="213"/>
        <item m="1" x="214"/>
        <item m="1" x="109"/>
        <item m="1" x="107"/>
        <item m="1" x="106"/>
        <item m="1" x="108"/>
        <item m="1" x="112"/>
        <item x="13"/>
        <item x="9"/>
        <item m="1" x="114"/>
        <item m="1" x="115"/>
        <item m="1" x="116"/>
        <item m="1" x="117"/>
        <item m="1" x="118"/>
        <item m="1" x="119"/>
        <item m="1" x="120"/>
        <item m="1" x="123"/>
        <item m="1" x="124"/>
        <item m="1" x="125"/>
        <item m="1" x="126"/>
        <item m="1" x="127"/>
        <item m="1" x="128"/>
        <item m="1" x="129"/>
        <item m="1" x="130"/>
        <item m="1" x="131"/>
        <item m="1" x="132"/>
        <item m="1" x="133"/>
        <item m="1" x="134"/>
        <item m="1" x="135"/>
        <item m="1" x="136"/>
        <item x="2"/>
        <item m="1" x="137"/>
        <item m="1" x="138"/>
        <item m="1" x="139"/>
        <item x="10"/>
        <item m="1" x="140"/>
        <item m="1" x="141"/>
        <item m="1" x="142"/>
        <item m="1" x="143"/>
        <item m="1" x="144"/>
        <item m="1" x="146"/>
        <item m="1" x="147"/>
        <item m="1" x="148"/>
        <item m="1" x="149"/>
        <item x="8"/>
        <item m="1" x="150"/>
        <item m="1" x="151"/>
        <item m="1" x="152"/>
        <item m="1" x="153"/>
        <item m="1" x="154"/>
        <item m="1" x="155"/>
        <item x="15"/>
        <item m="1" x="156"/>
        <item x="58"/>
        <item m="1" x="157"/>
        <item x="7"/>
        <item m="1" x="158"/>
        <item m="1" x="159"/>
        <item x="19"/>
        <item m="1" x="161"/>
        <item m="1" x="162"/>
        <item m="1" x="163"/>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05"/>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06">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8">
      <pivotArea type="all" dataOnly="0" outline="0" fieldPosition="0"/>
    </format>
    <format dxfId="47">
      <pivotArea outline="0" collapsedLevelsAreSubtotals="1" fieldPosition="0"/>
    </format>
    <format dxfId="46">
      <pivotArea field="4" type="button" dataOnly="0" labelOnly="1" outline="0" axis="axisRow" fieldPosition="0"/>
    </format>
    <format dxfId="45">
      <pivotArea dataOnly="0" labelOnly="1" fieldPosition="0">
        <references count="1">
          <reference field="4"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 dxfId="42">
      <pivotArea grandRow="1" outline="0" collapsedLevelsAreSubtotals="1" fieldPosition="0"/>
    </format>
    <format dxfId="41">
      <pivotArea field="4" type="button" dataOnly="0" labelOnly="1" outline="0" axis="axisRow" fieldPosition="0"/>
    </format>
    <format dxfId="4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35">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93" s="1"/>
        <i x="89" s="1"/>
        <i x="92" s="1"/>
        <i x="95" s="1"/>
        <i x="90" s="1"/>
        <i x="96" s="1"/>
        <i x="101" s="1"/>
        <i x="102" s="1"/>
        <i x="104" s="1"/>
        <i x="103" s="1"/>
        <i x="39" s="1"/>
        <i x="62" s="1"/>
        <i x="82" s="1"/>
        <i x="87" s="1"/>
        <i x="79" s="1"/>
        <i x="489" s="1" nd="1"/>
        <i x="518" s="1" nd="1"/>
        <i x="519" s="1" nd="1"/>
        <i x="527" s="1" nd="1"/>
        <i x="517" s="1" nd="1"/>
        <i x="516" s="1" nd="1"/>
        <i x="520" s="1" nd="1"/>
        <i x="531" s="1" nd="1"/>
        <i x="523" s="1" nd="1"/>
        <i x="524" s="1" nd="1"/>
        <i x="521" s="1" nd="1"/>
        <i x="522" s="1" nd="1"/>
        <i x="532" s="1" nd="1"/>
        <i x="525" s="1" nd="1"/>
        <i x="526" s="1" nd="1"/>
        <i x="529" s="1" nd="1"/>
        <i x="530" s="1" nd="1"/>
        <i x="528" s="1" nd="1"/>
        <i x="484" s="1" nd="1"/>
        <i x="534" s="1" nd="1"/>
        <i x="483" s="1" nd="1"/>
        <i x="533" s="1" nd="1"/>
        <i x="486" s="1" nd="1"/>
        <i x="447" s="1" nd="1"/>
        <i x="485" s="1" nd="1"/>
        <i x="487" s="1" nd="1"/>
        <i x="493" s="1" nd="1"/>
        <i x="488" s="1" nd="1"/>
        <i x="490" s="1" nd="1"/>
        <i x="506" s="1" nd="1"/>
        <i x="430" s="1" nd="1"/>
        <i x="494" s="1" nd="1"/>
        <i x="435" s="1" nd="1"/>
        <i x="500" s="1" nd="1"/>
        <i x="495" s="1" nd="1"/>
        <i x="498" s="1" nd="1"/>
        <i x="503" s="1" nd="1"/>
        <i x="514" s="1" nd="1"/>
        <i x="496" s="1" nd="1"/>
        <i x="508" s="1" nd="1"/>
        <i x="511" s="1" nd="1"/>
        <i x="502" s="1" nd="1"/>
        <i x="491" s="1" nd="1"/>
        <i x="499" s="1" nd="1"/>
        <i x="492" s="1" nd="1"/>
        <i x="497" s="1" nd="1"/>
        <i x="431" s="1" nd="1"/>
        <i x="501" s="1" nd="1"/>
        <i x="507" s="1" nd="1"/>
        <i x="169" s="1" nd="1"/>
        <i x="504" s="1" nd="1"/>
        <i x="509" s="1" nd="1"/>
        <i x="505" s="1" nd="1"/>
        <i x="471" s="1" nd="1"/>
        <i x="510" s="1" nd="1"/>
        <i x="512" s="1" nd="1"/>
        <i x="433" s="1" nd="1"/>
        <i x="440" s="1" nd="1"/>
        <i x="513" s="1" nd="1"/>
        <i x="437" s="1" nd="1"/>
        <i x="438" s="1" nd="1"/>
        <i x="432" s="1" nd="1"/>
        <i x="436" s="1" nd="1"/>
        <i x="324" s="1" nd="1"/>
        <i x="434" s="1" nd="1"/>
        <i x="443" s="1" nd="1"/>
        <i x="439" s="1" nd="1"/>
        <i x="441" s="1" nd="1"/>
        <i x="444" s="1" nd="1"/>
        <i x="451" s="1" nd="1"/>
        <i x="442" s="1" nd="1"/>
        <i x="450" s="1" nd="1"/>
        <i x="455" s="1" nd="1"/>
        <i x="449" s="1" nd="1"/>
        <i x="452" s="1" nd="1"/>
        <i x="462" s="1" nd="1"/>
        <i x="448" s="1" nd="1"/>
        <i x="445" s="1" nd="1"/>
        <i x="446" s="1" nd="1"/>
        <i x="461" s="1" nd="1"/>
        <i x="320" s="1" nd="1"/>
        <i x="454" s="1" nd="1"/>
        <i x="465" s="1" nd="1"/>
        <i x="460" s="1" nd="1"/>
        <i x="453" s="1" nd="1"/>
        <i x="477" s="1" nd="1"/>
        <i x="458" s="1" nd="1"/>
        <i x="468" s="1" nd="1"/>
        <i x="466" s="1" nd="1"/>
        <i x="456" s="1" nd="1"/>
        <i x="464" s="1" nd="1"/>
        <i x="463" s="1" nd="1"/>
        <i x="459" s="1" nd="1"/>
        <i x="469" s="1" nd="1"/>
        <i x="467" s="1" nd="1"/>
        <i x="470" s="1" nd="1"/>
        <i x="457" s="1" nd="1"/>
        <i x="399" s="1" nd="1"/>
        <i x="472" s="1" nd="1"/>
        <i x="473" s="1" nd="1"/>
        <i x="358" s="1" nd="1"/>
        <i x="360" s="1" nd="1"/>
        <i x="480" s="1" nd="1"/>
        <i x="354" s="1" nd="1"/>
        <i x="400" s="1" nd="1"/>
        <i x="474" s="1" nd="1"/>
        <i x="475" s="1" nd="1"/>
        <i x="357" s="1" nd="1"/>
        <i x="482" s="1" nd="1"/>
        <i x="356" s="1" nd="1"/>
        <i x="371" s="1" nd="1"/>
        <i x="481" s="1" nd="1"/>
        <i x="476" s="1" nd="1"/>
        <i x="375" s="1" nd="1"/>
        <i x="479" s="1" nd="1"/>
        <i x="478" s="1" nd="1"/>
        <i x="396" s="1" nd="1"/>
        <i x="349" s="1" nd="1"/>
        <i x="361" s="1" nd="1"/>
        <i x="397" s="1" nd="1"/>
        <i x="395" s="1" nd="1"/>
        <i x="353" s="1" nd="1"/>
        <i x="355" s="1" nd="1"/>
        <i x="188" s="1" nd="1"/>
        <i x="359" s="1" nd="1"/>
        <i x="350" s="1" nd="1"/>
        <i x="385" s="1" nd="1"/>
        <i x="390" s="1" nd="1"/>
        <i x="351" s="1" nd="1"/>
        <i x="352" s="1" nd="1"/>
        <i x="362" s="1" nd="1"/>
        <i x="365" s="1" nd="1"/>
        <i x="372" s="1" nd="1"/>
        <i x="364" s="1" nd="1"/>
        <i x="367" s="1" nd="1"/>
        <i x="366" s="1" nd="1"/>
        <i x="408" s="1" nd="1"/>
        <i x="363" s="1" nd="1"/>
        <i x="388" s="1" nd="1"/>
        <i x="403" s="1" nd="1"/>
        <i x="368" s="1" nd="1"/>
        <i x="393" s="1" nd="1"/>
        <i x="405" s="1" nd="1"/>
        <i x="377" s="1" nd="1"/>
        <i x="417" s="1" nd="1"/>
        <i x="376" s="1" nd="1"/>
        <i x="373" s="1" nd="1"/>
        <i x="369" s="1" nd="1"/>
        <i x="370" s="1" nd="1"/>
        <i x="389" s="1" nd="1"/>
        <i x="378" s="1" nd="1"/>
        <i x="301" s="1" nd="1"/>
        <i x="379" s="1" nd="1"/>
        <i x="374" s="1" nd="1"/>
        <i x="381" s="1" nd="1"/>
        <i x="382" s="1" nd="1"/>
        <i x="410" s="1" nd="1"/>
        <i x="380" s="1" nd="1"/>
        <i x="398" s="1" nd="1"/>
        <i x="386" s="1" nd="1"/>
        <i x="383" s="1" nd="1"/>
        <i x="387" s="1" nd="1"/>
        <i x="384" s="1" nd="1"/>
        <i x="391" s="1" nd="1"/>
        <i x="409" s="1" nd="1"/>
        <i x="404" s="1" nd="1"/>
        <i x="423" s="1" nd="1"/>
        <i x="392" s="1" nd="1"/>
        <i x="294" s="1" nd="1"/>
        <i x="402" s="1" nd="1"/>
        <i x="394" s="1" nd="1"/>
        <i x="418" s="1" nd="1"/>
        <i x="401" s="1" nd="1"/>
        <i x="416" s="1" nd="1"/>
        <i x="302" s="1" nd="1"/>
        <i x="407" s="1" nd="1"/>
        <i x="406" s="1" nd="1"/>
        <i x="422" s="1" nd="1"/>
        <i x="419" s="1" nd="1"/>
        <i x="313" s="1" nd="1"/>
        <i x="427" s="1" nd="1"/>
        <i x="411" s="1" nd="1"/>
        <i x="420" s="1" nd="1"/>
        <i x="425" s="1" nd="1"/>
        <i x="304" s="1" nd="1"/>
        <i x="330" s="1" nd="1"/>
        <i x="429" s="1" nd="1"/>
        <i x="426" s="1" nd="1"/>
        <i x="295" s="1" nd="1"/>
        <i x="315" s="1" nd="1"/>
        <i x="421" s="1" nd="1"/>
        <i x="297" s="1" nd="1"/>
        <i x="412" s="1" nd="1"/>
        <i x="415" s="1" nd="1"/>
        <i x="312" s="1" nd="1"/>
        <i x="424" s="1" nd="1"/>
        <i x="413" s="1" nd="1"/>
        <i x="414" s="1" nd="1"/>
        <i x="299" s="1" nd="1"/>
        <i x="317" s="1" nd="1"/>
        <i x="318" s="1" nd="1"/>
        <i x="331" s="1" nd="1"/>
        <i x="428" s="1" nd="1"/>
        <i x="293" s="1" nd="1"/>
        <i x="316" s="1" nd="1"/>
        <i x="309" s="1" nd="1"/>
        <i x="296" s="1" nd="1"/>
        <i x="300" s="1" nd="1"/>
        <i x="306" s="1" nd="1"/>
        <i x="298" s="1" nd="1"/>
        <i x="322" s="1" nd="1"/>
        <i x="326" s="1" nd="1"/>
        <i x="327" s="1" nd="1"/>
        <i x="319" s="1" nd="1"/>
        <i x="303" s="1" nd="1"/>
        <i x="168" s="1" nd="1"/>
        <i x="305" s="1" nd="1"/>
        <i x="307" s="1" nd="1"/>
        <i x="310" s="1" nd="1"/>
        <i x="323" s="1" nd="1"/>
        <i x="308" s="1" nd="1"/>
        <i x="329" s="1" nd="1"/>
        <i x="261" s="1" nd="1"/>
        <i x="240" s="1" nd="1"/>
        <i x="344" s="1" nd="1"/>
        <i x="311" s="1" nd="1"/>
        <i x="332" s="1" nd="1"/>
        <i x="328" s="1" nd="1"/>
        <i x="314" s="1" nd="1"/>
        <i x="336" s="1" nd="1"/>
        <i x="272" s="1" nd="1"/>
        <i x="235" s="1" nd="1"/>
        <i x="321" s="1" nd="1"/>
        <i x="345" s="1" nd="1"/>
        <i x="325" s="1" nd="1"/>
        <i x="348" s="1" nd="1"/>
        <i x="335" s="1" nd="1"/>
        <i x="340" s="1" nd="1"/>
        <i x="217" s="1" nd="1"/>
        <i x="337" s="1" nd="1"/>
        <i x="339" s="1" nd="1"/>
        <i x="257" s="1" nd="1"/>
        <i x="225" s="1" nd="1"/>
        <i x="334" s="1" nd="1"/>
        <i x="222" s="1" nd="1"/>
        <i x="333" s="1" nd="1"/>
        <i x="234" s="1" nd="1"/>
        <i x="218" s="1" nd="1"/>
        <i x="216" s="1" nd="1"/>
        <i x="338" s="1" nd="1"/>
        <i x="232" s="1" nd="1"/>
        <i x="226" s="1" nd="1"/>
        <i x="237" s="1" nd="1"/>
        <i x="254" s="1" nd="1"/>
        <i x="231" s="1" nd="1"/>
        <i x="242" s="1" nd="1"/>
        <i x="236" s="1" nd="1"/>
        <i x="233" s="1" nd="1"/>
        <i x="346" s="1" nd="1"/>
        <i x="290" s="1" nd="1"/>
        <i x="244" s="1" nd="1"/>
        <i x="245" s="1" nd="1"/>
        <i x="342" s="1" nd="1"/>
        <i x="341" s="1" nd="1"/>
        <i x="219" s="1" nd="1"/>
        <i x="221" s="1" nd="1"/>
        <i x="252" s="1" nd="1"/>
        <i x="228" s="1" nd="1"/>
        <i x="347" s="1" nd="1"/>
        <i x="286" s="1" nd="1"/>
        <i x="277" s="1" nd="1"/>
        <i x="265" s="1" nd="1"/>
        <i x="239" s="1" nd="1"/>
        <i x="224" s="1" nd="1"/>
        <i x="255" s="1" nd="1"/>
        <i x="274" s="1" nd="1"/>
        <i x="266" s="1" nd="1"/>
        <i x="262" s="1" nd="1"/>
        <i x="230" s="1" nd="1"/>
        <i x="250" s="1" nd="1"/>
        <i x="249" s="1" nd="1"/>
        <i x="264" s="1" nd="1"/>
        <i x="251" s="1" nd="1"/>
        <i x="343" s="1" nd="1"/>
        <i x="227" s="1" nd="1"/>
        <i x="223" s="1" nd="1"/>
        <i x="253" s="1" nd="1"/>
        <i x="220" s="1" nd="1"/>
        <i x="258" s="1" nd="1"/>
        <i x="259" s="1" nd="1"/>
        <i x="263" s="1" nd="1"/>
        <i x="167" s="1" nd="1"/>
        <i x="243" s="1" nd="1"/>
        <i x="238" s="1" nd="1"/>
        <i x="271" s="1" nd="1"/>
        <i x="270" s="1" nd="1"/>
        <i x="275" s="1" nd="1"/>
        <i x="229" s="1" nd="1"/>
        <i x="273" s="1" nd="1"/>
        <i x="260" s="1" nd="1"/>
        <i x="166" s="1" nd="1"/>
        <i x="241" s="1" nd="1"/>
        <i x="246" s="1" nd="1"/>
        <i x="247" s="1" nd="1"/>
        <i x="256" s="1" nd="1"/>
        <i x="248" s="1" nd="1"/>
        <i x="267" s="1" nd="1"/>
        <i x="184" s="1" nd="1"/>
        <i x="278" s="1" nd="1"/>
        <i x="268" s="1" nd="1"/>
        <i x="284" s="1" nd="1"/>
        <i x="281" s="1" nd="1"/>
        <i x="279" s="1" nd="1"/>
        <i x="179" s="1" nd="1"/>
        <i x="178" s="1" nd="1"/>
        <i x="291" s="1" nd="1"/>
        <i x="165" s="1" nd="1"/>
        <i x="177" s="1" nd="1"/>
        <i x="285" s="1" nd="1"/>
        <i x="292" s="1" nd="1"/>
        <i x="170" s="1" nd="1"/>
        <i x="287" s="1" nd="1"/>
        <i x="288" s="1" nd="1"/>
        <i x="269" s="1" nd="1"/>
        <i x="282" s="1" nd="1"/>
        <i x="289" s="1" nd="1"/>
        <i x="280" s="1" nd="1"/>
        <i x="200" s="1" nd="1"/>
        <i x="283" s="1" nd="1"/>
        <i x="164" s="1" nd="1"/>
        <i x="173" s="1" nd="1"/>
        <i x="172" s="1" nd="1"/>
        <i x="276" s="1" nd="1"/>
        <i x="160" s="1" nd="1"/>
        <i x="154" s="1" nd="1"/>
        <i x="125" s="1" nd="1"/>
        <i x="159" s="1" nd="1"/>
        <i x="176" s="1" nd="1"/>
        <i x="174" s="1" nd="1"/>
        <i x="181" s="1" nd="1"/>
        <i x="182" s="1" nd="1"/>
        <i x="180" s="1" nd="1"/>
        <i x="175" s="1" nd="1"/>
        <i x="171" s="1" nd="1"/>
        <i x="121" s="1" nd="1"/>
        <i x="145" s="1" nd="1"/>
        <i x="197" s="1" nd="1"/>
        <i x="187" s="1" nd="1"/>
        <i x="183" s="1" nd="1"/>
        <i x="201" s="1" nd="1"/>
        <i x="186" s="1" nd="1"/>
        <i x="196" s="1" nd="1"/>
        <i x="198" s="1" nd="1"/>
        <i x="185" s="1" nd="1"/>
        <i x="189" s="1" nd="1"/>
        <i x="199" s="1" nd="1"/>
        <i x="192" s="1" nd="1"/>
        <i x="190" s="1" nd="1"/>
        <i x="191" s="1" nd="1"/>
        <i x="113" s="1" nd="1"/>
        <i x="195" s="1" nd="1"/>
        <i x="193" s="1" nd="1"/>
        <i x="194" s="1" nd="1"/>
        <i x="203" s="1" nd="1"/>
        <i x="202" s="1" nd="1"/>
        <i x="122" s="1" nd="1"/>
        <i x="212" s="1" nd="1"/>
        <i x="211" s="1" nd="1"/>
        <i x="123" s="1" nd="1"/>
        <i x="210" s="1" nd="1"/>
        <i x="215" s="1" nd="1"/>
        <i x="208" s="1" nd="1"/>
        <i x="214" s="1" nd="1"/>
        <i x="114" s="1" nd="1"/>
        <i x="119" s="1" nd="1"/>
        <i x="204" s="1" nd="1"/>
        <i x="107" s="1" nd="1"/>
        <i x="106" s="1" nd="1"/>
        <i x="108" s="1" nd="1"/>
        <i x="111" s="1" nd="1"/>
        <i x="205" s="1" nd="1"/>
        <i x="206" s="1" nd="1"/>
        <i x="207" s="1" nd="1"/>
        <i x="209" s="1" nd="1"/>
        <i x="213" s="1" nd="1"/>
        <i x="118" s="1" nd="1"/>
        <i x="117" s="1" nd="1"/>
        <i x="115" s="1" nd="1"/>
        <i x="132" s="1" nd="1"/>
        <i x="110" s="1" nd="1"/>
        <i x="109" s="1" nd="1"/>
        <i x="112" s="1" nd="1"/>
        <i x="131" s="1" nd="1"/>
        <i x="126" s="1" nd="1"/>
        <i x="127" s="1" nd="1"/>
        <i x="116" s="1" nd="1"/>
        <i x="139" s="1" nd="1"/>
        <i x="161" s="1" nd="1"/>
        <i x="128" s="1" nd="1"/>
        <i x="130" s="1" nd="1"/>
        <i x="120" s="1" nd="1"/>
        <i x="136" s="1" nd="1"/>
        <i x="140" s="1" nd="1"/>
        <i x="134" s="1" nd="1"/>
        <i x="133" s="1" nd="1"/>
        <i x="129" s="1" nd="1"/>
        <i x="124" s="1" nd="1"/>
        <i x="147" s="1" nd="1"/>
        <i x="148" s="1" nd="1"/>
        <i x="146" s="1" nd="1"/>
        <i x="135" s="1" nd="1"/>
        <i x="157" s="1" nd="1"/>
        <i x="138" s="1" nd="1"/>
        <i x="137" s="1" nd="1"/>
        <i x="144" s="1" nd="1"/>
        <i x="149" s="1" nd="1"/>
        <i x="153" s="1" nd="1"/>
        <i x="163" s="1" nd="1"/>
        <i x="162" s="1" nd="1"/>
        <i x="143" s="1" nd="1"/>
        <i x="142" s="1" nd="1"/>
        <i x="156" s="1" nd="1"/>
        <i x="152" s="1" nd="1"/>
        <i x="141" s="1" nd="1"/>
        <i x="151" s="1" nd="1"/>
        <i x="150" s="1" nd="1"/>
        <i x="155" s="1" nd="1"/>
        <i x="158" s="1" nd="1"/>
        <i x="105" s="1" nd="1"/>
        <i x="51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 id="4" xr3:uid="{96712812-B120-49C2-B905-59FC86A743E8}" name="cost per meter" totalsRowFunction="custom" dataDxfId="134" totalsRowDxfId="13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2" dataDxfId="131" headerRowCellStyle="Comma" dataCellStyle="Comma">
  <autoFilter ref="B2:C5" xr:uid="{136E8F7F-D03F-4198-8335-91A003EA9E45}"/>
  <tableColumns count="2">
    <tableColumn id="1" xr3:uid="{279FA697-9952-479A-AC05-0D4992B41374}" name="Column1" dataDxfId="130" dataCellStyle="Comma"/>
    <tableColumn id="2" xr3:uid="{8A64998B-65EF-41CD-BCB0-3DDB7B359C54}" name="Column2" dataDxfId="12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8"/>
    <tableColumn id="2" xr3:uid="{51D27FA2-8DDF-4369-BAF7-7D1FE90E16A0}" name="Column2" dataDxfId="12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6" totalsRowDxfId="12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38" totalsRowCount="1" headerRowDxfId="123" dataDxfId="122" headerRowCellStyle="Comma" dataCellStyle="Comma">
  <autoFilter ref="A1:K237"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6" dataCellStyle="Comma"/>
    <tableColumn id="6" xr3:uid="{F4E1FD2B-9017-4DEB-B772-BF447ECE56F7}" name="Kora/metre" dataDxfId="116" totalsRowDxfId="5" dataCellStyle="Comma"/>
    <tableColumn id="7" xr3:uid="{52ACC1DA-7A76-4A90-B809-3A1AE728E7EA}" name="Tiyaar/gaz" dataDxfId="115" totalsRowDxfId="4" dataCellStyle="Comma"/>
    <tableColumn id="8" xr3:uid="{31A0FF5E-56F0-44D1-9865-73256B964660}" name="shortage %" dataDxfId="114" totalsRowDxfId="3" dataCellStyle="Comma">
      <calculatedColumnFormula>_xlfn.XLOOKUP(Table1[[#This Row],[Shipment Number]], 'pivot '!A:A,'pivot '!G:G, "NF")</calculatedColumnFormula>
    </tableColumn>
    <tableColumn id="9" xr3:uid="{F99075E0-AC8E-094D-BB85-272AD2C6C568}" name="tiyar/meters" totalsRowFunction="custom" dataDxfId="113" totalsRowDxfId="2"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2" totalsRowDxfId="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1"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08" headerRowBorderDxfId="107" tableBorderDxfId="106">
  <autoFilter ref="A1:I126" xr:uid="{F8E8C957-ABE7-4E4F-8D4E-7D44E26B334F}"/>
  <tableColumns count="9">
    <tableColumn id="1" xr3:uid="{C2E817D6-AB98-4DDD-8890-736B27F261CD}" name="Date" dataDxfId="105" totalsRowDxfId="104"/>
    <tableColumn id="2" xr3:uid="{CFB51890-CCDC-463C-81C9-3F8BD7469CB9}" name="Party Name"/>
    <tableColumn id="3" xr3:uid="{A113D971-1C9D-4733-99C4-BD0CC4333209}" name="Vehicle Number"/>
    <tableColumn id="4" xr3:uid="{49780304-3DD1-4AE9-98EE-2BC7EB8F3B57}" name="Weight" dataDxfId="103" totalsRowDxfId="102" dataCellStyle="Comma"/>
    <tableColumn id="5" xr3:uid="{FCAF1BC6-1D8C-42AD-8BBC-F924BF2DC7FE}" name="Rate" dataDxfId="101" totalsRowDxfId="100" dataCellStyle="Comma"/>
    <tableColumn id="6" xr3:uid="{8C70A624-4134-410C-9C45-9FDEB51D51BF}" name="Rent" dataDxfId="99" totalsRowDxfId="98" dataCellStyle="Comma"/>
    <tableColumn id="7" xr3:uid="{EBCE10AE-9634-4982-9C95-37ABC8A7078C}" name="Total" totalsRowFunction="sum" dataDxfId="97" totalsRowDxfId="96" dataCellStyle="Comma">
      <calculatedColumnFormula>D2*E2</calculatedColumnFormula>
    </tableColumn>
    <tableColumn id="9" xr3:uid="{D4788559-C94A-44D9-B9AE-E72B214355AC}" name="Paid" totalsRowFunction="sum" dataDxfId="95" totalsRowDxfId="94" dataCellStyle="Comma"/>
    <tableColumn id="8" xr3:uid="{E26F5BF0-1875-4FC6-994D-49F202ED562B}" name="balance" totalsRowFunction="sum" dataDxfId="93" totalsRowDxfId="92"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68" totalsRowCount="1">
  <autoFilter ref="A1:G767" xr:uid="{CB032221-B416-47A8-9A76-693DE76CFD04}"/>
  <sortState xmlns:xlrd2="http://schemas.microsoft.com/office/spreadsheetml/2017/richdata2" ref="A2:G647">
    <sortCondition ref="A1:A647"/>
  </sortState>
  <tableColumns count="7">
    <tableColumn id="1" xr3:uid="{554B1EED-65B6-4E9A-B646-82727FAC40DE}" name="Date" dataDxfId="90" totalsRowDxfId="33"/>
    <tableColumn id="2" xr3:uid="{32259059-42CF-4947-83DE-115AA430BE2B}" name="Party"/>
    <tableColumn id="3" xr3:uid="{A1320223-D55D-483C-91C3-AB19B95CC9D8}" name="Debit" totalsRowFunction="sum" dataDxfId="89" totalsRowDxfId="32" dataCellStyle="Comma"/>
    <tableColumn id="4" xr3:uid="{E9745767-9FF0-4B1C-9052-FF335D1D7588}" name="Credit" totalsRowFunction="sum" dataDxfId="88" totalsRowDxfId="31" dataCellStyle="Comma"/>
    <tableColumn id="5" xr3:uid="{5C88A48E-2467-4E6D-B626-2442B7FD0BE4}" name="Description"/>
    <tableColumn id="6" xr3:uid="{63CA4666-144E-4BE6-8B7C-7CB992BD3041}" name="Mode" totalsRowFunction="custom" dataDxfId="87" totalsRowDxfId="3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6" tableBorderDxfId="85" totalsRowBorderDxfId="84">
  <autoFilter ref="J3:K6" xr:uid="{DCE01694-23ED-48BF-8B92-4186B9ED10A8}"/>
  <tableColumns count="2">
    <tableColumn id="1" xr3:uid="{C8484DAF-2989-4C2F-9AEC-A6917E1C57F6}" name="Type" dataDxfId="83"/>
    <tableColumn id="2" xr3:uid="{B07B7A2A-4D4E-4654-BED6-FE2F0A7BEC34}" name="Amount" dataDxfId="8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1" headerRowBorderDxfId="80" tableBorderDxfId="79" totalsRowBorderDxfId="78">
  <autoFilter ref="M3:O6" xr:uid="{D166BDD1-ACD7-45D7-8AE9-7350373F8CEB}"/>
  <tableColumns count="3">
    <tableColumn id="1" xr3:uid="{64F0205E-DEA7-4571-BA86-E4374A5FEE28}" name="Type" totalsRowLabel="Total" dataDxfId="77" totalsRowDxfId="76"/>
    <tableColumn id="2" xr3:uid="{15FA05F9-789C-4459-9BE0-5C1EC84D3365}" name="amount" totalsRowFunction="custom" dataDxfId="75" totalsRowDxfId="74">
      <totalsRowFormula>SUM(N5:N6)</totalsRowFormula>
    </tableColumn>
    <tableColumn id="3" xr3:uid="{3681D409-90C6-44D0-BDE2-4B5943A516F0}" name="Actual" totalsRowFunction="custom" totalsRowDxfId="7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2" totalsRowDxfId="71"/>
    <tableColumn id="2" xr3:uid="{5B9D0FEE-4304-4C5C-A05C-5B27CF7841D3}" name="Type"/>
    <tableColumn id="3" xr3:uid="{6A91CA0D-C802-4C6F-9F39-CA53687E8EDE}" name="Description"/>
    <tableColumn id="4" xr3:uid="{A251D40C-AB87-4BB4-85F8-444B20E32FDF}" name="Total" totalsRowFunction="custom" dataDxfId="70" totalsRowDxfId="6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68" headerRowBorderDxfId="67">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6"/>
    <tableColumn id="4" xr3:uid="{1889A312-9B41-4EC4-BD8F-05252F27084A}" name="Price" totalsRowFunction="sum"/>
    <tableColumn id="6" xr3:uid="{8B974B20-F003-4E67-8660-024FA4F324A9}" name="Party"/>
    <tableColumn id="7" xr3:uid="{0A5A5C21-FD61-47DA-9F54-66A6479FA557}" name="Paid" totalsRowFunction="sum" dataDxfId="65">
      <calculatedColumnFormula>SUMIFS(Table14[Debit], Table14[Date], Table8[[#This Row],[Date]], Table14[Party], Table8[[#This Row],[Party]])</calculatedColumnFormula>
    </tableColumn>
    <tableColumn id="8" xr3:uid="{8DCB3B43-2161-4081-82EC-CDB0F4DE4E6F}" name="Balance" totalsRowFunction="sum" dataDxfId="6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9" totalsRowCount="1" headerRowDxfId="63" headerRowBorderDxfId="62">
  <autoFilter ref="A4:H48" xr:uid="{A4C80688-A8BA-4BA7-90B4-791CD99446B4}"/>
  <sortState xmlns:xlrd2="http://schemas.microsoft.com/office/spreadsheetml/2017/richdata2" ref="A5:H6">
    <sortCondition ref="A4:A6"/>
  </sortState>
  <tableColumns count="8">
    <tableColumn id="1" xr3:uid="{4A818912-918E-4111-ACFC-BC93FEF7C1AD}" name="Date" dataDxfId="61" totalsRowDxfId="29"/>
    <tableColumn id="8" xr3:uid="{477ACFD5-62AF-4F69-974B-E9B974C11D7D}" name="Party Name" dataDxfId="6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9">
      <calculatedColumnFormula>Table2[[#This Row],[Quantity]]*200*Table2[[#This Row],[Boxes]]</calculatedColumnFormula>
    </tableColumn>
    <tableColumn id="6" xr3:uid="{30432929-CBD4-4BA8-B63F-CD0F6CF6405F}" name="Paid" totalsRowFunction="sum" dataDxfId="58">
      <calculatedColumnFormula>SUMIFS(Table14[Debit], Table14[Date], Table2[[#This Row],[Date]], Table14[Party], Table2[[#This Row],[Party Name]])</calculatedColumnFormula>
    </tableColumn>
    <tableColumn id="7" xr3:uid="{BB689DF2-5D1E-436D-84C4-9745D88E8F3D}" name="Balance" totalsRowFunction="sum" dataDxfId="5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6" totalsRowDxfId="5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4" totalsRowDxfId="53"/>
    <tableColumn id="2" xr3:uid="{053BFC14-4828-417C-9F9F-95B6E232A945}" name="Amount" totalsRowFunction="custom" dataDxfId="52" totalsRowDxfId="5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0" totalsRowDxfId="4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6" totalsRowCount="1">
  <autoFilter ref="B2:E75" xr:uid="{4694C645-BA0B-477E-AE5E-02046C12E841}"/>
  <tableColumns count="4">
    <tableColumn id="1" xr3:uid="{1D391A77-9D14-4B37-AD91-EEEDC97B6A4E}" name="Date" dataDxfId="39" totalsRowDxfId="3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7" totalsRowCount="1">
  <autoFilter ref="H2:J76" xr:uid="{A7265B0E-A50D-4BC5-9C1C-E62AF5B48CAF}"/>
  <tableColumns count="3">
    <tableColumn id="1" xr3:uid="{AB5830E5-ECCF-4406-AB96-EB98EE86F300}" name="Date" dataDxfId="37" totalsRowDxfId="3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51">
      <calculatedColumnFormula>Billing!R5</calculatedColumnFormula>
    </tableColumn>
    <tableColumn id="2" xr3:uid="{7093A59E-B58F-487D-888A-9AA8156B5F9A}" name="Amount Paid" dataDxfId="15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35">
      <calculatedColumnFormula>G2</calculatedColumnFormula>
    </tableColumn>
    <tableColumn id="2" xr3:uid="{F72CFEEB-BA11-4A49-BD19-88592EB6A27C}" name="Credit" dataDxfId="3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830695.86686174106</v>
      </c>
      <c r="D2">
        <v>10</v>
      </c>
      <c r="E2" s="14">
        <f>(SUMIFS(ledger!G:G, ledger!B:B, B2, ledger!E:E, "&lt;&gt;*RD*",ledger!D:D, "Silky") / 1.0936)*12 + (SUMIFS(ledger!G:G, ledger!B:B, B2, ledger!E:E, "&lt;&gt;*RD*",ledger!D:D, "Chamki") / 1.0936)*10</f>
        <v>5987757.8639356261</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4561215.8824000005</v>
      </c>
      <c r="T5" s="22" cm="1">
        <f t="array" ref="T5">_xlfn.BYROW(B49, _xlfn.LAMBDA(_xlpm.party, SUMIFS(ledger!G:G, ledger!B:B, _xlpm.party, ledger!E:E, "&lt;&gt;*RD*") / 1.0936 ))+_xlfn.IFNA(D98,0)</f>
        <v>4170826.5201170449</v>
      </c>
      <c r="U5" s="22" cm="1">
        <f t="array" ref="U5">(_xlfn.BYROW(B49,_xlfn.LAMBDA(_xlpm.party,SUMIFS(ledger!G:G,ledger!B:B,_xlpm.party,ledger!E:E,"&lt;&gt;*RD*",ledger!D:D,"Chamki")+SUMIFS(ledger!G:G, ledger!B:B, _xlpm.party, ledger!E:E, "&lt;&gt;*RD*", ledger!D:D, "Crinkle")))/1.0936)+_xlfn.IFNA(E98,0)</f>
        <v>3220573.2282370157</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32205732.282370161</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44083924.491587423</v>
      </c>
      <c r="AF5" s="22">
        <f>(SUMIF(Table14[Party],#REF!,Table14[Credit]))+_xlfn.IFNA(P98,0)</f>
        <v>19750734</v>
      </c>
      <c r="AG5" s="33">
        <f>AE5-AF5</f>
        <v>24333190.491587423</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9775501</v>
      </c>
      <c r="AG7" s="33">
        <f t="shared" si="2"/>
        <v>37106.900512069464</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3009990</v>
      </c>
      <c r="AG13" s="33">
        <f t="shared" si="2"/>
        <v>101613.8771031457</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29036182.333577175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29036182.333577175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3845477</v>
      </c>
      <c r="AG25" s="33">
        <f t="shared" si="2"/>
        <v>576552.9926847117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1723500</v>
      </c>
      <c r="AG27" s="33">
        <f t="shared" si="2"/>
        <v>182279.07827359205</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490216</v>
      </c>
      <c r="T36" s="22" cm="1">
        <f t="array" ref="T36">_xlfn.BYROW(B80, _xlfn.LAMBDA(_xlpm.party, SUMIFS(ledger!G:G, ledger!B:B, _xlpm.party, ledger!E:E, "&lt;&gt;*RD*") / 1.0936 ))+_xlfn.IFNA(D129,0)</f>
        <v>448258.96122896858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306760.24140453548</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3987883.1382589615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5625906.1814191667</v>
      </c>
      <c r="AF36" s="22">
        <f>(SUMIF(Table14[Party],R36,Table14[Credit]))+_xlfn.IFNA(P129,0)</f>
        <v>5245323.4930504756</v>
      </c>
      <c r="AG36" s="33">
        <f t="shared" si="2"/>
        <v>380582.68836869113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t="str">
        <v>Farhaan ali</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R40">
        <v>0</v>
      </c>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908449</v>
      </c>
      <c r="D49" s="22" cm="1">
        <f t="array" ref="D49:D84">_xlfn.BYROW(_xlfn.ANCHORARRAY(B49), _xlfn.LAMBDA(_xlpm.party, SUMIFS(ledger!G:G, ledger!B:B, _xlpm.party, ledger!E:E, "&lt;&gt;*RD*") / 1.0936 ))</f>
        <v>830695.86686174106</v>
      </c>
      <c r="E49" s="63" cm="1">
        <f t="array" ref="E49:E84">(_xlfn.BYROW(_xlfn.ANCHORARRAY(B49),_xlfn.LAMBDA(_xlpm.party,SUMIFS(ledger!G:G,ledger!B:B,_xlpm.party,ledger!E:E,"&lt;&gt;*RD*",ledger!D:D,"Chamki")+SUMIFS(ledger!G:G, ledger!B:B, _xlpm.party, ledger!E:E, "&lt;&gt;*RD*", ledger!D:D, "Crinkle")))/1.0936)</f>
        <v>452989.209948793</v>
      </c>
      <c r="F49" s="63" cm="1">
        <f t="array" ref="F49:F84">(_xlfn.BYROW(_xlfn.ANCHORARRAY(B49),_xlfn.LAMBDA(_xlpm.party,SUMIFS(ledger!G:G,ledger!B:B,_xlpm.party,ledger!E:E,"&lt;&gt;*RD*",ledger!D:D,"Silky")))/1.0936)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4529892.0994879305</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9076364.3013899047</v>
      </c>
      <c r="P49" s="22">
        <f>(SUMIF(Table14[Party],B49,Table14[Credit]))</f>
        <v>0</v>
      </c>
      <c r="Q49" s="37">
        <f t="shared" ref="Q49:Q80" si="5">O49-P49</f>
        <v>9076364.3013899047</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1283000</v>
      </c>
      <c r="Q51" s="37">
        <f t="shared" si="5"/>
        <v>-74386.247256766539</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1202139.72201902</v>
      </c>
      <c r="P57" s="22">
        <f>(SUMIF(Table14[Party],B57,Table14[Credit]))</f>
        <v>1101800</v>
      </c>
      <c r="Q57" s="37">
        <f t="shared" si="5"/>
        <v>100339.72201902</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830695.86686174106</v>
      </c>
      <c r="X58" s="18">
        <v>5987757.8639356261</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1679674</v>
      </c>
      <c r="Q59" s="37">
        <f t="shared" si="5"/>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765133.50402340898</v>
      </c>
      <c r="P69" s="22">
        <f>(SUMIF(Table14[Party],B69,Table14[Credit]))</f>
        <v>220340</v>
      </c>
      <c r="Q69" s="37">
        <f t="shared" si="5"/>
        <v>544793.50402340898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450934.52816386253</v>
      </c>
      <c r="P71" s="22">
        <f>(SUMIF(Table14[Party],B71,Table14[Credit]))</f>
        <v>308000</v>
      </c>
      <c r="Q71" s="37">
        <f t="shared" si="5"/>
        <v>142934.52816386253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1482683.796634967</v>
      </c>
      <c r="X75" s="14">
        <v>12542578.639356256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490216</v>
      </c>
      <c r="D80">
        <v>448258.96122896858</v>
      </c>
      <c r="E80">
        <v>0</v>
      </c>
      <c r="F80">
        <v>306760.24140453548</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3987883.1382589615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5625906.1814191667</v>
      </c>
      <c r="P80" s="22">
        <f>SUMIF(Table14[Party], B80, Table14[Credit])</f>
        <v>5245323.4930504756</v>
      </c>
      <c r="Q80" s="37">
        <f t="shared" si="5"/>
        <v>380582.68836869113</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t="str">
        <v>Farhaan ali</v>
      </c>
      <c r="C83">
        <v>163883</v>
      </c>
      <c r="D83">
        <v>149856.43745427945</v>
      </c>
      <c r="E83">
        <v>0</v>
      </c>
      <c r="F83">
        <v>149856.43745427945</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1798277.2494513534</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1798277.2494513534</v>
      </c>
      <c r="P83" s="22">
        <f>SUMIF(Table14[Party], B83, Table14[Credit])</f>
        <v>0</v>
      </c>
      <c r="Q83" s="37">
        <f t="shared" si="8"/>
        <v>1798277.2494513534</v>
      </c>
    </row>
    <row r="84" spans="1:17" x14ac:dyDescent="0.3">
      <c r="B84">
        <v>0</v>
      </c>
      <c r="C84">
        <v>0</v>
      </c>
      <c r="D84">
        <v>0</v>
      </c>
      <c r="E84">
        <v>0</v>
      </c>
      <c r="F84">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row r="133" spans="2:17" x14ac:dyDescent="0.3">
      <c r="B133">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v>0</v>
      </c>
    </row>
  </sheetData>
  <conditionalFormatting sqref="E20">
    <cfRule type="cellIs" dxfId="27" priority="1" operator="lessThan">
      <formula>20000</formula>
    </cfRule>
    <cfRule type="cellIs" dxfId="2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11096855</v>
      </c>
      <c r="D4" t="s">
        <v>189</v>
      </c>
      <c r="E4" s="43">
        <f ca="1">Table12[[#This Row],[Amount]]/Table1[[#Totals],[tiyar/meters]]</f>
        <v>4.3594726281049772</v>
      </c>
    </row>
    <row r="5" spans="1:5" x14ac:dyDescent="0.3">
      <c r="B5" t="s">
        <v>48</v>
      </c>
      <c r="C5" s="11">
        <f>SUM(Table8[Price])+(301660)</f>
        <v>2638415</v>
      </c>
      <c r="E5" s="43">
        <f ca="1">Table12[[#This Row],[Amount]]/Table1[[#Totals],[tiyar/meters]]</f>
        <v>1.0365187230149078</v>
      </c>
    </row>
    <row r="6" spans="1:5" x14ac:dyDescent="0.3">
      <c r="B6" t="s">
        <v>49</v>
      </c>
      <c r="C6" s="11">
        <f>SUM(Table2[Price])</f>
        <v>1120250</v>
      </c>
      <c r="D6" t="s">
        <v>188</v>
      </c>
      <c r="E6" s="43">
        <f ca="1">Table12[[#This Row],[Amount]]/Table1[[#Totals],[tiyar/meters]]</f>
        <v>0.44009759626800576</v>
      </c>
    </row>
    <row r="7" spans="1:5" x14ac:dyDescent="0.3">
      <c r="B7" t="s">
        <v>50</v>
      </c>
      <c r="C7" s="11">
        <f>SUMIFS(Table14[Debit], Table14[Party],Table12[[#This Row],[Type]])</f>
        <v>102080</v>
      </c>
      <c r="E7" s="43">
        <f ca="1">Table12[[#This Row],[Amount]]/Table1[[#Totals],[tiyar/meters]]</f>
        <v>4.0102800827527811E-2</v>
      </c>
    </row>
    <row r="8" spans="1:5" x14ac:dyDescent="0.3">
      <c r="B8" t="s">
        <v>51</v>
      </c>
      <c r="C8" s="11">
        <f>Electricity!E5</f>
        <v>3500011</v>
      </c>
      <c r="E8" s="43">
        <f ca="1">Table12[[#This Row],[Amount]]/Table1[[#Totals],[tiyar/meters]]</f>
        <v>1.3750023905481625</v>
      </c>
    </row>
    <row r="9" spans="1:5" x14ac:dyDescent="0.3">
      <c r="B9" t="s">
        <v>52</v>
      </c>
      <c r="C9" s="11">
        <f>SUMIFS(Table14[Debit], Table14[Party],Table12[[#This Row],[Type]])+SUMIFS(Table14[Debit], Table14[Party],"Advance Salary")</f>
        <v>5027653</v>
      </c>
      <c r="E9" s="43">
        <f ca="1">Table12[[#This Row],[Amount]]/Table1[[#Totals],[tiyar/meters]]</f>
        <v>1.9751466192096656</v>
      </c>
    </row>
    <row r="10" spans="1:5" x14ac:dyDescent="0.3">
      <c r="B10" t="s">
        <v>53</v>
      </c>
      <c r="C10" s="11">
        <f>Table5[[#Totals],[Amount]]</f>
        <v>245140</v>
      </c>
      <c r="E10" s="43">
        <f ca="1">Table12[[#This Row],[Amount]]/Table1[[#Totals],[tiyar/meters]]</f>
        <v>9.6304864761561193E-2</v>
      </c>
    </row>
    <row r="11" spans="1:5" x14ac:dyDescent="0.3">
      <c r="B11" t="s">
        <v>54</v>
      </c>
      <c r="C11" s="11">
        <f>Table13[[#Totals],[Debit]]</f>
        <v>126926</v>
      </c>
      <c r="E11" s="43">
        <f ca="1">Table12[[#This Row],[Amount]]/Table1[[#Totals],[tiyar/meters]]</f>
        <v>4.9863715691955274E-2</v>
      </c>
    </row>
    <row r="12" spans="1:5" x14ac:dyDescent="0.3">
      <c r="B12" t="s">
        <v>55</v>
      </c>
      <c r="C12" s="11">
        <f>Table15[[#Totals],[Amount]]</f>
        <v>1279522</v>
      </c>
      <c r="E12" s="43">
        <f ca="1">Table12[[#This Row],[Amount]]/Table1[[#Totals],[tiyar/meters]]</f>
        <v>0.50266865125822924</v>
      </c>
    </row>
    <row r="13" spans="1:5" x14ac:dyDescent="0.3">
      <c r="C13" s="11"/>
      <c r="E13" s="43">
        <f ca="1">Table12[[#This Row],[Amount]]/Table1[[#Totals],[tiyar/meters]]</f>
        <v>0</v>
      </c>
    </row>
    <row r="14" spans="1:5" x14ac:dyDescent="0.3">
      <c r="C14" s="14">
        <f>SUM(Table12[Amount])</f>
        <v>25136852</v>
      </c>
      <c r="E14" s="43">
        <f ca="1">SUM(Table12[cost per meter])</f>
        <v>9.8751779896849925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29036182.333577175</v>
      </c>
    </row>
    <row r="4" spans="1:3" x14ac:dyDescent="0.3">
      <c r="B4" s="11" t="s">
        <v>44</v>
      </c>
      <c r="C4" s="11">
        <f>Table12[[#Totals],[Amount]]</f>
        <v>25136852</v>
      </c>
    </row>
    <row r="5" spans="1:3" x14ac:dyDescent="0.3">
      <c r="A5" s="6"/>
      <c r="B5" s="15" t="s">
        <v>68</v>
      </c>
      <c r="C5" s="15">
        <f>C3-C4</f>
        <v>3899330.3335771747</v>
      </c>
    </row>
    <row r="10" spans="1:3" ht="15" thickBot="1" x14ac:dyDescent="0.35">
      <c r="B10" t="s">
        <v>66</v>
      </c>
      <c r="C10" s="14" t="s">
        <v>67</v>
      </c>
    </row>
    <row r="11" spans="1:3" x14ac:dyDescent="0.3">
      <c r="B11" s="56" t="s">
        <v>0</v>
      </c>
      <c r="C11" s="57">
        <f>C3</f>
        <v>29036182.333577175</v>
      </c>
    </row>
    <row r="12" spans="1:3" x14ac:dyDescent="0.3">
      <c r="B12" s="58" t="s">
        <v>69</v>
      </c>
      <c r="C12" s="59">
        <f>SUM(Table14[Credit])</f>
        <v>37226536.229517192</v>
      </c>
    </row>
    <row r="13" spans="1:3" ht="15" thickBot="1" x14ac:dyDescent="0.35">
      <c r="B13" s="74" t="s">
        <v>93</v>
      </c>
      <c r="C13" s="73">
        <f>(C11-C12)</f>
        <v>-8190353.895940017</v>
      </c>
    </row>
    <row r="14" spans="1:3" ht="15" thickBot="1" x14ac:dyDescent="0.35">
      <c r="B14" s="58"/>
      <c r="C14" s="59"/>
    </row>
    <row r="15" spans="1:3" x14ac:dyDescent="0.3">
      <c r="B15" s="56" t="s">
        <v>44</v>
      </c>
      <c r="C15" s="57">
        <f>C4</f>
        <v>25136852</v>
      </c>
    </row>
    <row r="16" spans="1:3" x14ac:dyDescent="0.3">
      <c r="B16" s="58" t="s">
        <v>70</v>
      </c>
      <c r="C16" s="59">
        <f>SUM(Table14[Debit])</f>
        <v>37203133.399999999</v>
      </c>
    </row>
    <row r="17" spans="2:6" ht="15" thickBot="1" x14ac:dyDescent="0.35">
      <c r="B17" s="74" t="s">
        <v>71</v>
      </c>
      <c r="C17" s="73">
        <f>C15-C16</f>
        <v>-12066281.399999999</v>
      </c>
    </row>
    <row r="18" spans="2:6" ht="15" thickBot="1" x14ac:dyDescent="0.35">
      <c r="B18" s="58"/>
      <c r="C18" s="59"/>
    </row>
    <row r="19" spans="2:6" ht="15" thickBot="1" x14ac:dyDescent="0.35">
      <c r="B19" s="75" t="s">
        <v>72</v>
      </c>
      <c r="C19" s="76">
        <f>Table18[[#Totals],[amount]]</f>
        <v>30916.829517193139</v>
      </c>
    </row>
    <row r="20" spans="2:6" ht="15" thickBot="1" x14ac:dyDescent="0.35">
      <c r="B20" s="71"/>
      <c r="C20" s="72"/>
    </row>
    <row r="21" spans="2:6" ht="15" thickBot="1" x14ac:dyDescent="0.35">
      <c r="B21" s="60" t="s">
        <v>73</v>
      </c>
      <c r="C21" s="61">
        <f>(C13-C17)+C19</f>
        <v>3906844.3335771747</v>
      </c>
      <c r="E21" s="79" t="s">
        <v>74</v>
      </c>
      <c r="F21" s="125">
        <f>C5*0.05</f>
        <v>194966.51667885875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38"/>
  <sheetViews>
    <sheetView topLeftCell="A223" zoomScale="107" zoomScaleNormal="107" workbookViewId="0">
      <selection activeCell="J240" sqref="J24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v>0</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24.727125767689387</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24.727125767689387</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718</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718</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718</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718</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718</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17"/>
      <c r="B236" s="120"/>
      <c r="C236" s="117"/>
      <c r="D236" s="117"/>
      <c r="E236" s="11"/>
      <c r="F236" s="11"/>
      <c r="G236" s="11"/>
      <c r="H236" s="118" t="e">
        <f>_xlfn.XLOOKUP(Table1[[#This Row],[Shipment Number]], 'pivot '!A:A,'pivot '!G:G, "NF")</f>
        <v>#DIV/0!</v>
      </c>
      <c r="I236" s="119"/>
      <c r="J236" s="119"/>
      <c r="K236" s="117"/>
    </row>
    <row r="237" spans="1:11" x14ac:dyDescent="0.3">
      <c r="A237" s="117"/>
      <c r="B237" s="120"/>
      <c r="C237" s="117"/>
      <c r="D237" s="117"/>
      <c r="E237" s="11"/>
      <c r="F237" s="11"/>
      <c r="G237" s="11"/>
      <c r="H237" s="118" t="e">
        <f>_xlfn.XLOOKUP(Table1[[#This Row],[Shipment Number]], 'pivot '!A:A,'pivot '!G:G, "NF")</f>
        <v>#DIV/0!</v>
      </c>
      <c r="I237" s="119"/>
      <c r="J237" s="119"/>
      <c r="K237" s="117"/>
    </row>
    <row r="238" spans="1:11" x14ac:dyDescent="0.3">
      <c r="A238"/>
      <c r="B238"/>
      <c r="C238"/>
      <c r="D238"/>
      <c r="E238" s="14"/>
      <c r="F238" s="14"/>
      <c r="G238" s="14"/>
      <c r="H238" s="43"/>
      <c r="I238" s="93" cm="1">
        <f t="array" aca="1" ref="I238" ca="1">SUMPRODUCT( SUBTOTAL(109, OFFSET(Table1[tiyar/meters], ROW(Table1[tiyar/meters])-MIN(ROW(Table1[tiyar/meters])), 0, 1)), --(Table1[Bill Number]&lt;&gt;"January Closing CF") )</f>
        <v>2545458.1199707408</v>
      </c>
      <c r="J238" s="43" cm="1">
        <f t="array" aca="1" ref="J238" ca="1">SUMPRODUCT( SUBTOTAL(109, OFFSET(Table1[billing], ROW(Table1[billing])-MIN(ROW(Table1[billing])), 0, 1)), --(Table1[Bill Number]&lt;&gt;"January Closing CF") )</f>
        <v>29036182.333577193</v>
      </c>
      <c r="K238" s="14">
        <f>SUMIFS(Table1[billing], Table1[Bill Number], "&lt;&gt;January Closing CF")</f>
        <v>29036182.333577193</v>
      </c>
    </row>
  </sheetData>
  <phoneticPr fontId="7" alignment="center"/>
  <conditionalFormatting sqref="H2:H238">
    <cfRule type="cellIs" dxfId="2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abSelected="1" topLeftCell="A56" zoomScale="145" zoomScaleNormal="90" workbookViewId="0">
      <selection activeCell="F70" sqref="F7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10286855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641</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724600</v>
      </c>
      <c r="O64" s="14"/>
      <c r="P64" s="14">
        <v>724600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724600</v>
      </c>
      <c r="O65" s="14"/>
      <c r="P65" s="14">
        <v>724600</v>
      </c>
    </row>
    <row r="66" spans="1:16" x14ac:dyDescent="0.3">
      <c r="A66" s="1">
        <v>46137</v>
      </c>
      <c r="B66" t="s">
        <v>196</v>
      </c>
      <c r="D66" s="11">
        <v>199</v>
      </c>
      <c r="E66" s="11">
        <v>960</v>
      </c>
      <c r="F66" s="11"/>
      <c r="G66" s="11">
        <f t="shared" si="2"/>
        <v>191040</v>
      </c>
      <c r="H66" s="11"/>
      <c r="I66" s="11">
        <f>(D66*E66)-Table3[[#This Row],[Paid]]</f>
        <v>191040</v>
      </c>
      <c r="L66" s="26">
        <v>46144</v>
      </c>
      <c r="M66" s="14">
        <v>285</v>
      </c>
      <c r="N66" s="14">
        <v>313480</v>
      </c>
      <c r="O66" s="14"/>
      <c r="P66" s="14">
        <v>313480</v>
      </c>
    </row>
    <row r="67" spans="1:16" x14ac:dyDescent="0.3">
      <c r="A67" s="1">
        <v>46142</v>
      </c>
      <c r="B67" t="s">
        <v>224</v>
      </c>
      <c r="D67" s="11">
        <v>416</v>
      </c>
      <c r="E67" s="11">
        <v>1200</v>
      </c>
      <c r="F67" s="11">
        <v>82600</v>
      </c>
      <c r="G67" s="11">
        <f t="shared" si="2"/>
        <v>499200</v>
      </c>
      <c r="H67" s="11"/>
      <c r="I67" s="11">
        <f>(D67*E67)-Table3[[#This Row],[Paid]]</f>
        <v>499200</v>
      </c>
      <c r="L67" s="42" t="s">
        <v>103</v>
      </c>
      <c r="M67" s="14">
        <v>285</v>
      </c>
      <c r="N67" s="14">
        <v>313480</v>
      </c>
      <c r="O67" s="14"/>
      <c r="P67" s="14">
        <v>313480</v>
      </c>
    </row>
    <row r="68" spans="1:16" x14ac:dyDescent="0.3">
      <c r="A68" s="1">
        <v>46142</v>
      </c>
      <c r="B68" t="s">
        <v>181</v>
      </c>
      <c r="D68" s="11">
        <v>245</v>
      </c>
      <c r="E68" s="11">
        <v>920</v>
      </c>
      <c r="F68" s="11"/>
      <c r="G68" s="11">
        <f t="shared" si="2"/>
        <v>225400</v>
      </c>
      <c r="H68" s="11"/>
      <c r="I68" s="11">
        <f>(D68*E68)-Table3[[#This Row],[Paid]]</f>
        <v>225400</v>
      </c>
      <c r="L68" s="26" t="s">
        <v>28</v>
      </c>
      <c r="M68" s="14">
        <v>12194</v>
      </c>
      <c r="N68" s="14">
        <v>10286855</v>
      </c>
      <c r="O68" s="14">
        <v>0</v>
      </c>
      <c r="P68" s="14">
        <v>14340881</v>
      </c>
    </row>
    <row r="69" spans="1:16" x14ac:dyDescent="0.3">
      <c r="A69" s="1">
        <v>46144</v>
      </c>
      <c r="B69" t="s">
        <v>224</v>
      </c>
      <c r="D69" s="11">
        <v>239</v>
      </c>
      <c r="E69" s="11">
        <v>1200</v>
      </c>
      <c r="F69" s="11">
        <v>60200</v>
      </c>
      <c r="G69" s="11">
        <f t="shared" si="2"/>
        <v>286800</v>
      </c>
      <c r="H69" s="11"/>
      <c r="I69" s="11">
        <f>(D69*E69)-Table3[[#This Row],[Paid]]</f>
        <v>286800</v>
      </c>
    </row>
    <row r="70" spans="1:16" x14ac:dyDescent="0.3">
      <c r="A70" s="1">
        <v>46144</v>
      </c>
      <c r="B70" t="s">
        <v>224</v>
      </c>
      <c r="D70" s="11">
        <v>46</v>
      </c>
      <c r="E70" s="11">
        <v>580</v>
      </c>
      <c r="F70" s="11"/>
      <c r="G70" s="11">
        <f t="shared" si="2"/>
        <v>26680</v>
      </c>
      <c r="H70" s="11"/>
      <c r="I70" s="11">
        <f>(D70*E70)-Table3[[#This Row],[Paid]]</f>
        <v>26680</v>
      </c>
    </row>
    <row r="71" spans="1:16" x14ac:dyDescent="0.3">
      <c r="A71" s="1"/>
      <c r="D71" s="11"/>
      <c r="E71" s="11"/>
      <c r="F71" s="11"/>
      <c r="G71" s="11">
        <f t="shared" si="2"/>
        <v>0</v>
      </c>
      <c r="H71" s="11"/>
      <c r="I71" s="11">
        <f>(D71*E71)-Table3[[#This Row],[Paid]]</f>
        <v>0</v>
      </c>
    </row>
    <row r="72" spans="1:16" x14ac:dyDescent="0.3">
      <c r="A72" s="1"/>
      <c r="D72" s="11"/>
      <c r="E72" s="11"/>
      <c r="F72" s="11"/>
      <c r="G72" s="11">
        <f t="shared" si="2"/>
        <v>0</v>
      </c>
      <c r="H72" s="11"/>
      <c r="I72" s="11">
        <f>(D72*E72)-Table3[[#This Row],[Paid]]</f>
        <v>0</v>
      </c>
    </row>
    <row r="73" spans="1:16" x14ac:dyDescent="0.3">
      <c r="A73" s="1"/>
      <c r="D73" s="11"/>
      <c r="E73" s="11"/>
      <c r="F73" s="11"/>
      <c r="G73" s="11">
        <f t="shared" si="2"/>
        <v>0</v>
      </c>
      <c r="H73" s="11"/>
      <c r="I73" s="11">
        <f>(D73*E73)-Table3[[#This Row],[Paid]]</f>
        <v>0</v>
      </c>
    </row>
    <row r="74" spans="1:16" x14ac:dyDescent="0.3">
      <c r="A74" s="1"/>
      <c r="D74" s="11"/>
      <c r="E74" s="11"/>
      <c r="F74" s="11"/>
      <c r="G74" s="11">
        <f t="shared" si="2"/>
        <v>0</v>
      </c>
      <c r="H74" s="11"/>
      <c r="I74" s="11">
        <f>(D74*E74)-Table3[[#This Row],[Paid]]</f>
        <v>0</v>
      </c>
    </row>
    <row r="75" spans="1:16" x14ac:dyDescent="0.3">
      <c r="A75" s="1"/>
      <c r="D75" s="11"/>
      <c r="E75" s="11"/>
      <c r="F75" s="11"/>
      <c r="G75" s="11">
        <f t="shared" si="2"/>
        <v>0</v>
      </c>
      <c r="H75" s="11"/>
      <c r="I75" s="11">
        <f>(D75*E75)-Table3[[#This Row],[Paid]]</f>
        <v>0</v>
      </c>
    </row>
    <row r="76" spans="1:16" x14ac:dyDescent="0.3">
      <c r="A76" s="1"/>
      <c r="D76" s="11"/>
      <c r="E76" s="11"/>
      <c r="F76" s="11"/>
      <c r="G76" s="11">
        <f t="shared" si="2"/>
        <v>0</v>
      </c>
      <c r="H76" s="11"/>
      <c r="I76" s="11">
        <f>(D76*E76)-Table3[[#This Row],[Paid]]</f>
        <v>0</v>
      </c>
    </row>
    <row r="77" spans="1:16" x14ac:dyDescent="0.3">
      <c r="A77" s="1"/>
      <c r="D77" s="11"/>
      <c r="E77" s="11"/>
      <c r="F77" s="11"/>
      <c r="G77" s="11">
        <f t="shared" si="2"/>
        <v>0</v>
      </c>
      <c r="H77" s="11"/>
      <c r="I77" s="11">
        <f>(D77*E77)-Table3[[#This Row],[Paid]]</f>
        <v>0</v>
      </c>
    </row>
    <row r="78" spans="1:16" x14ac:dyDescent="0.3">
      <c r="A78" s="1"/>
      <c r="D78" s="11"/>
      <c r="E78" s="11"/>
      <c r="F78" s="11"/>
      <c r="G78" s="11">
        <f t="shared" si="2"/>
        <v>0</v>
      </c>
      <c r="H78" s="11"/>
      <c r="I78" s="11">
        <f>(D78*E78)-Table3[[#This Row],[Paid]]</f>
        <v>0</v>
      </c>
    </row>
    <row r="79" spans="1:16" x14ac:dyDescent="0.3">
      <c r="A79" s="1"/>
      <c r="D79" s="11"/>
      <c r="E79" s="11"/>
      <c r="F79" s="11"/>
      <c r="G79" s="11">
        <f t="shared" si="2"/>
        <v>0</v>
      </c>
      <c r="H79" s="11"/>
      <c r="I79" s="11">
        <f>(D79*E79)-Table3[[#This Row],[Paid]]</f>
        <v>0</v>
      </c>
    </row>
    <row r="80" spans="1:16" x14ac:dyDescent="0.3">
      <c r="A80" s="1"/>
      <c r="D80" s="11"/>
      <c r="E80" s="11"/>
      <c r="F80" s="11"/>
      <c r="G80" s="11">
        <f t="shared" ref="G80:G81" si="4">D80*E80</f>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ref="G82:G86" si="5">D82*E82</f>
        <v>0</v>
      </c>
      <c r="H82" s="11"/>
      <c r="I82" s="11">
        <f>(D82*E82)-Table3[[#This Row],[Paid]]</f>
        <v>0</v>
      </c>
    </row>
    <row r="83" spans="1:9" x14ac:dyDescent="0.3">
      <c r="A83" s="1"/>
      <c r="D83" s="11"/>
      <c r="E83" s="11"/>
      <c r="F83" s="11"/>
      <c r="G83" s="11">
        <f t="shared" si="5"/>
        <v>0</v>
      </c>
      <c r="H83" s="11"/>
      <c r="I83" s="11">
        <f>(D83*E83)-Table3[[#This Row],[Paid]]</f>
        <v>0</v>
      </c>
    </row>
    <row r="84" spans="1:9" x14ac:dyDescent="0.3">
      <c r="A84" s="1"/>
      <c r="D84" s="11"/>
      <c r="E84" s="11"/>
      <c r="F84" s="11"/>
      <c r="G84" s="11">
        <f t="shared" si="5"/>
        <v>0</v>
      </c>
      <c r="H84" s="11"/>
      <c r="I84" s="11">
        <f>(D84*E84)-Table3[[#This Row],[Paid]]</f>
        <v>0</v>
      </c>
    </row>
    <row r="85" spans="1:9" x14ac:dyDescent="0.3">
      <c r="A85" s="1"/>
      <c r="D85" s="11"/>
      <c r="E85" s="11"/>
      <c r="F85" s="11"/>
      <c r="G85" s="11">
        <f t="shared" si="5"/>
        <v>0</v>
      </c>
      <c r="H85" s="11"/>
      <c r="I85" s="11">
        <f>(D85*E85)-Table3[[#This Row],[Paid]]</f>
        <v>0</v>
      </c>
    </row>
    <row r="86" spans="1:9" x14ac:dyDescent="0.3">
      <c r="A86" s="1"/>
      <c r="D86" s="11"/>
      <c r="E86" s="11"/>
      <c r="F86" s="11"/>
      <c r="G86" s="11">
        <f t="shared" si="5"/>
        <v>0</v>
      </c>
      <c r="H86" s="11"/>
      <c r="I86" s="11">
        <f>(D86*E86)-Table3[[#This Row],[Paid]]</f>
        <v>0</v>
      </c>
    </row>
    <row r="87" spans="1:9" x14ac:dyDescent="0.3">
      <c r="A87" s="1"/>
      <c r="D87" s="11"/>
      <c r="E87" s="11"/>
      <c r="F87" s="11"/>
      <c r="G87" s="11">
        <f t="shared" ref="G87:G125" si="6">D87*E87</f>
        <v>0</v>
      </c>
      <c r="H87" s="11"/>
      <c r="I87" s="11">
        <f>(D87*E87)-Table3[[#This Row],[Paid]]</f>
        <v>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10286855</v>
      </c>
      <c r="H127" s="14">
        <f>SUBTOTAL(109,Table3[Paid])</f>
        <v>0</v>
      </c>
      <c r="I127" s="14">
        <f>SUBTOTAL(109,Table3[balance])</f>
        <v>14340881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768"/>
  <sheetViews>
    <sheetView topLeftCell="A742" zoomScale="106" zoomScaleNormal="70" workbookViewId="0">
      <selection activeCell="D757" sqref="D757:D76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37203133.399999999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37226536.229517192</v>
      </c>
      <c r="M5" s="45" t="s">
        <v>108</v>
      </c>
      <c r="N5" s="46">
        <f>(SUMIFS(Table14[Credit],Table14[Mode],"Bank")-SUMIFS(Table14[Debit],Table14[Mode],"Bank")-SUMIFS(Table14[Withdrawal],Table14[Mode],"Transfer"))</f>
        <v>641832.82951719314</v>
      </c>
      <c r="O5">
        <v>360000</v>
      </c>
    </row>
    <row r="6" spans="1:16" x14ac:dyDescent="0.3">
      <c r="A6" s="114">
        <v>46042</v>
      </c>
      <c r="B6" s="80" t="s">
        <v>221</v>
      </c>
      <c r="C6" s="11">
        <v>783072</v>
      </c>
      <c r="D6" s="86"/>
      <c r="E6" s="80" t="s">
        <v>223</v>
      </c>
      <c r="F6" s="87" t="s">
        <v>108</v>
      </c>
      <c r="J6" s="52" t="s">
        <v>43</v>
      </c>
      <c r="K6" s="53">
        <f>(K5-K4)</f>
        <v>23402.829517193139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30916.829517193139</v>
      </c>
      <c r="O7" s="89">
        <f>SUM(O5,O6)</f>
        <v>410000</v>
      </c>
      <c r="P7" s="14">
        <f>Table18[[#Totals],[amount]]-Table18[[#Totals],[Actual]]</f>
        <v>-379083.17048280686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483000</v>
      </c>
      <c r="N164">
        <v>45600</v>
      </c>
      <c r="O164">
        <v>9200</v>
      </c>
    </row>
    <row r="165" spans="1:15" x14ac:dyDescent="0.3">
      <c r="A165" s="38">
        <v>46083</v>
      </c>
      <c r="B165" t="s">
        <v>282</v>
      </c>
      <c r="C165" s="11"/>
      <c r="D165" s="11"/>
      <c r="E165" t="s">
        <v>360</v>
      </c>
      <c r="F165" s="110" t="s">
        <v>108</v>
      </c>
      <c r="J165" s="4" t="s">
        <v>9</v>
      </c>
      <c r="K165" s="14">
        <v>1283000</v>
      </c>
      <c r="L165" s="14"/>
      <c r="N165">
        <v>49400</v>
      </c>
      <c r="O165">
        <v>45600</v>
      </c>
    </row>
    <row r="166" spans="1:15" x14ac:dyDescent="0.3">
      <c r="A166" s="38">
        <v>46083</v>
      </c>
      <c r="B166" t="s">
        <v>282</v>
      </c>
      <c r="C166" s="11"/>
      <c r="D166" s="11"/>
      <c r="E166" t="s">
        <v>361</v>
      </c>
      <c r="F166" s="110" t="s">
        <v>108</v>
      </c>
      <c r="J166" s="4" t="s">
        <v>117</v>
      </c>
      <c r="K166" s="14"/>
      <c r="L166" s="14">
        <v>450800</v>
      </c>
      <c r="N166">
        <v>37200</v>
      </c>
      <c r="O166">
        <v>30000</v>
      </c>
    </row>
    <row r="167" spans="1:15" x14ac:dyDescent="0.3">
      <c r="A167" s="38">
        <v>46083</v>
      </c>
      <c r="B167" t="s">
        <v>249</v>
      </c>
      <c r="C167" s="11">
        <v>7200</v>
      </c>
      <c r="D167" s="11"/>
      <c r="E167" t="s">
        <v>247</v>
      </c>
      <c r="F167" s="110" t="s">
        <v>108</v>
      </c>
      <c r="J167" s="4" t="s">
        <v>94</v>
      </c>
      <c r="K167" s="14"/>
      <c r="L167" s="14">
        <v>1574577</v>
      </c>
      <c r="N167">
        <v>9200</v>
      </c>
      <c r="O167">
        <v>37200</v>
      </c>
    </row>
    <row r="168" spans="1:15" x14ac:dyDescent="0.3">
      <c r="A168" s="38">
        <v>46083</v>
      </c>
      <c r="B168" t="s">
        <v>169</v>
      </c>
      <c r="C168" s="11">
        <v>1000</v>
      </c>
      <c r="D168" s="11"/>
      <c r="E168" t="s">
        <v>341</v>
      </c>
      <c r="F168" s="110" t="s">
        <v>108</v>
      </c>
      <c r="J168" s="4" t="s">
        <v>246</v>
      </c>
      <c r="K168" s="14"/>
      <c r="L168" s="14">
        <v>102080</v>
      </c>
      <c r="N168">
        <v>50000</v>
      </c>
      <c r="O168">
        <v>49400</v>
      </c>
    </row>
    <row r="169" spans="1:15" x14ac:dyDescent="0.3">
      <c r="A169" s="38">
        <v>46083</v>
      </c>
      <c r="B169" t="s">
        <v>282</v>
      </c>
      <c r="C169" s="11"/>
      <c r="D169" s="11"/>
      <c r="F169" s="110" t="s">
        <v>108</v>
      </c>
      <c r="J169" s="4" t="s">
        <v>55</v>
      </c>
      <c r="K169" s="14"/>
      <c r="L169" s="14">
        <v>1279522</v>
      </c>
      <c r="N169">
        <v>60400</v>
      </c>
      <c r="O169">
        <v>60400</v>
      </c>
    </row>
    <row r="170" spans="1:15" x14ac:dyDescent="0.3">
      <c r="A170" s="38">
        <v>46083</v>
      </c>
      <c r="B170" t="s">
        <v>282</v>
      </c>
      <c r="C170" s="11"/>
      <c r="D170" s="11"/>
      <c r="E170" t="s">
        <v>362</v>
      </c>
      <c r="F170" s="110" t="s">
        <v>108</v>
      </c>
      <c r="J170" s="4" t="s">
        <v>113</v>
      </c>
      <c r="K170" s="14"/>
      <c r="L170" s="14">
        <v>263140</v>
      </c>
      <c r="N170">
        <v>30000</v>
      </c>
      <c r="O170">
        <v>50000</v>
      </c>
    </row>
    <row r="171" spans="1:15" x14ac:dyDescent="0.3">
      <c r="A171" s="38">
        <v>46083</v>
      </c>
      <c r="B171" t="s">
        <v>282</v>
      </c>
      <c r="C171" s="11"/>
      <c r="D171" s="11"/>
      <c r="E171" t="s">
        <v>363</v>
      </c>
      <c r="F171" s="110" t="s">
        <v>108</v>
      </c>
      <c r="J171" s="4" t="s">
        <v>282</v>
      </c>
      <c r="K171" s="14"/>
      <c r="L171" s="14">
        <v>4544653</v>
      </c>
      <c r="N171">
        <v>13670</v>
      </c>
      <c r="O171">
        <v>1000</v>
      </c>
    </row>
    <row r="172" spans="1:15" x14ac:dyDescent="0.3">
      <c r="A172" s="38">
        <v>46083</v>
      </c>
      <c r="B172" t="s">
        <v>357</v>
      </c>
      <c r="C172" s="11">
        <v>12000</v>
      </c>
      <c r="D172" s="11"/>
      <c r="E172" t="s">
        <v>360</v>
      </c>
      <c r="F172" s="110" t="s">
        <v>108</v>
      </c>
      <c r="J172" s="4" t="s">
        <v>54</v>
      </c>
      <c r="K172" s="14"/>
      <c r="L172" s="14">
        <v>282273.40000000002</v>
      </c>
      <c r="N172">
        <v>18120</v>
      </c>
      <c r="O172">
        <v>35000</v>
      </c>
    </row>
    <row r="173" spans="1:15" x14ac:dyDescent="0.3">
      <c r="A173" s="38">
        <v>46083</v>
      </c>
      <c r="B173" t="s">
        <v>55</v>
      </c>
      <c r="C173" s="11">
        <v>20900</v>
      </c>
      <c r="D173" s="11"/>
      <c r="E173" t="s">
        <v>366</v>
      </c>
      <c r="F173" s="110" t="s">
        <v>108</v>
      </c>
      <c r="J173" s="4" t="s">
        <v>221</v>
      </c>
      <c r="K173" s="14">
        <v>0</v>
      </c>
      <c r="L173" s="14">
        <v>1081464</v>
      </c>
      <c r="N173">
        <v>7650</v>
      </c>
      <c r="O173">
        <v>29600</v>
      </c>
    </row>
    <row r="174" spans="1:15" x14ac:dyDescent="0.3">
      <c r="A174" s="38">
        <v>46083</v>
      </c>
      <c r="B174" t="s">
        <v>297</v>
      </c>
      <c r="C174" s="11">
        <v>23000</v>
      </c>
      <c r="D174" s="11"/>
      <c r="E174" t="s">
        <v>367</v>
      </c>
      <c r="F174" s="110" t="s">
        <v>108</v>
      </c>
      <c r="J174" s="4" t="s">
        <v>212</v>
      </c>
      <c r="K174" s="14">
        <v>1025490.7364667157</v>
      </c>
      <c r="L174" s="14">
        <v>421262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409</v>
      </c>
      <c r="K176" s="14">
        <v>839000</v>
      </c>
      <c r="L176" s="14"/>
      <c r="N176">
        <v>22650</v>
      </c>
      <c r="O176">
        <v>19200</v>
      </c>
    </row>
    <row r="177" spans="1:15" x14ac:dyDescent="0.3">
      <c r="A177" s="38">
        <v>46083</v>
      </c>
      <c r="B177" t="s">
        <v>225</v>
      </c>
      <c r="C177" s="11"/>
      <c r="D177" s="11">
        <v>100000</v>
      </c>
      <c r="E177" t="s">
        <v>369</v>
      </c>
      <c r="F177" s="110" t="s">
        <v>108</v>
      </c>
      <c r="J177" s="4" t="s">
        <v>245</v>
      </c>
      <c r="K177" s="14">
        <v>1679674</v>
      </c>
      <c r="L177" s="14"/>
      <c r="N177">
        <v>22650</v>
      </c>
    </row>
    <row r="178" spans="1:15" x14ac:dyDescent="0.3">
      <c r="A178" s="38">
        <v>46083</v>
      </c>
      <c r="B178" t="s">
        <v>55</v>
      </c>
      <c r="C178" s="11">
        <v>1600</v>
      </c>
      <c r="D178" s="11"/>
      <c r="E178" t="s">
        <v>370</v>
      </c>
      <c r="F178" s="110" t="s">
        <v>108</v>
      </c>
      <c r="J178" s="4" t="s">
        <v>115</v>
      </c>
      <c r="K178" s="14"/>
      <c r="L178" s="14">
        <v>990000</v>
      </c>
      <c r="N178">
        <v>24400</v>
      </c>
    </row>
    <row r="179" spans="1:15" x14ac:dyDescent="0.3">
      <c r="A179" s="38">
        <v>46083</v>
      </c>
      <c r="B179" t="s">
        <v>282</v>
      </c>
      <c r="C179" s="11"/>
      <c r="D179" s="11"/>
      <c r="E179" t="s">
        <v>371</v>
      </c>
      <c r="F179" s="110" t="s">
        <v>108</v>
      </c>
      <c r="J179" s="4" t="s">
        <v>35</v>
      </c>
      <c r="K179" s="14">
        <v>1101800</v>
      </c>
      <c r="L179" s="14"/>
      <c r="N179">
        <v>15000</v>
      </c>
      <c r="O179">
        <v>20850</v>
      </c>
    </row>
    <row r="180" spans="1:15" x14ac:dyDescent="0.3">
      <c r="A180" s="38">
        <v>46083</v>
      </c>
      <c r="B180" t="s">
        <v>55</v>
      </c>
      <c r="C180" s="11">
        <v>2120</v>
      </c>
      <c r="D180" s="11"/>
      <c r="E180" t="s">
        <v>372</v>
      </c>
      <c r="F180" s="110" t="s">
        <v>108</v>
      </c>
      <c r="J180" s="4" t="s">
        <v>422</v>
      </c>
      <c r="K180" s="14">
        <v>200000</v>
      </c>
      <c r="L180" s="14"/>
      <c r="N180">
        <v>22650</v>
      </c>
      <c r="O180">
        <v>16630</v>
      </c>
    </row>
    <row r="181" spans="1:15" x14ac:dyDescent="0.3">
      <c r="A181" s="38">
        <v>46083</v>
      </c>
      <c r="B181" t="s">
        <v>357</v>
      </c>
      <c r="C181" s="11">
        <v>5000</v>
      </c>
      <c r="D181" s="11"/>
      <c r="E181" t="s">
        <v>373</v>
      </c>
      <c r="F181" s="110" t="s">
        <v>108</v>
      </c>
      <c r="J181" s="4" t="s">
        <v>297</v>
      </c>
      <c r="K181" s="14"/>
      <c r="L181" s="14">
        <v>212125</v>
      </c>
      <c r="N181">
        <v>25000</v>
      </c>
      <c r="O181">
        <v>16630</v>
      </c>
    </row>
    <row r="182" spans="1:15" x14ac:dyDescent="0.3">
      <c r="A182" s="38">
        <v>46083</v>
      </c>
      <c r="B182" t="s">
        <v>357</v>
      </c>
      <c r="C182" s="11">
        <v>10000</v>
      </c>
      <c r="D182" s="11"/>
      <c r="E182" t="s">
        <v>275</v>
      </c>
      <c r="F182" s="110" t="s">
        <v>108</v>
      </c>
      <c r="J182" s="4" t="s">
        <v>169</v>
      </c>
      <c r="K182" s="14"/>
      <c r="L182" s="14">
        <v>2530860</v>
      </c>
      <c r="N182">
        <v>20000</v>
      </c>
      <c r="O182">
        <v>7650</v>
      </c>
    </row>
    <row r="183" spans="1:15" x14ac:dyDescent="0.3">
      <c r="A183" s="38">
        <v>46083</v>
      </c>
      <c r="B183" t="s">
        <v>220</v>
      </c>
      <c r="C183" s="11"/>
      <c r="D183" s="11">
        <v>175000</v>
      </c>
      <c r="E183" t="s">
        <v>374</v>
      </c>
      <c r="F183" s="110" t="s">
        <v>108</v>
      </c>
      <c r="J183" s="4" t="s">
        <v>273</v>
      </c>
      <c r="K183" s="14"/>
      <c r="L183" s="14">
        <v>251000</v>
      </c>
      <c r="N183">
        <v>16650</v>
      </c>
      <c r="O183">
        <v>17000</v>
      </c>
    </row>
    <row r="184" spans="1:15" x14ac:dyDescent="0.3">
      <c r="A184" s="38">
        <v>46083</v>
      </c>
      <c r="B184" t="s">
        <v>222</v>
      </c>
      <c r="C184" s="95">
        <v>125000</v>
      </c>
      <c r="D184" s="95"/>
      <c r="E184" t="s">
        <v>375</v>
      </c>
      <c r="F184" s="110" t="s">
        <v>108</v>
      </c>
      <c r="J184" s="4" t="s">
        <v>220</v>
      </c>
      <c r="K184" s="14">
        <v>14893250</v>
      </c>
      <c r="L184" s="14">
        <v>10295173</v>
      </c>
      <c r="N184">
        <v>29600</v>
      </c>
      <c r="O184">
        <v>16650</v>
      </c>
    </row>
    <row r="185" spans="1:15" x14ac:dyDescent="0.3">
      <c r="A185" s="38">
        <v>46083</v>
      </c>
      <c r="B185" t="s">
        <v>246</v>
      </c>
      <c r="C185" s="11">
        <v>430</v>
      </c>
      <c r="D185" s="11"/>
      <c r="E185" t="s">
        <v>376</v>
      </c>
      <c r="F185" s="110" t="s">
        <v>108</v>
      </c>
      <c r="J185" s="4" t="s">
        <v>165</v>
      </c>
      <c r="K185" s="14"/>
      <c r="L185" s="14">
        <v>185000</v>
      </c>
      <c r="N185">
        <v>16630</v>
      </c>
      <c r="O185">
        <v>24400</v>
      </c>
    </row>
    <row r="186" spans="1:15" x14ac:dyDescent="0.3">
      <c r="A186" s="38">
        <v>46083</v>
      </c>
      <c r="B186" t="s">
        <v>221</v>
      </c>
      <c r="C186" s="95">
        <v>1000</v>
      </c>
      <c r="D186" s="95"/>
      <c r="E186" t="s">
        <v>350</v>
      </c>
      <c r="F186" s="110" t="s">
        <v>108</v>
      </c>
      <c r="J186" s="4" t="s">
        <v>175</v>
      </c>
      <c r="K186" s="14">
        <v>704000</v>
      </c>
      <c r="L186" s="14"/>
      <c r="N186">
        <v>16650</v>
      </c>
      <c r="O186">
        <v>15000</v>
      </c>
    </row>
    <row r="187" spans="1:15" x14ac:dyDescent="0.3">
      <c r="A187" s="38">
        <v>46083</v>
      </c>
      <c r="B187" t="s">
        <v>312</v>
      </c>
      <c r="C187" s="11"/>
      <c r="D187" s="11">
        <v>8701</v>
      </c>
      <c r="E187" t="s">
        <v>378</v>
      </c>
      <c r="F187" s="110" t="s">
        <v>108</v>
      </c>
      <c r="J187" s="4" t="s">
        <v>176</v>
      </c>
      <c r="K187" s="14"/>
      <c r="L187" s="14">
        <v>457705</v>
      </c>
      <c r="N187">
        <v>160000</v>
      </c>
      <c r="O187">
        <v>16650</v>
      </c>
    </row>
    <row r="188" spans="1:15" x14ac:dyDescent="0.3">
      <c r="A188" s="38">
        <v>46083</v>
      </c>
      <c r="B188" t="s">
        <v>54</v>
      </c>
      <c r="C188" s="11">
        <v>8701</v>
      </c>
      <c r="D188" s="11"/>
      <c r="E188" t="s">
        <v>267</v>
      </c>
      <c r="F188" s="110" t="s">
        <v>108</v>
      </c>
      <c r="J188" s="4" t="s">
        <v>51</v>
      </c>
      <c r="K188" s="14"/>
      <c r="L188" s="14">
        <v>5722092</v>
      </c>
      <c r="N188">
        <v>17000</v>
      </c>
      <c r="O188">
        <v>13650</v>
      </c>
    </row>
    <row r="189" spans="1:15" x14ac:dyDescent="0.3">
      <c r="A189" s="38">
        <v>46083</v>
      </c>
      <c r="B189" t="s">
        <v>228</v>
      </c>
      <c r="C189" s="11"/>
      <c r="D189" s="11">
        <v>90000</v>
      </c>
      <c r="E189" t="s">
        <v>379</v>
      </c>
      <c r="F189" s="110" t="s">
        <v>108</v>
      </c>
      <c r="J189" s="4" t="s">
        <v>530</v>
      </c>
      <c r="K189" s="14"/>
      <c r="L189" s="14">
        <v>312000</v>
      </c>
      <c r="N189">
        <v>19200</v>
      </c>
      <c r="O189">
        <v>12000</v>
      </c>
    </row>
    <row r="190" spans="1:15" x14ac:dyDescent="0.3">
      <c r="A190" s="38">
        <v>46083</v>
      </c>
      <c r="B190" t="s">
        <v>220</v>
      </c>
      <c r="C190" s="95">
        <v>90000</v>
      </c>
      <c r="D190" s="95"/>
      <c r="E190" t="s">
        <v>264</v>
      </c>
      <c r="F190" s="110" t="s">
        <v>108</v>
      </c>
      <c r="J190" s="4" t="s">
        <v>294</v>
      </c>
      <c r="K190" s="14"/>
      <c r="L190" s="14">
        <v>26000</v>
      </c>
      <c r="N190">
        <v>20000</v>
      </c>
      <c r="O190">
        <v>14000</v>
      </c>
    </row>
    <row r="191" spans="1:15" x14ac:dyDescent="0.3">
      <c r="A191" s="114">
        <v>46084</v>
      </c>
      <c r="B191" t="s">
        <v>9</v>
      </c>
      <c r="C191" s="11"/>
      <c r="D191" s="11">
        <v>60000</v>
      </c>
      <c r="E191" t="s">
        <v>385</v>
      </c>
      <c r="F191" s="110" t="s">
        <v>108</v>
      </c>
      <c r="J191" s="4" t="s">
        <v>192</v>
      </c>
      <c r="K191" s="14">
        <v>308000</v>
      </c>
      <c r="L191" s="14"/>
      <c r="N191">
        <v>20850</v>
      </c>
      <c r="O191">
        <v>25000</v>
      </c>
    </row>
    <row r="192" spans="1:15" x14ac:dyDescent="0.3">
      <c r="A192" s="38">
        <v>46084</v>
      </c>
      <c r="B192" t="s">
        <v>165</v>
      </c>
      <c r="C192" s="11">
        <v>2500</v>
      </c>
      <c r="D192" s="11"/>
      <c r="E192" t="s">
        <v>386</v>
      </c>
      <c r="F192" s="110" t="s">
        <v>108</v>
      </c>
      <c r="J192" s="4" t="s">
        <v>190</v>
      </c>
      <c r="K192" s="14">
        <v>220340</v>
      </c>
      <c r="L192" s="14"/>
      <c r="N192">
        <v>16650</v>
      </c>
      <c r="O192">
        <v>20000</v>
      </c>
    </row>
    <row r="193" spans="1:15" x14ac:dyDescent="0.3">
      <c r="A193" s="114">
        <v>46084</v>
      </c>
      <c r="B193" t="s">
        <v>257</v>
      </c>
      <c r="C193" s="11">
        <v>100000</v>
      </c>
      <c r="D193" s="11"/>
      <c r="E193" t="s">
        <v>387</v>
      </c>
      <c r="F193" s="110" t="s">
        <v>108</v>
      </c>
      <c r="J193" s="4" t="s">
        <v>298</v>
      </c>
      <c r="K193" s="14"/>
      <c r="L193" s="14">
        <v>1315684</v>
      </c>
      <c r="N193">
        <v>14000</v>
      </c>
      <c r="O193">
        <v>25000</v>
      </c>
    </row>
    <row r="194" spans="1:15" x14ac:dyDescent="0.3">
      <c r="A194" s="114">
        <v>46084</v>
      </c>
      <c r="B194" t="s">
        <v>312</v>
      </c>
      <c r="C194" s="11"/>
      <c r="D194" s="11">
        <v>500000</v>
      </c>
      <c r="E194" t="s">
        <v>388</v>
      </c>
      <c r="F194" s="110" t="s">
        <v>108</v>
      </c>
      <c r="J194" s="4" t="s">
        <v>277</v>
      </c>
      <c r="K194" s="14"/>
      <c r="L194" s="14">
        <v>274336</v>
      </c>
      <c r="N194">
        <v>3900</v>
      </c>
      <c r="O194">
        <v>3900</v>
      </c>
    </row>
    <row r="195" spans="1:15" x14ac:dyDescent="0.3">
      <c r="A195" s="114">
        <v>46084</v>
      </c>
      <c r="B195" t="s">
        <v>55</v>
      </c>
      <c r="C195" s="11">
        <v>10500</v>
      </c>
      <c r="D195" s="11"/>
      <c r="E195" t="s">
        <v>389</v>
      </c>
      <c r="F195" s="110" t="s">
        <v>108</v>
      </c>
      <c r="J195" s="4" t="s">
        <v>202</v>
      </c>
      <c r="K195" s="14">
        <v>135000</v>
      </c>
      <c r="L195" s="14"/>
      <c r="N195">
        <v>35000</v>
      </c>
      <c r="O195">
        <v>18120</v>
      </c>
    </row>
    <row r="196" spans="1:15" x14ac:dyDescent="0.3">
      <c r="A196" s="38">
        <v>46084</v>
      </c>
      <c r="B196" t="s">
        <v>273</v>
      </c>
      <c r="C196" s="11">
        <v>150000</v>
      </c>
      <c r="D196" s="11"/>
      <c r="E196" t="s">
        <v>390</v>
      </c>
      <c r="F196" s="110" t="s">
        <v>108</v>
      </c>
      <c r="J196" s="4" t="s">
        <v>211</v>
      </c>
      <c r="K196" s="14">
        <v>5281726</v>
      </c>
      <c r="L196" s="14"/>
      <c r="O196">
        <v>22650</v>
      </c>
    </row>
    <row r="197" spans="1:15" x14ac:dyDescent="0.3">
      <c r="A197" s="114">
        <v>46084</v>
      </c>
      <c r="B197" t="s">
        <v>222</v>
      </c>
      <c r="C197" s="11">
        <v>100210</v>
      </c>
      <c r="D197" s="11"/>
      <c r="E197" t="s">
        <v>391</v>
      </c>
      <c r="F197" s="110" t="s">
        <v>108</v>
      </c>
      <c r="J197" s="4" t="s">
        <v>222</v>
      </c>
      <c r="K197" s="14"/>
      <c r="L197" s="14">
        <v>2170650</v>
      </c>
      <c r="O197">
        <v>22650</v>
      </c>
    </row>
    <row r="198" spans="1:15" x14ac:dyDescent="0.3">
      <c r="A198" s="114">
        <v>46084</v>
      </c>
      <c r="B198" t="s">
        <v>312</v>
      </c>
      <c r="C198" s="11"/>
      <c r="D198" s="11">
        <v>500000</v>
      </c>
      <c r="E198" t="s">
        <v>392</v>
      </c>
      <c r="F198" s="110" t="s">
        <v>108</v>
      </c>
      <c r="J198" s="4" t="s">
        <v>228</v>
      </c>
      <c r="K198" s="14">
        <v>1816071</v>
      </c>
      <c r="L198" s="14"/>
      <c r="O198">
        <v>160000</v>
      </c>
    </row>
    <row r="199" spans="1:15" x14ac:dyDescent="0.3">
      <c r="A199" s="114">
        <v>46084</v>
      </c>
      <c r="B199" t="s">
        <v>113</v>
      </c>
      <c r="C199" s="11">
        <v>70415</v>
      </c>
      <c r="D199" s="11"/>
      <c r="E199" t="s">
        <v>216</v>
      </c>
      <c r="F199" s="110" t="s">
        <v>108</v>
      </c>
      <c r="J199" s="4" t="s">
        <v>477</v>
      </c>
      <c r="K199" s="14"/>
      <c r="L199" s="14">
        <v>187052</v>
      </c>
    </row>
    <row r="200" spans="1:15" x14ac:dyDescent="0.3">
      <c r="A200" s="114">
        <v>46084</v>
      </c>
      <c r="B200" t="s">
        <v>169</v>
      </c>
      <c r="C200" s="11">
        <v>250000</v>
      </c>
      <c r="D200" s="11"/>
      <c r="E200" t="s">
        <v>393</v>
      </c>
      <c r="F200" s="110" t="s">
        <v>108</v>
      </c>
      <c r="J200" s="4" t="s">
        <v>463</v>
      </c>
      <c r="K200" s="14">
        <v>40000</v>
      </c>
      <c r="L200" s="14"/>
    </row>
    <row r="201" spans="1:15" x14ac:dyDescent="0.3">
      <c r="A201" s="114">
        <v>46084</v>
      </c>
      <c r="B201" t="s">
        <v>298</v>
      </c>
      <c r="C201" s="11">
        <v>150000</v>
      </c>
      <c r="D201" s="11"/>
      <c r="E201" t="s">
        <v>394</v>
      </c>
      <c r="F201" s="110" t="s">
        <v>108</v>
      </c>
      <c r="J201" s="4" t="s">
        <v>249</v>
      </c>
      <c r="K201" s="14"/>
      <c r="L201" s="14">
        <v>219695</v>
      </c>
    </row>
    <row r="202" spans="1:15" x14ac:dyDescent="0.3">
      <c r="A202" s="114">
        <v>46084</v>
      </c>
      <c r="B202" t="s">
        <v>222</v>
      </c>
      <c r="C202" s="11">
        <v>31000</v>
      </c>
      <c r="D202" s="11"/>
      <c r="E202" t="s">
        <v>242</v>
      </c>
      <c r="F202" s="110" t="s">
        <v>108</v>
      </c>
      <c r="J202" s="4" t="s">
        <v>252</v>
      </c>
      <c r="K202" s="14"/>
      <c r="L202" s="14">
        <v>100000</v>
      </c>
    </row>
    <row r="203" spans="1:15" x14ac:dyDescent="0.3">
      <c r="A203" s="114">
        <v>46084</v>
      </c>
      <c r="B203" t="s">
        <v>377</v>
      </c>
      <c r="C203" s="11"/>
      <c r="D203" s="11">
        <v>257000</v>
      </c>
      <c r="E203" t="s">
        <v>395</v>
      </c>
      <c r="F203" s="110" t="s">
        <v>108</v>
      </c>
      <c r="J203" s="4" t="s">
        <v>257</v>
      </c>
      <c r="K203" s="14"/>
      <c r="L203" s="14">
        <v>221490</v>
      </c>
    </row>
    <row r="204" spans="1:15" x14ac:dyDescent="0.3">
      <c r="A204" s="114">
        <v>46084</v>
      </c>
      <c r="B204" t="s">
        <v>212</v>
      </c>
      <c r="C204" s="11">
        <f>650+760</f>
        <v>1410</v>
      </c>
      <c r="D204" s="11"/>
      <c r="F204" s="110" t="s">
        <v>108</v>
      </c>
      <c r="J204" s="4" t="s">
        <v>232</v>
      </c>
      <c r="K204" s="14">
        <v>169278</v>
      </c>
      <c r="L204" s="14"/>
    </row>
    <row r="205" spans="1:15" x14ac:dyDescent="0.3">
      <c r="A205" s="114">
        <v>46084</v>
      </c>
      <c r="B205" t="s">
        <v>222</v>
      </c>
      <c r="C205" s="11">
        <v>18500</v>
      </c>
      <c r="D205" s="11"/>
      <c r="E205" t="s">
        <v>242</v>
      </c>
      <c r="F205" s="110" t="s">
        <v>108</v>
      </c>
      <c r="J205" s="4" t="s">
        <v>312</v>
      </c>
      <c r="K205" s="14">
        <v>5245323.4930504756</v>
      </c>
      <c r="L205" s="14"/>
    </row>
    <row r="206" spans="1:15" x14ac:dyDescent="0.3">
      <c r="A206" s="114">
        <v>46084</v>
      </c>
      <c r="B206" t="s">
        <v>249</v>
      </c>
      <c r="C206" s="11">
        <v>3600</v>
      </c>
      <c r="D206" s="11"/>
      <c r="E206" t="s">
        <v>247</v>
      </c>
      <c r="F206" s="110" t="s">
        <v>108</v>
      </c>
      <c r="J206" s="4" t="s">
        <v>377</v>
      </c>
      <c r="K206" s="14">
        <v>544000</v>
      </c>
      <c r="L206" s="14"/>
    </row>
    <row r="207" spans="1:15" x14ac:dyDescent="0.3">
      <c r="A207" s="114">
        <v>46084</v>
      </c>
      <c r="B207" t="s">
        <v>54</v>
      </c>
      <c r="C207" s="11">
        <v>5000</v>
      </c>
      <c r="D207" s="11"/>
      <c r="E207" t="s">
        <v>290</v>
      </c>
      <c r="F207" s="110" t="s">
        <v>108</v>
      </c>
      <c r="J207" s="4" t="s">
        <v>226</v>
      </c>
      <c r="K207" s="14"/>
      <c r="L207" s="14">
        <v>142500</v>
      </c>
    </row>
    <row r="208" spans="1:15" x14ac:dyDescent="0.3">
      <c r="A208" s="114">
        <v>46085</v>
      </c>
      <c r="B208" t="s">
        <v>228</v>
      </c>
      <c r="C208" s="11"/>
      <c r="D208" s="11">
        <v>100000</v>
      </c>
      <c r="E208" t="s">
        <v>365</v>
      </c>
      <c r="F208" s="110" t="s">
        <v>108</v>
      </c>
      <c r="J208" s="4" t="s">
        <v>229</v>
      </c>
      <c r="K208" s="14"/>
      <c r="L208" s="14">
        <v>800000</v>
      </c>
    </row>
    <row r="209" spans="1:12" x14ac:dyDescent="0.3">
      <c r="A209" s="114">
        <v>46085</v>
      </c>
      <c r="B209" t="s">
        <v>226</v>
      </c>
      <c r="C209" s="11">
        <v>84500</v>
      </c>
      <c r="D209" s="11"/>
      <c r="E209" t="s">
        <v>396</v>
      </c>
      <c r="F209" s="110" t="s">
        <v>108</v>
      </c>
      <c r="J209" s="4" t="s">
        <v>444</v>
      </c>
      <c r="K209" s="14"/>
      <c r="L209" s="14">
        <v>10000</v>
      </c>
    </row>
    <row r="210" spans="1:12" x14ac:dyDescent="0.3">
      <c r="A210" s="114">
        <v>46085</v>
      </c>
      <c r="B210" t="s">
        <v>222</v>
      </c>
      <c r="C210" s="11">
        <v>2000</v>
      </c>
      <c r="D210" s="11"/>
      <c r="E210" t="s">
        <v>341</v>
      </c>
      <c r="F210" s="110" t="s">
        <v>108</v>
      </c>
      <c r="J210" s="4" t="s">
        <v>462</v>
      </c>
      <c r="K210" s="14">
        <v>130000</v>
      </c>
      <c r="L210" s="14"/>
    </row>
    <row r="211" spans="1:12" x14ac:dyDescent="0.3">
      <c r="A211" s="114">
        <v>46085</v>
      </c>
      <c r="B211" t="s">
        <v>169</v>
      </c>
      <c r="C211" s="11">
        <v>1000</v>
      </c>
      <c r="D211" s="11"/>
      <c r="E211" t="s">
        <v>341</v>
      </c>
      <c r="F211" s="110" t="s">
        <v>108</v>
      </c>
      <c r="J211" s="4" t="s">
        <v>500</v>
      </c>
      <c r="K211" s="14">
        <v>463280</v>
      </c>
      <c r="L211" s="14"/>
    </row>
    <row r="212" spans="1:12" x14ac:dyDescent="0.3">
      <c r="A212" s="114">
        <v>46085</v>
      </c>
      <c r="B212" t="s">
        <v>282</v>
      </c>
      <c r="C212" s="11"/>
      <c r="D212" s="11"/>
      <c r="E212" t="s">
        <v>329</v>
      </c>
      <c r="F212" s="110" t="s">
        <v>108</v>
      </c>
      <c r="J212" s="4" t="s">
        <v>546</v>
      </c>
      <c r="K212" s="14"/>
      <c r="L212" s="14">
        <v>150000</v>
      </c>
    </row>
    <row r="213" spans="1:12" x14ac:dyDescent="0.3">
      <c r="A213" s="114">
        <v>46085</v>
      </c>
      <c r="B213" t="s">
        <v>55</v>
      </c>
      <c r="C213" s="11">
        <v>200000</v>
      </c>
      <c r="D213" s="11"/>
      <c r="E213" t="s">
        <v>397</v>
      </c>
      <c r="F213" s="110" t="s">
        <v>108</v>
      </c>
      <c r="J213" s="4" t="s">
        <v>641</v>
      </c>
      <c r="K213" s="14"/>
      <c r="L213" s="14">
        <v>57000</v>
      </c>
    </row>
    <row r="214" spans="1:12" x14ac:dyDescent="0.3">
      <c r="A214" s="114">
        <v>46085</v>
      </c>
      <c r="B214" t="s">
        <v>222</v>
      </c>
      <c r="C214" s="11">
        <v>140000</v>
      </c>
      <c r="D214" s="11"/>
      <c r="E214" t="s">
        <v>398</v>
      </c>
      <c r="F214" s="110" t="s">
        <v>108</v>
      </c>
      <c r="J214" s="4" t="s">
        <v>672</v>
      </c>
      <c r="K214" s="14"/>
      <c r="L214" s="14">
        <v>3000</v>
      </c>
    </row>
    <row r="215" spans="1:12" x14ac:dyDescent="0.3">
      <c r="A215" s="114">
        <v>46085</v>
      </c>
      <c r="B215" t="s">
        <v>55</v>
      </c>
      <c r="C215" s="11">
        <v>3900</v>
      </c>
      <c r="D215" s="11"/>
      <c r="F215" s="110" t="s">
        <v>108</v>
      </c>
      <c r="J215" s="4" t="s">
        <v>693</v>
      </c>
      <c r="K215" s="14"/>
      <c r="L215" s="14">
        <v>27000</v>
      </c>
    </row>
    <row r="216" spans="1:12" x14ac:dyDescent="0.3">
      <c r="A216" s="114">
        <v>46085</v>
      </c>
      <c r="B216" t="s">
        <v>212</v>
      </c>
      <c r="C216" s="11">
        <v>3720</v>
      </c>
      <c r="D216" s="11"/>
      <c r="E216" t="s">
        <v>254</v>
      </c>
      <c r="F216" s="110" t="s">
        <v>108</v>
      </c>
      <c r="J216" s="4" t="s">
        <v>717</v>
      </c>
      <c r="K216" s="14"/>
      <c r="L216" s="14">
        <v>60000</v>
      </c>
    </row>
    <row r="217" spans="1:12" x14ac:dyDescent="0.3">
      <c r="A217" s="114">
        <v>46085</v>
      </c>
      <c r="B217" t="s">
        <v>55</v>
      </c>
      <c r="C217" s="95">
        <v>3500</v>
      </c>
      <c r="D217" s="95"/>
      <c r="E217" t="s">
        <v>400</v>
      </c>
      <c r="F217" s="110" t="s">
        <v>108</v>
      </c>
      <c r="J217" s="4" t="s">
        <v>28</v>
      </c>
      <c r="K217" s="14">
        <v>37226536.229517192</v>
      </c>
      <c r="L217" s="14">
        <v>37203133.399999999</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37" t="s">
        <v>653</v>
      </c>
      <c r="F642" s="110" t="s">
        <v>108</v>
      </c>
    </row>
    <row r="643" spans="1:6" x14ac:dyDescent="0.3">
      <c r="A643" s="38">
        <v>46135</v>
      </c>
      <c r="B643" t="s">
        <v>357</v>
      </c>
      <c r="C643" s="95">
        <v>20000</v>
      </c>
      <c r="D643" s="95"/>
      <c r="E643" s="137"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665</v>
      </c>
      <c r="F656" s="110" t="s">
        <v>108</v>
      </c>
    </row>
    <row r="657" spans="1:6" x14ac:dyDescent="0.3">
      <c r="A657" s="114">
        <v>46137</v>
      </c>
      <c r="B657" t="s">
        <v>55</v>
      </c>
      <c r="C657" s="11">
        <v>690</v>
      </c>
      <c r="D657" s="11"/>
      <c r="E657" t="s">
        <v>664</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7"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666</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667</v>
      </c>
      <c r="F663" s="110" t="s">
        <v>108</v>
      </c>
    </row>
    <row r="664" spans="1:6" x14ac:dyDescent="0.3">
      <c r="A664" s="114">
        <v>46137</v>
      </c>
      <c r="B664" t="s">
        <v>601</v>
      </c>
      <c r="C664" s="11">
        <v>8000</v>
      </c>
      <c r="D664" s="11"/>
      <c r="E664" t="s">
        <v>668</v>
      </c>
      <c r="F664" s="110" t="s">
        <v>108</v>
      </c>
    </row>
    <row r="665" spans="1:6" x14ac:dyDescent="0.3">
      <c r="A665" s="114">
        <v>46137</v>
      </c>
      <c r="B665" t="s">
        <v>220</v>
      </c>
      <c r="C665" s="11"/>
      <c r="D665" s="11">
        <v>10000</v>
      </c>
      <c r="E665" t="s">
        <v>669</v>
      </c>
      <c r="F665" s="110" t="s">
        <v>108</v>
      </c>
    </row>
    <row r="666" spans="1:6" x14ac:dyDescent="0.3">
      <c r="A666" s="114">
        <v>46137</v>
      </c>
      <c r="B666" t="s">
        <v>9</v>
      </c>
      <c r="C666" s="11"/>
      <c r="D666" s="11">
        <v>98000</v>
      </c>
      <c r="E666" t="s">
        <v>670</v>
      </c>
      <c r="F666" s="110" t="s">
        <v>108</v>
      </c>
    </row>
    <row r="667" spans="1:6" x14ac:dyDescent="0.3">
      <c r="A667" s="114">
        <v>46137</v>
      </c>
      <c r="B667" t="s">
        <v>357</v>
      </c>
      <c r="C667" s="11">
        <v>10000</v>
      </c>
      <c r="D667" s="11"/>
      <c r="E667" s="13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671</v>
      </c>
      <c r="F669" s="110" t="s">
        <v>108</v>
      </c>
    </row>
    <row r="670" spans="1:6" x14ac:dyDescent="0.3">
      <c r="A670" s="114">
        <v>46138</v>
      </c>
      <c r="B670" t="s">
        <v>55</v>
      </c>
      <c r="C670" s="11">
        <v>11456</v>
      </c>
      <c r="D670" s="11"/>
      <c r="E670" t="s">
        <v>673</v>
      </c>
      <c r="F670" s="110" t="s">
        <v>108</v>
      </c>
    </row>
    <row r="671" spans="1:6" x14ac:dyDescent="0.3">
      <c r="A671" s="114">
        <v>46139</v>
      </c>
      <c r="B671" t="s">
        <v>115</v>
      </c>
      <c r="C671" s="11">
        <v>200000</v>
      </c>
      <c r="D671" s="11"/>
      <c r="E671" t="s">
        <v>674</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675</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676</v>
      </c>
      <c r="F675" s="110" t="s">
        <v>108</v>
      </c>
    </row>
    <row r="676" spans="1:6" x14ac:dyDescent="0.3">
      <c r="A676" s="114">
        <v>46139</v>
      </c>
      <c r="B676" t="s">
        <v>220</v>
      </c>
      <c r="C676" s="95"/>
      <c r="D676" s="95">
        <v>6200</v>
      </c>
      <c r="E676" t="s">
        <v>676</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677</v>
      </c>
      <c r="F678" s="110" t="s">
        <v>108</v>
      </c>
    </row>
    <row r="679" spans="1:6" x14ac:dyDescent="0.3">
      <c r="A679" s="114">
        <v>46139</v>
      </c>
      <c r="B679" t="s">
        <v>220</v>
      </c>
      <c r="C679" s="95"/>
      <c r="D679" s="95">
        <v>7000</v>
      </c>
      <c r="E679" t="s">
        <v>638</v>
      </c>
      <c r="F679" s="110" t="s">
        <v>108</v>
      </c>
    </row>
    <row r="680" spans="1:6" x14ac:dyDescent="0.3">
      <c r="A680" s="114">
        <v>46139</v>
      </c>
      <c r="B680" t="s">
        <v>54</v>
      </c>
      <c r="C680" s="95">
        <v>2500</v>
      </c>
      <c r="D680" s="95"/>
      <c r="E680" t="s">
        <v>679</v>
      </c>
      <c r="F680" s="110" t="s">
        <v>108</v>
      </c>
    </row>
    <row r="681" spans="1:6" x14ac:dyDescent="0.3">
      <c r="A681" s="114">
        <v>46139</v>
      </c>
      <c r="B681" t="s">
        <v>54</v>
      </c>
      <c r="C681" s="95">
        <v>4500</v>
      </c>
      <c r="D681" s="95"/>
      <c r="E681" t="s">
        <v>680</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681</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682</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683</v>
      </c>
      <c r="F690" s="110" t="s">
        <v>108</v>
      </c>
    </row>
    <row r="691" spans="1:6" x14ac:dyDescent="0.3">
      <c r="A691" s="114">
        <v>46140</v>
      </c>
      <c r="B691" t="s">
        <v>220</v>
      </c>
      <c r="C691" s="11"/>
      <c r="D691" s="11">
        <v>60000</v>
      </c>
      <c r="E691" t="s">
        <v>684</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37"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685</v>
      </c>
      <c r="F696" s="110" t="s">
        <v>108</v>
      </c>
    </row>
    <row r="697" spans="1:6" x14ac:dyDescent="0.3">
      <c r="A697" s="38">
        <v>46141</v>
      </c>
      <c r="B697" t="s">
        <v>220</v>
      </c>
      <c r="C697" s="11"/>
      <c r="D697" s="11">
        <v>40000</v>
      </c>
      <c r="E697" t="s">
        <v>686</v>
      </c>
      <c r="F697" s="110" t="s">
        <v>108</v>
      </c>
    </row>
    <row r="698" spans="1:6" x14ac:dyDescent="0.3">
      <c r="A698" s="114">
        <v>46141</v>
      </c>
      <c r="B698" t="s">
        <v>220</v>
      </c>
      <c r="C698" s="11"/>
      <c r="D698" s="11">
        <v>200000</v>
      </c>
      <c r="E698" t="s">
        <v>687</v>
      </c>
      <c r="F698" s="110" t="s">
        <v>108</v>
      </c>
    </row>
    <row r="699" spans="1:6" x14ac:dyDescent="0.3">
      <c r="A699" s="38">
        <v>46141</v>
      </c>
      <c r="B699" t="s">
        <v>224</v>
      </c>
      <c r="C699" s="11">
        <v>200500</v>
      </c>
      <c r="D699" s="11"/>
      <c r="E699" t="s">
        <v>688</v>
      </c>
      <c r="F699" s="110" t="s">
        <v>108</v>
      </c>
    </row>
    <row r="700" spans="1:6" x14ac:dyDescent="0.3">
      <c r="A700" s="114">
        <v>46141</v>
      </c>
      <c r="B700" t="s">
        <v>220</v>
      </c>
      <c r="C700" s="11"/>
      <c r="D700" s="11">
        <v>300000</v>
      </c>
      <c r="E700" t="s">
        <v>689</v>
      </c>
      <c r="F700" s="110" t="s">
        <v>108</v>
      </c>
    </row>
    <row r="701" spans="1:6" x14ac:dyDescent="0.3">
      <c r="A701" s="38">
        <v>46141</v>
      </c>
      <c r="B701" t="s">
        <v>298</v>
      </c>
      <c r="C701" s="11">
        <v>150000</v>
      </c>
      <c r="D701" s="11"/>
      <c r="E701" t="s">
        <v>690</v>
      </c>
      <c r="F701" s="110" t="s">
        <v>108</v>
      </c>
    </row>
    <row r="702" spans="1:6" x14ac:dyDescent="0.3">
      <c r="A702" s="114">
        <v>46141</v>
      </c>
      <c r="B702" t="s">
        <v>222</v>
      </c>
      <c r="C702" s="11">
        <v>150000</v>
      </c>
      <c r="D702" s="11"/>
      <c r="E702" t="s">
        <v>691</v>
      </c>
      <c r="F702" s="110" t="s">
        <v>108</v>
      </c>
    </row>
    <row r="703" spans="1:6" x14ac:dyDescent="0.3">
      <c r="A703" s="38">
        <v>46141</v>
      </c>
      <c r="B703" t="s">
        <v>672</v>
      </c>
      <c r="C703" s="11">
        <v>3000</v>
      </c>
      <c r="D703" s="11"/>
      <c r="E703" t="s">
        <v>705</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692</v>
      </c>
      <c r="F706" s="110" t="s">
        <v>108</v>
      </c>
    </row>
    <row r="707" spans="1:11" x14ac:dyDescent="0.3">
      <c r="A707" s="38">
        <v>46141</v>
      </c>
      <c r="B707" t="s">
        <v>693</v>
      </c>
      <c r="C707" s="11">
        <v>26000</v>
      </c>
      <c r="D707" s="11"/>
      <c r="E707" t="s">
        <v>242</v>
      </c>
      <c r="F707" s="110" t="s">
        <v>108</v>
      </c>
    </row>
    <row r="708" spans="1:11" x14ac:dyDescent="0.3">
      <c r="A708" s="114">
        <v>46141</v>
      </c>
      <c r="B708" t="s">
        <v>169</v>
      </c>
      <c r="C708" s="11">
        <v>150000</v>
      </c>
      <c r="D708" s="11"/>
      <c r="E708" t="s">
        <v>694</v>
      </c>
      <c r="F708" s="110" t="s">
        <v>108</v>
      </c>
    </row>
    <row r="709" spans="1:11" x14ac:dyDescent="0.3">
      <c r="A709" s="38">
        <v>46141</v>
      </c>
      <c r="B709" t="s">
        <v>220</v>
      </c>
      <c r="C709" s="11"/>
      <c r="D709" s="11">
        <v>20000</v>
      </c>
      <c r="E709" t="s">
        <v>696</v>
      </c>
      <c r="F709" s="110" t="s">
        <v>108</v>
      </c>
      <c r="I709">
        <v>30550</v>
      </c>
      <c r="K709">
        <v>30550</v>
      </c>
    </row>
    <row r="710" spans="1:11" x14ac:dyDescent="0.3">
      <c r="A710" s="114">
        <v>46141</v>
      </c>
      <c r="B710" t="s">
        <v>282</v>
      </c>
      <c r="C710" s="11">
        <v>10000</v>
      </c>
      <c r="D710" s="11"/>
      <c r="E710" t="s">
        <v>695</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697</v>
      </c>
      <c r="F714" s="110" t="s">
        <v>108</v>
      </c>
      <c r="I714">
        <v>9650</v>
      </c>
      <c r="K714">
        <f>25650-16000</f>
        <v>9650</v>
      </c>
    </row>
    <row r="715" spans="1:11" x14ac:dyDescent="0.3">
      <c r="A715" s="38">
        <v>46142</v>
      </c>
      <c r="B715" t="s">
        <v>710</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639</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698</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699</v>
      </c>
      <c r="F723" s="110" t="s">
        <v>108</v>
      </c>
      <c r="I723">
        <v>80000</v>
      </c>
      <c r="K723">
        <v>10600</v>
      </c>
    </row>
    <row r="724" spans="1:11" x14ac:dyDescent="0.3">
      <c r="A724" s="38">
        <v>46143</v>
      </c>
      <c r="B724" t="s">
        <v>282</v>
      </c>
      <c r="C724" s="95">
        <v>15000</v>
      </c>
      <c r="D724" s="95"/>
      <c r="E724" t="s">
        <v>700</v>
      </c>
      <c r="F724" s="110" t="s">
        <v>108</v>
      </c>
      <c r="I724">
        <v>60000</v>
      </c>
      <c r="K724">
        <v>11150</v>
      </c>
    </row>
    <row r="725" spans="1:11" x14ac:dyDescent="0.3">
      <c r="A725" s="38">
        <v>46143</v>
      </c>
      <c r="B725" t="s">
        <v>220</v>
      </c>
      <c r="C725" s="95"/>
      <c r="D725" s="95">
        <v>30000</v>
      </c>
      <c r="E725" t="s">
        <v>701</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710</v>
      </c>
      <c r="C728" s="11"/>
      <c r="D728" s="11">
        <v>100000</v>
      </c>
      <c r="E728" t="s">
        <v>711</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702</v>
      </c>
      <c r="F730" s="110" t="s">
        <v>108</v>
      </c>
      <c r="I730">
        <v>7250</v>
      </c>
      <c r="K730">
        <v>35000</v>
      </c>
    </row>
    <row r="731" spans="1:11" x14ac:dyDescent="0.3">
      <c r="A731" s="114">
        <v>46144</v>
      </c>
      <c r="B731" t="s">
        <v>55</v>
      </c>
      <c r="C731" s="11">
        <v>4500</v>
      </c>
      <c r="D731" s="11"/>
      <c r="E731" t="s">
        <v>642</v>
      </c>
      <c r="F731" s="110" t="s">
        <v>108</v>
      </c>
      <c r="I731">
        <v>11150</v>
      </c>
      <c r="K731">
        <v>60000</v>
      </c>
    </row>
    <row r="732" spans="1:11" x14ac:dyDescent="0.3">
      <c r="A732" s="114">
        <v>46144</v>
      </c>
      <c r="B732" t="s">
        <v>176</v>
      </c>
      <c r="C732" s="11">
        <v>56000</v>
      </c>
      <c r="D732" s="11"/>
      <c r="E732" t="s">
        <v>703</v>
      </c>
      <c r="F732" s="110" t="s">
        <v>108</v>
      </c>
      <c r="I732">
        <v>10600</v>
      </c>
      <c r="K732">
        <v>80000</v>
      </c>
    </row>
    <row r="733" spans="1:11" x14ac:dyDescent="0.3">
      <c r="A733" s="114">
        <v>46144</v>
      </c>
      <c r="B733" t="s">
        <v>117</v>
      </c>
      <c r="C733" s="11">
        <f>104000-56000</f>
        <v>48000</v>
      </c>
      <c r="D733" s="11"/>
      <c r="E733" t="s">
        <v>704</v>
      </c>
      <c r="F733" s="110" t="s">
        <v>108</v>
      </c>
      <c r="I733">
        <v>1000</v>
      </c>
      <c r="K733">
        <v>18000</v>
      </c>
    </row>
    <row r="734" spans="1:11" x14ac:dyDescent="0.3">
      <c r="A734" s="38">
        <v>46144</v>
      </c>
      <c r="B734" t="s">
        <v>117</v>
      </c>
      <c r="C734" s="95">
        <v>4400</v>
      </c>
      <c r="D734" s="95"/>
      <c r="E734" t="s">
        <v>706</v>
      </c>
      <c r="F734" s="110" t="s">
        <v>108</v>
      </c>
      <c r="I734">
        <v>62000</v>
      </c>
      <c r="K734">
        <v>18400</v>
      </c>
    </row>
    <row r="735" spans="1:11" x14ac:dyDescent="0.3">
      <c r="A735" s="38">
        <v>46144</v>
      </c>
      <c r="B735" t="s">
        <v>55</v>
      </c>
      <c r="C735" s="95">
        <v>10620</v>
      </c>
      <c r="D735" s="95"/>
      <c r="E735" t="s">
        <v>707</v>
      </c>
      <c r="F735" s="110" t="s">
        <v>108</v>
      </c>
      <c r="I735">
        <v>26660</v>
      </c>
      <c r="K735">
        <v>17200</v>
      </c>
    </row>
    <row r="736" spans="1:11" x14ac:dyDescent="0.3">
      <c r="A736" s="38">
        <v>46144</v>
      </c>
      <c r="B736" t="s">
        <v>224</v>
      </c>
      <c r="C736" s="95">
        <v>200500</v>
      </c>
      <c r="D736" s="95"/>
      <c r="E736" t="s">
        <v>708</v>
      </c>
      <c r="F736" s="110" t="s">
        <v>108</v>
      </c>
      <c r="I736">
        <v>30000</v>
      </c>
      <c r="K736">
        <v>20000</v>
      </c>
    </row>
    <row r="737" spans="1:11" x14ac:dyDescent="0.3">
      <c r="A737" s="114">
        <v>46144</v>
      </c>
      <c r="B737" t="s">
        <v>224</v>
      </c>
      <c r="C737" s="95">
        <v>4000</v>
      </c>
      <c r="D737" s="95"/>
      <c r="E737" t="s">
        <v>341</v>
      </c>
      <c r="F737" s="110" t="s">
        <v>108</v>
      </c>
      <c r="I737">
        <v>9900</v>
      </c>
      <c r="K737">
        <v>24000</v>
      </c>
    </row>
    <row r="738" spans="1:11" x14ac:dyDescent="0.3">
      <c r="A738" s="114">
        <v>46144</v>
      </c>
      <c r="B738" t="s">
        <v>693</v>
      </c>
      <c r="C738" s="95">
        <v>1000</v>
      </c>
      <c r="D738" s="95"/>
      <c r="E738" t="s">
        <v>341</v>
      </c>
      <c r="F738" s="110" t="s">
        <v>108</v>
      </c>
      <c r="I738">
        <v>20000</v>
      </c>
      <c r="K738">
        <v>24000</v>
      </c>
    </row>
    <row r="739" spans="1:11" x14ac:dyDescent="0.3">
      <c r="A739" s="114">
        <v>46144</v>
      </c>
      <c r="B739" t="s">
        <v>641</v>
      </c>
      <c r="C739" s="95">
        <v>1000</v>
      </c>
      <c r="D739" s="95"/>
      <c r="E739" t="s">
        <v>341</v>
      </c>
      <c r="F739" s="110" t="s">
        <v>108</v>
      </c>
      <c r="K739">
        <v>9900</v>
      </c>
    </row>
    <row r="740" spans="1:1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x14ac:dyDescent="0.3">
      <c r="A743" s="38">
        <v>46144</v>
      </c>
      <c r="B743" t="s">
        <v>220</v>
      </c>
      <c r="C743" s="95">
        <v>500000</v>
      </c>
      <c r="D743" s="95"/>
      <c r="E743" t="s">
        <v>709</v>
      </c>
      <c r="F743" s="110" t="s">
        <v>108</v>
      </c>
    </row>
    <row r="744" spans="1:11" x14ac:dyDescent="0.3">
      <c r="A744" s="38">
        <v>46144</v>
      </c>
      <c r="B744" t="s">
        <v>220</v>
      </c>
      <c r="C744" s="95"/>
      <c r="D744" s="95">
        <v>400000</v>
      </c>
      <c r="E744" t="s">
        <v>109</v>
      </c>
      <c r="F744" s="110" t="s">
        <v>108</v>
      </c>
    </row>
    <row r="745" spans="1:11" x14ac:dyDescent="0.3">
      <c r="A745" s="38">
        <v>46145</v>
      </c>
      <c r="B745" t="s">
        <v>55</v>
      </c>
      <c r="C745" s="95">
        <v>1160</v>
      </c>
      <c r="D745" s="95"/>
      <c r="E745" t="s">
        <v>372</v>
      </c>
      <c r="F745" s="110" t="s">
        <v>108</v>
      </c>
    </row>
    <row r="746" spans="1:11" x14ac:dyDescent="0.3">
      <c r="A746" s="38">
        <v>46145</v>
      </c>
      <c r="B746" t="s">
        <v>55</v>
      </c>
      <c r="C746" s="95">
        <v>10200</v>
      </c>
      <c r="D746" s="95"/>
      <c r="E746" t="s">
        <v>642</v>
      </c>
      <c r="F746" s="110" t="s">
        <v>108</v>
      </c>
    </row>
    <row r="747" spans="1:11" x14ac:dyDescent="0.3">
      <c r="A747" s="38">
        <v>46145</v>
      </c>
      <c r="B747" t="s">
        <v>220</v>
      </c>
      <c r="C747" s="95"/>
      <c r="D747" s="95">
        <v>10200</v>
      </c>
      <c r="E747" t="s">
        <v>642</v>
      </c>
      <c r="F747" s="110" t="s">
        <v>108</v>
      </c>
    </row>
    <row r="748" spans="1:11" x14ac:dyDescent="0.3">
      <c r="A748" s="38">
        <v>46145</v>
      </c>
      <c r="B748" t="s">
        <v>55</v>
      </c>
      <c r="C748" s="95">
        <v>10000</v>
      </c>
      <c r="D748" s="95"/>
      <c r="E748" t="s">
        <v>315</v>
      </c>
      <c r="F748" s="110" t="s">
        <v>108</v>
      </c>
    </row>
    <row r="749" spans="1:11" x14ac:dyDescent="0.3">
      <c r="A749" s="38">
        <v>46145</v>
      </c>
      <c r="B749" t="s">
        <v>220</v>
      </c>
      <c r="C749" s="95"/>
      <c r="D749" s="95">
        <v>10000</v>
      </c>
      <c r="E749" t="s">
        <v>315</v>
      </c>
      <c r="F749" s="110" t="s">
        <v>108</v>
      </c>
    </row>
    <row r="750" spans="1:11" x14ac:dyDescent="0.3">
      <c r="A750" s="38">
        <v>46145</v>
      </c>
      <c r="B750" t="s">
        <v>212</v>
      </c>
      <c r="C750" s="95">
        <f>1970+780+780+1300+780</f>
        <v>5610</v>
      </c>
      <c r="D750" s="95"/>
      <c r="F750" s="110" t="s">
        <v>108</v>
      </c>
    </row>
    <row r="751" spans="1:11" x14ac:dyDescent="0.3">
      <c r="A751" s="38">
        <v>46146</v>
      </c>
      <c r="B751" t="s">
        <v>212</v>
      </c>
      <c r="C751" s="95">
        <f>750+1860+760</f>
        <v>3370</v>
      </c>
      <c r="D751" s="95"/>
      <c r="F751" s="110" t="s">
        <v>108</v>
      </c>
    </row>
    <row r="752" spans="1:11" x14ac:dyDescent="0.3">
      <c r="A752" s="138">
        <v>46146</v>
      </c>
      <c r="B752" t="s">
        <v>508</v>
      </c>
      <c r="C752" s="11">
        <v>5000</v>
      </c>
      <c r="D752" s="11"/>
      <c r="E752" t="s">
        <v>562</v>
      </c>
      <c r="F752" s="110" t="s">
        <v>108</v>
      </c>
    </row>
    <row r="753" spans="1:7" x14ac:dyDescent="0.3">
      <c r="A753" s="38">
        <v>46146</v>
      </c>
      <c r="B753" t="s">
        <v>55</v>
      </c>
      <c r="C753" s="11">
        <v>52160</v>
      </c>
      <c r="D753" s="11"/>
      <c r="E753" t="s">
        <v>315</v>
      </c>
      <c r="F753" s="110" t="s">
        <v>108</v>
      </c>
    </row>
    <row r="754" spans="1:7" x14ac:dyDescent="0.3">
      <c r="A754" s="138">
        <v>46146</v>
      </c>
      <c r="B754" t="s">
        <v>54</v>
      </c>
      <c r="C754" s="11">
        <v>2000</v>
      </c>
      <c r="D754" s="11"/>
      <c r="E754" t="s">
        <v>712</v>
      </c>
      <c r="F754" s="110" t="s">
        <v>108</v>
      </c>
    </row>
    <row r="755" spans="1:7" x14ac:dyDescent="0.3">
      <c r="A755" s="38">
        <v>46146</v>
      </c>
      <c r="B755" t="s">
        <v>54</v>
      </c>
      <c r="C755" s="11">
        <v>3000</v>
      </c>
      <c r="D755" s="11"/>
      <c r="E755" t="s">
        <v>713</v>
      </c>
      <c r="F755" s="110" t="s">
        <v>108</v>
      </c>
    </row>
    <row r="756" spans="1:7" x14ac:dyDescent="0.3">
      <c r="A756" s="138">
        <v>46146</v>
      </c>
      <c r="B756" t="s">
        <v>54</v>
      </c>
      <c r="C756" s="11">
        <v>5000</v>
      </c>
      <c r="D756" s="11"/>
      <c r="E756" t="s">
        <v>680</v>
      </c>
      <c r="F756" s="110" t="s">
        <v>108</v>
      </c>
    </row>
    <row r="757" spans="1:7" x14ac:dyDescent="0.3">
      <c r="A757" s="38">
        <v>46146</v>
      </c>
      <c r="B757" t="s">
        <v>55</v>
      </c>
      <c r="C757" s="11">
        <v>10000</v>
      </c>
      <c r="D757" s="11"/>
      <c r="E757" t="s">
        <v>714</v>
      </c>
      <c r="F757" s="110" t="s">
        <v>108</v>
      </c>
    </row>
    <row r="758" spans="1:7" x14ac:dyDescent="0.3">
      <c r="A758" s="138">
        <v>46146</v>
      </c>
      <c r="B758" t="s">
        <v>35</v>
      </c>
      <c r="C758" s="11"/>
      <c r="D758" s="11">
        <v>178000</v>
      </c>
      <c r="E758" t="s">
        <v>109</v>
      </c>
      <c r="F758" s="110" t="s">
        <v>108</v>
      </c>
    </row>
    <row r="759" spans="1:7" x14ac:dyDescent="0.3">
      <c r="A759" s="38">
        <v>46146</v>
      </c>
      <c r="B759" t="s">
        <v>9</v>
      </c>
      <c r="C759" s="11"/>
      <c r="D759" s="11">
        <v>100000</v>
      </c>
      <c r="E759" t="s">
        <v>715</v>
      </c>
      <c r="F759" s="110" t="s">
        <v>108</v>
      </c>
    </row>
    <row r="760" spans="1:7" x14ac:dyDescent="0.3">
      <c r="A760" s="138">
        <v>46146</v>
      </c>
      <c r="B760" t="s">
        <v>601</v>
      </c>
      <c r="C760" s="11">
        <v>9000</v>
      </c>
      <c r="D760" s="11"/>
      <c r="E760" t="s">
        <v>697</v>
      </c>
      <c r="F760" s="110" t="s">
        <v>108</v>
      </c>
    </row>
    <row r="761" spans="1:7" x14ac:dyDescent="0.3">
      <c r="A761" s="38">
        <v>46146</v>
      </c>
      <c r="B761" t="s">
        <v>298</v>
      </c>
      <c r="C761" s="11">
        <v>150000</v>
      </c>
      <c r="D761" s="11"/>
      <c r="E761" t="s">
        <v>716</v>
      </c>
      <c r="F761" s="110" t="s">
        <v>108</v>
      </c>
    </row>
    <row r="762" spans="1:7" x14ac:dyDescent="0.3">
      <c r="A762" s="138">
        <v>46146</v>
      </c>
      <c r="B762" t="s">
        <v>572</v>
      </c>
      <c r="C762" s="11">
        <v>18000</v>
      </c>
      <c r="D762" s="11"/>
      <c r="E762" t="s">
        <v>113</v>
      </c>
      <c r="F762" s="110" t="s">
        <v>108</v>
      </c>
    </row>
    <row r="763" spans="1:7" x14ac:dyDescent="0.3">
      <c r="A763" s="38">
        <v>46146</v>
      </c>
      <c r="B763" t="s">
        <v>117</v>
      </c>
      <c r="C763" s="11">
        <v>39000</v>
      </c>
      <c r="D763" s="11"/>
      <c r="E763" t="s">
        <v>531</v>
      </c>
      <c r="F763" s="110" t="s">
        <v>108</v>
      </c>
    </row>
    <row r="764" spans="1:7" x14ac:dyDescent="0.3">
      <c r="A764" s="138">
        <v>46146</v>
      </c>
      <c r="B764" s="139" t="s">
        <v>54</v>
      </c>
      <c r="C764" s="95">
        <v>700</v>
      </c>
      <c r="D764" s="95"/>
      <c r="E764" s="139" t="s">
        <v>470</v>
      </c>
      <c r="F764" s="140" t="s">
        <v>108</v>
      </c>
      <c r="G764" s="139"/>
    </row>
    <row r="765" spans="1:7" x14ac:dyDescent="0.3">
      <c r="A765" s="38">
        <v>46146</v>
      </c>
      <c r="B765" t="s">
        <v>192</v>
      </c>
      <c r="C765" s="11"/>
      <c r="D765" s="11">
        <v>100000</v>
      </c>
      <c r="E765" t="s">
        <v>365</v>
      </c>
      <c r="F765" s="110" t="s">
        <v>108</v>
      </c>
    </row>
    <row r="766" spans="1:7" x14ac:dyDescent="0.3">
      <c r="A766" s="138">
        <v>46146</v>
      </c>
      <c r="B766" t="s">
        <v>55</v>
      </c>
      <c r="C766" s="11">
        <v>24080</v>
      </c>
      <c r="D766" s="11"/>
      <c r="E766" t="s">
        <v>315</v>
      </c>
      <c r="F766" s="110" t="s">
        <v>108</v>
      </c>
    </row>
    <row r="767" spans="1:7" x14ac:dyDescent="0.3">
      <c r="A767" s="38">
        <v>46146</v>
      </c>
      <c r="B767" t="s">
        <v>717</v>
      </c>
      <c r="C767" s="11">
        <v>60000</v>
      </c>
      <c r="D767" s="11"/>
      <c r="F767" s="110" t="s">
        <v>108</v>
      </c>
    </row>
    <row r="768" spans="1:7" x14ac:dyDescent="0.3">
      <c r="A768" s="38"/>
      <c r="C768" s="14">
        <f>SUBTOTAL(109,Table14[Debit])</f>
        <v>37203133.399999999</v>
      </c>
      <c r="D768" s="14">
        <f>SUBTOTAL(109,Table14[Credit])</f>
        <v>37226536.229517192</v>
      </c>
      <c r="F768" s="54">
        <f>(Table14[[#Totals],[Credit]]-Table14[[#Totals],[Debit]])</f>
        <v>23402.829517193139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A32" sqref="A3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1"/>
      <c r="M10" s="141">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1">
        <v>718750</v>
      </c>
      <c r="M11" s="14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1"/>
      <c r="M12" s="141">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1"/>
      <c r="M13" s="141">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1">
        <v>718750</v>
      </c>
      <c r="M14" s="141">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2336755</v>
      </c>
      <c r="G42">
        <f>SUBTOTAL(109,Table8[Paid])</f>
        <v>2320880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9"/>
  <sheetViews>
    <sheetView topLeftCell="A29"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1">
        <v>0</v>
      </c>
      <c r="L5" s="141">
        <v>0</v>
      </c>
      <c r="M5" s="141">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1">
        <v>0</v>
      </c>
      <c r="L6" s="141">
        <v>0</v>
      </c>
      <c r="M6" s="141">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1">
        <v>450800</v>
      </c>
      <c r="L7" s="141">
        <v>450800</v>
      </c>
      <c r="M7" s="141">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1">
        <v>120000</v>
      </c>
      <c r="L8" s="141">
        <v>185000</v>
      </c>
      <c r="M8" s="141">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1">
        <v>312000</v>
      </c>
      <c r="L9" s="141">
        <v>312000</v>
      </c>
      <c r="M9" s="141">
        <v>0</v>
      </c>
    </row>
    <row r="10" spans="1:13" x14ac:dyDescent="0.3">
      <c r="A10" s="84">
        <v>46073</v>
      </c>
      <c r="B10" s="1" t="s">
        <v>226</v>
      </c>
      <c r="C10" t="s">
        <v>211</v>
      </c>
      <c r="F10">
        <f>260*325</f>
        <v>84500</v>
      </c>
      <c r="H10" s="80">
        <f>Table2[[#This Row],[Price]]-Table2[[#This Row],[Paid]]</f>
        <v>84500</v>
      </c>
      <c r="J10" s="4" t="s">
        <v>195</v>
      </c>
      <c r="K10" s="141">
        <v>152950</v>
      </c>
      <c r="L10" s="141">
        <v>152950</v>
      </c>
      <c r="M10" s="141">
        <v>0</v>
      </c>
    </row>
    <row r="11" spans="1:13" x14ac:dyDescent="0.3">
      <c r="A11" s="1"/>
      <c r="B11" s="1"/>
      <c r="J11" s="4" t="s">
        <v>226</v>
      </c>
      <c r="K11" s="141">
        <v>84500</v>
      </c>
      <c r="L11" s="141">
        <v>142500</v>
      </c>
      <c r="M11" s="141">
        <v>-58000</v>
      </c>
    </row>
    <row r="12" spans="1:13" x14ac:dyDescent="0.3">
      <c r="A12" s="1"/>
      <c r="B12" s="1"/>
      <c r="J12" s="4" t="s">
        <v>427</v>
      </c>
      <c r="K12" s="141">
        <v>0</v>
      </c>
      <c r="L12" s="141">
        <v>0</v>
      </c>
      <c r="M12" s="141">
        <v>0</v>
      </c>
    </row>
    <row r="13" spans="1:13" x14ac:dyDescent="0.3">
      <c r="A13" s="1"/>
      <c r="B13" s="1"/>
      <c r="J13" s="4" t="s">
        <v>672</v>
      </c>
      <c r="K13" s="141">
        <v>0</v>
      </c>
      <c r="L13" s="141">
        <v>3000</v>
      </c>
      <c r="M13" s="141">
        <v>-3000</v>
      </c>
    </row>
    <row r="14" spans="1:13" x14ac:dyDescent="0.3">
      <c r="A14" s="1"/>
      <c r="B14" s="1"/>
      <c r="J14" s="4" t="s">
        <v>28</v>
      </c>
      <c r="K14" s="141">
        <v>1120250</v>
      </c>
      <c r="L14" s="141">
        <v>1246250</v>
      </c>
      <c r="M14" s="141">
        <v>-6000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f>Table2[[#This Row],[Quantity]]*200*Table2[[#This Row],[Boxes]]</f>
        <v>0</v>
      </c>
      <c r="G43">
        <f>SUMIFS(Table14[Debit], Table14[Date], Table2[[#This Row],[Date]], Table14[Party], Table2[[#This Row],[Party Name]])</f>
        <v>0</v>
      </c>
      <c r="H43">
        <f>Table2[[#This Row],[Price]]-Table2[[#This Row],[Paid]]</f>
        <v>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672</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s="141">
        <v>39000</v>
      </c>
      <c r="G48" s="141">
        <f>SUMIFS(Table14[Debit], Table14[Date], Table2[[#This Row],[Date]], Table14[Party], Table2[[#This Row],[Party Name]])</f>
        <v>39000</v>
      </c>
      <c r="H48" s="141">
        <f>Table2[[#This Row],[Price]]-Table2[[#This Row],[Paid]]</f>
        <v>0</v>
      </c>
    </row>
    <row r="49" spans="1:8" x14ac:dyDescent="0.3">
      <c r="A49" s="1"/>
      <c r="F49">
        <f>SUBTOTAL(109,Table2[Price])</f>
        <v>1120250</v>
      </c>
      <c r="G49">
        <f>SUBTOTAL(109,Table2[Paid])</f>
        <v>1246250</v>
      </c>
      <c r="H49">
        <f>SUBTOTAL(109,Table2[Balance])</f>
        <v>-6000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J32" sqref="J3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2807120</v>
      </c>
      <c r="C2" s="32">
        <f>GETPIVOTDATA("Sum of Tiyaar/gaz",$A$3)</f>
        <v>2783713</v>
      </c>
      <c r="D2" s="31">
        <f>((B2*48)+((C2/1.0936)*10))/C2</f>
        <v>57.547721765752215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12342</v>
      </c>
      <c r="D95" s="28">
        <f t="shared" si="37"/>
        <v>67.454271620199577</v>
      </c>
      <c r="E95" s="11">
        <f t="shared" si="38"/>
        <v>16396.344799999999</v>
      </c>
      <c r="F95" s="11">
        <f t="shared" si="39"/>
        <v>12342</v>
      </c>
      <c r="G95" s="78">
        <f t="shared" si="40"/>
        <v>24.727125767689387</v>
      </c>
      <c r="H95" s="28">
        <f t="shared" si="41"/>
        <v>11285.662033650331</v>
      </c>
      <c r="I95" s="28">
        <f t="shared" si="42"/>
        <v>67.454271620199577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t="s">
        <v>28</v>
      </c>
      <c r="B109" s="30">
        <v>101030</v>
      </c>
      <c r="C109" s="30">
        <v>2783713</v>
      </c>
      <c r="D109" s="28">
        <f t="shared" si="37"/>
        <v>10.886187333143679</v>
      </c>
      <c r="E109" s="11">
        <f t="shared" si="38"/>
        <v>110486.408</v>
      </c>
      <c r="F109" s="11">
        <f t="shared" si="39"/>
        <v>2783713</v>
      </c>
      <c r="G109" s="78">
        <f t="shared" si="40"/>
        <v>-2419.5071958534486</v>
      </c>
      <c r="H109" s="28">
        <f t="shared" si="41"/>
        <v>2545458.1199707389</v>
      </c>
      <c r="I109" s="28">
        <f t="shared" si="42"/>
        <v>10.886187333143679</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7"/>
  <sheetViews>
    <sheetView topLeftCell="A46" workbookViewId="0">
      <selection activeCell="B70" sqref="B70:B75"/>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c r="D76">
        <f>SUM(Table5[Amount])</f>
        <v>245140</v>
      </c>
      <c r="H76" s="1">
        <v>46146</v>
      </c>
      <c r="J76">
        <f>SUMIFS(Table14[Debit], Table14[Date], Table15[[#This Row],[Date]], Table14[Party], "Parts")</f>
        <v>86240</v>
      </c>
    </row>
    <row r="77" spans="2:10" x14ac:dyDescent="0.3">
      <c r="H77" s="1"/>
      <c r="J77">
        <f>SUM(Table15[Amount])</f>
        <v>1279522</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I13" sqref="I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24333190.491587423</v>
      </c>
    </row>
    <row r="3" spans="1:3" ht="21" x14ac:dyDescent="0.4">
      <c r="A3" s="101" t="str">
        <f>Billing!R38</f>
        <v>Rauf Khan</v>
      </c>
      <c r="B3" s="104">
        <f>Billing!AF38</f>
        <v>0</v>
      </c>
      <c r="C3" s="102">
        <f>Billing!AG38</f>
        <v>1117008.0468178494</v>
      </c>
    </row>
    <row r="4" spans="1:3" ht="21" x14ac:dyDescent="0.4">
      <c r="A4" s="101" t="str">
        <f>Billing!R25</f>
        <v>Shahid Qasayi</v>
      </c>
      <c r="B4" s="104">
        <f>Billing!AF25</f>
        <v>3845477</v>
      </c>
      <c r="C4" s="102">
        <f>Billing!AG25</f>
        <v>576552.9926847117</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Billing!R36</f>
        <v>Faizan Kamoki</v>
      </c>
      <c r="B8" s="104">
        <f>Billing!AF36</f>
        <v>5245323.4930504756</v>
      </c>
      <c r="C8" s="102">
        <f>Billing!AG36</f>
        <v>380582.68836869113</v>
      </c>
    </row>
    <row r="9" spans="1:3" ht="21" x14ac:dyDescent="0.4">
      <c r="A9" s="101" t="str">
        <f>Billing!R27</f>
        <v>ibraheem behraam</v>
      </c>
      <c r="B9" s="104">
        <f>Billing!AF27</f>
        <v>1723500</v>
      </c>
      <c r="C9" s="102">
        <f>Billing!AG27</f>
        <v>182279.07827359205</v>
      </c>
    </row>
    <row r="10" spans="1:3" ht="21" x14ac:dyDescent="0.4">
      <c r="A10" s="101" t="str">
        <f>Billing!R13</f>
        <v>Ubaidullah</v>
      </c>
      <c r="B10" s="104">
        <f>Billing!AF13</f>
        <v>3009990</v>
      </c>
      <c r="C10" s="102">
        <f>Billing!AG13</f>
        <v>101613.8771031457</v>
      </c>
    </row>
    <row r="11" spans="1:3" ht="21" x14ac:dyDescent="0.4">
      <c r="A11" s="101" t="str">
        <f>Billing!R6</f>
        <v>Ejaz Sahab</v>
      </c>
      <c r="B11" s="104">
        <f>Billing!AF6</f>
        <v>7214622</v>
      </c>
      <c r="C11" s="102">
        <f>Billing!AG6</f>
        <v>270520.64813460223</v>
      </c>
    </row>
    <row r="12" spans="1:3" ht="21" x14ac:dyDescent="0.4">
      <c r="A12" s="101" t="str">
        <f>Billing!R7</f>
        <v>Arshad</v>
      </c>
      <c r="B12" s="104">
        <f>Billing!AF7</f>
        <v>9775501</v>
      </c>
      <c r="C12" s="103">
        <f>Billing!AG7</f>
        <v>37106.900512069464</v>
      </c>
    </row>
    <row r="13" spans="1:3" ht="21" x14ac:dyDescent="0.4">
      <c r="A13" s="101" t="str">
        <f>Billing!R11</f>
        <v>Raaz Fabrics</v>
      </c>
      <c r="B13" s="104">
        <f>Billing!AF11</f>
        <v>1726321</v>
      </c>
      <c r="C13" s="103">
        <f>Billing!AG11</f>
        <v>132704.23774689133</v>
      </c>
    </row>
    <row r="14" spans="1:3" ht="21" x14ac:dyDescent="0.4">
      <c r="A14" s="101" t="str">
        <f>Billing!R14</f>
        <v>Ashraf Zia</v>
      </c>
      <c r="B14" s="104">
        <f>Billing!AF14</f>
        <v>130000</v>
      </c>
      <c r="C14" s="102">
        <f>Billing!AG14</f>
        <v>125724.21360643749</v>
      </c>
    </row>
    <row r="15" spans="1:3" ht="21" x14ac:dyDescent="0.4">
      <c r="A15" s="101" t="str">
        <f>Billing!R16</f>
        <v>Badshah Fabrics</v>
      </c>
      <c r="B15" s="104">
        <f>Billing!AF16</f>
        <v>6545761</v>
      </c>
      <c r="C15" s="102">
        <f>Billing!AG16</f>
        <v>91938.341623995453</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Billing!R37</f>
        <v>KK fabrics</v>
      </c>
      <c r="B20" s="104">
        <f>Billing!AF37</f>
        <v>544000</v>
      </c>
      <c r="C20" s="102">
        <f>Billing!AG37</f>
        <v>1345.6474030724494</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t="str">
        <f>Billing!R39</f>
        <v>Farhaan ali</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4" priority="1" operator="lessThan">
      <formula>10</formula>
    </cfRule>
  </conditionalFormatting>
  <conditionalFormatting sqref="C2:C41">
    <cfRule type="cellIs" dxfId="2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f t="shared" si="0"/>
        <v>0</v>
      </c>
      <c r="B37" s="10" t="e">
        <f>_xlfn.XLOOKUP($A37,[1]Billing!$Q$5:$Q$40,[1]Billing!$AD$5:$AD$40)</f>
        <v>#N/A</v>
      </c>
      <c r="G37">
        <v>0</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2026-05-04T21:11:44Z</dcterms:modified>
  <cp:category/>
  <cp:contentStatus/>
</cp:coreProperties>
</file>