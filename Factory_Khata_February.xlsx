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01" documentId="8_{5FA7CF9A-3CD5-4319-9FC5-E34696581AAD}" xr6:coauthVersionLast="47" xr6:coauthVersionMax="47" xr10:uidLastSave="{406422D1-EB35-4ACD-8522-9D782EF0AF04}"/>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4" i="1" l="1"/>
  <c r="J214" i="1" a="1"/>
  <c r="J214" i="1" s="1"/>
  <c r="I215" i="1"/>
  <c r="J215" i="1" s="1" a="1"/>
  <c r="J215" i="1" s="1"/>
  <c r="I216" i="1"/>
  <c r="J216" i="1" a="1"/>
  <c r="J216" i="1" s="1"/>
  <c r="I217" i="1"/>
  <c r="J217" i="1" a="1"/>
  <c r="J217" i="1"/>
  <c r="I218" i="1"/>
  <c r="J218" i="1" a="1"/>
  <c r="J218" i="1" s="1"/>
  <c r="I219" i="1"/>
  <c r="J219" i="1" s="1" a="1"/>
  <c r="J219" i="1" s="1"/>
  <c r="I220" i="1"/>
  <c r="J220" i="1" a="1"/>
  <c r="J220" i="1" s="1"/>
  <c r="I221" i="1"/>
  <c r="J221" i="1" a="1"/>
  <c r="J221" i="1"/>
  <c r="H222" i="1"/>
  <c r="H223" i="1"/>
  <c r="H224" i="1"/>
  <c r="H225" i="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4" i="15"/>
  <c r="F45" i="15"/>
  <c r="F46" i="15"/>
  <c r="F47" i="15"/>
  <c r="G44" i="15"/>
  <c r="H44" i="15" s="1"/>
  <c r="G45" i="15"/>
  <c r="H45" i="15" s="1"/>
  <c r="G46" i="15"/>
  <c r="H46" i="15" s="1"/>
  <c r="G47" i="15"/>
  <c r="F43" i="15"/>
  <c r="G43" i="15"/>
  <c r="H43" i="15" s="1"/>
  <c r="I201" i="1"/>
  <c r="J201" i="1" s="1" a="1"/>
  <c r="J201" i="1" s="1"/>
  <c r="I202" i="1"/>
  <c r="J202" i="1" a="1"/>
  <c r="J202" i="1" s="1"/>
  <c r="I203" i="1"/>
  <c r="J203" i="1" a="1"/>
  <c r="J203" i="1" s="1"/>
  <c r="I200" i="1"/>
  <c r="J200" i="1" a="1"/>
  <c r="J200" i="1" s="1"/>
  <c r="I204" i="1"/>
  <c r="J204" i="1" s="1" a="1"/>
  <c r="J204" i="1" s="1"/>
  <c r="I205" i="1"/>
  <c r="J205" i="1" a="1"/>
  <c r="J205" i="1" s="1"/>
  <c r="I206" i="1"/>
  <c r="J206" i="1" a="1"/>
  <c r="J206" i="1" s="1"/>
  <c r="I207" i="1"/>
  <c r="J207" i="1" a="1"/>
  <c r="J207" i="1" s="1"/>
  <c r="I208" i="1"/>
  <c r="J208" i="1" s="1" a="1"/>
  <c r="J208" i="1" s="1"/>
  <c r="I209" i="1"/>
  <c r="J209" i="1" a="1"/>
  <c r="J209" i="1" s="1"/>
  <c r="I210" i="1"/>
  <c r="J210" i="1" a="1"/>
  <c r="J210" i="1" s="1"/>
  <c r="I211" i="1"/>
  <c r="J211" i="1" a="1"/>
  <c r="J211" i="1" s="1"/>
  <c r="I212" i="1"/>
  <c r="J212" i="1" s="1" a="1"/>
  <c r="J212" i="1" s="1"/>
  <c r="I213" i="1"/>
  <c r="J213" i="1" a="1"/>
  <c r="J213" i="1" s="1"/>
  <c r="B49" i="9" a="1"/>
  <c r="N64" i="9" s="1" a="1"/>
  <c r="N64" i="9" s="1"/>
  <c r="I81" i="1"/>
  <c r="J81" i="1" a="1"/>
  <c r="J81" i="1" s="1"/>
  <c r="I82" i="1"/>
  <c r="J82" i="1" a="1"/>
  <c r="J82" i="1" s="1"/>
  <c r="I83" i="1"/>
  <c r="J83" i="1" a="1"/>
  <c r="J83" i="1" s="1"/>
  <c r="I84" i="1"/>
  <c r="J84" i="1" a="1"/>
  <c r="J84" i="1" s="1"/>
  <c r="I87" i="1"/>
  <c r="J87" i="1" a="1"/>
  <c r="J87" i="1" s="1"/>
  <c r="I88" i="1"/>
  <c r="J88" i="1" a="1"/>
  <c r="J88" i="1" s="1"/>
  <c r="I89" i="1"/>
  <c r="J89" i="1" a="1"/>
  <c r="J89" i="1" s="1"/>
  <c r="I91" i="1"/>
  <c r="J91" i="1" a="1"/>
  <c r="J91" i="1" s="1"/>
  <c r="I97" i="1"/>
  <c r="J97" i="1" a="1"/>
  <c r="J97" i="1" s="1"/>
  <c r="I150" i="1"/>
  <c r="J150" i="1" a="1"/>
  <c r="J150" i="1" s="1"/>
  <c r="I151" i="1"/>
  <c r="J151" i="1" a="1"/>
  <c r="J151" i="1" s="1"/>
  <c r="I152" i="1"/>
  <c r="J152" i="1" a="1"/>
  <c r="J152" i="1" s="1"/>
  <c r="I156" i="1"/>
  <c r="J156" i="1" a="1"/>
  <c r="J156" i="1" s="1"/>
  <c r="I157" i="1"/>
  <c r="J157" i="1" a="1"/>
  <c r="J157" i="1" s="1"/>
  <c r="I164" i="1"/>
  <c r="J164" i="1" a="1"/>
  <c r="J164" i="1" s="1"/>
  <c r="I165" i="1"/>
  <c r="J165" i="1" a="1"/>
  <c r="J165" i="1" s="1"/>
  <c r="I166" i="1"/>
  <c r="J166" i="1" a="1"/>
  <c r="J166" i="1" s="1"/>
  <c r="I167" i="1"/>
  <c r="J167" i="1" a="1"/>
  <c r="J167" i="1" s="1"/>
  <c r="I169" i="1"/>
  <c r="J169" i="1" a="1"/>
  <c r="J169" i="1" s="1"/>
  <c r="I179" i="1"/>
  <c r="J179" i="1" a="1"/>
  <c r="J179" i="1" s="1"/>
  <c r="I187" i="1"/>
  <c r="J187" i="1" a="1"/>
  <c r="J187" i="1" s="1"/>
  <c r="I193" i="1"/>
  <c r="J193" i="1" a="1"/>
  <c r="J193" i="1" s="1"/>
  <c r="I194" i="1"/>
  <c r="J194" i="1" a="1"/>
  <c r="J194" i="1" s="1"/>
  <c r="I195" i="1"/>
  <c r="J195" i="1" a="1"/>
  <c r="J195" i="1" s="1"/>
  <c r="I77" i="1"/>
  <c r="J77" i="1" a="1"/>
  <c r="J77" i="1" s="1"/>
  <c r="I127" i="1"/>
  <c r="J127" i="1" a="1"/>
  <c r="J127" i="1" s="1"/>
  <c r="I130" i="1"/>
  <c r="J130" i="1" a="1"/>
  <c r="J130" i="1" s="1"/>
  <c r="I131" i="1"/>
  <c r="J131" i="1" a="1"/>
  <c r="J131" i="1" s="1"/>
  <c r="I132" i="1"/>
  <c r="J132" i="1" a="1"/>
  <c r="J132" i="1" s="1"/>
  <c r="I133" i="1"/>
  <c r="J133" i="1" a="1"/>
  <c r="J133" i="1" s="1"/>
  <c r="I137" i="1"/>
  <c r="J137" i="1" a="1"/>
  <c r="J137" i="1" s="1"/>
  <c r="I138" i="1"/>
  <c r="J138" i="1" a="1"/>
  <c r="J138" i="1" s="1"/>
  <c r="I139" i="1"/>
  <c r="J139" i="1" a="1"/>
  <c r="J139" i="1" s="1"/>
  <c r="I140" i="1"/>
  <c r="J140" i="1" a="1"/>
  <c r="J140" i="1" s="1"/>
  <c r="I141" i="1"/>
  <c r="J141" i="1" a="1"/>
  <c r="J141" i="1" s="1"/>
  <c r="I142" i="1"/>
  <c r="J142" i="1" a="1"/>
  <c r="J142" i="1" s="1"/>
  <c r="I95" i="1"/>
  <c r="J95" i="1" s="1" a="1"/>
  <c r="J95" i="1" s="1"/>
  <c r="I102" i="1"/>
  <c r="J102" i="1" s="1" a="1"/>
  <c r="J102" i="1" s="1"/>
  <c r="I108" i="1"/>
  <c r="J108" i="1" s="1" a="1"/>
  <c r="J108" i="1" s="1"/>
  <c r="I109" i="1"/>
  <c r="J109" i="1" a="1"/>
  <c r="J109" i="1" s="1"/>
  <c r="I117" i="1"/>
  <c r="J117" i="1" s="1" a="1"/>
  <c r="J117" i="1" s="1"/>
  <c r="I118" i="1"/>
  <c r="J118" i="1" s="1" a="1"/>
  <c r="J118" i="1" s="1"/>
  <c r="I121" i="1"/>
  <c r="J121" i="1" s="1" a="1"/>
  <c r="J121" i="1" s="1"/>
  <c r="I134" i="1"/>
  <c r="J134" i="1" a="1"/>
  <c r="J134" i="1" s="1"/>
  <c r="I135" i="1"/>
  <c r="J135" i="1" s="1" a="1"/>
  <c r="J135" i="1" s="1"/>
  <c r="I158" i="1"/>
  <c r="J158" i="1" s="1" a="1"/>
  <c r="J158" i="1" s="1"/>
  <c r="I161" i="1"/>
  <c r="J161" i="1" s="1" a="1"/>
  <c r="J161" i="1" s="1"/>
  <c r="I162" i="1"/>
  <c r="J162" i="1" a="1"/>
  <c r="J162" i="1" s="1"/>
  <c r="I177" i="1"/>
  <c r="J177" i="1" s="1" a="1"/>
  <c r="J177" i="1" s="1"/>
  <c r="I178" i="1"/>
  <c r="J178" i="1" s="1" a="1"/>
  <c r="J178" i="1" s="1"/>
  <c r="I185" i="1"/>
  <c r="J185" i="1" s="1" a="1"/>
  <c r="J185" i="1" s="1"/>
  <c r="I186" i="1"/>
  <c r="J186" i="1" a="1"/>
  <c r="J186" i="1" s="1"/>
  <c r="I190" i="1"/>
  <c r="J190" i="1" s="1" a="1"/>
  <c r="J190" i="1" s="1"/>
  <c r="I192" i="1"/>
  <c r="J192" i="1" s="1" a="1"/>
  <c r="J192" i="1" s="1"/>
  <c r="I72" i="1"/>
  <c r="J72" i="1" s="1" a="1"/>
  <c r="J72" i="1" s="1"/>
  <c r="I75" i="1"/>
  <c r="J75" i="1" s="1" a="1"/>
  <c r="J75" i="1" s="1"/>
  <c r="I85" i="1"/>
  <c r="J85" i="1" s="1" a="1"/>
  <c r="J85" i="1" s="1"/>
  <c r="I86" i="1"/>
  <c r="J86" i="1" a="1"/>
  <c r="J86" i="1" s="1"/>
  <c r="I159" i="1"/>
  <c r="J159" i="1" s="1" a="1"/>
  <c r="J159" i="1" s="1"/>
  <c r="I163" i="1"/>
  <c r="J163" i="1" s="1" a="1"/>
  <c r="J163" i="1" s="1"/>
  <c r="I170" i="1"/>
  <c r="J170" i="1" s="1" a="1"/>
  <c r="J170" i="1" s="1"/>
  <c r="I171" i="1"/>
  <c r="J171" i="1" a="1"/>
  <c r="J171" i="1" s="1"/>
  <c r="I172" i="1"/>
  <c r="J172" i="1" s="1" a="1"/>
  <c r="J172" i="1" s="1"/>
  <c r="I173" i="1"/>
  <c r="J173" i="1" s="1" a="1"/>
  <c r="J173" i="1" s="1"/>
  <c r="I98" i="1"/>
  <c r="J98" i="1" s="1" a="1"/>
  <c r="J98" i="1" s="1"/>
  <c r="I116" i="1"/>
  <c r="J116" i="1" a="1"/>
  <c r="J116" i="1" s="1"/>
  <c r="I154" i="1"/>
  <c r="J154" i="1" s="1" a="1"/>
  <c r="J154" i="1" s="1"/>
  <c r="I174" i="1"/>
  <c r="J174" i="1" a="1"/>
  <c r="J174" i="1" s="1"/>
  <c r="I189" i="1"/>
  <c r="J189" i="1" s="1" a="1"/>
  <c r="J189" i="1" s="1"/>
  <c r="I191" i="1"/>
  <c r="J191" i="1" a="1"/>
  <c r="J191" i="1" s="1"/>
  <c r="I79" i="1"/>
  <c r="J79" i="1" a="1"/>
  <c r="J79" i="1" s="1"/>
  <c r="I80" i="1"/>
  <c r="J80" i="1" s="1" a="1"/>
  <c r="J80" i="1" s="1"/>
  <c r="I114" i="1"/>
  <c r="J114" i="1" a="1"/>
  <c r="J114" i="1" s="1"/>
  <c r="I115" i="1"/>
  <c r="J115" i="1" s="1" a="1"/>
  <c r="J115" i="1" s="1"/>
  <c r="I180" i="1"/>
  <c r="J180" i="1" a="1"/>
  <c r="J180" i="1" s="1"/>
  <c r="I182" i="1"/>
  <c r="J182" i="1" s="1" a="1"/>
  <c r="J182" i="1" s="1"/>
  <c r="I188" i="1"/>
  <c r="J188" i="1" a="1"/>
  <c r="J188" i="1" s="1"/>
  <c r="I99" i="1"/>
  <c r="J99" i="1" s="1" a="1"/>
  <c r="J99" i="1" s="1"/>
  <c r="I147" i="1"/>
  <c r="J147" i="1" s="1" a="1"/>
  <c r="J147" i="1" s="1"/>
  <c r="I148" i="1"/>
  <c r="J148" i="1" a="1"/>
  <c r="J148" i="1" s="1"/>
  <c r="I149" i="1"/>
  <c r="J149" i="1" a="1"/>
  <c r="J149" i="1" s="1"/>
  <c r="I101" i="1"/>
  <c r="J101" i="1" s="1" a="1"/>
  <c r="J101" i="1" s="1"/>
  <c r="I105" i="1"/>
  <c r="J105" i="1" a="1"/>
  <c r="J105" i="1" s="1"/>
  <c r="I175" i="1"/>
  <c r="J175" i="1" s="1" a="1"/>
  <c r="J175" i="1" s="1"/>
  <c r="I176" i="1"/>
  <c r="J176" i="1" s="1" a="1"/>
  <c r="J176" i="1" s="1"/>
  <c r="I181" i="1"/>
  <c r="J181" i="1" s="1" a="1"/>
  <c r="J181" i="1" s="1"/>
  <c r="I73" i="1"/>
  <c r="J73" i="1" a="1"/>
  <c r="J73" i="1" s="1"/>
  <c r="I74" i="1"/>
  <c r="J74" i="1" s="1" a="1"/>
  <c r="J74" i="1" s="1"/>
  <c r="I78" i="1"/>
  <c r="J78" i="1" s="1" a="1"/>
  <c r="J78" i="1" s="1"/>
  <c r="I100" i="1"/>
  <c r="J100" i="1" a="1"/>
  <c r="J100" i="1" s="1"/>
  <c r="I123" i="1"/>
  <c r="J123" i="1" a="1"/>
  <c r="J123" i="1" s="1"/>
  <c r="I124" i="1"/>
  <c r="J124" i="1" s="1" a="1"/>
  <c r="J124" i="1" s="1"/>
  <c r="I145" i="1"/>
  <c r="J145" i="1" s="1" a="1"/>
  <c r="J145" i="1" s="1"/>
  <c r="I146" i="1"/>
  <c r="J146" i="1" a="1"/>
  <c r="J146" i="1" s="1"/>
  <c r="I199" i="1"/>
  <c r="J199" i="1" a="1"/>
  <c r="J199" i="1" s="1"/>
  <c r="I70" i="1"/>
  <c r="J70" i="1" s="1" a="1"/>
  <c r="J70" i="1" s="1"/>
  <c r="I71" i="1"/>
  <c r="J71" i="1" a="1"/>
  <c r="J71" i="1" s="1"/>
  <c r="I96" i="1"/>
  <c r="J96" i="1" s="1" a="1"/>
  <c r="J96" i="1" s="1"/>
  <c r="I144" i="1"/>
  <c r="J144" i="1" s="1" a="1"/>
  <c r="J144" i="1" s="1"/>
  <c r="I153" i="1"/>
  <c r="J153" i="1" a="1"/>
  <c r="J153" i="1" s="1"/>
  <c r="I160" i="1"/>
  <c r="J160" i="1" a="1"/>
  <c r="J160" i="1" s="1"/>
  <c r="I136" i="1"/>
  <c r="J136" i="1" s="1" a="1"/>
  <c r="J136" i="1" s="1"/>
  <c r="I143" i="1"/>
  <c r="J143" i="1" a="1"/>
  <c r="J143" i="1" s="1"/>
  <c r="I155" i="1"/>
  <c r="J155" i="1" a="1"/>
  <c r="J155" i="1" s="1"/>
  <c r="I103" i="1"/>
  <c r="J103" i="1" a="1"/>
  <c r="J103" i="1" s="1"/>
  <c r="I104" i="1"/>
  <c r="J104" i="1" a="1"/>
  <c r="J104" i="1" s="1"/>
  <c r="I119" i="1"/>
  <c r="J119" i="1" a="1"/>
  <c r="J119" i="1" s="1"/>
  <c r="I120" i="1"/>
  <c r="J120" i="1" s="1" a="1"/>
  <c r="J120" i="1" s="1"/>
  <c r="I122" i="1"/>
  <c r="J122" i="1" a="1"/>
  <c r="J122" i="1" s="1"/>
  <c r="I112" i="1"/>
  <c r="J112" i="1"/>
  <c r="I113" i="1"/>
  <c r="J113" i="1"/>
  <c r="I76" i="1"/>
  <c r="J76" i="1" a="1"/>
  <c r="J76" i="1" s="1"/>
  <c r="I128" i="1"/>
  <c r="J128" i="1" a="1"/>
  <c r="J128" i="1" s="1"/>
  <c r="I129" i="1"/>
  <c r="J129" i="1" s="1" a="1"/>
  <c r="J129" i="1" s="1"/>
  <c r="I92" i="1"/>
  <c r="J92" i="1" a="1"/>
  <c r="J92" i="1" s="1"/>
  <c r="I93" i="1"/>
  <c r="J93" i="1" a="1"/>
  <c r="J93" i="1" s="1"/>
  <c r="I94" i="1"/>
  <c r="J94" i="1" s="1" a="1"/>
  <c r="J94" i="1" s="1"/>
  <c r="I106" i="1"/>
  <c r="J106" i="1" s="1" a="1"/>
  <c r="J106" i="1" s="1"/>
  <c r="I107" i="1"/>
  <c r="J107" i="1" a="1"/>
  <c r="J107" i="1" s="1"/>
  <c r="I110" i="1"/>
  <c r="J110" i="1" a="1"/>
  <c r="J110" i="1" s="1"/>
  <c r="I183" i="1"/>
  <c r="J183" i="1" s="1" a="1"/>
  <c r="J183" i="1" s="1"/>
  <c r="I184" i="1"/>
  <c r="J184" i="1" s="1" a="1"/>
  <c r="J184" i="1" s="1"/>
  <c r="I90" i="1"/>
  <c r="J90" i="1" a="1"/>
  <c r="J90" i="1" s="1"/>
  <c r="I125" i="1"/>
  <c r="J125" i="1" a="1"/>
  <c r="J125" i="1" s="1"/>
  <c r="I126" i="1"/>
  <c r="J126" i="1" a="1"/>
  <c r="J126" i="1" s="1"/>
  <c r="I197" i="1"/>
  <c r="J197" i="1" s="1" a="1"/>
  <c r="J197" i="1" s="1"/>
  <c r="I198" i="1"/>
  <c r="J198" i="1" a="1"/>
  <c r="J198" i="1" s="1"/>
  <c r="I111" i="1"/>
  <c r="J111" i="1" s="1" a="1"/>
  <c r="J111" i="1" s="1"/>
  <c r="I196" i="1"/>
  <c r="J196" i="1" s="1" a="1"/>
  <c r="J196"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C7" i="8" s="1"/>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H32" i="15" s="1"/>
  <c r="G33" i="15"/>
  <c r="H33" i="15" s="1"/>
  <c r="G34" i="15"/>
  <c r="H34" i="15" s="1"/>
  <c r="G35" i="15"/>
  <c r="H35" i="15" s="1"/>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C6" i="8" s="1"/>
  <c r="F29" i="15"/>
  <c r="F5" i="15"/>
  <c r="F6" i="15"/>
  <c r="F7" i="15"/>
  <c r="F8" i="15"/>
  <c r="F9" i="15"/>
  <c r="F10" i="15"/>
  <c r="H10" i="15" s="1"/>
  <c r="F23" i="15"/>
  <c r="F25" i="15"/>
  <c r="G28" i="15"/>
  <c r="G29" i="15"/>
  <c r="H29" i="15" s="1"/>
  <c r="C204" i="17"/>
  <c r="G27" i="15"/>
  <c r="H27" i="15" s="1"/>
  <c r="AD39" i="9" a="1"/>
  <c r="AD39" i="9" s="1"/>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A39" i="20" s="1"/>
  <c r="G14" i="6"/>
  <c r="A38" i="21"/>
  <c r="B38" i="21"/>
  <c r="G2" i="21" a="1"/>
  <c r="A27" i="21" s="1"/>
  <c r="B27" i="21" s="1"/>
  <c r="G23" i="15"/>
  <c r="H23" i="15" s="1"/>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s="1"/>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AD41" i="9" s="1" a="1"/>
  <c r="AD41"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c r="I84" i="2" s="1"/>
  <c r="D84" i="2" s="1"/>
  <c r="E85" i="2"/>
  <c r="F85" i="2"/>
  <c r="E86" i="2"/>
  <c r="F86" i="2"/>
  <c r="H86" i="2" s="1"/>
  <c r="I86" i="2" s="1"/>
  <c r="D86" i="2" s="1"/>
  <c r="E87" i="2"/>
  <c r="F87" i="2"/>
  <c r="H87" i="2" s="1"/>
  <c r="I87" i="2" s="1"/>
  <c r="D87" i="2" s="1"/>
  <c r="G87" i="2"/>
  <c r="H207" i="1" s="1"/>
  <c r="E88" i="2"/>
  <c r="F88" i="2"/>
  <c r="E89" i="2"/>
  <c r="F89" i="2"/>
  <c r="H89" i="2" s="1"/>
  <c r="I89" i="2" s="1"/>
  <c r="D89" i="2" s="1"/>
  <c r="E90" i="2"/>
  <c r="G90" i="2" s="1"/>
  <c r="H205" i="1" s="1"/>
  <c r="F90" i="2"/>
  <c r="E91" i="2"/>
  <c r="F91" i="2"/>
  <c r="H91" i="2" s="1"/>
  <c r="I91" i="2" s="1"/>
  <c r="D91" i="2" s="1"/>
  <c r="E92" i="2"/>
  <c r="F92" i="2"/>
  <c r="H92" i="2" s="1"/>
  <c r="I92" i="2" s="1"/>
  <c r="D92" i="2" s="1"/>
  <c r="E93" i="2"/>
  <c r="F93" i="2"/>
  <c r="G93" i="2" s="1"/>
  <c r="H213" i="1" s="1"/>
  <c r="E94" i="2"/>
  <c r="G94" i="2" s="1"/>
  <c r="H214" i="1" s="1"/>
  <c r="F94" i="2"/>
  <c r="H94" i="2"/>
  <c r="I94" i="2" s="1"/>
  <c r="D94" i="2" s="1"/>
  <c r="E95" i="2"/>
  <c r="F95" i="2"/>
  <c r="G95" i="2"/>
  <c r="H215" i="1" s="1"/>
  <c r="E96" i="2"/>
  <c r="G96" i="2" s="1"/>
  <c r="H216" i="1" s="1"/>
  <c r="F96" i="2"/>
  <c r="H96" i="2"/>
  <c r="I96" i="2" s="1"/>
  <c r="D96" i="2" s="1"/>
  <c r="E97" i="2"/>
  <c r="F97" i="2"/>
  <c r="G97" i="2" s="1"/>
  <c r="E98" i="2"/>
  <c r="F98" i="2"/>
  <c r="G98" i="2"/>
  <c r="H219" i="1" s="1"/>
  <c r="E99" i="2"/>
  <c r="G99" i="2" s="1"/>
  <c r="H220" i="1" s="1"/>
  <c r="F99" i="2"/>
  <c r="H99" i="2" s="1"/>
  <c r="I99" i="2" s="1"/>
  <c r="D99" i="2" s="1"/>
  <c r="E100" i="2"/>
  <c r="F100" i="2"/>
  <c r="G100" i="2" s="1"/>
  <c r="H221" i="1" s="1"/>
  <c r="H100" i="2"/>
  <c r="I100" i="2" s="1"/>
  <c r="D100" i="2" s="1"/>
  <c r="E101" i="2"/>
  <c r="G101" i="2" s="1"/>
  <c r="F101" i="2"/>
  <c r="H101" i="2" s="1"/>
  <c r="I101" i="2" s="1"/>
  <c r="D101" i="2" s="1"/>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s="1"/>
  <c r="I75" i="2" s="1"/>
  <c r="D75" i="2" s="1"/>
  <c r="E76" i="2"/>
  <c r="F76" i="2"/>
  <c r="E77" i="2"/>
  <c r="G77" i="2"/>
  <c r="H194" i="1"/>
  <c r="F77" i="2"/>
  <c r="E78" i="2"/>
  <c r="F78" i="2"/>
  <c r="G78" i="2"/>
  <c r="H195" i="1"/>
  <c r="E79" i="2"/>
  <c r="G79" i="2" s="1"/>
  <c r="H196" i="1" s="1"/>
  <c r="F79" i="2"/>
  <c r="H79" i="2" s="1"/>
  <c r="I79" i="2" s="1"/>
  <c r="D79" i="2" s="1"/>
  <c r="E80" i="2"/>
  <c r="F80" i="2"/>
  <c r="E81" i="2"/>
  <c r="F81" i="2"/>
  <c r="E82" i="2"/>
  <c r="F82" i="2"/>
  <c r="G82" i="2"/>
  <c r="H201" i="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F27" i="2"/>
  <c r="E27" i="2"/>
  <c r="E59" i="2"/>
  <c r="F59" i="2"/>
  <c r="H59" i="2"/>
  <c r="I59" i="2"/>
  <c r="D59" i="2" s="1"/>
  <c r="F28" i="2"/>
  <c r="H28" i="2"/>
  <c r="I28" i="2" s="1"/>
  <c r="D28" i="2" s="1"/>
  <c r="E28" i="2"/>
  <c r="E60" i="2"/>
  <c r="F60" i="2"/>
  <c r="H60" i="2" s="1"/>
  <c r="I60" i="2" s="1"/>
  <c r="D60" i="2" s="1"/>
  <c r="E61" i="2"/>
  <c r="G61" i="2" s="1"/>
  <c r="H166" i="1" s="1"/>
  <c r="F61" i="2"/>
  <c r="H61" i="2" s="1"/>
  <c r="I61" i="2" s="1"/>
  <c r="D61" i="2" s="1"/>
  <c r="E62" i="2"/>
  <c r="F62" i="2"/>
  <c r="H62" i="2" s="1"/>
  <c r="I62" i="2" s="1"/>
  <c r="D62" i="2" s="1"/>
  <c r="E63" i="2"/>
  <c r="F63" i="2"/>
  <c r="H63" i="2"/>
  <c r="I63" i="2" s="1"/>
  <c r="D63" i="2" s="1"/>
  <c r="E64" i="2"/>
  <c r="F64" i="2"/>
  <c r="E65" i="2"/>
  <c r="F65" i="2"/>
  <c r="H65" i="2" s="1"/>
  <c r="I65" i="2" s="1"/>
  <c r="D65" i="2" s="1"/>
  <c r="E66" i="2"/>
  <c r="F66" i="2"/>
  <c r="E67" i="2"/>
  <c r="G67" i="2" s="1"/>
  <c r="F67" i="2"/>
  <c r="H67" i="2" s="1"/>
  <c r="I67" i="2" s="1"/>
  <c r="D67" i="2" s="1"/>
  <c r="E68" i="2"/>
  <c r="F68" i="2"/>
  <c r="G68" i="2" s="1"/>
  <c r="H178" i="1" s="1"/>
  <c r="E69" i="2"/>
  <c r="F69" i="2"/>
  <c r="H69" i="2"/>
  <c r="I69" i="2"/>
  <c r="D69" i="2" s="1"/>
  <c r="E70" i="2"/>
  <c r="F70" i="2"/>
  <c r="E71" i="2"/>
  <c r="F71" i="2"/>
  <c r="E72" i="2"/>
  <c r="G72" i="2" s="1"/>
  <c r="H184" i="1" s="1"/>
  <c r="F72" i="2"/>
  <c r="E73" i="2"/>
  <c r="F73" i="2"/>
  <c r="H73" i="2"/>
  <c r="I73" i="2" s="1"/>
  <c r="D73" i="2" s="1"/>
  <c r="E45" i="2"/>
  <c r="F45" i="2"/>
  <c r="H45" i="2"/>
  <c r="I45" i="2"/>
  <c r="D45" i="2" s="1"/>
  <c r="E46" i="2"/>
  <c r="F46" i="2"/>
  <c r="H46" i="2" s="1"/>
  <c r="I46" i="2" s="1"/>
  <c r="D46" i="2" s="1"/>
  <c r="E47" i="2"/>
  <c r="F47" i="2"/>
  <c r="H47" i="2"/>
  <c r="I47" i="2" s="1"/>
  <c r="D47" i="2" s="1"/>
  <c r="E48" i="2"/>
  <c r="F48" i="2"/>
  <c r="H48" i="2"/>
  <c r="I48" i="2"/>
  <c r="D48" i="2" s="1"/>
  <c r="F20" i="2"/>
  <c r="H20" i="2"/>
  <c r="I20" i="2" s="1"/>
  <c r="D20" i="2" s="1"/>
  <c r="E20" i="2"/>
  <c r="E49" i="2"/>
  <c r="F49" i="2"/>
  <c r="H49" i="2"/>
  <c r="I49" i="2" s="1"/>
  <c r="D49" i="2" s="1"/>
  <c r="F21" i="2"/>
  <c r="H21" i="2" s="1"/>
  <c r="I21" i="2" s="1"/>
  <c r="D21" i="2" s="1"/>
  <c r="E21" i="2"/>
  <c r="E50" i="2"/>
  <c r="F50" i="2"/>
  <c r="H50" i="2" s="1"/>
  <c r="I50" i="2" s="1"/>
  <c r="D50" i="2" s="1"/>
  <c r="E51" i="2"/>
  <c r="F51" i="2"/>
  <c r="H51" i="2"/>
  <c r="I51" i="2" s="1"/>
  <c r="D51" i="2" s="1"/>
  <c r="E52" i="2"/>
  <c r="G52" i="2" s="1"/>
  <c r="F52" i="2"/>
  <c r="H52" i="2"/>
  <c r="I52" i="2" s="1"/>
  <c r="D52" i="2" s="1"/>
  <c r="E53" i="2"/>
  <c r="F53" i="2"/>
  <c r="E54" i="2"/>
  <c r="F54" i="2"/>
  <c r="H54" i="2"/>
  <c r="I54" i="2" s="1"/>
  <c r="D54" i="2" s="1"/>
  <c r="F24" i="2"/>
  <c r="E24" i="2"/>
  <c r="E55" i="2"/>
  <c r="G55" i="2" s="1"/>
  <c r="F55" i="2"/>
  <c r="H55" i="2" s="1"/>
  <c r="I55" i="2" s="1"/>
  <c r="D55" i="2" s="1"/>
  <c r="F25" i="2"/>
  <c r="H25" i="2"/>
  <c r="I25" i="2"/>
  <c r="D25" i="2" s="1"/>
  <c r="E25" i="2"/>
  <c r="G25" i="2"/>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G6" i="2" s="1"/>
  <c r="H88" i="1" s="1"/>
  <c r="F5" i="2"/>
  <c r="H5" i="2" s="1"/>
  <c r="I5" i="2" s="1"/>
  <c r="D5" i="2" s="1"/>
  <c r="E5" i="2"/>
  <c r="E34" i="2"/>
  <c r="F34" i="2"/>
  <c r="H34" i="2" s="1"/>
  <c r="I34" i="2" s="1"/>
  <c r="D34" i="2" s="1"/>
  <c r="F18" i="2"/>
  <c r="H18" i="2"/>
  <c r="I18" i="2" s="1"/>
  <c r="D18" i="2" s="1"/>
  <c r="E18" i="2"/>
  <c r="E35" i="2"/>
  <c r="F35" i="2"/>
  <c r="E36" i="2"/>
  <c r="F36" i="2"/>
  <c r="H36" i="2" s="1"/>
  <c r="I36" i="2" s="1"/>
  <c r="D36" i="2" s="1"/>
  <c r="F22" i="2"/>
  <c r="E22" i="2"/>
  <c r="G22" i="2" s="1"/>
  <c r="F7" i="2"/>
  <c r="H7" i="2" s="1"/>
  <c r="I7" i="2" s="1"/>
  <c r="D7" i="2" s="1"/>
  <c r="E7" i="2"/>
  <c r="E37" i="2"/>
  <c r="F37" i="2"/>
  <c r="H37" i="2" s="1"/>
  <c r="I37" i="2" s="1"/>
  <c r="D37" i="2" s="1"/>
  <c r="E39" i="2"/>
  <c r="F39" i="2"/>
  <c r="H39" i="2" s="1"/>
  <c r="I39" i="2" s="1"/>
  <c r="D39" i="2" s="1"/>
  <c r="E40" i="2"/>
  <c r="F40" i="2"/>
  <c r="H40" i="2"/>
  <c r="I40" i="2"/>
  <c r="D40" i="2" s="1"/>
  <c r="E41" i="2"/>
  <c r="F41" i="2"/>
  <c r="H41" i="2" s="1"/>
  <c r="I41" i="2" s="1"/>
  <c r="D41" i="2" s="1"/>
  <c r="E42" i="2"/>
  <c r="F42" i="2"/>
  <c r="G42" i="2" s="1"/>
  <c r="H125" i="1" s="1"/>
  <c r="E43" i="2"/>
  <c r="F43" i="2"/>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c r="I23" i="2" s="1"/>
  <c r="D23" i="2" s="1"/>
  <c r="E23" i="2"/>
  <c r="F15" i="2"/>
  <c r="E15" i="2"/>
  <c r="F16" i="2"/>
  <c r="H16" i="2"/>
  <c r="I16" i="2" s="1"/>
  <c r="D16" i="2" s="1"/>
  <c r="E16" i="2"/>
  <c r="G16" i="2" s="1"/>
  <c r="H76" i="1" s="1"/>
  <c r="F26" i="2"/>
  <c r="H26" i="2"/>
  <c r="I26" i="2" s="1"/>
  <c r="D26" i="2" s="1"/>
  <c r="E26" i="2"/>
  <c r="F29" i="2"/>
  <c r="H29" i="2" s="1"/>
  <c r="I29" i="2" s="1"/>
  <c r="D29" i="2" s="1"/>
  <c r="E29" i="2"/>
  <c r="F30" i="2"/>
  <c r="H30" i="2"/>
  <c r="I30" i="2" s="1"/>
  <c r="D30" i="2" s="1"/>
  <c r="F31" i="2"/>
  <c r="H31" i="2" s="1"/>
  <c r="I31" i="2" s="1"/>
  <c r="D31" i="2" s="1"/>
  <c r="E31" i="2"/>
  <c r="F32" i="2"/>
  <c r="H32" i="2"/>
  <c r="I32" i="2" s="1"/>
  <c r="D32" i="2" s="1"/>
  <c r="F14" i="2"/>
  <c r="G14" i="2" s="1"/>
  <c r="E14" i="2"/>
  <c r="E30" i="2"/>
  <c r="E32" i="2"/>
  <c r="N4" i="17"/>
  <c r="F12" i="2"/>
  <c r="E12" i="2"/>
  <c r="F11" i="2"/>
  <c r="H11" i="2" s="1"/>
  <c r="I11" i="2" s="1"/>
  <c r="E11" i="2"/>
  <c r="E17" i="2"/>
  <c r="G17" i="2" s="1"/>
  <c r="F17" i="2"/>
  <c r="H17" i="2" s="1"/>
  <c r="I17" i="2" s="1"/>
  <c r="D17" i="2" s="1"/>
  <c r="F9" i="2"/>
  <c r="E9" i="2"/>
  <c r="E8" i="2"/>
  <c r="F8" i="2"/>
  <c r="H8" i="2" s="1"/>
  <c r="I8" i="2" s="1"/>
  <c r="D8" i="2" s="1"/>
  <c r="E10" i="2"/>
  <c r="G10" i="2" s="1"/>
  <c r="H80" i="1" s="1"/>
  <c r="E4" i="2"/>
  <c r="F10" i="2"/>
  <c r="H10" i="2" s="1"/>
  <c r="I10" i="2" s="1"/>
  <c r="D10" i="2" s="1"/>
  <c r="F4" i="2"/>
  <c r="H4" i="2"/>
  <c r="I4" i="2" s="1"/>
  <c r="D4" i="2" s="1"/>
  <c r="N3" i="7"/>
  <c r="N5" i="7"/>
  <c r="E6" i="11"/>
  <c r="D6" i="11"/>
  <c r="F3" i="2"/>
  <c r="J15" i="14"/>
  <c r="H98" i="2"/>
  <c r="I98" i="2" s="1"/>
  <c r="D98" i="2" s="1"/>
  <c r="H93" i="2"/>
  <c r="I93" i="2" s="1"/>
  <c r="D93" i="2" s="1"/>
  <c r="H95" i="2"/>
  <c r="I95" i="2" s="1"/>
  <c r="D95" i="2" s="1"/>
  <c r="H97" i="2"/>
  <c r="I97" i="2" s="1"/>
  <c r="D97" i="2" s="1"/>
  <c r="B2" i="2"/>
  <c r="H88" i="2"/>
  <c r="I88" i="2"/>
  <c r="D88" i="2"/>
  <c r="H127" i="6"/>
  <c r="G69" i="2"/>
  <c r="H193" i="1"/>
  <c r="H77" i="2"/>
  <c r="I77" i="2"/>
  <c r="D77" i="2" s="1"/>
  <c r="H72" i="2"/>
  <c r="I72" i="2" s="1"/>
  <c r="D72" i="2" s="1"/>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4" i="2"/>
  <c r="I64" i="2" s="1"/>
  <c r="D64" i="2" s="1"/>
  <c r="H78" i="2"/>
  <c r="I78" i="2" s="1"/>
  <c r="D78" i="2" s="1"/>
  <c r="G88" i="2"/>
  <c r="H208" i="1" s="1"/>
  <c r="G75" i="2"/>
  <c r="H190" i="1"/>
  <c r="G92" i="2"/>
  <c r="H82" i="2"/>
  <c r="I82" i="2" s="1"/>
  <c r="D82" i="2" s="1"/>
  <c r="G89" i="2"/>
  <c r="H209" i="1"/>
  <c r="G84" i="2"/>
  <c r="H203" i="1"/>
  <c r="G33" i="2"/>
  <c r="H110" i="1" s="1"/>
  <c r="G74" i="2"/>
  <c r="G91" i="2"/>
  <c r="G18" i="2"/>
  <c r="H78" i="1" s="1"/>
  <c r="H179" i="1"/>
  <c r="G41" i="2"/>
  <c r="H123" i="1"/>
  <c r="G44" i="2"/>
  <c r="H127" i="1" s="1"/>
  <c r="G20" i="2"/>
  <c r="G73" i="2"/>
  <c r="H188" i="1" s="1"/>
  <c r="G83" i="2"/>
  <c r="H202" i="1" s="1"/>
  <c r="G19" i="2"/>
  <c r="H89" i="1" s="1"/>
  <c r="G36" i="2"/>
  <c r="H115" i="1" s="1"/>
  <c r="G86" i="2"/>
  <c r="H206" i="1"/>
  <c r="G32" i="2"/>
  <c r="H118" i="1"/>
  <c r="G85" i="2"/>
  <c r="H204" i="1" s="1"/>
  <c r="G71" i="2"/>
  <c r="H183" i="1"/>
  <c r="H90" i="2"/>
  <c r="I90" i="2"/>
  <c r="D90" i="2"/>
  <c r="G70" i="2"/>
  <c r="H180" i="1" s="1"/>
  <c r="G81" i="2"/>
  <c r="H200" i="1" s="1"/>
  <c r="G76" i="2"/>
  <c r="H192" i="1" s="1"/>
  <c r="H191" i="1"/>
  <c r="H189" i="1"/>
  <c r="G37" i="2"/>
  <c r="H116" i="1" s="1"/>
  <c r="H76" i="2"/>
  <c r="I76" i="2" s="1"/>
  <c r="D76" i="2" s="1"/>
  <c r="H85" i="2"/>
  <c r="I85" i="2"/>
  <c r="D85" i="2" s="1"/>
  <c r="H74" i="2"/>
  <c r="I74" i="2" s="1"/>
  <c r="D74" i="2" s="1"/>
  <c r="H71" i="2"/>
  <c r="I71" i="2"/>
  <c r="D71" i="2" s="1"/>
  <c r="H68" i="2"/>
  <c r="I68" i="2" s="1"/>
  <c r="D68" i="2" s="1"/>
  <c r="G80" i="2"/>
  <c r="H197" i="1"/>
  <c r="A37" i="21"/>
  <c r="B37" i="21"/>
  <c r="A32" i="20"/>
  <c r="H170" i="1"/>
  <c r="H159" i="1"/>
  <c r="H163" i="1"/>
  <c r="H85" i="1"/>
  <c r="H182" i="1"/>
  <c r="G63" i="2"/>
  <c r="H169" i="1" s="1"/>
  <c r="H187" i="1"/>
  <c r="G60" i="2"/>
  <c r="H165" i="1" s="1"/>
  <c r="G43" i="2"/>
  <c r="H126" i="1"/>
  <c r="G53" i="2"/>
  <c r="H199" i="1" s="1"/>
  <c r="H70" i="2"/>
  <c r="I70" i="2" s="1"/>
  <c r="D70" i="2" s="1"/>
  <c r="H81" i="2"/>
  <c r="I81" i="2"/>
  <c r="D81" i="2" s="1"/>
  <c r="G30" i="2"/>
  <c r="H103" i="1" s="1"/>
  <c r="G4" i="2"/>
  <c r="G65" i="2"/>
  <c r="H174" i="1" s="1"/>
  <c r="H80" i="2"/>
  <c r="I80" i="2"/>
  <c r="D80" i="2" s="1"/>
  <c r="G38" i="2"/>
  <c r="H161" i="1" s="1"/>
  <c r="G50" i="2"/>
  <c r="H138" i="1" s="1"/>
  <c r="G59" i="2"/>
  <c r="H164" i="1" s="1"/>
  <c r="D84" i="17"/>
  <c r="K30" i="15"/>
  <c r="P56" i="7"/>
  <c r="E76" i="7"/>
  <c r="K6" i="6"/>
  <c r="C4" i="8"/>
  <c r="G127" i="6"/>
  <c r="I127" i="6"/>
  <c r="I226" i="1" a="1"/>
  <c r="I226" i="1" s="1"/>
  <c r="G21" i="2"/>
  <c r="H90" i="1"/>
  <c r="H43" i="2"/>
  <c r="I43" i="2"/>
  <c r="D43" i="2"/>
  <c r="G45" i="2"/>
  <c r="G9" i="2"/>
  <c r="H82" i="1"/>
  <c r="G48" i="2"/>
  <c r="H136" i="1"/>
  <c r="G27" i="2"/>
  <c r="H100" i="1"/>
  <c r="H172" i="1"/>
  <c r="G66" i="2"/>
  <c r="H181" i="1"/>
  <c r="G57" i="2"/>
  <c r="H154" i="1"/>
  <c r="H53" i="2"/>
  <c r="I53" i="2"/>
  <c r="D53" i="2" s="1"/>
  <c r="G8" i="2"/>
  <c r="H72" i="1" s="1"/>
  <c r="G26" i="2"/>
  <c r="H99" i="1" s="1"/>
  <c r="G35" i="2"/>
  <c r="H112" i="1"/>
  <c r="G64" i="2"/>
  <c r="H171" i="1" s="1"/>
  <c r="G46" i="2"/>
  <c r="H141" i="1"/>
  <c r="G62" i="2"/>
  <c r="H168" i="1" s="1"/>
  <c r="G12" i="2"/>
  <c r="H79" i="1" s="1"/>
  <c r="G40" i="2"/>
  <c r="H120" i="1"/>
  <c r="H57" i="2"/>
  <c r="I57" i="2" s="1"/>
  <c r="D57" i="2" s="1"/>
  <c r="G47" i="2"/>
  <c r="H132" i="1"/>
  <c r="G58" i="2"/>
  <c r="H157" i="1"/>
  <c r="G49" i="2"/>
  <c r="H137" i="1" s="1"/>
  <c r="G7" i="2"/>
  <c r="H81" i="1"/>
  <c r="H22" i="2"/>
  <c r="I22" i="2"/>
  <c r="D22" i="2" s="1"/>
  <c r="G31" i="2"/>
  <c r="H107" i="1"/>
  <c r="G15" i="2"/>
  <c r="H74" i="1" s="1"/>
  <c r="G34" i="2"/>
  <c r="H111" i="1" s="1"/>
  <c r="G24" i="2"/>
  <c r="H96" i="1" s="1"/>
  <c r="G28" i="2"/>
  <c r="H101" i="1" s="1"/>
  <c r="G11" i="2"/>
  <c r="H91" i="1"/>
  <c r="G54" i="2"/>
  <c r="H147" i="1"/>
  <c r="G23" i="2"/>
  <c r="G5" i="2"/>
  <c r="H139" i="1" s="1"/>
  <c r="H66" i="2"/>
  <c r="I66" i="2" s="1"/>
  <c r="D66" i="2" s="1"/>
  <c r="G56" i="2"/>
  <c r="H156" i="1"/>
  <c r="H106" i="1"/>
  <c r="H73" i="1"/>
  <c r="H122" i="1"/>
  <c r="H24" i="2"/>
  <c r="I24" i="2" s="1"/>
  <c r="D24" i="2" s="1"/>
  <c r="G51" i="2"/>
  <c r="H155" i="1" s="1"/>
  <c r="H12" i="2"/>
  <c r="I12" i="2"/>
  <c r="D12" i="2" s="1"/>
  <c r="H9" i="2"/>
  <c r="I9" i="2" s="1"/>
  <c r="D9" i="2" s="1"/>
  <c r="H15" i="2"/>
  <c r="I15" i="2"/>
  <c r="D15" i="2"/>
  <c r="H19" i="2"/>
  <c r="I19" i="2" s="1"/>
  <c r="D19" i="2" s="1"/>
  <c r="H6" i="2"/>
  <c r="I6" i="2"/>
  <c r="D6" i="2" s="1"/>
  <c r="H27" i="2"/>
  <c r="I27" i="2" s="1"/>
  <c r="D27" i="2" s="1"/>
  <c r="H35" i="2"/>
  <c r="I35" i="2"/>
  <c r="D35" i="2" s="1"/>
  <c r="H58" i="2"/>
  <c r="I58" i="2"/>
  <c r="D58" i="2" s="1"/>
  <c r="G13" i="2"/>
  <c r="H150" i="1" s="1"/>
  <c r="H124" i="1"/>
  <c r="G29" i="2"/>
  <c r="H108" i="1" s="1"/>
  <c r="H135" i="1"/>
  <c r="H211" i="1"/>
  <c r="H212" i="1"/>
  <c r="H158" i="1"/>
  <c r="H109" i="1"/>
  <c r="H162" i="1"/>
  <c r="H130" i="1"/>
  <c r="H114" i="1"/>
  <c r="H145" i="1"/>
  <c r="H146" i="1"/>
  <c r="H131" i="1"/>
  <c r="H84" i="1"/>
  <c r="H87" i="1"/>
  <c r="H176" i="1"/>
  <c r="H175" i="1"/>
  <c r="H104" i="1"/>
  <c r="H198" i="1"/>
  <c r="H210" i="1"/>
  <c r="H113" i="1"/>
  <c r="H128" i="1"/>
  <c r="H129" i="1"/>
  <c r="H83" i="1"/>
  <c r="H152" i="1"/>
  <c r="H167" i="1"/>
  <c r="H173" i="1"/>
  <c r="H121" i="1"/>
  <c r="H102" i="1"/>
  <c r="C2" i="2"/>
  <c r="H185" i="1" l="1"/>
  <c r="H186" i="1"/>
  <c r="H177" i="1"/>
  <c r="H71" i="1"/>
  <c r="H70" i="1"/>
  <c r="H92" i="1"/>
  <c r="H93" i="1"/>
  <c r="H94" i="1"/>
  <c r="H217" i="1"/>
  <c r="H218" i="1"/>
  <c r="H142" i="1"/>
  <c r="H133" i="1"/>
  <c r="H77" i="1"/>
  <c r="H160" i="1"/>
  <c r="H144" i="1"/>
  <c r="H153" i="1"/>
  <c r="H148" i="1"/>
  <c r="H149" i="1"/>
  <c r="G39" i="2"/>
  <c r="H119" i="1" s="1"/>
  <c r="H14" i="2"/>
  <c r="I14" i="2" s="1"/>
  <c r="D14" i="2" s="1"/>
  <c r="H105" i="1"/>
  <c r="H140" i="1"/>
  <c r="H143" i="1"/>
  <c r="H151" i="1"/>
  <c r="H75" i="1"/>
  <c r="H86" i="1"/>
  <c r="H97" i="1"/>
  <c r="H134" i="1"/>
  <c r="H42" i="2"/>
  <c r="I42" i="2" s="1"/>
  <c r="D42" i="2" s="1"/>
  <c r="H117" i="1"/>
  <c r="M64" i="9" a="1"/>
  <c r="M64" i="9" s="1"/>
  <c r="A30" i="20"/>
  <c r="A25" i="20"/>
  <c r="F104" i="9"/>
  <c r="A18" i="20"/>
  <c r="G120" i="9"/>
  <c r="A37" i="20"/>
  <c r="H122" i="9"/>
  <c r="J105" i="9"/>
  <c r="Z12" i="9" s="1" a="1"/>
  <c r="Z12" i="9" s="1"/>
  <c r="A16" i="20"/>
  <c r="A3" i="20"/>
  <c r="M101" i="9"/>
  <c r="AC8" i="9" s="1" a="1"/>
  <c r="AC8" i="9" s="1"/>
  <c r="F100" i="9"/>
  <c r="V7" i="9" s="1" a="1"/>
  <c r="V7" i="9" s="1"/>
  <c r="P114" i="9"/>
  <c r="AF21" i="9" s="1"/>
  <c r="B15" i="20" s="1"/>
  <c r="A7" i="20"/>
  <c r="B98" i="9"/>
  <c r="AD40" i="9" s="1" a="1"/>
  <c r="AD40" i="9" s="1"/>
  <c r="I112" i="9"/>
  <c r="A36" i="20"/>
  <c r="L124" i="9"/>
  <c r="AB31" i="9" s="1" a="1"/>
  <c r="AB31" i="9" s="1"/>
  <c r="M119" i="9"/>
  <c r="AC26" i="9" s="1" a="1"/>
  <c r="AC26" i="9" s="1"/>
  <c r="P113" i="9"/>
  <c r="AF20" i="9" s="1"/>
  <c r="B37" i="20" s="1"/>
  <c r="A19" i="20"/>
  <c r="A22" i="20"/>
  <c r="A6" i="20"/>
  <c r="A16" i="21"/>
  <c r="B16" i="21" s="1"/>
  <c r="F108" i="9"/>
  <c r="V15" i="9" s="1" a="1"/>
  <c r="V15" i="9" s="1"/>
  <c r="F126" i="9"/>
  <c r="V33" i="9" s="1" a="1"/>
  <c r="V33" i="9" s="1"/>
  <c r="P112" i="9"/>
  <c r="AF19" i="9" s="1"/>
  <c r="A27" i="20"/>
  <c r="F125" i="9"/>
  <c r="A13" i="20"/>
  <c r="A17" i="20"/>
  <c r="D114" i="9"/>
  <c r="T21" i="9" s="1" a="1"/>
  <c r="T21" i="9" s="1"/>
  <c r="P69" i="9"/>
  <c r="AD26" i="9" a="1"/>
  <c r="AD26" i="9" s="1"/>
  <c r="A12" i="20"/>
  <c r="J114" i="9"/>
  <c r="Z21" i="9" s="1" a="1"/>
  <c r="Z21" i="9" s="1"/>
  <c r="A14" i="20"/>
  <c r="J103" i="9"/>
  <c r="Z10" i="9" s="1" a="1"/>
  <c r="Z10" i="9" s="1"/>
  <c r="E108" i="9"/>
  <c r="J81" i="9" a="1"/>
  <c r="J81" i="9" s="1"/>
  <c r="G80" i="9" a="1"/>
  <c r="G80" i="9" s="1"/>
  <c r="AD30" i="9" a="1"/>
  <c r="AD30" i="9" s="1"/>
  <c r="E131" i="9"/>
  <c r="U38" i="9" s="1" a="1"/>
  <c r="U38" i="9" s="1"/>
  <c r="M120" i="9"/>
  <c r="AC27" i="9" s="1" a="1"/>
  <c r="AC27" i="9" s="1"/>
  <c r="F105" i="9"/>
  <c r="V12" i="9" s="1" a="1"/>
  <c r="V12" i="9" s="1"/>
  <c r="M126" i="9"/>
  <c r="AC33" i="9" s="1" a="1"/>
  <c r="AC33" i="9" s="1"/>
  <c r="K114" i="9"/>
  <c r="AA21" i="9" s="1" a="1"/>
  <c r="AA21" i="9" s="1"/>
  <c r="X29" i="9" a="1"/>
  <c r="X29" i="9" s="1"/>
  <c r="G119" i="9"/>
  <c r="P110" i="9"/>
  <c r="AF17" i="9" s="1"/>
  <c r="A9" i="20"/>
  <c r="A23" i="20"/>
  <c r="A8" i="20"/>
  <c r="J109" i="9"/>
  <c r="A26" i="20"/>
  <c r="A11" i="20"/>
  <c r="D121" i="9"/>
  <c r="T28" i="9" s="1" a="1"/>
  <c r="T28" i="9" s="1"/>
  <c r="A28" i="20"/>
  <c r="A5" i="20"/>
  <c r="V11" i="9" a="1"/>
  <c r="V11" i="9" s="1"/>
  <c r="E107" i="9"/>
  <c r="U14" i="9" s="1" a="1"/>
  <c r="U14" i="9" s="1"/>
  <c r="A4" i="20"/>
  <c r="K126" i="9"/>
  <c r="P58" i="9"/>
  <c r="A31" i="20"/>
  <c r="AD34" i="9" a="1"/>
  <c r="AD34" i="9" s="1"/>
  <c r="P121" i="9"/>
  <c r="AF28" i="9" s="1"/>
  <c r="B27" i="20" s="1"/>
  <c r="P71" i="9"/>
  <c r="M127" i="9"/>
  <c r="AC34" i="9" s="1" a="1"/>
  <c r="AC34" i="9" s="1"/>
  <c r="P78" i="9"/>
  <c r="F102" i="9"/>
  <c r="V9" i="9" s="1" a="1"/>
  <c r="V9" i="9" s="1"/>
  <c r="D116" i="9"/>
  <c r="T23" i="9" s="1" a="1"/>
  <c r="T23" i="9" s="1"/>
  <c r="P76" i="9"/>
  <c r="K103" i="9"/>
  <c r="AA10" i="9" s="1" a="1"/>
  <c r="AA10" i="9" s="1"/>
  <c r="H116" i="9"/>
  <c r="D112" i="9"/>
  <c r="T19" i="9" s="1" a="1"/>
  <c r="T19" i="9" s="1"/>
  <c r="AD21" i="9" a="1"/>
  <c r="AD21" i="9" s="1"/>
  <c r="P77" i="9"/>
  <c r="H123" i="9"/>
  <c r="X30" i="9" s="1" a="1"/>
  <c r="X30" i="9" s="1"/>
  <c r="P102" i="9"/>
  <c r="AF9" i="9" s="1"/>
  <c r="B30" i="20" s="1"/>
  <c r="C119" i="9"/>
  <c r="S26" i="9" s="1" a="1"/>
  <c r="S26" i="9" s="1"/>
  <c r="K123" i="9"/>
  <c r="AA30" i="9" s="1" a="1"/>
  <c r="AA30" i="9" s="1"/>
  <c r="F120" i="9"/>
  <c r="V27" i="9" s="1" a="1"/>
  <c r="V27" i="9" s="1"/>
  <c r="D131" i="9"/>
  <c r="J112" i="9"/>
  <c r="Z19" i="9" s="1" a="1"/>
  <c r="Z19" i="9" s="1"/>
  <c r="G114" i="9"/>
  <c r="W21" i="9" s="1" a="1"/>
  <c r="W21" i="9" s="1"/>
  <c r="F118" i="9"/>
  <c r="V25" i="9" s="1" a="1"/>
  <c r="V25" i="9" s="1"/>
  <c r="E122" i="9"/>
  <c r="U29" i="9" s="1" a="1"/>
  <c r="U29" i="9" s="1"/>
  <c r="K132" i="9"/>
  <c r="J51" i="9" a="1"/>
  <c r="J51" i="9" s="1"/>
  <c r="P53" i="9"/>
  <c r="F117" i="9"/>
  <c r="V24" i="9" s="1" a="1"/>
  <c r="V24" i="9" s="1"/>
  <c r="P101" i="9"/>
  <c r="AF8" i="9" s="1"/>
  <c r="B21" i="20" s="1"/>
  <c r="J104" i="9"/>
  <c r="Z11" i="9" s="1" a="1"/>
  <c r="Z11" i="9" s="1"/>
  <c r="AD9" i="9" a="1"/>
  <c r="AD9" i="9" s="1"/>
  <c r="K111" i="9"/>
  <c r="AA18" i="9" s="1" a="1"/>
  <c r="AA18" i="9" s="1"/>
  <c r="AD38" i="9" a="1"/>
  <c r="AD38" i="9" s="1"/>
  <c r="L123" i="9"/>
  <c r="AB30" i="9" s="1" a="1"/>
  <c r="AB30" i="9" s="1"/>
  <c r="G103" i="9"/>
  <c r="W10" i="9" s="1" a="1"/>
  <c r="W10" i="9" s="1"/>
  <c r="L113" i="9"/>
  <c r="AB20" i="9" s="1" a="1"/>
  <c r="AB20" i="9" s="1"/>
  <c r="P65" i="9"/>
  <c r="K125" i="9"/>
  <c r="AA32" i="9" s="1" a="1"/>
  <c r="AA32" i="9" s="1"/>
  <c r="E103" i="9"/>
  <c r="U10" i="9" s="1" a="1"/>
  <c r="U10" i="9" s="1"/>
  <c r="M123" i="9"/>
  <c r="AC30" i="9" s="1" a="1"/>
  <c r="AC30" i="9" s="1"/>
  <c r="G112" i="9"/>
  <c r="W19" i="9" s="1" a="1"/>
  <c r="W19" i="9" s="1"/>
  <c r="L122" i="9"/>
  <c r="AB29" i="9" s="1" a="1"/>
  <c r="AB29" i="9" s="1"/>
  <c r="M112" i="9"/>
  <c r="AC19" i="9" s="1" a="1"/>
  <c r="AC19" i="9" s="1"/>
  <c r="J106" i="9"/>
  <c r="Z13" i="9" s="1" a="1"/>
  <c r="Z13" i="9" s="1"/>
  <c r="G108" i="9"/>
  <c r="W15" i="9" s="1" a="1"/>
  <c r="W15" i="9" s="1"/>
  <c r="AD31" i="9" a="1"/>
  <c r="AD31" i="9" s="1"/>
  <c r="AD16" i="9" a="1"/>
  <c r="AD16" i="9" s="1"/>
  <c r="B8" i="9"/>
  <c r="M99" i="9"/>
  <c r="AC6" i="9" s="1" a="1"/>
  <c r="AC6" i="9" s="1"/>
  <c r="L104" i="9"/>
  <c r="AB11" i="9" s="1" a="1"/>
  <c r="AB11" i="9" s="1"/>
  <c r="L121" i="9"/>
  <c r="AB28" i="9" s="1" a="1"/>
  <c r="AB28" i="9" s="1"/>
  <c r="P128" i="9"/>
  <c r="C127" i="9"/>
  <c r="S34" i="9" s="1" a="1"/>
  <c r="S34" i="9" s="1"/>
  <c r="L112" i="9"/>
  <c r="AB19" i="9" s="1" a="1"/>
  <c r="AB19" i="9" s="1"/>
  <c r="G123" i="9"/>
  <c r="W30" i="9" s="1" a="1"/>
  <c r="W30" i="9" s="1"/>
  <c r="L103" i="9"/>
  <c r="AB10" i="9" s="1" a="1"/>
  <c r="AB10" i="9" s="1"/>
  <c r="K100" i="9"/>
  <c r="AA7" i="9" s="1" a="1"/>
  <c r="AA7" i="9" s="1"/>
  <c r="J123" i="9"/>
  <c r="Z30" i="9" s="1" a="1"/>
  <c r="Z30" i="9" s="1"/>
  <c r="M110" i="9"/>
  <c r="AC17" i="9" s="1" a="1"/>
  <c r="AC17" i="9" s="1"/>
  <c r="AD36" i="9" a="1"/>
  <c r="AD36" i="9" s="1"/>
  <c r="A40" i="20"/>
  <c r="K121" i="9"/>
  <c r="AA28" i="9" s="1" a="1"/>
  <c r="AA28" i="9" s="1"/>
  <c r="K120" i="9"/>
  <c r="L127" i="9"/>
  <c r="AB34" i="9" s="1" a="1"/>
  <c r="AB34" i="9" s="1"/>
  <c r="I115" i="9"/>
  <c r="Y22" i="9" s="1" a="1"/>
  <c r="Y22" i="9" s="1"/>
  <c r="C100" i="9"/>
  <c r="S7" i="9" s="1" a="1"/>
  <c r="S7" i="9" s="1"/>
  <c r="I116" i="9"/>
  <c r="Y23" i="9" s="1" a="1"/>
  <c r="Y23" i="9" s="1"/>
  <c r="I99" i="9"/>
  <c r="Y6" i="9" s="1" a="1"/>
  <c r="Y6" i="9" s="1"/>
  <c r="C124" i="9"/>
  <c r="S31" i="9" s="1" a="1"/>
  <c r="S31" i="9" s="1"/>
  <c r="P106" i="9"/>
  <c r="M115" i="9"/>
  <c r="AC22" i="9" s="1" a="1"/>
  <c r="AC22" i="9" s="1"/>
  <c r="C121" i="9"/>
  <c r="S28" i="9" s="1" a="1"/>
  <c r="S28" i="9" s="1"/>
  <c r="J59" i="9" a="1"/>
  <c r="J59" i="9" s="1"/>
  <c r="K119" i="9"/>
  <c r="AA26" i="9" s="1" a="1"/>
  <c r="AA26" i="9" s="1"/>
  <c r="B3" i="9"/>
  <c r="B15" i="9"/>
  <c r="C15" i="9" s="1"/>
  <c r="K110" i="9"/>
  <c r="AA17" i="9" s="1" a="1"/>
  <c r="AA17" i="9" s="1"/>
  <c r="AD22" i="9" a="1"/>
  <c r="AD22" i="9" s="1"/>
  <c r="E120" i="9"/>
  <c r="U27" i="9" s="1" a="1"/>
  <c r="U27" i="9" s="1"/>
  <c r="F113" i="9"/>
  <c r="V20" i="9" s="1" a="1"/>
  <c r="V20" i="9" s="1"/>
  <c r="AD19" i="9" a="1"/>
  <c r="AD19" i="9" s="1"/>
  <c r="F110" i="9"/>
  <c r="V17" i="9" s="1" a="1"/>
  <c r="V17" i="9" s="1"/>
  <c r="K113" i="9"/>
  <c r="AA20" i="9" s="1" a="1"/>
  <c r="AA20" i="9" s="1"/>
  <c r="G109" i="9"/>
  <c r="W16" i="9" s="1" a="1"/>
  <c r="W16" i="9" s="1"/>
  <c r="K104" i="9"/>
  <c r="AA11" i="9" s="1" a="1"/>
  <c r="AA11" i="9" s="1"/>
  <c r="C118" i="9"/>
  <c r="S25" i="9" s="1" a="1"/>
  <c r="S25" i="9" s="1"/>
  <c r="C125" i="9"/>
  <c r="S32" i="9" s="1" a="1"/>
  <c r="S32" i="9" s="1"/>
  <c r="B10" i="9"/>
  <c r="D123" i="9"/>
  <c r="T30" i="9" s="1" a="1"/>
  <c r="T30" i="9" s="1"/>
  <c r="E129" i="9"/>
  <c r="AD11" i="9" a="1"/>
  <c r="AD11" i="9" s="1"/>
  <c r="L107" i="9"/>
  <c r="AB14" i="9" s="1" a="1"/>
  <c r="AB14" i="9" s="1"/>
  <c r="J107" i="9"/>
  <c r="Z14" i="9" s="1" a="1"/>
  <c r="Z14" i="9" s="1"/>
  <c r="AD25" i="9" a="1"/>
  <c r="AD25" i="9" s="1"/>
  <c r="M124" i="9"/>
  <c r="AC31" i="9" s="1" a="1"/>
  <c r="AC31" i="9" s="1"/>
  <c r="C111" i="9"/>
  <c r="L117" i="9"/>
  <c r="AB24" i="9" s="1" a="1"/>
  <c r="AB24" i="9" s="1"/>
  <c r="E111" i="9"/>
  <c r="U18" i="9" s="1" a="1"/>
  <c r="U18" i="9" s="1"/>
  <c r="F114" i="9"/>
  <c r="V21" i="9" s="1" a="1"/>
  <c r="V21" i="9" s="1"/>
  <c r="I118" i="9"/>
  <c r="Y25" i="9" s="1" a="1"/>
  <c r="Y25" i="9" s="1"/>
  <c r="B4" i="9"/>
  <c r="P55" i="9"/>
  <c r="F101" i="9"/>
  <c r="V8" i="9" s="1" a="1"/>
  <c r="V8" i="9" s="1"/>
  <c r="E109" i="9"/>
  <c r="P61" i="9"/>
  <c r="I108" i="9"/>
  <c r="B7" i="9"/>
  <c r="P70" i="9"/>
  <c r="H119" i="9"/>
  <c r="X26" i="9" s="1" a="1"/>
  <c r="X26" i="9" s="1"/>
  <c r="I106" i="9"/>
  <c r="Y13" i="9" s="1" a="1"/>
  <c r="Y13" i="9" s="1"/>
  <c r="D109" i="9"/>
  <c r="T16" i="9" s="1" a="1"/>
  <c r="T16" i="9" s="1"/>
  <c r="AD33" i="9" a="1"/>
  <c r="AD33" i="9" s="1"/>
  <c r="P62" i="9"/>
  <c r="K124" i="9"/>
  <c r="AA31" i="9" s="1" a="1"/>
  <c r="AA31" i="9" s="1"/>
  <c r="P56" i="9"/>
  <c r="E127" i="9"/>
  <c r="U34" i="9" s="1" a="1"/>
  <c r="U34" i="9" s="1"/>
  <c r="K118" i="9"/>
  <c r="AA25" i="9" s="1" a="1"/>
  <c r="AA25" i="9" s="1"/>
  <c r="P64" i="9"/>
  <c r="G117" i="9"/>
  <c r="W24" i="9" s="1" a="1"/>
  <c r="W24" i="9" s="1"/>
  <c r="C106" i="9"/>
  <c r="S13" i="9" s="1" a="1"/>
  <c r="S13" i="9" s="1"/>
  <c r="I122" i="9"/>
  <c r="Y29" i="9" s="1" a="1"/>
  <c r="Y29" i="9" s="1"/>
  <c r="M113" i="9"/>
  <c r="AC20" i="9" s="1" a="1"/>
  <c r="AC20" i="9" s="1"/>
  <c r="C108" i="9"/>
  <c r="AD7" i="9" a="1"/>
  <c r="AD7" i="9" s="1"/>
  <c r="H127" i="9"/>
  <c r="X34" i="9" s="1" a="1"/>
  <c r="X34" i="9" s="1"/>
  <c r="C101" i="9"/>
  <c r="S8" i="9" s="1" a="1"/>
  <c r="S8" i="9" s="1"/>
  <c r="L131" i="9"/>
  <c r="AB38" i="9" s="1" a="1"/>
  <c r="AB38" i="9" s="1"/>
  <c r="C128" i="9"/>
  <c r="S35" i="9" s="1" a="1"/>
  <c r="S35" i="9" s="1"/>
  <c r="D122" i="9"/>
  <c r="T29" i="9" s="1" a="1"/>
  <c r="T29" i="9" s="1"/>
  <c r="M105" i="9"/>
  <c r="AC12" i="9" s="1" a="1"/>
  <c r="AC12" i="9" s="1"/>
  <c r="F119" i="9"/>
  <c r="V26" i="9" s="1" a="1"/>
  <c r="V26" i="9" s="1"/>
  <c r="E128" i="9"/>
  <c r="U35" i="9" s="1" a="1"/>
  <c r="U35" i="9" s="1"/>
  <c r="G111" i="9"/>
  <c r="W18" i="9" s="1" a="1"/>
  <c r="W18" i="9" s="1"/>
  <c r="E101" i="9"/>
  <c r="U8" i="9" s="1" a="1"/>
  <c r="U8" i="9" s="1"/>
  <c r="C103" i="9"/>
  <c r="S10" i="9" s="1" a="1"/>
  <c r="S10" i="9" s="1"/>
  <c r="C120" i="9"/>
  <c r="S27" i="9" s="1" a="1"/>
  <c r="S27" i="9" s="1"/>
  <c r="M125" i="9"/>
  <c r="AC32" i="9" s="1" a="1"/>
  <c r="AC32" i="9" s="1"/>
  <c r="J108" i="9"/>
  <c r="Z15" i="9" s="1" a="1"/>
  <c r="Z15" i="9" s="1"/>
  <c r="F121" i="9"/>
  <c r="V28" i="9" s="1" a="1"/>
  <c r="V28" i="9" s="1"/>
  <c r="M107" i="9"/>
  <c r="AC14" i="9" s="1" a="1"/>
  <c r="AC14" i="9" s="1"/>
  <c r="J99" i="9"/>
  <c r="Z6" i="9" s="1" a="1"/>
  <c r="Z6" i="9" s="1"/>
  <c r="I111" i="9"/>
  <c r="C104" i="9"/>
  <c r="S11" i="9" s="1" a="1"/>
  <c r="S11" i="9" s="1"/>
  <c r="F111" i="9"/>
  <c r="V18" i="9" s="1" a="1"/>
  <c r="V18" i="9" s="1"/>
  <c r="P104" i="9"/>
  <c r="AF11" i="9" s="1"/>
  <c r="B10" i="20" s="1"/>
  <c r="H130" i="9"/>
  <c r="X37" i="9" s="1" a="1"/>
  <c r="X37" i="9" s="1"/>
  <c r="D105" i="9"/>
  <c r="T12" i="9" s="1" a="1"/>
  <c r="T12" i="9" s="1"/>
  <c r="K99" i="9"/>
  <c r="AA6" i="9" s="1" a="1"/>
  <c r="AA6" i="9" s="1"/>
  <c r="M108" i="9"/>
  <c r="AC15" i="9" s="1" a="1"/>
  <c r="AC15" i="9" s="1"/>
  <c r="H108" i="9"/>
  <c r="X15" i="9" s="1" a="1"/>
  <c r="X15" i="9" s="1"/>
  <c r="D124" i="9"/>
  <c r="T31" i="9" s="1" a="1"/>
  <c r="T31" i="9" s="1"/>
  <c r="P107" i="9"/>
  <c r="AF14" i="9" s="1"/>
  <c r="B11" i="20" s="1"/>
  <c r="P105" i="9"/>
  <c r="AF12" i="9" s="1"/>
  <c r="P81" i="9"/>
  <c r="P109" i="9"/>
  <c r="AF16" i="9" s="1"/>
  <c r="B12" i="20" s="1"/>
  <c r="AD12" i="9" a="1"/>
  <c r="AD12" i="9" s="1"/>
  <c r="E113" i="9"/>
  <c r="U20" i="9" s="1" a="1"/>
  <c r="U20" i="9" s="1"/>
  <c r="P51" i="9"/>
  <c r="E119" i="9"/>
  <c r="U26" i="9" s="1" a="1"/>
  <c r="U26" i="9" s="1"/>
  <c r="J102" i="9"/>
  <c r="Z9" i="9" s="1" a="1"/>
  <c r="Z9" i="9" s="1"/>
  <c r="I107" i="9"/>
  <c r="Y14" i="9" s="1" a="1"/>
  <c r="Y14" i="9" s="1"/>
  <c r="I121" i="9"/>
  <c r="G100" i="9"/>
  <c r="W7" i="9" s="1" a="1"/>
  <c r="W7" i="9" s="1"/>
  <c r="M109" i="9"/>
  <c r="B9" i="9"/>
  <c r="E9" i="9" s="1"/>
  <c r="G131" i="9"/>
  <c r="W38" i="9" s="1" a="1"/>
  <c r="W38" i="9" s="1"/>
  <c r="M78" i="9" a="1"/>
  <c r="M78" i="9" s="1"/>
  <c r="C112" i="9"/>
  <c r="S19" i="9" s="1" a="1"/>
  <c r="S19" i="9" s="1"/>
  <c r="L119" i="9"/>
  <c r="AB26" i="9" s="1" a="1"/>
  <c r="AB26" i="9" s="1"/>
  <c r="I120" i="9"/>
  <c r="Y27" i="9" s="1" a="1"/>
  <c r="Y27" i="9" s="1"/>
  <c r="H102" i="9"/>
  <c r="B17" i="9"/>
  <c r="E17" i="9" s="1"/>
  <c r="L105" i="9"/>
  <c r="AB12" i="9" s="1" a="1"/>
  <c r="AB12" i="9" s="1"/>
  <c r="K105" i="9"/>
  <c r="AA12" i="9" s="1" a="1"/>
  <c r="AA12" i="9" s="1"/>
  <c r="AD37" i="9" a="1"/>
  <c r="AD37" i="9" s="1"/>
  <c r="I119" i="9"/>
  <c r="Y26" i="9" s="1" a="1"/>
  <c r="Y26" i="9" s="1"/>
  <c r="M121" i="9"/>
  <c r="AC28" i="9" s="1" a="1"/>
  <c r="AC28" i="9" s="1"/>
  <c r="J124" i="9"/>
  <c r="Z31" i="9" s="1" a="1"/>
  <c r="Z31" i="9" s="1"/>
  <c r="P127" i="9"/>
  <c r="AF34" i="9" s="1"/>
  <c r="B6" i="20" s="1"/>
  <c r="J120" i="9"/>
  <c r="Z27" i="9" s="1" a="1"/>
  <c r="Z27" i="9" s="1"/>
  <c r="C114" i="9"/>
  <c r="S21" i="9" s="1" a="1"/>
  <c r="S21" i="9" s="1"/>
  <c r="P125" i="9"/>
  <c r="AF32" i="9" s="1"/>
  <c r="I105" i="9"/>
  <c r="AD27" i="9" a="1"/>
  <c r="AD27" i="9" s="1"/>
  <c r="D100" i="9"/>
  <c r="T7" i="9" s="1" a="1"/>
  <c r="T7" i="9" s="1"/>
  <c r="B16" i="9"/>
  <c r="J122" i="9"/>
  <c r="Z29" i="9" s="1" a="1"/>
  <c r="Z29" i="9" s="1"/>
  <c r="Z16" i="9" a="1"/>
  <c r="Z16" i="9" s="1"/>
  <c r="M117" i="9"/>
  <c r="AC24" i="9" s="1" a="1"/>
  <c r="AC24" i="9" s="1"/>
  <c r="L110" i="9"/>
  <c r="AB17" i="9" s="1" a="1"/>
  <c r="AB17" i="9" s="1"/>
  <c r="M106" i="9"/>
  <c r="AC13" i="9" s="1" a="1"/>
  <c r="AC13" i="9" s="1"/>
  <c r="G106" i="9"/>
  <c r="W13" i="9" s="1" a="1"/>
  <c r="W13" i="9" s="1"/>
  <c r="D125" i="9"/>
  <c r="T32" i="9" s="1" a="1"/>
  <c r="T32" i="9" s="1"/>
  <c r="P68" i="9"/>
  <c r="H104" i="9"/>
  <c r="X11" i="9" s="1" a="1"/>
  <c r="X11" i="9" s="1"/>
  <c r="P66" i="9"/>
  <c r="V32" i="9" a="1"/>
  <c r="V32" i="9" s="1"/>
  <c r="H113" i="9"/>
  <c r="H110" i="9"/>
  <c r="X17" i="9" s="1" a="1"/>
  <c r="X17" i="9" s="1"/>
  <c r="K116" i="9"/>
  <c r="AA23" i="9" s="1" a="1"/>
  <c r="AA23" i="9" s="1"/>
  <c r="D119" i="9"/>
  <c r="W26" i="9" a="1"/>
  <c r="W26" i="9" s="1"/>
  <c r="H99" i="9"/>
  <c r="X6" i="9" s="1" a="1"/>
  <c r="X6" i="9" s="1"/>
  <c r="H112" i="9"/>
  <c r="X19" i="9" s="1" a="1"/>
  <c r="X19" i="9" s="1"/>
  <c r="U15" i="9" a="1"/>
  <c r="U15" i="9" s="1"/>
  <c r="D117" i="9"/>
  <c r="T24" i="9" s="1" a="1"/>
  <c r="T24" i="9" s="1"/>
  <c r="W27" i="9" a="1"/>
  <c r="W27" i="9" s="1"/>
  <c r="H128" i="9"/>
  <c r="F129" i="9"/>
  <c r="V36" i="9" s="1" a="1"/>
  <c r="V36" i="9" s="1"/>
  <c r="K81" i="9" a="1"/>
  <c r="K81" i="9" s="1"/>
  <c r="M77" i="9" a="1"/>
  <c r="M77" i="9" s="1"/>
  <c r="A7" i="21"/>
  <c r="B7" i="21" s="1"/>
  <c r="A22" i="21"/>
  <c r="B22" i="21" s="1"/>
  <c r="A35" i="21"/>
  <c r="B35" i="21" s="1"/>
  <c r="A19" i="21"/>
  <c r="B19" i="21" s="1"/>
  <c r="A26" i="21"/>
  <c r="B26" i="21" s="1"/>
  <c r="A36" i="21"/>
  <c r="B36" i="21" s="1"/>
  <c r="A18" i="21"/>
  <c r="B18" i="21" s="1"/>
  <c r="A9" i="21"/>
  <c r="B9" i="21" s="1"/>
  <c r="A21" i="21"/>
  <c r="B21" i="21" s="1"/>
  <c r="A14" i="21"/>
  <c r="B14" i="21" s="1"/>
  <c r="A31" i="21"/>
  <c r="B31" i="21" s="1"/>
  <c r="A20" i="21"/>
  <c r="B20" i="21" s="1"/>
  <c r="A33" i="21"/>
  <c r="B33" i="21" s="1"/>
  <c r="A10" i="21"/>
  <c r="B10" i="21" s="1"/>
  <c r="A13" i="21"/>
  <c r="B13" i="21" s="1"/>
  <c r="A15" i="21"/>
  <c r="B15" i="21" s="1"/>
  <c r="A34" i="21"/>
  <c r="B34" i="21" s="1"/>
  <c r="A17" i="21"/>
  <c r="B17" i="21" s="1"/>
  <c r="A32" i="21"/>
  <c r="B32" i="21" s="1"/>
  <c r="A3" i="21"/>
  <c r="B3" i="21" s="1"/>
  <c r="A28" i="21"/>
  <c r="B28" i="21" s="1"/>
  <c r="A12" i="21"/>
  <c r="B12" i="21" s="1"/>
  <c r="A8" i="21"/>
  <c r="B8" i="21" s="1"/>
  <c r="A6" i="21"/>
  <c r="B6" i="21" s="1"/>
  <c r="A30" i="21"/>
  <c r="B30" i="21" s="1"/>
  <c r="A23" i="21"/>
  <c r="B23" i="21" s="1"/>
  <c r="A5" i="21"/>
  <c r="B5" i="21" s="1"/>
  <c r="A25" i="21"/>
  <c r="B25" i="21" s="1"/>
  <c r="K226" i="1"/>
  <c r="J226" i="1" a="1"/>
  <c r="J226" i="1" s="1"/>
  <c r="A4" i="21"/>
  <c r="B4" i="21" s="1"/>
  <c r="A11" i="21"/>
  <c r="B11" i="21" s="1"/>
  <c r="A29" i="21"/>
  <c r="B29" i="21" s="1"/>
  <c r="A24" i="21"/>
  <c r="B24" i="21" s="1"/>
  <c r="X23" i="9" a="1"/>
  <c r="X23" i="9" s="1"/>
  <c r="G51" i="9" a="1"/>
  <c r="G51" i="9" s="1"/>
  <c r="M51" i="9" a="1"/>
  <c r="M51" i="9" s="1"/>
  <c r="G53" i="9" a="1"/>
  <c r="G53" i="9" s="1"/>
  <c r="J54" i="9" a="1"/>
  <c r="J54" i="9" s="1"/>
  <c r="I55" i="9" a="1"/>
  <c r="I55" i="9" s="1"/>
  <c r="K58" i="9" a="1"/>
  <c r="K58" i="9" s="1"/>
  <c r="L59" i="9" a="1"/>
  <c r="L59" i="9" s="1"/>
  <c r="M60" i="9" a="1"/>
  <c r="M60" i="9" s="1"/>
  <c r="L61" i="9" a="1"/>
  <c r="L61" i="9" s="1"/>
  <c r="M62" i="9" a="1"/>
  <c r="M62" i="9" s="1"/>
  <c r="N65" i="9" a="1"/>
  <c r="N65" i="9" s="1"/>
  <c r="J67" i="9" a="1"/>
  <c r="J67" i="9" s="1"/>
  <c r="K68" i="9" a="1"/>
  <c r="K68" i="9" s="1"/>
  <c r="M69" i="9" a="1"/>
  <c r="M69" i="9" s="1"/>
  <c r="M70" i="9" a="1"/>
  <c r="M70" i="9" s="1"/>
  <c r="J71" i="9" a="1"/>
  <c r="J71" i="9" s="1"/>
  <c r="L72" i="9" a="1"/>
  <c r="L72" i="9" s="1"/>
  <c r="L73" i="9" a="1"/>
  <c r="L73" i="9" s="1"/>
  <c r="M74" i="9" a="1"/>
  <c r="M74" i="9" s="1"/>
  <c r="N77" i="9" a="1"/>
  <c r="N77" i="9" s="1"/>
  <c r="I80" i="9" a="1"/>
  <c r="I80" i="9" s="1"/>
  <c r="L81" i="9" a="1"/>
  <c r="L81" i="9" s="1"/>
  <c r="K82" i="9" a="1"/>
  <c r="K82" i="9" s="1"/>
  <c r="N83" i="9" a="1"/>
  <c r="N83" i="9" s="1"/>
  <c r="D132" i="9"/>
  <c r="T38" i="9" a="1"/>
  <c r="T38" i="9" s="1"/>
  <c r="M129" i="9"/>
  <c r="AC36" i="9" s="1" a="1"/>
  <c r="AC36" i="9" s="1"/>
  <c r="I102" i="9"/>
  <c r="Y9" i="9" s="1" a="1"/>
  <c r="Y9" i="9" s="1"/>
  <c r="E99" i="9"/>
  <c r="U6" i="9" s="1" a="1"/>
  <c r="U6" i="9" s="1"/>
  <c r="L128" i="9"/>
  <c r="AB35" i="9" s="1" a="1"/>
  <c r="AB35" i="9" s="1"/>
  <c r="N51" i="9" a="1"/>
  <c r="N51" i="9" s="1"/>
  <c r="I53" i="9" a="1"/>
  <c r="I53" i="9" s="1"/>
  <c r="L54" i="9" a="1"/>
  <c r="L54" i="9" s="1"/>
  <c r="K55" i="9" a="1"/>
  <c r="K55" i="9" s="1"/>
  <c r="M58" i="9" a="1"/>
  <c r="M58" i="9" s="1"/>
  <c r="M59" i="9" a="1"/>
  <c r="M59" i="9" s="1"/>
  <c r="N60" i="9" a="1"/>
  <c r="N60" i="9" s="1"/>
  <c r="M61" i="9" a="1"/>
  <c r="M61" i="9" s="1"/>
  <c r="N62" i="9" a="1"/>
  <c r="N62" i="9" s="1"/>
  <c r="K67" i="9" a="1"/>
  <c r="K67" i="9" s="1"/>
  <c r="L68" i="9" a="1"/>
  <c r="L68" i="9" s="1"/>
  <c r="N69" i="9" a="1"/>
  <c r="N69" i="9" s="1"/>
  <c r="N70" i="9" a="1"/>
  <c r="N70" i="9" s="1"/>
  <c r="K71" i="9" a="1"/>
  <c r="K71" i="9" s="1"/>
  <c r="M72" i="9" a="1"/>
  <c r="M72" i="9" s="1"/>
  <c r="M73" i="9" a="1"/>
  <c r="M73" i="9" s="1"/>
  <c r="N74" i="9" a="1"/>
  <c r="N74" i="9" s="1"/>
  <c r="H79" i="9" a="1"/>
  <c r="H79" i="9" s="1"/>
  <c r="J80" i="9" a="1"/>
  <c r="J80" i="9" s="1"/>
  <c r="M80" i="9" a="1"/>
  <c r="M80" i="9" s="1"/>
  <c r="M81" i="9" a="1"/>
  <c r="M81" i="9" s="1"/>
  <c r="L82" i="9" a="1"/>
  <c r="L82" i="9" s="1"/>
  <c r="F132" i="9"/>
  <c r="M132" i="9"/>
  <c r="P82" i="9"/>
  <c r="M130" i="9"/>
  <c r="H129" i="9"/>
  <c r="X36" i="9" s="1" a="1"/>
  <c r="X36" i="9" s="1"/>
  <c r="P116" i="9"/>
  <c r="AF23" i="9" s="1"/>
  <c r="B7" i="20" s="1"/>
  <c r="G127" i="9"/>
  <c r="W34" i="9" s="1" a="1"/>
  <c r="W34" i="9" s="1"/>
  <c r="J53" i="9" a="1"/>
  <c r="J53" i="9" s="1"/>
  <c r="M54" i="9" a="1"/>
  <c r="M54" i="9" s="1"/>
  <c r="M55" i="9" a="1"/>
  <c r="M55" i="9" s="1"/>
  <c r="N58" i="9" a="1"/>
  <c r="N58" i="9" s="1"/>
  <c r="N59" i="9" a="1"/>
  <c r="N59" i="9" s="1"/>
  <c r="N61" i="9" a="1"/>
  <c r="N61" i="9" s="1"/>
  <c r="G65" i="9" a="1"/>
  <c r="G65" i="9" s="1"/>
  <c r="L67" i="9" a="1"/>
  <c r="L67" i="9" s="1"/>
  <c r="M68" i="9" a="1"/>
  <c r="M68" i="9" s="1"/>
  <c r="L71" i="9" a="1"/>
  <c r="L71" i="9" s="1"/>
  <c r="N72" i="9" a="1"/>
  <c r="N72" i="9" s="1"/>
  <c r="N73" i="9" a="1"/>
  <c r="N73" i="9" s="1"/>
  <c r="G76" i="9" a="1"/>
  <c r="G76" i="9" s="1"/>
  <c r="K80" i="9" a="1"/>
  <c r="K80" i="9" s="1"/>
  <c r="N80" i="9" a="1"/>
  <c r="N80" i="9" s="1"/>
  <c r="N81" i="9" a="1"/>
  <c r="N81" i="9" s="1"/>
  <c r="M82" i="9" a="1"/>
  <c r="M82" i="9" s="1"/>
  <c r="L53" i="9" a="1"/>
  <c r="L53" i="9" s="1"/>
  <c r="N54" i="9" a="1"/>
  <c r="N54" i="9" s="1"/>
  <c r="N55" i="9" a="1"/>
  <c r="N55" i="9" s="1"/>
  <c r="G64" i="9" a="1"/>
  <c r="G64" i="9" s="1"/>
  <c r="G66" i="9" a="1"/>
  <c r="G66" i="9" s="1"/>
  <c r="M67" i="9" a="1"/>
  <c r="M67" i="9" s="1"/>
  <c r="N68" i="9" a="1"/>
  <c r="N68" i="9" s="1"/>
  <c r="M71" i="9" a="1"/>
  <c r="M71" i="9" s="1"/>
  <c r="H76" i="9" a="1"/>
  <c r="H76" i="9" s="1"/>
  <c r="G78" i="9" a="1"/>
  <c r="G78" i="9" s="1"/>
  <c r="I79" i="9" a="1"/>
  <c r="I79" i="9" s="1"/>
  <c r="N82" i="9" a="1"/>
  <c r="N82" i="9" s="1"/>
  <c r="P83" i="9"/>
  <c r="U36" i="9" a="1"/>
  <c r="U36" i="9" s="1"/>
  <c r="M131" i="9"/>
  <c r="AC38" i="9" s="1" a="1"/>
  <c r="AC38" i="9" s="1"/>
  <c r="J130" i="9"/>
  <c r="Z37" i="9" s="1" a="1"/>
  <c r="Z37" i="9" s="1"/>
  <c r="K108" i="9"/>
  <c r="I100" i="9"/>
  <c r="Y7" i="9" s="1" a="1"/>
  <c r="Y7" i="9" s="1"/>
  <c r="K109" i="9"/>
  <c r="AA16" i="9" s="1" a="1"/>
  <c r="AA16" i="9" s="1"/>
  <c r="H107" i="9"/>
  <c r="X14" i="9" s="1" a="1"/>
  <c r="X14" i="9" s="1"/>
  <c r="AC16" i="9" a="1"/>
  <c r="AC16" i="9" s="1"/>
  <c r="J118" i="9"/>
  <c r="Z25" i="9" s="1" a="1"/>
  <c r="Z25" i="9" s="1"/>
  <c r="F99" i="9"/>
  <c r="V6" i="9" s="1" a="1"/>
  <c r="V6" i="9" s="1"/>
  <c r="P123" i="9"/>
  <c r="AF30" i="9" s="1"/>
  <c r="B16" i="20" s="1"/>
  <c r="I128" i="9"/>
  <c r="Y35" i="9" s="1" a="1"/>
  <c r="Y35" i="9" s="1"/>
  <c r="D101" i="9"/>
  <c r="T8" i="9" s="1" a="1"/>
  <c r="T8" i="9" s="1"/>
  <c r="U16" i="9" a="1"/>
  <c r="U16" i="9" s="1"/>
  <c r="H118" i="9"/>
  <c r="X25" i="9" s="1" a="1"/>
  <c r="X25" i="9" s="1"/>
  <c r="F115" i="9"/>
  <c r="V22" i="9" s="1" a="1"/>
  <c r="V22" i="9" s="1"/>
  <c r="H126" i="9"/>
  <c r="X33" i="9" s="1" a="1"/>
  <c r="X33" i="9" s="1"/>
  <c r="E102" i="9"/>
  <c r="U9" i="9" s="1" a="1"/>
  <c r="U9" i="9" s="1"/>
  <c r="F123" i="9"/>
  <c r="V30" i="9" s="1" a="1"/>
  <c r="V30" i="9" s="1"/>
  <c r="AD29" i="9" a="1"/>
  <c r="AD29" i="9" s="1"/>
  <c r="F103" i="9"/>
  <c r="V10" i="9" s="1" a="1"/>
  <c r="V10" i="9" s="1"/>
  <c r="H120" i="9"/>
  <c r="X27" i="9" s="1" a="1"/>
  <c r="X27" i="9" s="1"/>
  <c r="E118" i="9"/>
  <c r="U25" i="9" s="1" a="1"/>
  <c r="U25" i="9" s="1"/>
  <c r="H117" i="9"/>
  <c r="J119" i="9"/>
  <c r="Z26" i="9" s="1" a="1"/>
  <c r="Z26" i="9" s="1"/>
  <c r="D106" i="9"/>
  <c r="T13" i="9" s="1" a="1"/>
  <c r="T13" i="9" s="1"/>
  <c r="D113" i="9"/>
  <c r="T20" i="9" s="1" a="1"/>
  <c r="T20" i="9" s="1"/>
  <c r="G124" i="9"/>
  <c r="W31" i="9" s="1" a="1"/>
  <c r="W31" i="9" s="1"/>
  <c r="G50" i="9" a="1"/>
  <c r="G50" i="9" s="1"/>
  <c r="K50" i="9" a="1"/>
  <c r="K50" i="9" s="1"/>
  <c r="N53" i="9" a="1"/>
  <c r="N53" i="9" s="1"/>
  <c r="I57" i="9" a="1"/>
  <c r="I57" i="9" s="1"/>
  <c r="G63" i="9" a="1"/>
  <c r="G63" i="9" s="1"/>
  <c r="N67" i="9" a="1"/>
  <c r="N67" i="9" s="1"/>
  <c r="G71" i="9" a="1"/>
  <c r="G71" i="9" s="1"/>
  <c r="N71" i="9" a="1"/>
  <c r="N71" i="9" s="1"/>
  <c r="H75" i="9" a="1"/>
  <c r="H75" i="9" s="1"/>
  <c r="G77" i="9" a="1"/>
  <c r="G77" i="9" s="1"/>
  <c r="J79" i="9" a="1"/>
  <c r="J79" i="9" s="1"/>
  <c r="G83" i="9" a="1"/>
  <c r="G83" i="9" s="1"/>
  <c r="L132" i="9"/>
  <c r="C129" i="9"/>
  <c r="S36" i="9" s="1" a="1"/>
  <c r="S36" i="9" s="1"/>
  <c r="E130" i="9"/>
  <c r="U37" i="9" s="1" a="1"/>
  <c r="U37" i="9" s="1"/>
  <c r="J131" i="9"/>
  <c r="Z38" i="9" s="1" a="1"/>
  <c r="Z38" i="9" s="1"/>
  <c r="AD32" i="9" a="1"/>
  <c r="AD32" i="9" s="1"/>
  <c r="J128" i="9"/>
  <c r="Z35" i="9" s="1" a="1"/>
  <c r="Z35" i="9" s="1"/>
  <c r="C110" i="9"/>
  <c r="S17" i="9" s="1" a="1"/>
  <c r="S17" i="9" s="1"/>
  <c r="F116" i="9"/>
  <c r="V23" i="9" s="1" a="1"/>
  <c r="V23" i="9" s="1"/>
  <c r="G102" i="9"/>
  <c r="W9" i="9" s="1" a="1"/>
  <c r="W9" i="9" s="1"/>
  <c r="J125" i="9"/>
  <c r="Z32" i="9" s="1" a="1"/>
  <c r="Z32" i="9" s="1"/>
  <c r="P72" i="9"/>
  <c r="L108" i="9"/>
  <c r="AB15" i="9" s="1" a="1"/>
  <c r="AB15" i="9" s="1"/>
  <c r="B5" i="9"/>
  <c r="E104" i="9"/>
  <c r="U11" i="9" s="1" a="1"/>
  <c r="U11" i="9" s="1"/>
  <c r="G101" i="9"/>
  <c r="D103" i="9"/>
  <c r="T10" i="9" s="1" a="1"/>
  <c r="T10" i="9" s="1"/>
  <c r="G128" i="9"/>
  <c r="AD18" i="9" a="1"/>
  <c r="AD18" i="9" s="1"/>
  <c r="E105" i="9"/>
  <c r="U12" i="9" s="1" a="1"/>
  <c r="U12" i="9" s="1"/>
  <c r="B14" i="9"/>
  <c r="J126" i="9"/>
  <c r="Z33" i="9" s="1" a="1"/>
  <c r="Z33" i="9" s="1"/>
  <c r="C115" i="9"/>
  <c r="S22" i="9" s="1" a="1"/>
  <c r="S22" i="9" s="1"/>
  <c r="K122" i="9"/>
  <c r="AA29" i="9" s="1" a="1"/>
  <c r="AA29" i="9" s="1"/>
  <c r="C123" i="9"/>
  <c r="S30" i="9" s="1" a="1"/>
  <c r="S30" i="9" s="1"/>
  <c r="D110" i="9"/>
  <c r="T17" i="9" s="1" a="1"/>
  <c r="T17" i="9" s="1"/>
  <c r="I117" i="9"/>
  <c r="Y24" i="9" s="1" a="1"/>
  <c r="Y24" i="9" s="1"/>
  <c r="E121" i="9"/>
  <c r="U28" i="9" s="1" a="1"/>
  <c r="U28" i="9" s="1"/>
  <c r="K112" i="9"/>
  <c r="AA19" i="9" s="1" a="1"/>
  <c r="AA19" i="9" s="1"/>
  <c r="L50" i="9" a="1"/>
  <c r="L50" i="9" s="1"/>
  <c r="G52" i="9" a="1"/>
  <c r="G52" i="9" s="1"/>
  <c r="I56" i="9" a="1"/>
  <c r="I56" i="9" s="1"/>
  <c r="L57" i="9" a="1"/>
  <c r="L57" i="9" s="1"/>
  <c r="G60" i="9" a="1"/>
  <c r="G60" i="9" s="1"/>
  <c r="G62" i="9" a="1"/>
  <c r="G62" i="9" s="1"/>
  <c r="H63" i="9" a="1"/>
  <c r="H63" i="9" s="1"/>
  <c r="H64" i="9" a="1"/>
  <c r="H64" i="9" s="1"/>
  <c r="H66" i="9" a="1"/>
  <c r="H66" i="9" s="1"/>
  <c r="G70" i="9" a="1"/>
  <c r="G70" i="9" s="1"/>
  <c r="G74" i="9" a="1"/>
  <c r="G74" i="9" s="1"/>
  <c r="I76" i="9" a="1"/>
  <c r="I76" i="9" s="1"/>
  <c r="H77" i="9" a="1"/>
  <c r="H77" i="9" s="1"/>
  <c r="H78" i="9" a="1"/>
  <c r="H78" i="9" s="1"/>
  <c r="K79" i="9" a="1"/>
  <c r="K79" i="9" s="1"/>
  <c r="H83" i="9" a="1"/>
  <c r="H83" i="9" s="1"/>
  <c r="G132" i="9"/>
  <c r="C130" i="9"/>
  <c r="S37" i="9" s="1" a="1"/>
  <c r="S37" i="9" s="1"/>
  <c r="P129" i="9"/>
  <c r="AF36" i="9" s="1"/>
  <c r="H131" i="9"/>
  <c r="L102" i="9"/>
  <c r="AB9" i="9" s="1" a="1"/>
  <c r="AB9" i="9" s="1"/>
  <c r="H111" i="9"/>
  <c r="X18" i="9" s="1" a="1"/>
  <c r="X18" i="9" s="1"/>
  <c r="P111" i="9"/>
  <c r="AF18" i="9" s="1"/>
  <c r="B17" i="20" s="1"/>
  <c r="J127" i="9"/>
  <c r="Z34" i="9" s="1" a="1"/>
  <c r="Z34" i="9" s="1"/>
  <c r="J111" i="9"/>
  <c r="P52" i="9"/>
  <c r="G118" i="9"/>
  <c r="AD20" i="9" a="1"/>
  <c r="AD20" i="9" s="1"/>
  <c r="E126" i="9"/>
  <c r="U33" i="9" s="1" a="1"/>
  <c r="U33" i="9" s="1"/>
  <c r="P108" i="9"/>
  <c r="AF15" i="9" s="1"/>
  <c r="B4" i="20" s="1"/>
  <c r="E123" i="9"/>
  <c r="U30" i="9" s="1" a="1"/>
  <c r="U30" i="9" s="1"/>
  <c r="P119" i="9"/>
  <c r="AF26" i="9" s="1"/>
  <c r="B29" i="20" s="1"/>
  <c r="P59" i="9"/>
  <c r="C105" i="9"/>
  <c r="S12" i="9" s="1" a="1"/>
  <c r="S12" i="9" s="1"/>
  <c r="P57" i="9"/>
  <c r="J110" i="9"/>
  <c r="Z17" i="9" s="1" a="1"/>
  <c r="Z17" i="9" s="1"/>
  <c r="L126" i="9"/>
  <c r="AB33" i="9" s="1" a="1"/>
  <c r="AB33" i="9" s="1"/>
  <c r="P99" i="9"/>
  <c r="AF6" i="9" s="1"/>
  <c r="B8" i="20" s="1"/>
  <c r="P73" i="9"/>
  <c r="M111" i="9"/>
  <c r="AC18" i="9" s="1" a="1"/>
  <c r="AC18" i="9" s="1"/>
  <c r="D108" i="9"/>
  <c r="T15" i="9" s="1" a="1"/>
  <c r="T15" i="9" s="1"/>
  <c r="AD24" i="9" a="1"/>
  <c r="AD24" i="9" s="1"/>
  <c r="M50" i="9" a="1"/>
  <c r="M50" i="9" s="1"/>
  <c r="H52" i="9" a="1"/>
  <c r="H52" i="9" s="1"/>
  <c r="J56" i="9" a="1"/>
  <c r="J56" i="9" s="1"/>
  <c r="M57" i="9" a="1"/>
  <c r="M57" i="9" s="1"/>
  <c r="H62" i="9" a="1"/>
  <c r="H62" i="9" s="1"/>
  <c r="I63" i="9" a="1"/>
  <c r="I63" i="9" s="1"/>
  <c r="I64" i="9" a="1"/>
  <c r="I64" i="9" s="1"/>
  <c r="I66" i="9" a="1"/>
  <c r="I66" i="9" s="1"/>
  <c r="G69" i="9" a="1"/>
  <c r="G69" i="9" s="1"/>
  <c r="G73" i="9" a="1"/>
  <c r="G73" i="9" s="1"/>
  <c r="I75" i="9" a="1"/>
  <c r="I75" i="9" s="1"/>
  <c r="J76" i="9" a="1"/>
  <c r="J76" i="9" s="1"/>
  <c r="I78" i="9" a="1"/>
  <c r="I78" i="9" s="1"/>
  <c r="L79" i="9" a="1"/>
  <c r="L79" i="9" s="1"/>
  <c r="I52" i="9" a="1"/>
  <c r="I52" i="9" s="1"/>
  <c r="K56" i="9" a="1"/>
  <c r="K56" i="9" s="1"/>
  <c r="N57" i="9" a="1"/>
  <c r="N57" i="9" s="1"/>
  <c r="H59" i="9" a="1"/>
  <c r="H59" i="9" s="1"/>
  <c r="H60" i="9" a="1"/>
  <c r="H60" i="9" s="1"/>
  <c r="G61" i="9" a="1"/>
  <c r="G61" i="9" s="1"/>
  <c r="J63" i="9" a="1"/>
  <c r="J63" i="9" s="1"/>
  <c r="J64" i="9" a="1"/>
  <c r="J64" i="9" s="1"/>
  <c r="I65" i="9" a="1"/>
  <c r="I65" i="9" s="1"/>
  <c r="J66" i="9" a="1"/>
  <c r="J66" i="9" s="1"/>
  <c r="G68" i="9" a="1"/>
  <c r="G68" i="9" s="1"/>
  <c r="H69" i="9" a="1"/>
  <c r="H69" i="9" s="1"/>
  <c r="H70" i="9" a="1"/>
  <c r="H70" i="9" s="1"/>
  <c r="G72" i="9" a="1"/>
  <c r="G72" i="9" s="1"/>
  <c r="H74" i="9" a="1"/>
  <c r="H74" i="9" s="1"/>
  <c r="J75" i="9" a="1"/>
  <c r="J75" i="9" s="1"/>
  <c r="K76" i="9" a="1"/>
  <c r="K76" i="9" s="1"/>
  <c r="I77" i="9" a="1"/>
  <c r="I77" i="9" s="1"/>
  <c r="J78" i="9" a="1"/>
  <c r="J78" i="9" s="1"/>
  <c r="M79" i="9" a="1"/>
  <c r="M79" i="9" s="1"/>
  <c r="G82" i="9" a="1"/>
  <c r="G82" i="9" s="1"/>
  <c r="I83" i="9" a="1"/>
  <c r="I83" i="9" s="1"/>
  <c r="J52" i="9" a="1"/>
  <c r="J52" i="9" s="1"/>
  <c r="N56" i="9" a="1"/>
  <c r="N56" i="9" s="1"/>
  <c r="G58" i="9" a="1"/>
  <c r="G58" i="9" s="1"/>
  <c r="I60" i="9" a="1"/>
  <c r="I60" i="9" s="1"/>
  <c r="H61" i="9" a="1"/>
  <c r="H61" i="9" s="1"/>
  <c r="I62" i="9" a="1"/>
  <c r="I62" i="9" s="1"/>
  <c r="K63" i="9" a="1"/>
  <c r="K63" i="9" s="1"/>
  <c r="K64" i="9" a="1"/>
  <c r="K64" i="9" s="1"/>
  <c r="J65" i="9" a="1"/>
  <c r="J65" i="9" s="1"/>
  <c r="K66" i="9" a="1"/>
  <c r="K66" i="9" s="1"/>
  <c r="H68" i="9" a="1"/>
  <c r="H68" i="9" s="1"/>
  <c r="I69" i="9" a="1"/>
  <c r="I69" i="9" s="1"/>
  <c r="I70" i="9" a="1"/>
  <c r="I70" i="9" s="1"/>
  <c r="H72" i="9" a="1"/>
  <c r="H72" i="9" s="1"/>
  <c r="H73" i="9" a="1"/>
  <c r="H73" i="9" s="1"/>
  <c r="I74" i="9" a="1"/>
  <c r="I74" i="9" s="1"/>
  <c r="K75" i="9" a="1"/>
  <c r="K75" i="9" s="1"/>
  <c r="L76" i="9" a="1"/>
  <c r="L76" i="9" s="1"/>
  <c r="J77" i="9" a="1"/>
  <c r="J77" i="9" s="1"/>
  <c r="K78" i="9" a="1"/>
  <c r="K78" i="9" s="1"/>
  <c r="N79" i="9" a="1"/>
  <c r="N79" i="9" s="1"/>
  <c r="H81" i="9" a="1"/>
  <c r="H81" i="9" s="1"/>
  <c r="J83" i="9" a="1"/>
  <c r="J83" i="9" s="1"/>
  <c r="P132" i="9"/>
  <c r="M52" i="9" a="1"/>
  <c r="M52" i="9" s="1"/>
  <c r="H58" i="9" a="1"/>
  <c r="H58" i="9" s="1"/>
  <c r="I59" i="9" a="1"/>
  <c r="I59" i="9" s="1"/>
  <c r="J60" i="9" a="1"/>
  <c r="J60" i="9" s="1"/>
  <c r="I61" i="9" a="1"/>
  <c r="I61" i="9" s="1"/>
  <c r="J62" i="9" a="1"/>
  <c r="J62" i="9" s="1"/>
  <c r="L63" i="9" a="1"/>
  <c r="L63" i="9" s="1"/>
  <c r="L64" i="9" a="1"/>
  <c r="L64" i="9" s="1"/>
  <c r="K65" i="9" a="1"/>
  <c r="K65" i="9" s="1"/>
  <c r="L66" i="9" a="1"/>
  <c r="L66" i="9" s="1"/>
  <c r="J69" i="9" a="1"/>
  <c r="J69" i="9" s="1"/>
  <c r="J70" i="9" a="1"/>
  <c r="J70" i="9" s="1"/>
  <c r="I72" i="9" a="1"/>
  <c r="I72" i="9" s="1"/>
  <c r="I73" i="9" a="1"/>
  <c r="I73" i="9" s="1"/>
  <c r="J74" i="9" a="1"/>
  <c r="J74" i="9" s="1"/>
  <c r="L75" i="9" a="1"/>
  <c r="L75" i="9" s="1"/>
  <c r="M76" i="9" a="1"/>
  <c r="M76" i="9" s="1"/>
  <c r="K77" i="9" a="1"/>
  <c r="K77" i="9" s="1"/>
  <c r="L78" i="9" a="1"/>
  <c r="L78" i="9" s="1"/>
  <c r="I81" i="9" a="1"/>
  <c r="I81" i="9" s="1"/>
  <c r="H82" i="9" a="1"/>
  <c r="H82" i="9" s="1"/>
  <c r="K83" i="9" a="1"/>
  <c r="K83" i="9" s="1"/>
  <c r="C132" i="9"/>
  <c r="F130" i="9"/>
  <c r="V37" i="9" s="1" a="1"/>
  <c r="V37" i="9" s="1"/>
  <c r="I130" i="9"/>
  <c r="Y37" i="9" s="1" a="1"/>
  <c r="Y37" i="9" s="1"/>
  <c r="L129" i="9"/>
  <c r="AB36" i="9" s="1" a="1"/>
  <c r="AB36" i="9" s="1"/>
  <c r="X35" i="9" a="1"/>
  <c r="X35" i="9" s="1"/>
  <c r="L111" i="9"/>
  <c r="AB18" i="9" s="1" a="1"/>
  <c r="AB18" i="9" s="1"/>
  <c r="H125" i="9"/>
  <c r="X32" i="9" s="1" a="1"/>
  <c r="X32" i="9" s="1"/>
  <c r="L106" i="9"/>
  <c r="AB13" i="9" s="1" a="1"/>
  <c r="AB13" i="9" s="1"/>
  <c r="H114" i="9"/>
  <c r="X21" i="9" s="1" a="1"/>
  <c r="X21" i="9" s="1"/>
  <c r="H103" i="9"/>
  <c r="P100" i="9"/>
  <c r="AF7" i="9" s="1"/>
  <c r="B9" i="20" s="1"/>
  <c r="E124" i="9"/>
  <c r="U31" i="9" s="1" a="1"/>
  <c r="U31" i="9" s="1"/>
  <c r="L118" i="9"/>
  <c r="AB25" i="9" s="1" a="1"/>
  <c r="AB25" i="9" s="1"/>
  <c r="Y28" i="9" a="1"/>
  <c r="Y28" i="9" s="1"/>
  <c r="G125" i="9"/>
  <c r="W32" i="9" s="1" a="1"/>
  <c r="W32" i="9" s="1"/>
  <c r="H109" i="9"/>
  <c r="AD17" i="9" a="1"/>
  <c r="AD17" i="9" s="1"/>
  <c r="L120" i="9"/>
  <c r="AB27" i="9" s="1" a="1"/>
  <c r="AB27" i="9" s="1"/>
  <c r="P54" i="9"/>
  <c r="D107" i="9"/>
  <c r="T14" i="9" s="1" a="1"/>
  <c r="T14" i="9" s="1"/>
  <c r="I101" i="9"/>
  <c r="Y8" i="9" s="1" a="1"/>
  <c r="Y8" i="9" s="1"/>
  <c r="C116" i="9"/>
  <c r="S23" i="9" s="1" a="1"/>
  <c r="S23" i="9" s="1"/>
  <c r="C117" i="9"/>
  <c r="S24" i="9" s="1" a="1"/>
  <c r="S24" i="9" s="1"/>
  <c r="K127" i="9"/>
  <c r="AD28" i="9" a="1"/>
  <c r="AD28" i="9" s="1"/>
  <c r="I104" i="9"/>
  <c r="Y11" i="9" s="1" a="1"/>
  <c r="Y11" i="9" s="1"/>
  <c r="E115" i="9"/>
  <c r="U22" i="9" s="1" a="1"/>
  <c r="U22" i="9" s="1"/>
  <c r="P74" i="9"/>
  <c r="AA33" i="9" a="1"/>
  <c r="AA33" i="9" s="1"/>
  <c r="C107" i="9"/>
  <c r="S14" i="9" s="1" a="1"/>
  <c r="S14" i="9" s="1"/>
  <c r="G126" i="9"/>
  <c r="W33" i="9" s="1" a="1"/>
  <c r="W33" i="9" s="1"/>
  <c r="L77" i="9" a="1"/>
  <c r="L77" i="9" s="1"/>
  <c r="N63" i="9" a="1"/>
  <c r="N63" i="9" s="1"/>
  <c r="I58" i="9" a="1"/>
  <c r="I58" i="9" s="1"/>
  <c r="H54" i="9" a="1"/>
  <c r="H54" i="9" s="1"/>
  <c r="L101" i="9"/>
  <c r="AB8" i="9" s="1" a="1"/>
  <c r="AB8" i="9" s="1"/>
  <c r="L125" i="9"/>
  <c r="AB32" i="9" s="1" a="1"/>
  <c r="AB32" i="9" s="1"/>
  <c r="G122" i="9"/>
  <c r="G105" i="9"/>
  <c r="W12" i="9" s="1" a="1"/>
  <c r="W12" i="9" s="1"/>
  <c r="M104" i="9"/>
  <c r="AC11" i="9" s="1" a="1"/>
  <c r="AC11" i="9" s="1"/>
  <c r="F112" i="9"/>
  <c r="V19" i="9" s="1" a="1"/>
  <c r="V19" i="9" s="1"/>
  <c r="D126" i="9"/>
  <c r="T33" i="9" s="1" a="1"/>
  <c r="T33" i="9" s="1"/>
  <c r="K101" i="9"/>
  <c r="AA8" i="9" s="1" a="1"/>
  <c r="AA8" i="9" s="1"/>
  <c r="L130" i="9"/>
  <c r="AB37" i="9" s="1" a="1"/>
  <c r="AB37" i="9" s="1"/>
  <c r="G130" i="9"/>
  <c r="D130" i="9"/>
  <c r="T37" i="9" s="1" a="1"/>
  <c r="T37" i="9" s="1"/>
  <c r="M63" i="9" a="1"/>
  <c r="M63" i="9" s="1"/>
  <c r="AD10" i="9" a="1"/>
  <c r="AD10" i="9" s="1"/>
  <c r="K131" i="9"/>
  <c r="AA38" i="9" s="1" a="1"/>
  <c r="AA38" i="9" s="1"/>
  <c r="G129" i="9"/>
  <c r="D129" i="9"/>
  <c r="T36" i="9" s="1" a="1"/>
  <c r="T36" i="9" s="1"/>
  <c r="N76" i="9" a="1"/>
  <c r="N76" i="9" s="1"/>
  <c r="L74" i="9" a="1"/>
  <c r="L74" i="9" s="1"/>
  <c r="L70" i="9" a="1"/>
  <c r="L70" i="9" s="1"/>
  <c r="L62" i="9" a="1"/>
  <c r="L62" i="9" s="1"/>
  <c r="D118" i="9"/>
  <c r="T25" i="9" s="1" a="1"/>
  <c r="T25" i="9" s="1"/>
  <c r="F124" i="9"/>
  <c r="V31" i="9" s="1" a="1"/>
  <c r="V31" i="9" s="1"/>
  <c r="P118" i="9"/>
  <c r="AF25" i="9" s="1"/>
  <c r="B13" i="20" s="1"/>
  <c r="AD15" i="9" a="1"/>
  <c r="AD15" i="9" s="1"/>
  <c r="C122" i="9"/>
  <c r="S29" i="9" s="1" a="1"/>
  <c r="S29" i="9" s="1"/>
  <c r="H121" i="9"/>
  <c r="X28" i="9" s="1" a="1"/>
  <c r="X28" i="9" s="1"/>
  <c r="I113" i="9"/>
  <c r="Y20" i="9" s="1" a="1"/>
  <c r="Y20" i="9" s="1"/>
  <c r="C102" i="9"/>
  <c r="S9" i="9" s="1" a="1"/>
  <c r="S9" i="9" s="1"/>
  <c r="D128" i="9"/>
  <c r="T35" i="9" s="1" a="1"/>
  <c r="T35" i="9" s="1"/>
  <c r="K130" i="9"/>
  <c r="AA37" i="9" s="1" a="1"/>
  <c r="AA37" i="9" s="1"/>
  <c r="P131" i="9"/>
  <c r="AF38" i="9" s="1"/>
  <c r="B3" i="20" s="1"/>
  <c r="C131" i="9"/>
  <c r="S38" i="9" s="1" a="1"/>
  <c r="S38" i="9" s="1"/>
  <c r="N75" i="9" a="1"/>
  <c r="N75" i="9" s="1"/>
  <c r="K74" i="9" a="1"/>
  <c r="K74" i="9" s="1"/>
  <c r="K70" i="9" a="1"/>
  <c r="K70" i="9" s="1"/>
  <c r="N66" i="9" a="1"/>
  <c r="N66" i="9" s="1"/>
  <c r="K62" i="9" a="1"/>
  <c r="K62" i="9" s="1"/>
  <c r="J113" i="9"/>
  <c r="Z20" i="9" s="1" a="1"/>
  <c r="Z20" i="9" s="1"/>
  <c r="J101" i="9"/>
  <c r="Z8" i="9" s="1" a="1"/>
  <c r="Z8" i="9" s="1"/>
  <c r="L109" i="9"/>
  <c r="AB16" i="9" s="1" a="1"/>
  <c r="AB16" i="9" s="1"/>
  <c r="E100" i="9"/>
  <c r="U7" i="9" s="1" a="1"/>
  <c r="U7" i="9" s="1"/>
  <c r="H100" i="9"/>
  <c r="X7" i="9" s="1" a="1"/>
  <c r="X7" i="9" s="1"/>
  <c r="M122" i="9"/>
  <c r="AC29" i="9" s="1" a="1"/>
  <c r="AC29" i="9" s="1"/>
  <c r="P120" i="9"/>
  <c r="AF27" i="9" s="1"/>
  <c r="B18" i="20" s="1"/>
  <c r="K102" i="9"/>
  <c r="AA9" i="9" s="1" a="1"/>
  <c r="AA9" i="9" s="1"/>
  <c r="L116" i="9"/>
  <c r="AB23" i="9" s="1" a="1"/>
  <c r="AB23" i="9" s="1"/>
  <c r="M114" i="9"/>
  <c r="AC21" i="9" s="1" a="1"/>
  <c r="AC21" i="9" s="1"/>
  <c r="F107" i="9"/>
  <c r="V14" i="9" s="1" a="1"/>
  <c r="V14" i="9" s="1"/>
  <c r="G121" i="9"/>
  <c r="W28" i="9" s="1" a="1"/>
  <c r="W28" i="9" s="1"/>
  <c r="F106" i="9"/>
  <c r="V13" i="9" s="1" a="1"/>
  <c r="V13" i="9" s="1"/>
  <c r="C99" i="9"/>
  <c r="S6" i="9" s="1" a="1"/>
  <c r="S6" i="9" s="1"/>
  <c r="K129" i="9"/>
  <c r="AA36" i="9" s="1" a="1"/>
  <c r="AA36" i="9" s="1"/>
  <c r="P130" i="9"/>
  <c r="B18" i="9"/>
  <c r="M75" i="9" a="1"/>
  <c r="M75" i="9" s="1"/>
  <c r="K73" i="9" a="1"/>
  <c r="K73" i="9" s="1"/>
  <c r="L69" i="9" a="1"/>
  <c r="L69" i="9" s="1"/>
  <c r="M66" i="9" a="1"/>
  <c r="M66" i="9" s="1"/>
  <c r="K61" i="9" a="1"/>
  <c r="K61" i="9" s="1"/>
  <c r="G110" i="9"/>
  <c r="I127" i="9"/>
  <c r="Y34" i="9" s="1" a="1"/>
  <c r="Y34" i="9" s="1"/>
  <c r="AD6" i="9" a="1"/>
  <c r="AD6" i="9" s="1"/>
  <c r="K128" i="9"/>
  <c r="AA35" i="9" s="1" a="1"/>
  <c r="AA35" i="9" s="1"/>
  <c r="E114" i="9"/>
  <c r="U21" i="9" s="1" a="1"/>
  <c r="U21" i="9" s="1"/>
  <c r="D104" i="9"/>
  <c r="T11" i="9" s="1" a="1"/>
  <c r="T11" i="9" s="1"/>
  <c r="P115" i="9"/>
  <c r="AF22" i="9" s="1"/>
  <c r="B24" i="20" s="1"/>
  <c r="AD13" i="9" a="1"/>
  <c r="AD13" i="9" s="1"/>
  <c r="L114" i="9"/>
  <c r="AB21" i="9" s="1" a="1"/>
  <c r="AB21" i="9" s="1"/>
  <c r="K117" i="9"/>
  <c r="AA24" i="9" s="1" a="1"/>
  <c r="AA24" i="9" s="1"/>
  <c r="J129" i="9"/>
  <c r="Z36" i="9" s="1" a="1"/>
  <c r="Z36" i="9" s="1"/>
  <c r="AC37" i="9" a="1"/>
  <c r="AC37" i="9" s="1"/>
  <c r="J132" i="9"/>
  <c r="M83" i="9" a="1"/>
  <c r="M83" i="9" s="1"/>
  <c r="J73" i="9" a="1"/>
  <c r="J73" i="9" s="1"/>
  <c r="K69" i="9" a="1"/>
  <c r="K69" i="9" s="1"/>
  <c r="M65" i="9" a="1"/>
  <c r="M65" i="9" s="1"/>
  <c r="J61" i="9" a="1"/>
  <c r="J61" i="9" s="1"/>
  <c r="G57" i="9" a="1"/>
  <c r="G57" i="9" s="1"/>
  <c r="G115" i="9"/>
  <c r="W22" i="9" s="1" a="1"/>
  <c r="W22" i="9" s="1"/>
  <c r="B13" i="9"/>
  <c r="E13" i="9" s="1"/>
  <c r="K115" i="9"/>
  <c r="AA22" i="9" s="1" a="1"/>
  <c r="AA22" i="9" s="1"/>
  <c r="P117" i="9"/>
  <c r="AF24" i="9" s="1"/>
  <c r="B40" i="20" s="1"/>
  <c r="F128" i="9"/>
  <c r="V35" i="9" s="1" a="1"/>
  <c r="V35" i="9" s="1"/>
  <c r="J116" i="9"/>
  <c r="Z23" i="9" s="1" a="1"/>
  <c r="Z23" i="9" s="1"/>
  <c r="J115" i="9"/>
  <c r="Z22" i="9" s="1" a="1"/>
  <c r="Z22" i="9" s="1"/>
  <c r="I126" i="9"/>
  <c r="Y33" i="9" s="1" a="1"/>
  <c r="Y33" i="9" s="1"/>
  <c r="AD14" i="9" a="1"/>
  <c r="AD14" i="9" s="1"/>
  <c r="F127" i="9"/>
  <c r="V34" i="9" s="1" a="1"/>
  <c r="V34" i="9" s="1"/>
  <c r="P122" i="9"/>
  <c r="AF29" i="9" s="1"/>
  <c r="B26" i="20" s="1"/>
  <c r="L100" i="9"/>
  <c r="AB7" i="9" s="1" a="1"/>
  <c r="AB7" i="9" s="1"/>
  <c r="G113" i="9"/>
  <c r="E110" i="9"/>
  <c r="U17" i="9" s="1" a="1"/>
  <c r="U17" i="9" s="1"/>
  <c r="AD35" i="9" a="1"/>
  <c r="AD35" i="9" s="1"/>
  <c r="AD8" i="9" a="1"/>
  <c r="AD8" i="9" s="1"/>
  <c r="G104" i="9"/>
  <c r="H101" i="9"/>
  <c r="X8" i="9" s="1" a="1"/>
  <c r="X8" i="9" s="1"/>
  <c r="F122" i="9"/>
  <c r="V29" i="9" s="1" a="1"/>
  <c r="V29" i="9" s="1"/>
  <c r="I124" i="9"/>
  <c r="Y31" i="9" s="1" a="1"/>
  <c r="Y31" i="9" s="1"/>
  <c r="H124" i="9"/>
  <c r="X31" i="9" s="1" a="1"/>
  <c r="X31" i="9" s="1"/>
  <c r="P63" i="9"/>
  <c r="I123" i="9"/>
  <c r="P126" i="9"/>
  <c r="AF33" i="9" s="1"/>
  <c r="B23" i="20" s="1"/>
  <c r="I125" i="9"/>
  <c r="Y32" i="9" s="1" a="1"/>
  <c r="Y32" i="9" s="1"/>
  <c r="E106" i="9"/>
  <c r="U13" i="9" s="1" a="1"/>
  <c r="U13" i="9" s="1"/>
  <c r="K107" i="9"/>
  <c r="AA14" i="9" s="1" a="1"/>
  <c r="AA14" i="9" s="1"/>
  <c r="D99" i="9"/>
  <c r="T6" i="9" s="1" a="1"/>
  <c r="T6" i="9" s="1"/>
  <c r="G107" i="9"/>
  <c r="F109" i="9"/>
  <c r="V16" i="9" s="1" a="1"/>
  <c r="V16" i="9" s="1"/>
  <c r="G116" i="9"/>
  <c r="W23" i="9" s="1" a="1"/>
  <c r="W23" i="9" s="1"/>
  <c r="E112" i="9"/>
  <c r="U19" i="9" s="1" a="1"/>
  <c r="U19" i="9" s="1"/>
  <c r="I131" i="9"/>
  <c r="Y38" i="9" s="1" a="1"/>
  <c r="Y38" i="9" s="1"/>
  <c r="F131" i="9"/>
  <c r="V38" i="9" s="1" a="1"/>
  <c r="V38" i="9" s="1"/>
  <c r="I132" i="9"/>
  <c r="L83" i="9" a="1"/>
  <c r="L83" i="9" s="1"/>
  <c r="K72" i="9" a="1"/>
  <c r="K72" i="9" s="1"/>
  <c r="J68" i="9" a="1"/>
  <c r="J68" i="9" s="1"/>
  <c r="L65" i="9" a="1"/>
  <c r="L65" i="9" s="1"/>
  <c r="L60" i="9" a="1"/>
  <c r="L60" i="9" s="1"/>
  <c r="P67" i="9"/>
  <c r="C113" i="9"/>
  <c r="S20" i="9" s="1" a="1"/>
  <c r="S20" i="9" s="1"/>
  <c r="M102" i="9"/>
  <c r="AC9" i="9" s="1" a="1"/>
  <c r="AC9" i="9" s="1"/>
  <c r="P79" i="9"/>
  <c r="AD23" i="9" a="1"/>
  <c r="AD23" i="9" s="1"/>
  <c r="S18" i="9" a="1"/>
  <c r="S18" i="9" s="1"/>
  <c r="Y19" i="9" a="1"/>
  <c r="Y19" i="9" s="1"/>
  <c r="M118" i="9"/>
  <c r="AC25" i="9" s="1" a="1"/>
  <c r="AC25" i="9" s="1"/>
  <c r="D102" i="9"/>
  <c r="T9" i="9" s="1" a="1"/>
  <c r="T9" i="9" s="1"/>
  <c r="D120" i="9"/>
  <c r="T27" i="9" s="1" a="1"/>
  <c r="T27" i="9" s="1"/>
  <c r="D115" i="9"/>
  <c r="T22" i="9" s="1" a="1"/>
  <c r="T22" i="9" s="1"/>
  <c r="H105" i="9"/>
  <c r="X12" i="9" s="1" a="1"/>
  <c r="X12" i="9" s="1"/>
  <c r="X20" i="9" a="1"/>
  <c r="X20" i="9" s="1"/>
  <c r="AA27" i="9" a="1"/>
  <c r="AA27" i="9" s="1"/>
  <c r="D111" i="9"/>
  <c r="T18" i="9" s="1" a="1"/>
  <c r="T18" i="9" s="1"/>
  <c r="G99" i="9"/>
  <c r="W6" i="9" s="1" a="1"/>
  <c r="W6" i="9" s="1"/>
  <c r="I110" i="9"/>
  <c r="Y17" i="9" s="1" a="1"/>
  <c r="Y17" i="9" s="1"/>
  <c r="B12" i="9"/>
  <c r="I109" i="9"/>
  <c r="Y16" i="9" s="1" a="1"/>
  <c r="Y16" i="9" s="1"/>
  <c r="K106" i="9"/>
  <c r="AA13" i="9" s="1" a="1"/>
  <c r="AA13" i="9" s="1"/>
  <c r="P103" i="9"/>
  <c r="AF10" i="9" s="1"/>
  <c r="B25" i="20" s="1"/>
  <c r="C126" i="9"/>
  <c r="S33" i="9" s="1" a="1"/>
  <c r="S33" i="9" s="1"/>
  <c r="E116" i="9"/>
  <c r="U23" i="9" s="1" a="1"/>
  <c r="U23" i="9" s="1"/>
  <c r="E125" i="9"/>
  <c r="U32" i="9" s="1" a="1"/>
  <c r="U32" i="9" s="1"/>
  <c r="M128" i="9"/>
  <c r="AC35" i="9" s="1" a="1"/>
  <c r="AC35" i="9" s="1"/>
  <c r="L99" i="9"/>
  <c r="AB6" i="9" s="1" a="1"/>
  <c r="AB6" i="9" s="1"/>
  <c r="C109" i="9"/>
  <c r="S16" i="9" s="1" a="1"/>
  <c r="S16" i="9" s="1"/>
  <c r="L115" i="9"/>
  <c r="AB22" i="9" s="1" a="1"/>
  <c r="AB22" i="9" s="1"/>
  <c r="D127" i="9"/>
  <c r="T34" i="9" s="1" a="1"/>
  <c r="T34" i="9" s="1"/>
  <c r="J121" i="9"/>
  <c r="Z28" i="9" s="1" a="1"/>
  <c r="Z28" i="9" s="1"/>
  <c r="P60" i="9"/>
  <c r="H132" i="9"/>
  <c r="I82" i="9" a="1"/>
  <c r="I82" i="9" s="1"/>
  <c r="J72" i="9" a="1"/>
  <c r="J72" i="9" s="1"/>
  <c r="I68" i="9" a="1"/>
  <c r="I68" i="9" s="1"/>
  <c r="K60" i="9" a="1"/>
  <c r="K60" i="9" s="1"/>
  <c r="N52" i="9" a="1"/>
  <c r="N52" i="9" s="1"/>
  <c r="J117" i="9"/>
  <c r="Z24" i="9" s="1" a="1"/>
  <c r="Z24" i="9" s="1"/>
  <c r="P124" i="9"/>
  <c r="AF31" i="9" s="1"/>
  <c r="B36" i="20" s="1"/>
  <c r="T26" i="9" a="1"/>
  <c r="T26" i="9" s="1"/>
  <c r="B11" i="9"/>
  <c r="P75" i="9"/>
  <c r="M103" i="9"/>
  <c r="AC10" i="9" s="1" a="1"/>
  <c r="AC10" i="9" s="1"/>
  <c r="S15" i="9" a="1"/>
  <c r="S15" i="9" s="1"/>
  <c r="I103" i="9"/>
  <c r="Y10" i="9" s="1" a="1"/>
  <c r="Y10" i="9" s="1"/>
  <c r="M116" i="9"/>
  <c r="AC23" i="9" s="1" a="1"/>
  <c r="AC23" i="9" s="1"/>
  <c r="B6" i="9"/>
  <c r="I114" i="9"/>
  <c r="Y21" i="9" s="1" a="1"/>
  <c r="Y21" i="9" s="1"/>
  <c r="Y18" i="9" a="1"/>
  <c r="Y18" i="9" s="1"/>
  <c r="M100" i="9"/>
  <c r="AC7" i="9" s="1" a="1"/>
  <c r="AC7" i="9" s="1"/>
  <c r="H106" i="9"/>
  <c r="X13" i="9" s="1" a="1"/>
  <c r="X13" i="9" s="1"/>
  <c r="E117" i="9"/>
  <c r="U24" i="9" s="1" a="1"/>
  <c r="U24" i="9" s="1"/>
  <c r="Z18" i="9" a="1"/>
  <c r="Z18" i="9" s="1"/>
  <c r="H115" i="9"/>
  <c r="X22" i="9" s="1" a="1"/>
  <c r="X22" i="9" s="1"/>
  <c r="J100" i="9"/>
  <c r="Z7" i="9" s="1" a="1"/>
  <c r="Z7" i="9" s="1"/>
  <c r="I129" i="9"/>
  <c r="Y36" i="9" s="1" a="1"/>
  <c r="Y36" i="9" s="1"/>
  <c r="E132" i="9"/>
  <c r="I71" i="9" a="1"/>
  <c r="I71" i="9" s="1"/>
  <c r="I67" i="9" a="1"/>
  <c r="I67" i="9" s="1"/>
  <c r="K59" i="9" a="1"/>
  <c r="K59" i="9" s="1"/>
  <c r="H55" i="9" a="1"/>
  <c r="H55" i="9" s="1"/>
  <c r="L51" i="9" a="1"/>
  <c r="L51" i="9" s="1"/>
  <c r="H51" i="9" a="1"/>
  <c r="H51" i="9" s="1"/>
  <c r="H71" i="9" a="1"/>
  <c r="H71" i="9" s="1"/>
  <c r="A15" i="20"/>
  <c r="P50" i="9"/>
  <c r="G67" i="9" a="1"/>
  <c r="G67" i="9" s="1"/>
  <c r="H50" i="9" a="1"/>
  <c r="H50" i="9" s="1"/>
  <c r="H65" i="9" a="1"/>
  <c r="H65" i="9" s="1"/>
  <c r="J82" i="9" a="1"/>
  <c r="J82" i="9" s="1"/>
  <c r="A10" i="20"/>
  <c r="P80" i="9"/>
  <c r="A24" i="20"/>
  <c r="H80" i="9" a="1"/>
  <c r="H80" i="9" s="1"/>
  <c r="N78" i="9" a="1"/>
  <c r="N78" i="9" s="1"/>
  <c r="X9" i="9" a="1"/>
  <c r="X9" i="9" s="1"/>
  <c r="A20" i="20"/>
  <c r="AF13" i="9"/>
  <c r="B20" i="20" s="1"/>
  <c r="A29" i="20"/>
  <c r="AF35" i="9"/>
  <c r="B39" i="20" s="1"/>
  <c r="A21" i="20"/>
  <c r="AF37" i="9"/>
  <c r="B19" i="20" s="1"/>
  <c r="Y12" i="9" a="1"/>
  <c r="Y12" i="9" s="1"/>
  <c r="C17" i="9"/>
  <c r="Y15" i="9" a="1"/>
  <c r="Y15" i="9" s="1"/>
  <c r="AA34" i="9" a="1"/>
  <c r="AA34" i="9" s="1"/>
  <c r="I50" i="9" a="1"/>
  <c r="I50" i="9" s="1"/>
  <c r="K52" i="9" a="1"/>
  <c r="K52" i="9" s="1"/>
  <c r="G55" i="9" a="1"/>
  <c r="G55" i="9" s="1"/>
  <c r="L56" i="9" a="1"/>
  <c r="L56" i="9" s="1"/>
  <c r="J57" i="9" a="1"/>
  <c r="J57" i="9" s="1"/>
  <c r="J50" i="9" a="1"/>
  <c r="J50" i="9" s="1"/>
  <c r="L52" i="9" a="1"/>
  <c r="L52" i="9" s="1"/>
  <c r="H53" i="9" a="1"/>
  <c r="H53" i="9" s="1"/>
  <c r="G54" i="9" a="1"/>
  <c r="G54" i="9" s="1"/>
  <c r="M56" i="9" a="1"/>
  <c r="M56" i="9" s="1"/>
  <c r="K57" i="9" a="1"/>
  <c r="K57" i="9" s="1"/>
  <c r="R5" i="9"/>
  <c r="G81" i="9" a="1"/>
  <c r="G81" i="9" s="1"/>
  <c r="G79" i="9" a="1"/>
  <c r="G79" i="9" s="1"/>
  <c r="X24" i="9" a="1"/>
  <c r="X24" i="9" s="1"/>
  <c r="A38" i="20"/>
  <c r="L80" i="9" a="1"/>
  <c r="L80" i="9" s="1"/>
  <c r="G75" i="9" a="1"/>
  <c r="G75" i="9" s="1"/>
  <c r="H57" i="9" a="1"/>
  <c r="H57" i="9" s="1"/>
  <c r="G2" i="21"/>
  <c r="A2" i="21" s="1"/>
  <c r="B2" i="21" s="1"/>
  <c r="H67" i="9" a="1"/>
  <c r="H67" i="9" s="1"/>
  <c r="G59" i="9" a="1"/>
  <c r="G59" i="9" s="1"/>
  <c r="L58" i="9" a="1"/>
  <c r="L58" i="9" s="1"/>
  <c r="H56" i="9" a="1"/>
  <c r="H56" i="9" s="1"/>
  <c r="L55" i="9" a="1"/>
  <c r="L55" i="9" s="1"/>
  <c r="K54" i="9" a="1"/>
  <c r="K54" i="9" s="1"/>
  <c r="M53" i="9" a="1"/>
  <c r="M53" i="9" s="1"/>
  <c r="K51" i="9" a="1"/>
  <c r="K51" i="9" s="1"/>
  <c r="J58" i="9" a="1"/>
  <c r="J58" i="9" s="1"/>
  <c r="G56" i="9" a="1"/>
  <c r="G56" i="9" s="1"/>
  <c r="J55" i="9" a="1"/>
  <c r="J55" i="9" s="1"/>
  <c r="I54" i="9" a="1"/>
  <c r="I54" i="9" s="1"/>
  <c r="K53" i="9" a="1"/>
  <c r="K53" i="9" s="1"/>
  <c r="I51" i="9" a="1"/>
  <c r="I51" i="9" s="1"/>
  <c r="N50" i="9" a="1"/>
  <c r="N50" i="9" s="1"/>
  <c r="B49" i="9"/>
  <c r="N5" i="17"/>
  <c r="C12" i="10"/>
  <c r="C16" i="10"/>
  <c r="C685" i="17"/>
  <c r="K4" i="17" s="1"/>
  <c r="D685" i="17"/>
  <c r="K5" i="17" s="1"/>
  <c r="H47" i="15"/>
  <c r="H25" i="15"/>
  <c r="F48" i="15"/>
  <c r="H28" i="15"/>
  <c r="H30" i="15"/>
  <c r="H40" i="15"/>
  <c r="G48" i="15"/>
  <c r="B22" i="20"/>
  <c r="E42" i="7"/>
  <c r="B38" i="20"/>
  <c r="C43" i="12"/>
  <c r="G42" i="7"/>
  <c r="J71" i="14"/>
  <c r="C12" i="8" s="1"/>
  <c r="E12" i="8" s="1"/>
  <c r="D44" i="18"/>
  <c r="C11" i="8" s="1"/>
  <c r="E11" i="8" s="1"/>
  <c r="D72" i="14"/>
  <c r="C10" i="8" s="1"/>
  <c r="E10" i="8" s="1"/>
  <c r="I37" i="12"/>
  <c r="E44" i="18"/>
  <c r="H10" i="7"/>
  <c r="H42" i="7" s="1"/>
  <c r="B14" i="20"/>
  <c r="N6" i="17"/>
  <c r="B28" i="20"/>
  <c r="E5" i="8"/>
  <c r="E8" i="8"/>
  <c r="E6" i="8"/>
  <c r="E13" i="8"/>
  <c r="E4" i="8"/>
  <c r="E9" i="8"/>
  <c r="E7" i="8"/>
  <c r="D2" i="2"/>
  <c r="E18" i="19" l="1" a="1"/>
  <c r="E18" i="19" s="1"/>
  <c r="O110" i="9"/>
  <c r="Q110" i="9" s="1"/>
  <c r="E15" i="9"/>
  <c r="O123" i="9"/>
  <c r="C13" i="9"/>
  <c r="AE31" i="9"/>
  <c r="O109" i="9"/>
  <c r="Q109" i="9" s="1"/>
  <c r="O65" i="9"/>
  <c r="Q65" i="9" s="1"/>
  <c r="W17" i="9" a="1"/>
  <c r="W17" i="9" s="1"/>
  <c r="AE17" i="9" s="1"/>
  <c r="AG17" i="9" s="1"/>
  <c r="C28" i="20" s="1"/>
  <c r="E10" i="9"/>
  <c r="C10" i="9"/>
  <c r="C9" i="9"/>
  <c r="E3" i="9"/>
  <c r="C3" i="9"/>
  <c r="C8" i="9"/>
  <c r="E8" i="9"/>
  <c r="Q123" i="9"/>
  <c r="C7" i="9"/>
  <c r="E7" i="9" a="1"/>
  <c r="E7" i="9" s="1"/>
  <c r="C16" i="9"/>
  <c r="E16" i="9"/>
  <c r="O108" i="9"/>
  <c r="Q108" i="9" s="1"/>
  <c r="O119" i="9"/>
  <c r="Q119" i="9" s="1"/>
  <c r="AA15" i="9" a="1"/>
  <c r="AA15" i="9" s="1"/>
  <c r="AE15" i="9" s="1"/>
  <c r="AG15" i="9" s="1"/>
  <c r="C4" i="20" s="1"/>
  <c r="C4" i="9"/>
  <c r="E4" i="9"/>
  <c r="O114" i="9"/>
  <c r="Q114" i="9" s="1"/>
  <c r="O105" i="9"/>
  <c r="Q105" i="9" s="1"/>
  <c r="AE19" i="9"/>
  <c r="AG19" i="9" s="1"/>
  <c r="C38" i="20" s="1"/>
  <c r="O74" i="9"/>
  <c r="O70" i="9"/>
  <c r="Q70" i="9" s="1"/>
  <c r="O50" i="9"/>
  <c r="Q50" i="9" s="1"/>
  <c r="O69" i="9"/>
  <c r="Q69" i="9" s="1"/>
  <c r="O78" i="9"/>
  <c r="Q78" i="9" s="1"/>
  <c r="O77" i="9"/>
  <c r="Q77" i="9" s="1"/>
  <c r="O73" i="9"/>
  <c r="Q73" i="9" s="1"/>
  <c r="O79" i="9"/>
  <c r="Q79" i="9" s="1"/>
  <c r="O76" i="9"/>
  <c r="Q76" i="9" s="1"/>
  <c r="O60" i="9"/>
  <c r="Q60" i="9" s="1"/>
  <c r="O67" i="9"/>
  <c r="Q67" i="9" s="1"/>
  <c r="O81" i="9"/>
  <c r="Q81" i="9" s="1"/>
  <c r="Q74" i="9"/>
  <c r="AE23" i="9"/>
  <c r="AG23" i="9" s="1"/>
  <c r="C7" i="20" s="1"/>
  <c r="O66" i="9"/>
  <c r="Q66" i="9" s="1"/>
  <c r="O52" i="9"/>
  <c r="Q52" i="9" s="1"/>
  <c r="O61" i="9"/>
  <c r="Q61" i="9" s="1"/>
  <c r="O64" i="9"/>
  <c r="Q64" i="9" s="1"/>
  <c r="O72" i="9"/>
  <c r="Q72" i="9" s="1"/>
  <c r="AE7" i="9"/>
  <c r="AG7" i="9" s="1"/>
  <c r="C9" i="20" s="1"/>
  <c r="AE18" i="9"/>
  <c r="AG18" i="9" s="1"/>
  <c r="C17" i="20" s="1"/>
  <c r="AE28" i="9"/>
  <c r="AG28" i="9" s="1"/>
  <c r="C27" i="20" s="1"/>
  <c r="O63" i="9"/>
  <c r="Q63" i="9" s="1"/>
  <c r="AE27" i="9"/>
  <c r="AG27" i="9" s="1"/>
  <c r="C18" i="20" s="1"/>
  <c r="AG31" i="9"/>
  <c r="C36" i="20" s="1"/>
  <c r="AE21" i="9"/>
  <c r="AG21" i="9" s="1"/>
  <c r="C15" i="20" s="1"/>
  <c r="AE32" i="9"/>
  <c r="AG32" i="9" s="1"/>
  <c r="C14" i="20" s="1"/>
  <c r="O100" i="9"/>
  <c r="Q100" i="9" s="1"/>
  <c r="O107" i="9"/>
  <c r="Q107" i="9" s="1"/>
  <c r="W20" i="9" a="1"/>
  <c r="W20" i="9" s="1"/>
  <c r="AE20" i="9" s="1"/>
  <c r="AG20" i="9" s="1"/>
  <c r="C37" i="20" s="1"/>
  <c r="O113" i="9"/>
  <c r="Q113" i="9" s="1"/>
  <c r="X16" i="9" a="1"/>
  <c r="X16" i="9" s="1"/>
  <c r="AE16" i="9" s="1"/>
  <c r="AG16" i="9" s="1"/>
  <c r="C12" i="20" s="1"/>
  <c r="W14" i="9" a="1"/>
  <c r="W14" i="9" s="1"/>
  <c r="AE14" i="9" s="1"/>
  <c r="AG14" i="9" s="1"/>
  <c r="C11" i="20" s="1"/>
  <c r="E5" i="9"/>
  <c r="C5" i="9"/>
  <c r="AE13" i="9"/>
  <c r="AG13" i="9" s="1"/>
  <c r="C20" i="20" s="1"/>
  <c r="O111" i="9"/>
  <c r="Q111" i="9" s="1"/>
  <c r="C6" i="9"/>
  <c r="E6" i="9"/>
  <c r="O125" i="9"/>
  <c r="Q125" i="9" s="1"/>
  <c r="C18" i="9"/>
  <c r="E18" i="9"/>
  <c r="AE33" i="9"/>
  <c r="AG33" i="9" s="1"/>
  <c r="C23" i="20" s="1"/>
  <c r="O124" i="9"/>
  <c r="Q124" i="9" s="1"/>
  <c r="AE22" i="9"/>
  <c r="AG22" i="9" s="1"/>
  <c r="C24" i="20" s="1"/>
  <c r="O112" i="9"/>
  <c r="Q112" i="9" s="1"/>
  <c r="O75" i="9"/>
  <c r="Q75" i="9" s="1"/>
  <c r="AE12" i="9"/>
  <c r="AG12" i="9" s="1"/>
  <c r="C22" i="20" s="1"/>
  <c r="O71" i="9"/>
  <c r="Q71" i="9" s="1"/>
  <c r="E12" i="9"/>
  <c r="C12" i="9"/>
  <c r="AE6" i="9"/>
  <c r="AG6" i="9" s="1"/>
  <c r="C8" i="20" s="1"/>
  <c r="O131" i="9"/>
  <c r="Q131" i="9" s="1"/>
  <c r="X38" i="9" a="1"/>
  <c r="X38" i="9" s="1"/>
  <c r="AE38" i="9" s="1"/>
  <c r="AG38" i="9" s="1"/>
  <c r="C3" i="20" s="1"/>
  <c r="O128" i="9"/>
  <c r="Q128" i="9" s="1"/>
  <c r="O83" i="9"/>
  <c r="Q83" i="9" s="1"/>
  <c r="E14" i="9"/>
  <c r="C14" i="9"/>
  <c r="O58" i="9"/>
  <c r="Q58" i="9" s="1"/>
  <c r="W11" i="9" a="1"/>
  <c r="W11" i="9" s="1"/>
  <c r="AE11" i="9" s="1"/>
  <c r="AG11" i="9" s="1"/>
  <c r="C10" i="20" s="1"/>
  <c r="O104" i="9"/>
  <c r="Q104" i="9" s="1"/>
  <c r="W36" i="9" a="1"/>
  <c r="W36" i="9" s="1"/>
  <c r="AE36" i="9" s="1"/>
  <c r="AG36" i="9" s="1"/>
  <c r="C5" i="20" s="1"/>
  <c r="O129" i="9"/>
  <c r="Q129" i="9" s="1"/>
  <c r="O126" i="9"/>
  <c r="Q126" i="9" s="1"/>
  <c r="Y30" i="9" a="1"/>
  <c r="Y30" i="9" s="1"/>
  <c r="AE30" i="9" s="1"/>
  <c r="AG30" i="9" s="1"/>
  <c r="C16" i="20" s="1"/>
  <c r="O68" i="9"/>
  <c r="Q68" i="9" s="1"/>
  <c r="W35" i="9" a="1"/>
  <c r="W35" i="9" s="1"/>
  <c r="AE35" i="9" s="1"/>
  <c r="AG35" i="9" s="1"/>
  <c r="C39" i="20" s="1"/>
  <c r="O57" i="9"/>
  <c r="Q57" i="9" s="1"/>
  <c r="O59" i="9"/>
  <c r="Q59" i="9" s="1"/>
  <c r="O80" i="9"/>
  <c r="Q80" i="9" s="1"/>
  <c r="AE34" i="9"/>
  <c r="AG34" i="9" s="1"/>
  <c r="C6" i="20" s="1"/>
  <c r="O82" i="9"/>
  <c r="Q82" i="9" s="1"/>
  <c r="O99" i="9"/>
  <c r="Q99" i="9" s="1"/>
  <c r="O121" i="9"/>
  <c r="Q121" i="9" s="1"/>
  <c r="W25" i="9" a="1"/>
  <c r="W25" i="9" s="1"/>
  <c r="AE25" i="9" s="1"/>
  <c r="AG25" i="9" s="1"/>
  <c r="C13" i="20" s="1"/>
  <c r="O118" i="9"/>
  <c r="Q118" i="9" s="1"/>
  <c r="O120" i="9"/>
  <c r="Q120" i="9" s="1"/>
  <c r="W37" i="9" a="1"/>
  <c r="W37" i="9" s="1"/>
  <c r="AE37" i="9" s="1"/>
  <c r="AG37" i="9" s="1"/>
  <c r="E20" i="19" s="1" a="1"/>
  <c r="E20" i="19" s="1"/>
  <c r="O130" i="9"/>
  <c r="Q130" i="9" s="1"/>
  <c r="O51" i="9"/>
  <c r="Q51" i="9" s="1"/>
  <c r="AE24" i="9"/>
  <c r="AG24" i="9" s="1"/>
  <c r="C40" i="20" s="1"/>
  <c r="O106" i="9"/>
  <c r="Q106" i="9" s="1"/>
  <c r="O102" i="9"/>
  <c r="Q102" i="9" s="1"/>
  <c r="W29" i="9" a="1"/>
  <c r="W29" i="9" s="1"/>
  <c r="AE29" i="9" s="1"/>
  <c r="AG29" i="9" s="1"/>
  <c r="C26" i="20" s="1"/>
  <c r="O122" i="9"/>
  <c r="Q122" i="9" s="1"/>
  <c r="X10" i="9" a="1"/>
  <c r="X10" i="9" s="1"/>
  <c r="AE10" i="9" s="1"/>
  <c r="AG10" i="9" s="1"/>
  <c r="C25" i="20" s="1"/>
  <c r="O103" i="9"/>
  <c r="Q103" i="9" s="1"/>
  <c r="O62" i="9"/>
  <c r="Q62" i="9" s="1"/>
  <c r="W8" i="9" a="1"/>
  <c r="W8" i="9" s="1"/>
  <c r="AE8" i="9" s="1"/>
  <c r="AG8" i="9" s="1"/>
  <c r="C21" i="20" s="1"/>
  <c r="O101" i="9"/>
  <c r="Q101" i="9" s="1"/>
  <c r="O115" i="9"/>
  <c r="Q115" i="9" s="1"/>
  <c r="O127" i="9"/>
  <c r="Q127" i="9" s="1"/>
  <c r="O53" i="9"/>
  <c r="Q53" i="9" s="1"/>
  <c r="AE9" i="9"/>
  <c r="AG9" i="9" s="1"/>
  <c r="C30" i="20" s="1"/>
  <c r="E11" i="9"/>
  <c r="C11" i="9"/>
  <c r="O116" i="9"/>
  <c r="Q116" i="9" s="1"/>
  <c r="O132" i="9"/>
  <c r="Q132" i="9" s="1"/>
  <c r="O117" i="9"/>
  <c r="Q117" i="9" s="1"/>
  <c r="AE26" i="9"/>
  <c r="AG26" i="9" s="1"/>
  <c r="C29" i="20" s="1"/>
  <c r="O54" i="9"/>
  <c r="Q54" i="9" s="1"/>
  <c r="A2" i="20"/>
  <c r="D12" i="19" a="1"/>
  <c r="D12" i="19" s="1"/>
  <c r="D8" i="19" a="1"/>
  <c r="D8" i="19" s="1"/>
  <c r="D14" i="19" a="1"/>
  <c r="D14" i="19" s="1"/>
  <c r="E14" i="19" s="1"/>
  <c r="D10" i="19" a="1"/>
  <c r="D10" i="19" s="1"/>
  <c r="O55" i="9"/>
  <c r="Q55" i="9" s="1"/>
  <c r="O56" i="9"/>
  <c r="Q56" i="9" s="1"/>
  <c r="L49" i="9" a="1"/>
  <c r="L49" i="9" s="1"/>
  <c r="H49" i="9" a="1"/>
  <c r="H49" i="9" s="1"/>
  <c r="M49" i="9" a="1"/>
  <c r="M49" i="9" s="1"/>
  <c r="N49" i="9" a="1"/>
  <c r="N49" i="9" s="1"/>
  <c r="I49" i="9" a="1"/>
  <c r="I49" i="9" s="1"/>
  <c r="J49" i="9" a="1"/>
  <c r="J49" i="9" s="1"/>
  <c r="G49" i="9" a="1"/>
  <c r="G49" i="9" s="1"/>
  <c r="K49" i="9" a="1"/>
  <c r="K49" i="9" s="1"/>
  <c r="C98" i="9"/>
  <c r="S5" i="9" s="1" a="1"/>
  <c r="S5" i="9" s="1"/>
  <c r="M98" i="9"/>
  <c r="AC5" i="9" s="1" a="1"/>
  <c r="AC5" i="9" s="1"/>
  <c r="J98" i="9"/>
  <c r="Z5" i="9" s="1" a="1"/>
  <c r="Z5" i="9" s="1"/>
  <c r="L98" i="9"/>
  <c r="D98" i="9"/>
  <c r="E49" i="9" a="1"/>
  <c r="E49" i="9" s="1"/>
  <c r="H98" i="9"/>
  <c r="X5" i="9" s="1" a="1"/>
  <c r="X5" i="9" s="1"/>
  <c r="AB5" i="9" a="1"/>
  <c r="AB5" i="9" s="1"/>
  <c r="I98" i="9"/>
  <c r="Y5" i="9" a="1"/>
  <c r="Y5" i="9" s="1"/>
  <c r="K98" i="9"/>
  <c r="AA5" i="9" s="1" a="1"/>
  <c r="AA5" i="9" s="1"/>
  <c r="C12" i="19" a="1"/>
  <c r="C12" i="19" s="1"/>
  <c r="C49" i="9" a="1"/>
  <c r="C49" i="9" s="1"/>
  <c r="E98" i="9"/>
  <c r="U5" i="9" s="1" a="1"/>
  <c r="U5" i="9" s="1"/>
  <c r="D49" i="9" a="1"/>
  <c r="D49" i="9" s="1"/>
  <c r="AD5" i="9" a="1"/>
  <c r="AD5" i="9" s="1"/>
  <c r="F49" i="9" a="1"/>
  <c r="F49" i="9" s="1"/>
  <c r="P98" i="9"/>
  <c r="AF5" i="9" s="1"/>
  <c r="B2" i="20" s="1"/>
  <c r="F98" i="9"/>
  <c r="V5" i="9" s="1" a="1"/>
  <c r="V5" i="9" s="1"/>
  <c r="B2" i="9"/>
  <c r="G98" i="9"/>
  <c r="W5" i="9" s="1" a="1"/>
  <c r="W5" i="9" s="1"/>
  <c r="P49" i="9"/>
  <c r="T5" i="9" a="1"/>
  <c r="T5" i="9" s="1"/>
  <c r="N7" i="17"/>
  <c r="C19" i="10" s="1"/>
  <c r="B5" i="20"/>
  <c r="K6" i="17"/>
  <c r="F685" i="17"/>
  <c r="H48" i="15"/>
  <c r="F44" i="18"/>
  <c r="C14" i="8"/>
  <c r="C4" i="10" s="1"/>
  <c r="C15" i="10" s="1"/>
  <c r="C17" i="10" s="1"/>
  <c r="E14" i="8"/>
  <c r="C19" i="20" l="1"/>
  <c r="O49" i="9"/>
  <c r="Q49" i="9" s="1"/>
  <c r="O98" i="9"/>
  <c r="Q98" i="9" s="1"/>
  <c r="E12" i="19"/>
  <c r="E16" i="19" s="1"/>
  <c r="E2" i="9"/>
  <c r="C2" i="9"/>
  <c r="AE5" i="9"/>
  <c r="AG5" i="9" s="1"/>
  <c r="C2" i="20" s="1"/>
  <c r="C23" i="9"/>
  <c r="C3" i="10" s="1"/>
  <c r="C11" i="10" s="1"/>
  <c r="C13" i="10" s="1"/>
  <c r="C21" i="10" s="1"/>
  <c r="C21" i="9"/>
  <c r="P7" i="17"/>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<sst xmlns="http://schemas.openxmlformats.org/spreadsheetml/2006/main" count="3204" uniqueCount="681">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</sst>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521939</xdr:colOff>
      <xdr:row>7</xdr:row>
      <xdr:rowOff>44451</xdr:rowOff>
    </xdr:from>
    <xdr:to>
      <xdr:col>13</xdr:col>
      <xdr:colOff>394699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217053</xdr:colOff>
      <xdr:row>12</xdr:row>
      <xdr:rowOff>136208</xdr:rowOff>
    </xdr:from>
    <xdr:to>
      <xdr:col>14</xdr:col>
      <xdr:colOff>526631</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5555554" createdVersion="8" refreshedVersion="8" minRefreshableVersion="3" recordCount="224" xr:uid="{46CBB50D-3613-4E5B-8212-DD0313DCD05A}">
  <cacheSource type="worksheet">
    <worksheetSource name="Table1"/>
  </cacheSource>
  <cacheFields count="14">
    <cacheField name="Date" numFmtId="0">
      <sharedItems containsNonDate="0" containsDate="1" containsString="0" containsBlank="1" minDate="2026-02-19T00:00:00" maxDate="2026-04-28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zaid ejaz" u="1"/>
        <s v="Reject" u="1"/>
        <s v="YING" u="1"/>
        <s v="Meow" u="1"/>
        <s v="Umer Sb" u="1"/>
        <s v="-" u="1"/>
        <s v="Sajjad" u="1"/>
        <s v="Haji Ejaz" u="1"/>
      </sharedItems>
    </cacheField>
    <cacheField name="Bill Number" numFmtId="0">
      <sharedItems containsBlank="1" containsMixedTypes="1" containsNumber="1" containsInteger="1" minValue="1509" maxValue="1659"/>
    </cacheField>
    <cacheField name="Quality" numFmtId="0">
      <sharedItems containsBlank="1"/>
    </cacheField>
    <cacheField name="Shipment Number" numFmtId="164">
      <sharedItems containsBlank="1" containsMixedTypes="1" containsNumber="1" containsInteger="1" minValue="1558" maxValue="17000" count="52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018516" createdVersion="8" refreshedVersion="8" minRefreshableVersion="3" recordCount="683" xr:uid="{B5BDFB73-D93A-4A7A-8149-666BC190B09B}">
  <cacheSource type="worksheet">
    <worksheetSource name="Table14"/>
  </cacheSource>
  <cacheFields count="7">
    <cacheField name="Date" numFmtId="14">
      <sharedItems containsNonDate="0" containsDate="1" containsString="0" containsBlank="1" minDate="2025-12-23T00:00:00" maxDate="2026-04-28T00:00:00"/>
    </cacheField>
    <cacheField name="Party" numFmtId="0">
      <sharedItems containsBlank="1" count="102">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16333.21141185088"/>
    </cacheField>
    <cacheField name="Rate" numFmtId="0">
      <sharedItems containsString="0" containsBlank="1" containsNumber="1" minValue="10" maxValue="12"/>
    </cacheField>
    <cacheField name="Total" numFmtId="164">
      <sharedItems containsSemiMixedTypes="0" containsString="0" containsNumber="1" minValue="0" maxValue="5844131.309436723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2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28T00:00:00" count="92">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365739"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842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481485" createdVersion="8" refreshedVersion="8" minRefreshableVersion="3" recordCount="43" xr:uid="{376A650C-1F79-4049-BC45-E34989F046B2}">
  <cacheSource type="worksheet">
    <worksheetSource name="Table2"/>
  </cacheSource>
  <cacheFields count="8">
    <cacheField name="Date" numFmtId="14">
      <sharedItems containsNonDate="0" containsDate="1" containsString="0" containsBlank="1" minDate="2026-02-20T00:00:00" maxDate="2026-04-26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7.4313821769604544"/>
    <n v="32029.078273591811"/>
    <n v="416378.01755669352"/>
    <m/>
  </r>
  <r>
    <d v="2026-04-23T00:00:00"/>
    <x v="31"/>
    <n v="1650"/>
    <s v="Silky"/>
    <x v="88"/>
    <n v="47687"/>
    <n v="13248"/>
    <n v="7.4313821769604544"/>
    <n v="12114.118507681054"/>
    <n v="157483.5405998537"/>
    <m/>
  </r>
  <r>
    <d v="2026-04-23T00:00:00"/>
    <x v="1"/>
    <n v="1651"/>
    <s v="Silky"/>
    <x v="89"/>
    <n v="15000"/>
    <n v="1535"/>
    <n v="90.642526213118757"/>
    <n v="1403.6210680321874"/>
    <n v="18247.073884418438"/>
    <m/>
  </r>
  <r>
    <d v="2026-04-24T00:00:00"/>
    <x v="0"/>
    <n v="1652"/>
    <s v="Chamki"/>
    <x v="90"/>
    <n v="15645"/>
    <n v="10649"/>
    <s v="NF"/>
    <m/>
    <m/>
    <m/>
  </r>
  <r>
    <d v="2026-04-24T00:00:00"/>
    <x v="0"/>
    <n v="1653"/>
    <s v="Chamki"/>
    <x v="91"/>
    <n v="14993"/>
    <n v="6728"/>
    <s v="NF"/>
    <m/>
    <m/>
    <m/>
  </r>
  <r>
    <d v="2026-04-24T00:00:00"/>
    <x v="20"/>
    <n v="1654"/>
    <s v="Chamki"/>
    <x v="92"/>
    <n v="78432"/>
    <n v="4817"/>
    <s v="NF"/>
    <m/>
    <m/>
    <m/>
  </r>
  <r>
    <d v="2026-04-24T00:00:00"/>
    <x v="33"/>
    <n v="1655"/>
    <s v="Chamki"/>
    <x v="93"/>
    <n v="83592"/>
    <n v="49176"/>
    <s v="NF"/>
    <m/>
    <m/>
    <m/>
  </r>
  <r>
    <d v="2026-04-25T00:00:00"/>
    <x v="33"/>
    <n v="1656"/>
    <s v="Chamki"/>
    <x v="93"/>
    <n v="83592"/>
    <n v="39455"/>
    <s v="NF"/>
    <m/>
    <m/>
    <m/>
  </r>
  <r>
    <d v="2026-04-27T00:00:00"/>
    <x v="10"/>
    <n v="1657"/>
    <s v="Kataan"/>
    <x v="94"/>
    <n v="50133"/>
    <n v="51781"/>
    <s v="NF"/>
    <m/>
    <m/>
    <m/>
  </r>
  <r>
    <d v="2026-04-27T00:00:00"/>
    <x v="31"/>
    <n v="1658"/>
    <s v="Kataan"/>
    <x v="95"/>
    <n v="7882"/>
    <n v="8164"/>
    <s v="NF"/>
    <m/>
    <m/>
    <m/>
  </r>
  <r>
    <d v="2026-04-27T00:00:00"/>
    <x v="31"/>
    <n v="1659"/>
    <s v="Kataan"/>
    <x v="96"/>
    <n v="34252"/>
    <n v="34786"/>
    <s v="NF"/>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n v="86594"/>
    <m/>
    <s v="TID:217686"/>
    <s v="Bank"/>
    <m/>
  </r>
  <r>
    <d v="2026-04-27T00:00:00"/>
    <x v="2"/>
    <m/>
    <n v="86594"/>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m/>
    <x v="50"/>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16333.21141185088"/>
    <n v="10"/>
    <n v="5844131.309436723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0" firstHeaderRow="0" firstDataRow="1" firstDataCol="1" rowPageCount="1" colPageCount="1"/>
  <pivotFields count="9">
    <pivotField axis="axisRow" numFmtId="14" showAll="0">
      <items count="217">
        <item m="1" x="200"/>
        <item m="1" x="201"/>
        <item m="1" x="202"/>
        <item m="1" x="203"/>
        <item m="1" x="204"/>
        <item m="1" x="205"/>
        <item m="1" x="206"/>
        <item m="1" x="215"/>
        <item m="1" x="196"/>
        <item m="1" x="207"/>
        <item m="1" x="208"/>
        <item m="1" x="209"/>
        <item m="1" x="210"/>
        <item m="1" x="211"/>
        <item m="1" x="212"/>
        <item m="1" x="213"/>
        <item m="1" x="167"/>
        <item m="1" x="168"/>
        <item m="1" x="214"/>
        <item m="1" x="169"/>
        <item m="1" x="166"/>
        <item m="1" x="170"/>
        <item m="1" x="172"/>
        <item m="1" x="173"/>
        <item m="1" x="174"/>
        <item m="1" x="176"/>
        <item m="1" x="177"/>
        <item m="1" x="178"/>
        <item m="1" x="171"/>
        <item m="1" x="175"/>
        <item m="1" x="179"/>
        <item m="1" x="180"/>
        <item m="1" x="181"/>
        <item m="1" x="182"/>
        <item m="1" x="165"/>
        <item m="1" x="183"/>
        <item m="1" x="197"/>
        <item m="1" x="198"/>
        <item m="1" x="199"/>
        <item m="1" x="184"/>
        <item m="1" x="185"/>
        <item m="1" x="186"/>
        <item m="1" x="187"/>
        <item m="1" x="188"/>
        <item m="1" x="189"/>
        <item m="1" x="190"/>
        <item m="1" x="191"/>
        <item m="1" x="192"/>
        <item m="1" x="193"/>
        <item m="1" x="194"/>
        <item m="1" x="195"/>
        <item m="1" x="136"/>
        <item m="1" x="137"/>
        <item m="1" x="138"/>
        <item m="1" x="139"/>
        <item m="1" x="140"/>
        <item m="1" x="141"/>
        <item m="1" x="142"/>
        <item m="1" x="143"/>
        <item m="1" x="145"/>
        <item m="1" x="146"/>
        <item m="1" x="147"/>
        <item m="1" x="144"/>
        <item m="1" x="148"/>
        <item m="1" x="149"/>
        <item m="1" x="150"/>
        <item m="1" x="151"/>
        <item m="1" x="152"/>
        <item m="1" x="153"/>
        <item m="1" x="154"/>
        <item m="1" x="155"/>
        <item m="1" x="156"/>
        <item m="1" x="157"/>
        <item m="1" x="158"/>
        <item m="1" x="159"/>
        <item m="1" x="160"/>
        <item m="1" x="161"/>
        <item m="1" x="162"/>
        <item m="1" x="163"/>
        <item m="1" x="164"/>
        <item m="1" x="82"/>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83"/>
        <item m="1" x="86"/>
        <item m="1" x="84"/>
        <item m="1" x="8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0"/>
        <item m="1" x="51"/>
        <item m="1" x="52"/>
        <item m="1" x="53"/>
        <item m="1" x="54"/>
        <item m="1" x="55"/>
        <item m="1" x="56"/>
        <item m="1" x="57"/>
        <item x="1"/>
        <item m="1" x="58"/>
        <item m="1" x="59"/>
        <item m="1" x="60"/>
        <item m="1" x="61"/>
        <item m="1" x="62"/>
        <item m="1" x="63"/>
        <item m="1" x="81"/>
        <item m="1" x="64"/>
        <item m="1" x="65"/>
        <item m="1" x="49"/>
        <item m="1" x="48"/>
        <item m="1" x="66"/>
        <item m="1" x="67"/>
        <item m="1" x="68"/>
        <item m="1" x="69"/>
        <item m="1" x="70"/>
        <item m="1" x="71"/>
        <item m="1" x="72"/>
        <item m="1" x="73"/>
        <item m="1" x="74"/>
        <item m="1" x="75"/>
        <item m="1" x="76"/>
        <item m="1" x="77"/>
        <item m="1" x="78"/>
        <item m="1" x="79"/>
        <item m="1" x="80"/>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x="4"/>
        <item x="0"/>
        <item x="2"/>
        <item x="3"/>
        <item x="5"/>
        <item x="6"/>
        <item x="7"/>
        <item x="8"/>
        <item x="9"/>
        <item x="10"/>
        <item x="11"/>
        <item x="12"/>
        <item x="13"/>
        <item x="14"/>
        <item x="15"/>
        <item x="16"/>
        <item x="17"/>
        <item x="18"/>
        <item x="19"/>
        <item x="21"/>
        <item x="22"/>
        <item x="20"/>
        <item x="23"/>
        <item x="24"/>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3">
        <item x="33"/>
        <item x="18"/>
        <item m="1" x="72"/>
        <item m="1" x="89"/>
        <item m="1" x="92"/>
        <item x="13"/>
        <item x="20"/>
        <item x="14"/>
        <item x="5"/>
        <item x="35"/>
        <item x="24"/>
        <item m="1" x="100"/>
        <item m="1" x="68"/>
        <item x="10"/>
        <item m="1" x="55"/>
        <item m="1" x="98"/>
        <item x="3"/>
        <item m="1" x="53"/>
        <item x="0"/>
        <item x="4"/>
        <item x="50"/>
        <item x="39"/>
        <item m="1" x="101"/>
        <item m="1" x="69"/>
        <item x="15"/>
        <item m="1" x="99"/>
        <item m="1" x="91"/>
        <item x="29"/>
        <item m="1" x="93"/>
        <item m="1" x="94"/>
        <item m="1" x="95"/>
        <item m="1" x="96"/>
        <item x="48"/>
        <item m="1" x="97"/>
        <item x="40"/>
        <item m="1" x="63"/>
        <item x="34"/>
        <item m="1" x="61"/>
        <item m="1" x="88"/>
        <item m="1" x="84"/>
        <item m="1" x="66"/>
        <item x="21"/>
        <item x="17"/>
        <item m="1" x="90"/>
        <item x="2"/>
        <item x="22"/>
        <item m="1" x="79"/>
        <item x="7"/>
        <item x="26"/>
        <item m="1" x="80"/>
        <item m="1" x="81"/>
        <item m="1" x="82"/>
        <item m="1" x="83"/>
        <item m="1" x="85"/>
        <item m="1" x="60"/>
        <item m="1" x="73"/>
        <item m="1" x="86"/>
        <item m="1" x="87"/>
        <item m="1" x="71"/>
        <item m="1" x="62"/>
        <item m="1" x="70"/>
        <item x="8"/>
        <item m="1" x="74"/>
        <item x="46"/>
        <item m="1" x="78"/>
        <item x="25"/>
        <item x="30"/>
        <item m="1" x="76"/>
        <item x="31"/>
        <item m="1" x="75"/>
        <item x="27"/>
        <item m="1" x="77"/>
        <item x="19"/>
        <item x="44"/>
        <item x="1"/>
        <item m="1" x="64"/>
        <item m="1" x="52"/>
        <item m="1" x="67"/>
        <item x="12"/>
        <item m="1" x="59"/>
        <item m="1" x="65"/>
        <item m="1" x="54"/>
        <item x="9"/>
        <item x="32"/>
        <item m="1" x="56"/>
        <item m="1" x="57"/>
        <item m="1" x="58"/>
        <item x="43"/>
        <item x="23"/>
        <item x="11"/>
        <item x="6"/>
        <item x="16"/>
        <item x="28"/>
        <item x="36"/>
        <item x="37"/>
        <item x="38"/>
        <item x="41"/>
        <item x="42"/>
        <item x="45"/>
        <item x="47"/>
        <item m="1" x="51"/>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3">
        <item m="1" x="87"/>
        <item m="1" x="88"/>
        <item m="1" x="89"/>
        <item m="1" x="90"/>
        <item m="1" x="91"/>
        <item m="1" x="86"/>
        <item m="1" x="74"/>
        <item m="1" x="75"/>
        <item m="1" x="79"/>
        <item m="1" x="80"/>
        <item m="1" x="76"/>
        <item m="1" x="81"/>
        <item m="1" x="82"/>
        <item m="1" x="83"/>
        <item m="1" x="84"/>
        <item m="1" x="85"/>
        <item m="1" x="73"/>
        <item m="1" x="77"/>
        <item m="1" x="78"/>
        <item m="1" x="66"/>
        <item m="1" x="67"/>
        <item m="1" x="68"/>
        <item m="1" x="69"/>
        <item m="1" x="70"/>
        <item m="1" x="71"/>
        <item m="1" x="72"/>
        <item m="1" x="42"/>
        <item m="1" x="58"/>
        <item m="1" x="59"/>
        <item m="1" x="60"/>
        <item m="1" x="61"/>
        <item m="1" x="62"/>
        <item m="1" x="63"/>
        <item m="1" x="64"/>
        <item m="1" x="65"/>
        <item m="1" x="43"/>
        <item m="1" x="44"/>
        <item m="1" x="45"/>
        <item m="1" x="46"/>
        <item m="1" x="47"/>
        <item m="1" x="48"/>
        <item m="1" x="49"/>
        <item m="1" x="51"/>
        <item m="1" x="52"/>
        <item m="1" x="50"/>
        <item m="1" x="53"/>
        <item m="1" x="54"/>
        <item m="1" x="55"/>
        <item m="1" x="56"/>
        <item m="1" x="57"/>
        <item m="1" x="18"/>
        <item m="1" x="29"/>
        <item m="1" x="30"/>
        <item m="1" x="31"/>
        <item m="1" x="32"/>
        <item m="1" x="33"/>
        <item m="1" x="34"/>
        <item m="1" x="35"/>
        <item m="1" x="36"/>
        <item m="1" x="37"/>
        <item m="1" x="38"/>
        <item m="1" x="39"/>
        <item m="1" x="40"/>
        <item m="1" x="41"/>
        <item m="1" x="19"/>
        <item m="1" x="20"/>
        <item m="1" x="21"/>
        <item m="1" x="22"/>
        <item m="1" x="23"/>
        <item x="16"/>
        <item m="1" x="24"/>
        <item m="1" x="25"/>
        <item m="1" x="26"/>
        <item m="1" x="27"/>
        <item m="1" x="28"/>
        <item x="0"/>
        <item x="1"/>
        <item x="2"/>
        <item x="3"/>
        <item x="4"/>
        <item x="5"/>
        <item x="6"/>
        <item x="7"/>
        <item x="8"/>
        <item x="9"/>
        <item x="10"/>
        <item x="11"/>
        <item x="12"/>
        <item x="13"/>
        <item x="14"/>
        <item x="15"/>
        <item x="17"/>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1"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28">
        <item m="1" x="510"/>
        <item m="1" x="511"/>
        <item m="1" x="509"/>
        <item m="1" x="508"/>
        <item m="1" x="512"/>
        <item m="1" x="514"/>
        <item m="1" x="513"/>
        <item m="1" x="515"/>
        <item m="1" x="516"/>
        <item m="1" x="517"/>
        <item m="1" x="518"/>
        <item m="1" x="519"/>
        <item m="1" x="520"/>
        <item m="1" x="521"/>
        <item m="1" x="446"/>
        <item m="1" x="468"/>
        <item m="1" x="522"/>
        <item m="1" x="523"/>
        <item m="1" x="524"/>
        <item m="1" x="476"/>
        <item m="1" x="475"/>
        <item m="1" x="525"/>
        <item m="1" x="526"/>
        <item m="1" x="485"/>
        <item m="1" x="477"/>
        <item m="1" x="478"/>
        <item m="1" x="479"/>
        <item m="1" x="480"/>
        <item m="1" x="481"/>
        <item m="1" x="482"/>
        <item m="1" x="483"/>
        <item m="1" x="484"/>
        <item m="1" x="486"/>
        <item m="1" x="506"/>
        <item m="1" x="487"/>
        <item m="1" x="507"/>
        <item m="1" x="488"/>
        <item m="1" x="489"/>
        <item m="1" x="490"/>
        <item m="1" x="491"/>
        <item m="1" x="492"/>
        <item m="1" x="423"/>
        <item m="1" x="493"/>
        <item m="1" x="494"/>
        <item m="1" x="495"/>
        <item m="1" x="496"/>
        <item m="1" x="497"/>
        <item m="1" x="498"/>
        <item m="1" x="499"/>
        <item m="1" x="500"/>
        <item m="1" x="501"/>
        <item m="1" x="502"/>
        <item m="1" x="503"/>
        <item m="1" x="504"/>
        <item m="1" x="505"/>
        <item x="0"/>
        <item m="1" x="422"/>
        <item m="1" x="424"/>
        <item m="1" x="425"/>
        <item m="1" x="426"/>
        <item m="1" x="427"/>
        <item m="1" x="428"/>
        <item m="1" x="429"/>
        <item m="1" x="430"/>
        <item m="1" x="431"/>
        <item m="1" x="432"/>
        <item m="1" x="433"/>
        <item m="1" x="434"/>
        <item m="1" x="435"/>
        <item m="1" x="436"/>
        <item m="1" x="161"/>
        <item m="1" x="437"/>
        <item m="1" x="438"/>
        <item m="1" x="439"/>
        <item m="1" x="440"/>
        <item m="1" x="441"/>
        <item m="1" x="442"/>
        <item m="1" x="443"/>
        <item m="1" x="444"/>
        <item m="1" x="445"/>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9"/>
        <item m="1" x="470"/>
        <item m="1" x="471"/>
        <item m="1" x="472"/>
        <item m="1" x="473"/>
        <item m="1" x="474"/>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177"/>
        <item m="1" x="391"/>
        <item m="1" x="392"/>
        <item m="1" x="393"/>
        <item m="1" x="394"/>
        <item m="1" x="395"/>
        <item m="1" x="396"/>
        <item m="1" x="397"/>
        <item m="1" x="398"/>
        <item m="1" x="399"/>
        <item m="1" x="400"/>
        <item m="1" x="401"/>
        <item m="1" x="421"/>
        <item m="1" x="402"/>
        <item m="1" x="403"/>
        <item m="1" x="404"/>
        <item m="1" x="405"/>
        <item m="1" x="406"/>
        <item m="1" x="407"/>
        <item m="1" x="408"/>
        <item m="1" x="409"/>
        <item m="1" x="410"/>
        <item m="1" x="411"/>
        <item m="1" x="412"/>
        <item m="1" x="413"/>
        <item m="1" x="414"/>
        <item m="1" x="415"/>
        <item m="1" x="416"/>
        <item m="1" x="417"/>
        <item m="1" x="418"/>
        <item m="1" x="419"/>
        <item m="1" x="420"/>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217"/>
        <item m="1" x="340"/>
        <item m="1" x="208"/>
        <item m="1" x="209"/>
        <item m="1" x="210"/>
        <item m="1" x="211"/>
        <item m="1" x="212"/>
        <item m="1" x="213"/>
        <item m="1" x="214"/>
        <item m="1" x="215"/>
        <item m="1" x="216"/>
        <item m="1" x="218"/>
        <item m="1" x="219"/>
        <item m="1" x="220"/>
        <item m="1" x="221"/>
        <item m="1" x="222"/>
        <item m="1" x="223"/>
        <item m="1" x="224"/>
        <item m="1" x="225"/>
        <item m="1" x="226"/>
        <item m="1" x="227"/>
        <item m="1" x="228"/>
        <item m="1" x="229"/>
        <item m="1" x="230"/>
        <item m="1" x="231"/>
        <item m="1" x="158"/>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162"/>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159"/>
        <item m="1" x="283"/>
        <item m="1" x="284"/>
        <item m="1" x="156"/>
        <item m="1" x="165"/>
        <item m="1" x="157"/>
        <item m="1" x="160"/>
        <item m="1" x="163"/>
        <item m="1" x="164"/>
        <item m="1" x="166"/>
        <item m="1" x="167"/>
        <item m="1" x="168"/>
        <item m="1" x="169"/>
        <item m="1" x="170"/>
        <item m="1" x="171"/>
        <item m="1" x="172"/>
        <item m="1" x="173"/>
        <item m="1" x="174"/>
        <item m="1" x="175"/>
        <item x="46"/>
        <item m="1" x="176"/>
        <item m="1" x="178"/>
        <item m="1" x="179"/>
        <item m="1" x="180"/>
        <item m="1" x="136"/>
        <item m="1" x="112"/>
        <item m="1" x="181"/>
        <item m="1" x="182"/>
        <item m="1" x="183"/>
        <item m="1" x="104"/>
        <item m="1" x="184"/>
        <item m="1" x="185"/>
        <item m="1" x="186"/>
        <item m="1" x="187"/>
        <item m="1" x="152"/>
        <item m="1" x="188"/>
        <item m="1" x="189"/>
        <item m="1" x="190"/>
        <item m="1" x="191"/>
        <item m="1" x="192"/>
        <item m="1" x="193"/>
        <item m="1" x="194"/>
        <item m="1" x="195"/>
        <item m="1" x="196"/>
        <item m="1" x="197"/>
        <item m="1" x="198"/>
        <item m="1" x="199"/>
        <item m="1" x="207"/>
        <item m="1" x="200"/>
        <item m="1" x="201"/>
        <item m="1" x="101"/>
        <item m="1" x="102"/>
        <item m="1" x="202"/>
        <item m="1" x="113"/>
        <item m="1" x="203"/>
        <item m="1" x="204"/>
        <item m="1" x="205"/>
        <item m="1" x="206"/>
        <item m="1" x="100"/>
        <item m="1" x="98"/>
        <item m="1" x="97"/>
        <item m="1" x="99"/>
        <item m="1" x="103"/>
        <item x="13"/>
        <item x="9"/>
        <item m="1" x="105"/>
        <item m="1" x="106"/>
        <item m="1" x="107"/>
        <item m="1" x="108"/>
        <item m="1" x="109"/>
        <item m="1" x="110"/>
        <item m="1" x="111"/>
        <item m="1" x="114"/>
        <item m="1" x="115"/>
        <item m="1" x="116"/>
        <item m="1" x="117"/>
        <item m="1" x="118"/>
        <item m="1" x="119"/>
        <item m="1" x="120"/>
        <item m="1" x="121"/>
        <item m="1" x="122"/>
        <item m="1" x="123"/>
        <item m="1" x="124"/>
        <item m="1" x="125"/>
        <item m="1" x="126"/>
        <item m="1" x="127"/>
        <item x="2"/>
        <item m="1" x="128"/>
        <item m="1" x="129"/>
        <item m="1" x="130"/>
        <item x="10"/>
        <item m="1" x="131"/>
        <item m="1" x="132"/>
        <item m="1" x="133"/>
        <item m="1" x="134"/>
        <item m="1" x="135"/>
        <item m="1" x="137"/>
        <item m="1" x="138"/>
        <item m="1" x="139"/>
        <item m="1" x="140"/>
        <item x="8"/>
        <item m="1" x="141"/>
        <item m="1" x="142"/>
        <item m="1" x="143"/>
        <item m="1" x="144"/>
        <item m="1" x="145"/>
        <item m="1" x="146"/>
        <item x="15"/>
        <item m="1" x="147"/>
        <item m="1" x="148"/>
        <item m="1" x="149"/>
        <item x="7"/>
        <item m="1" x="150"/>
        <item m="1" x="151"/>
        <item x="19"/>
        <item m="1" x="153"/>
        <item m="1" x="154"/>
        <item m="1" x="15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8">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27">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58" s="1"/>
        <i x="70" s="1"/>
        <i x="80" s="1"/>
        <i x="65" s="1"/>
        <i x="91" s="1"/>
        <i x="63" s="1"/>
        <i x="71" s="1"/>
        <i x="64" s="1"/>
        <i x="74" s="1"/>
        <i x="76" s="1"/>
        <i x="94" s="1"/>
        <i x="75" s="1"/>
        <i x="72" s="1"/>
        <i x="78" s="1"/>
        <i x="77" s="1"/>
        <i x="88" s="1"/>
        <i x="93" s="1"/>
        <i x="89" s="1"/>
        <i x="92" s="1"/>
        <i x="95" s="1"/>
        <i x="90" s="1"/>
        <i x="96" s="1"/>
        <i x="39" s="1"/>
        <i x="62" s="1"/>
        <i x="82" s="1"/>
        <i x="87" s="1"/>
        <i x="79" s="1"/>
        <i x="481" s="1" nd="1"/>
        <i x="510" s="1" nd="1"/>
        <i x="511" s="1" nd="1"/>
        <i x="519" s="1" nd="1"/>
        <i x="509" s="1" nd="1"/>
        <i x="508" s="1" nd="1"/>
        <i x="512" s="1" nd="1"/>
        <i x="523" s="1" nd="1"/>
        <i x="515" s="1" nd="1"/>
        <i x="516" s="1" nd="1"/>
        <i x="513" s="1" nd="1"/>
        <i x="514" s="1" nd="1"/>
        <i x="524" s="1" nd="1"/>
        <i x="517" s="1" nd="1"/>
        <i x="518" s="1" nd="1"/>
        <i x="521" s="1" nd="1"/>
        <i x="522" s="1" nd="1"/>
        <i x="520" s="1" nd="1"/>
        <i x="476" s="1" nd="1"/>
        <i x="526" s="1" nd="1"/>
        <i x="475" s="1" nd="1"/>
        <i x="525" s="1" nd="1"/>
        <i x="478" s="1" nd="1"/>
        <i x="439" s="1" nd="1"/>
        <i x="477" s="1" nd="1"/>
        <i x="479" s="1" nd="1"/>
        <i x="485" s="1" nd="1"/>
        <i x="480" s="1" nd="1"/>
        <i x="482" s="1" nd="1"/>
        <i x="498" s="1" nd="1"/>
        <i x="422" s="1" nd="1"/>
        <i x="486" s="1" nd="1"/>
        <i x="427" s="1" nd="1"/>
        <i x="492" s="1" nd="1"/>
        <i x="487" s="1" nd="1"/>
        <i x="490" s="1" nd="1"/>
        <i x="495" s="1" nd="1"/>
        <i x="506" s="1" nd="1"/>
        <i x="488" s="1" nd="1"/>
        <i x="500" s="1" nd="1"/>
        <i x="503" s="1" nd="1"/>
        <i x="494" s="1" nd="1"/>
        <i x="483" s="1" nd="1"/>
        <i x="491" s="1" nd="1"/>
        <i x="484" s="1" nd="1"/>
        <i x="489" s="1" nd="1"/>
        <i x="423" s="1" nd="1"/>
        <i x="493" s="1" nd="1"/>
        <i x="499" s="1" nd="1"/>
        <i x="161" s="1" nd="1"/>
        <i x="496" s="1" nd="1"/>
        <i x="501" s="1" nd="1"/>
        <i x="497" s="1" nd="1"/>
        <i x="463" s="1" nd="1"/>
        <i x="502" s="1" nd="1"/>
        <i x="504" s="1" nd="1"/>
        <i x="425" s="1" nd="1"/>
        <i x="432" s="1" nd="1"/>
        <i x="505" s="1" nd="1"/>
        <i x="429" s="1" nd="1"/>
        <i x="430" s="1" nd="1"/>
        <i x="424" s="1" nd="1"/>
        <i x="428" s="1" nd="1"/>
        <i x="316" s="1" nd="1"/>
        <i x="426" s="1" nd="1"/>
        <i x="435" s="1" nd="1"/>
        <i x="431" s="1" nd="1"/>
        <i x="433" s="1" nd="1"/>
        <i x="436" s="1" nd="1"/>
        <i x="443" s="1" nd="1"/>
        <i x="434" s="1" nd="1"/>
        <i x="442" s="1" nd="1"/>
        <i x="447" s="1" nd="1"/>
        <i x="441" s="1" nd="1"/>
        <i x="444" s="1" nd="1"/>
        <i x="454" s="1" nd="1"/>
        <i x="440" s="1" nd="1"/>
        <i x="437" s="1" nd="1"/>
        <i x="438" s="1" nd="1"/>
        <i x="453" s="1" nd="1"/>
        <i x="312" s="1" nd="1"/>
        <i x="446" s="1" nd="1"/>
        <i x="457" s="1" nd="1"/>
        <i x="452" s="1" nd="1"/>
        <i x="445" s="1" nd="1"/>
        <i x="469" s="1" nd="1"/>
        <i x="450" s="1" nd="1"/>
        <i x="460" s="1" nd="1"/>
        <i x="458" s="1" nd="1"/>
        <i x="448" s="1" nd="1"/>
        <i x="456" s="1" nd="1"/>
        <i x="455" s="1" nd="1"/>
        <i x="451" s="1" nd="1"/>
        <i x="461" s="1" nd="1"/>
        <i x="459" s="1" nd="1"/>
        <i x="462" s="1" nd="1"/>
        <i x="449" s="1" nd="1"/>
        <i x="391" s="1" nd="1"/>
        <i x="464" s="1" nd="1"/>
        <i x="465" s="1" nd="1"/>
        <i x="350" s="1" nd="1"/>
        <i x="352" s="1" nd="1"/>
        <i x="472" s="1" nd="1"/>
        <i x="346" s="1" nd="1"/>
        <i x="392" s="1" nd="1"/>
        <i x="466" s="1" nd="1"/>
        <i x="467" s="1" nd="1"/>
        <i x="349" s="1" nd="1"/>
        <i x="474" s="1" nd="1"/>
        <i x="348" s="1" nd="1"/>
        <i x="363" s="1" nd="1"/>
        <i x="473" s="1" nd="1"/>
        <i x="468" s="1" nd="1"/>
        <i x="367" s="1" nd="1"/>
        <i x="471" s="1" nd="1"/>
        <i x="470" s="1" nd="1"/>
        <i x="388" s="1" nd="1"/>
        <i x="341" s="1" nd="1"/>
        <i x="353" s="1" nd="1"/>
        <i x="389" s="1" nd="1"/>
        <i x="387" s="1" nd="1"/>
        <i x="345" s="1" nd="1"/>
        <i x="347" s="1" nd="1"/>
        <i x="180" s="1" nd="1"/>
        <i x="351" s="1" nd="1"/>
        <i x="342" s="1" nd="1"/>
        <i x="377" s="1" nd="1"/>
        <i x="382" s="1" nd="1"/>
        <i x="343" s="1" nd="1"/>
        <i x="344" s="1" nd="1"/>
        <i x="354" s="1" nd="1"/>
        <i x="357" s="1" nd="1"/>
        <i x="364" s="1" nd="1"/>
        <i x="356" s="1" nd="1"/>
        <i x="359" s="1" nd="1"/>
        <i x="358" s="1" nd="1"/>
        <i x="400" s="1" nd="1"/>
        <i x="355" s="1" nd="1"/>
        <i x="380" s="1" nd="1"/>
        <i x="395" s="1" nd="1"/>
        <i x="360" s="1" nd="1"/>
        <i x="385" s="1" nd="1"/>
        <i x="397" s="1" nd="1"/>
        <i x="369" s="1" nd="1"/>
        <i x="409" s="1" nd="1"/>
        <i x="368" s="1" nd="1"/>
        <i x="365" s="1" nd="1"/>
        <i x="361" s="1" nd="1"/>
        <i x="362" s="1" nd="1"/>
        <i x="381" s="1" nd="1"/>
        <i x="370" s="1" nd="1"/>
        <i x="293" s="1" nd="1"/>
        <i x="371" s="1" nd="1"/>
        <i x="366" s="1" nd="1"/>
        <i x="373" s="1" nd="1"/>
        <i x="374" s="1" nd="1"/>
        <i x="402" s="1" nd="1"/>
        <i x="372" s="1" nd="1"/>
        <i x="390" s="1" nd="1"/>
        <i x="378" s="1" nd="1"/>
        <i x="375" s="1" nd="1"/>
        <i x="379" s="1" nd="1"/>
        <i x="376" s="1" nd="1"/>
        <i x="383" s="1" nd="1"/>
        <i x="401" s="1" nd="1"/>
        <i x="396" s="1" nd="1"/>
        <i x="415" s="1" nd="1"/>
        <i x="384" s="1" nd="1"/>
        <i x="286" s="1" nd="1"/>
        <i x="394" s="1" nd="1"/>
        <i x="386" s="1" nd="1"/>
        <i x="410" s="1" nd="1"/>
        <i x="393" s="1" nd="1"/>
        <i x="408" s="1" nd="1"/>
        <i x="294" s="1" nd="1"/>
        <i x="399" s="1" nd="1"/>
        <i x="398" s="1" nd="1"/>
        <i x="414" s="1" nd="1"/>
        <i x="411" s="1" nd="1"/>
        <i x="305" s="1" nd="1"/>
        <i x="419" s="1" nd="1"/>
        <i x="403" s="1" nd="1"/>
        <i x="412" s="1" nd="1"/>
        <i x="417" s="1" nd="1"/>
        <i x="296" s="1" nd="1"/>
        <i x="322" s="1" nd="1"/>
        <i x="421" s="1" nd="1"/>
        <i x="418" s="1" nd="1"/>
        <i x="287" s="1" nd="1"/>
        <i x="307" s="1" nd="1"/>
        <i x="413" s="1" nd="1"/>
        <i x="289" s="1" nd="1"/>
        <i x="404" s="1" nd="1"/>
        <i x="407" s="1" nd="1"/>
        <i x="304" s="1" nd="1"/>
        <i x="416" s="1" nd="1"/>
        <i x="405" s="1" nd="1"/>
        <i x="406" s="1" nd="1"/>
        <i x="291" s="1" nd="1"/>
        <i x="309" s="1" nd="1"/>
        <i x="310" s="1" nd="1"/>
        <i x="323" s="1" nd="1"/>
        <i x="420" s="1" nd="1"/>
        <i x="285" s="1" nd="1"/>
        <i x="308" s="1" nd="1"/>
        <i x="301" s="1" nd="1"/>
        <i x="288" s="1" nd="1"/>
        <i x="292" s="1" nd="1"/>
        <i x="298" s="1" nd="1"/>
        <i x="290" s="1" nd="1"/>
        <i x="314" s="1" nd="1"/>
        <i x="318" s="1" nd="1"/>
        <i x="319" s="1" nd="1"/>
        <i x="311" s="1" nd="1"/>
        <i x="295" s="1" nd="1"/>
        <i x="160" s="1" nd="1"/>
        <i x="297" s="1" nd="1"/>
        <i x="299" s="1" nd="1"/>
        <i x="302" s="1" nd="1"/>
        <i x="315" s="1" nd="1"/>
        <i x="300" s="1" nd="1"/>
        <i x="321" s="1" nd="1"/>
        <i x="253" s="1" nd="1"/>
        <i x="232" s="1" nd="1"/>
        <i x="336" s="1" nd="1"/>
        <i x="303" s="1" nd="1"/>
        <i x="324" s="1" nd="1"/>
        <i x="320" s="1" nd="1"/>
        <i x="306" s="1" nd="1"/>
        <i x="328" s="1" nd="1"/>
        <i x="264" s="1" nd="1"/>
        <i x="227" s="1" nd="1"/>
        <i x="313" s="1" nd="1"/>
        <i x="337" s="1" nd="1"/>
        <i x="317" s="1" nd="1"/>
        <i x="340" s="1" nd="1"/>
        <i x="327" s="1" nd="1"/>
        <i x="332" s="1" nd="1"/>
        <i x="209" s="1" nd="1"/>
        <i x="329" s="1" nd="1"/>
        <i x="331" s="1" nd="1"/>
        <i x="249" s="1" nd="1"/>
        <i x="217" s="1" nd="1"/>
        <i x="326" s="1" nd="1"/>
        <i x="214" s="1" nd="1"/>
        <i x="325" s="1" nd="1"/>
        <i x="226" s="1" nd="1"/>
        <i x="210" s="1" nd="1"/>
        <i x="208" s="1" nd="1"/>
        <i x="330" s="1" nd="1"/>
        <i x="224" s="1" nd="1"/>
        <i x="218" s="1" nd="1"/>
        <i x="229" s="1" nd="1"/>
        <i x="246" s="1" nd="1"/>
        <i x="223" s="1" nd="1"/>
        <i x="234" s="1" nd="1"/>
        <i x="228" s="1" nd="1"/>
        <i x="225" s="1" nd="1"/>
        <i x="338" s="1" nd="1"/>
        <i x="282" s="1" nd="1"/>
        <i x="236" s="1" nd="1"/>
        <i x="237" s="1" nd="1"/>
        <i x="334" s="1" nd="1"/>
        <i x="333" s="1" nd="1"/>
        <i x="211" s="1" nd="1"/>
        <i x="213" s="1" nd="1"/>
        <i x="244" s="1" nd="1"/>
        <i x="220" s="1" nd="1"/>
        <i x="339" s="1" nd="1"/>
        <i x="278" s="1" nd="1"/>
        <i x="269" s="1" nd="1"/>
        <i x="257" s="1" nd="1"/>
        <i x="231" s="1" nd="1"/>
        <i x="216" s="1" nd="1"/>
        <i x="247" s="1" nd="1"/>
        <i x="266" s="1" nd="1"/>
        <i x="258" s="1" nd="1"/>
        <i x="254" s="1" nd="1"/>
        <i x="222" s="1" nd="1"/>
        <i x="242" s="1" nd="1"/>
        <i x="241" s="1" nd="1"/>
        <i x="256" s="1" nd="1"/>
        <i x="243" s="1" nd="1"/>
        <i x="335" s="1" nd="1"/>
        <i x="219" s="1" nd="1"/>
        <i x="215" s="1" nd="1"/>
        <i x="245" s="1" nd="1"/>
        <i x="212" s="1" nd="1"/>
        <i x="250" s="1" nd="1"/>
        <i x="251" s="1" nd="1"/>
        <i x="255" s="1" nd="1"/>
        <i x="159" s="1" nd="1"/>
        <i x="235" s="1" nd="1"/>
        <i x="230" s="1" nd="1"/>
        <i x="263" s="1" nd="1"/>
        <i x="262" s="1" nd="1"/>
        <i x="267" s="1" nd="1"/>
        <i x="221" s="1" nd="1"/>
        <i x="265" s="1" nd="1"/>
        <i x="252" s="1" nd="1"/>
        <i x="158" s="1" nd="1"/>
        <i x="233" s="1" nd="1"/>
        <i x="238" s="1" nd="1"/>
        <i x="239" s="1" nd="1"/>
        <i x="248" s="1" nd="1"/>
        <i x="240" s="1" nd="1"/>
        <i x="259" s="1" nd="1"/>
        <i x="176" s="1" nd="1"/>
        <i x="270" s="1" nd="1"/>
        <i x="260" s="1" nd="1"/>
        <i x="276" s="1" nd="1"/>
        <i x="273" s="1" nd="1"/>
        <i x="271" s="1" nd="1"/>
        <i x="171" s="1" nd="1"/>
        <i x="170" s="1" nd="1"/>
        <i x="283" s="1" nd="1"/>
        <i x="157" s="1" nd="1"/>
        <i x="169" s="1" nd="1"/>
        <i x="277" s="1" nd="1"/>
        <i x="284" s="1" nd="1"/>
        <i x="162" s="1" nd="1"/>
        <i x="279" s="1" nd="1"/>
        <i x="280" s="1" nd="1"/>
        <i x="261" s="1" nd="1"/>
        <i x="274" s="1" nd="1"/>
        <i x="281" s="1" nd="1"/>
        <i x="272" s="1" nd="1"/>
        <i x="192" s="1" nd="1"/>
        <i x="275" s="1" nd="1"/>
        <i x="156" s="1" nd="1"/>
        <i x="165" s="1" nd="1"/>
        <i x="164" s="1" nd="1"/>
        <i x="268" s="1" nd="1"/>
        <i x="152" s="1" nd="1"/>
        <i x="145" s="1" nd="1"/>
        <i x="116" s="1" nd="1"/>
        <i x="151" s="1" nd="1"/>
        <i x="168" s="1" nd="1"/>
        <i x="166" s="1" nd="1"/>
        <i x="173" s="1" nd="1"/>
        <i x="174" s="1" nd="1"/>
        <i x="172" s="1" nd="1"/>
        <i x="167" s="1" nd="1"/>
        <i x="163" s="1" nd="1"/>
        <i x="112" s="1" nd="1"/>
        <i x="136" s="1" nd="1"/>
        <i x="189" s="1" nd="1"/>
        <i x="179" s="1" nd="1"/>
        <i x="175" s="1" nd="1"/>
        <i x="193" s="1" nd="1"/>
        <i x="178" s="1" nd="1"/>
        <i x="188" s="1" nd="1"/>
        <i x="190" s="1" nd="1"/>
        <i x="177" s="1" nd="1"/>
        <i x="181" s="1" nd="1"/>
        <i x="191" s="1" nd="1"/>
        <i x="184" s="1" nd="1"/>
        <i x="182" s="1" nd="1"/>
        <i x="183" s="1" nd="1"/>
        <i x="104" s="1" nd="1"/>
        <i x="187" s="1" nd="1"/>
        <i x="185" s="1" nd="1"/>
        <i x="186" s="1" nd="1"/>
        <i x="195" s="1" nd="1"/>
        <i x="194" s="1" nd="1"/>
        <i x="113" s="1" nd="1"/>
        <i x="204" s="1" nd="1"/>
        <i x="203" s="1" nd="1"/>
        <i x="114" s="1" nd="1"/>
        <i x="202" s="1" nd="1"/>
        <i x="207" s="1" nd="1"/>
        <i x="200" s="1" nd="1"/>
        <i x="206" s="1" nd="1"/>
        <i x="105" s="1" nd="1"/>
        <i x="110" s="1" nd="1"/>
        <i x="196" s="1" nd="1"/>
        <i x="98" s="1" nd="1"/>
        <i x="97" s="1" nd="1"/>
        <i x="99" s="1" nd="1"/>
        <i x="102" s="1" nd="1"/>
        <i x="197" s="1" nd="1"/>
        <i x="198" s="1" nd="1"/>
        <i x="199" s="1" nd="1"/>
        <i x="201" s="1" nd="1"/>
        <i x="205" s="1" nd="1"/>
        <i x="109" s="1" nd="1"/>
        <i x="108" s="1" nd="1"/>
        <i x="106" s="1" nd="1"/>
        <i x="123" s="1" nd="1"/>
        <i x="101" s="1" nd="1"/>
        <i x="100" s="1" nd="1"/>
        <i x="103" s="1" nd="1"/>
        <i x="122" s="1" nd="1"/>
        <i x="117" s="1" nd="1"/>
        <i x="118" s="1" nd="1"/>
        <i x="148" s="1" nd="1"/>
        <i x="107" s="1" nd="1"/>
        <i x="130" s="1" nd="1"/>
        <i x="153" s="1" nd="1"/>
        <i x="119" s="1" nd="1"/>
        <i x="121" s="1" nd="1"/>
        <i x="111" s="1" nd="1"/>
        <i x="127" s="1" nd="1"/>
        <i x="131" s="1" nd="1"/>
        <i x="125" s="1" nd="1"/>
        <i x="124" s="1" nd="1"/>
        <i x="120" s="1" nd="1"/>
        <i x="115" s="1" nd="1"/>
        <i x="138" s="1" nd="1"/>
        <i x="139" s="1" nd="1"/>
        <i x="137" s="1" nd="1"/>
        <i x="126" s="1" nd="1"/>
        <i x="149" s="1" nd="1"/>
        <i x="129" s="1" nd="1"/>
        <i x="128" s="1" nd="1"/>
        <i x="135" s="1" nd="1"/>
        <i x="140" s="1" nd="1"/>
        <i x="144" s="1" nd="1"/>
        <i x="155" s="1" nd="1"/>
        <i x="154" s="1" nd="1"/>
        <i x="134" s="1" nd="1"/>
        <i x="133" s="1" nd="1"/>
        <i x="147" s="1" nd="1"/>
        <i x="143" s="1" nd="1"/>
        <i x="132" s="1" nd="1"/>
        <i x="142" s="1" nd="1"/>
        <i x="141" s="1" nd="1"/>
        <i x="146" s="1" nd="1"/>
        <i x="150" s="1" nd="1"/>
        <i x="50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26" totalsRowCount="1" headerRowDxfId="134" dataDxfId="133" headerRowCellStyle="Comma" dataCellStyle="Comma">
  <autoFilter ref="A1:K225"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6" totalsRowDxfId="11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86" headerRowBorderDxfId="85" tableBorderDxfId="84">
  <autoFilter ref="A1:I126"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85" totalsRowCount="1">
  <autoFilter ref="A1:G684" xr:uid="{CB032221-B416-47A8-9A76-693DE76CFD04}"/>
  <sortState xmlns:xlrd2="http://schemas.microsoft.com/office/spreadsheetml/2017/richdata2" ref="A2:G647">
    <sortCondition ref="A1:A647"/>
  </sortState>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46" headerRowBorderDxfId="45">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totalsRowFunction="sum"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8" totalsRowCount="1" headerRowDxfId="41" headerRowBorderDxfId="40">
  <autoFilter ref="A4:H47"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2" totalsRowCount="1">
  <autoFilter ref="B2:E7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1" totalsRowCount="1">
  <autoFilter ref="H2:J70"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816333.21141185088</v>
      </c>
      <c r="D2">
        <v>10</v>
      </c>
      <c r="E2" s="14">
        <f>(SUMIFS(ledger!G:G, ledger!B:B, B2, ledger!E:E, "&lt;&gt;*RD*",ledger!D:D, "Silky") / 1.0936)*12 + (SUMIFS(ledger!G:G, ledger!B:B, B2, ledger!E:E, "&lt;&gt;*RD*",ledger!D:D, "Chamki") / 1.0936)*10</f>
        <v>5844131.3094367236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9">_xlfn.UNIQUE(Table1[Party Name])</f>
        <v>BSC</v>
      </c>
      <c r="S5" s="22" cm="1">
        <f t="array" ref="S5">_xlfn.BYROW(B49,_xlfn.LAMBDA(_xlpm.party,SUMIFS(ledger!G:G,ledger!B:B,_xlpm.party,ledger!E:E,"&lt;&gt;*RD*")))+_xlfn.IFNA(C98,0)</f>
        <v>4545508.8824000005</v>
      </c>
      <c r="T5" s="22" cm="1">
        <f t="array" ref="T5">_xlfn.BYROW(B49, _xlfn.LAMBDA(_xlpm.party, SUMIFS(ledger!G:G, ledger!B:B, _xlpm.party, ledger!E:E, "&lt;&gt;*RD*") / 1.0936 ))+_xlfn.IFNA(D98,0)</f>
        <v>4156463.8646671548</v>
      </c>
      <c r="U5" s="22" cm="1">
        <f t="array" ref="U5">(_xlfn.BYROW(B49,_xlfn.LAMBDA(_xlpm.party,SUMIFS(ledger!G:G,ledger!B:B,_xlpm.party,ledger!E:E,"&lt;&gt;*RD*",ledger!D:D,"Chamki")+SUMIFS(ledger!G:G, ledger!B:B, _xlpm.party, ledger!E:E, "&lt;&gt;*RD*", ledger!D:D, "Crinkle")))/1.0936)+_xlfn.IFNA(E98,0)</f>
        <v>3206210.5727871256</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32062105.727871258</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43940297.937088519</v>
      </c>
      <c r="AF5" s="22">
        <f>(SUMIF(Table14[Party],#REF!,Table14[Credit]))+_xlfn.IFNA(P98,0)</f>
        <v>19750734</v>
      </c>
      <c r="AG5" s="33">
        <f>AE5-AF5</f>
        <v>24189563.937088519</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9675501</v>
      </c>
      <c r="AG7" s="33">
        <f t="shared" si="2"/>
        <v>137106.90051206946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257727</v>
      </c>
      <c r="T13" s="22" cm="1">
        <f t="array" ref="T13">_xlfn.BYROW(B57, _xlfn.LAMBDA(_xlpm.party, SUMIFS(ledger!G:G, ledger!B:B, _xlpm.party, ledger!E:E, "&lt;&gt;*RD*") / 1.0936 ))+_xlfn.IFNA(D106,0)</f>
        <v>235668.4345281639</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2371978.7856620336</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2833308.3394294074</v>
      </c>
      <c r="AF13" s="22">
        <f>(SUMIF(Table14[Party],R13,Table14[Credit]))+_xlfn.IFNA(P106,0)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25224101.13386979</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25224101.13386979</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399101</v>
      </c>
      <c r="T25" s="22" cm="1">
        <f t="array" ref="T25">_xlfn.BYROW(B69, _xlfn.LAMBDA(_xlpm.party, SUMIFS(ledger!G:G, ledger!B:B, _xlpm.party, ledger!E:E, "&lt;&gt;*RD*") / 1.0936 ))+_xlfn.IFNA(D118,0)</f>
        <v>364942.39209948794</v>
      </c>
      <c r="U25" s="22" cm="1">
        <f t="array" ref="U25">(_xlfn.BYROW(B69,_xlfn.LAMBDA(_xlpm.party,SUMIFS(ledger!G:G,ledger!B:B,_xlpm.party,ledger!E:E,"&lt;&gt;*RD*",ledger!D:D,"Chamki")+SUMIFS(ledger!G:G, ledger!B:B, _xlpm.party, ledger!E:E, "&lt;&gt;*RD*", ledger!D:D, "Crinkle")))/1.0936)+_xlfn.IFNA(E118,0)</f>
        <v>315403.2553035845</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3154032.5530358455</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3700943.6722750552</v>
      </c>
      <c r="AF25" s="22">
        <f>(SUMIF(Table14[Party],R25,Table14[Credit]))+_xlfn.IFNA(P118,0)</f>
        <v>3645477</v>
      </c>
      <c r="AG25" s="33">
        <f t="shared" si="2"/>
        <v>55466.6722750552</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136857</v>
      </c>
      <c r="T27" s="22" cm="1">
        <f t="array" ref="T27">_xlfn.BYROW(B71, _xlfn.LAMBDA(_xlpm.party, SUMIFS(ledger!G:G, ledger!B:B, _xlpm.party, ledger!E:E, "&lt;&gt;*RD*") / 1.0936 ))+_xlfn.IFNA(D120,0)</f>
        <v>125143.56254572056</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1626866.3130943675</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1626866.3130943675</v>
      </c>
      <c r="AF27" s="22">
        <f>(SUMIF(Table14[Party],R27,Table14[Credit]))+_xlfn.IFNA(P120,0)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440425</v>
      </c>
      <c r="T36" s="22" cm="1">
        <f t="array" ref="T36">_xlfn.BYROW(B80, _xlfn.LAMBDA(_xlpm.party, SUMIFS(ledger!G:G, ledger!B:B, _xlpm.party, ledger!E:E, "&lt;&gt;*RD*") / 1.0936 ))+_xlfn.IFNA(D129,0)</f>
        <v>402729.51719092909</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261230.797366496</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3396000.365764448</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5034023.4089246532</v>
      </c>
      <c r="AF36" s="22">
        <f>(SUMIF(Table14[Party],R36,Table14[Credit]))+_xlfn.IFNA(P129,0)</f>
        <v>4441396.4930504756</v>
      </c>
      <c r="AG36" s="33">
        <f t="shared" si="2"/>
        <v>592626.91587417759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v>0</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3">_xlfn.UNIQUE(Table1[Party Name])</f>
        <v>BSC</v>
      </c>
      <c r="C49" s="22" cm="1">
        <f t="array" ref="C49:C83">_xlfn.BYROW(_xlfn.ANCHORARRAY(B49),_xlfn.LAMBDA(_xlpm.party,SUMIFS(ledger!G:G,ledger!B:B,_xlpm.party,ledger!E:E,"&lt;&gt;*RD*")))</f>
        <v>892742</v>
      </c>
      <c r="D49" s="22" cm="1">
        <f t="array" ref="D49:D83">_xlfn.BYROW(_xlfn.ANCHORARRAY(B49), _xlfn.LAMBDA(_xlpm.party, SUMIFS(ledger!G:G, ledger!B:B, _xlpm.party, ledger!E:E, "&lt;&gt;*RD*") / 1.0936 ))</f>
        <v>816333.21141185088</v>
      </c>
      <c r="E49" s="63" cm="1">
        <f t="array" ref="E49:E83">(_xlfn.BYROW(_xlfn.ANCHORARRAY(B49),_xlfn.LAMBDA(_xlpm.party,SUMIFS(ledger!G:G,ledger!B:B,_xlpm.party,ledger!E:E,"&lt;&gt;*RD*",ledger!D:D,"Chamki")+SUMIFS(ledger!G:G, ledger!B:B, _xlpm.party, ledger!E:E, "&lt;&gt;*RD*", ledger!D:D, "Crinkle")))/1.0936)</f>
        <v>438626.55449890275</v>
      </c>
      <c r="F49" s="63" cm="1">
        <f t="array" ref="F49:F83">(_xlfn.BYROW(_xlfn.ANCHORARRAY(B49),_xlfn.LAMBDA(_xlpm.party,SUMIFS(ledger!G:G,ledger!B:B,_xlpm.party,ledger!E:E,"&lt;&gt;*RD*",ledger!D:D,"Silky")))/1.0936)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4386265.544989028</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8932737.7468910031</v>
      </c>
      <c r="P49" s="22">
        <f>(SUMIF(Table14[Party],B49,Table14[Credit]))</f>
        <v>0</v>
      </c>
      <c r="Q49" s="37">
        <f t="shared" ref="Q49:Q80" si="5">O49-P49</f>
        <v>8932737.7468910031</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1183000</v>
      </c>
      <c r="Q51" s="37">
        <f t="shared" si="5"/>
        <v>25613.752743233461</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923844.1843452818</v>
      </c>
      <c r="P57" s="22">
        <f>(SUMIF(Table14[Party],B57,Table14[Credit]))</f>
        <v>923800</v>
      </c>
      <c r="Q57" s="37">
        <f t="shared" si="5"/>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816333.21141185088</v>
      </c>
      <c r="X58" s="18">
        <v>5844131.3094367236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1679674</v>
      </c>
      <c r="Q59" s="37">
        <f t="shared" si="5"/>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4817</v>
      </c>
      <c r="D69" s="22">
        <v>4404.718361375275</v>
      </c>
      <c r="E69" s="63">
        <v>4404.718361375275</v>
      </c>
      <c r="F69" s="21">
        <v>0</v>
      </c>
      <c r="G69" s="22" cm="1">
        <f t="array" ref="G69">(_xlfn.BYROW(B69,_xlfn.LAMBDA(_xlpm.party,
(SUMIFS(ledger!J:J,ledger!B:B,_xlpm.party,ledger!E:E,"&lt;&gt;*RD*",ledger!D:D,"Chamki",ledger!C:C,"&lt;&gt;January Closing CF")+
SUMIFS(ledger!J:J,ledger!B:B,_xlpm.party,ledger!E:E,"&lt;&gt;*RD*",ledger!D:D,"Crinkle",ledger!C:C,"&lt;&gt;January Closing CF")
))))</f>
        <v>44047.18361375275</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44047.18361375275</v>
      </c>
      <c r="P69" s="22">
        <f>(SUMIF(Table14[Party],B69,Table14[Credit]))</f>
        <v>20340</v>
      </c>
      <c r="Q69" s="37">
        <f t="shared" si="5"/>
        <v>23707.18361375275</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172021.76298463793</v>
      </c>
      <c r="P71" s="22">
        <f>(SUMIF(Table14[Party],B71,Table14[Credit]))</f>
        <v>208000</v>
      </c>
      <c r="Q71" s="37">
        <f t="shared" si="5"/>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1445129.846378932</v>
      </c>
      <c r="X75" s="14">
        <v>12120656.547183616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440425</v>
      </c>
      <c r="D80">
        <v>402729.51719092909</v>
      </c>
      <c r="E80">
        <v>0</v>
      </c>
      <c r="F80">
        <v>261230.797366496</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3396000.365764448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5034023.4089246532</v>
      </c>
      <c r="P80" s="22">
        <f>SUMIF(Table14[Party], B80, Table14[Credit])</f>
        <v>4441396.4930504756</v>
      </c>
      <c r="Q80" s="37">
        <f t="shared" si="5"/>
        <v>592626.91587417759</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v>0</v>
      </c>
      <c r="C83">
        <v>0</v>
      </c>
      <c r="D83">
        <v>0</v>
      </c>
      <c r="E83">
        <v>0</v>
      </c>
      <c r="F83">
        <v>0</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2">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v>0</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8"/>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8">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9234835</v>
      </c>
      <c r="D4" t="s">
        <v>189</v>
      </c>
      <c r="E4" s="43">
        <f ca="1">Table12[[#This Row],[Amount]]/Table1[[#Totals],[tiyar/meters]]</f>
        <v>4.161794950979723</v>
      </c>
    </row>
    <row r="5" spans="1:5" x14ac:dyDescent="0.3">
      <c r="B5" t="s">
        <v>48</v>
      </c>
      <c r="C5" s="11">
        <f>SUM(Table8[Price])+(301660)</f>
        <v>2582415</v>
      </c>
      <c r="E5" s="43">
        <f ca="1">Table12[[#This Row],[Amount]]/Table1[[#Totals],[tiyar/meters]]</f>
        <v>1.1637979139133836</v>
      </c>
    </row>
    <row r="6" spans="1:5" x14ac:dyDescent="0.3">
      <c r="B6" t="s">
        <v>49</v>
      </c>
      <c r="C6" s="11">
        <f>SUM(Table2[Price])</f>
        <v>950850</v>
      </c>
      <c r="D6" t="s">
        <v>188</v>
      </c>
      <c r="E6" s="43">
        <f ca="1">Table12[[#This Row],[Amount]]/Table1[[#Totals],[tiyar/meters]]</f>
        <v>0.42851255373150354</v>
      </c>
    </row>
    <row r="7" spans="1:5" x14ac:dyDescent="0.3">
      <c r="B7" t="s">
        <v>50</v>
      </c>
      <c r="C7" s="11">
        <f>SUMIFS(Table14[Debit], Table14[Party],Table12[[#This Row],[Type]])</f>
        <v>86780</v>
      </c>
      <c r="E7" s="43">
        <f ca="1">Table12[[#This Row],[Amount]]/Table1[[#Totals],[tiyar/meters]]</f>
        <v>3.9108502300909585E-2</v>
      </c>
    </row>
    <row r="8" spans="1:5" x14ac:dyDescent="0.3">
      <c r="B8" t="s">
        <v>51</v>
      </c>
      <c r="C8" s="11">
        <f>Electricity!E5</f>
        <v>3500011</v>
      </c>
      <c r="E8" s="43">
        <f ca="1">Table12[[#This Row],[Amount]]/Table1[[#Totals],[tiyar/meters]]</f>
        <v>1.5773241328267902</v>
      </c>
    </row>
    <row r="9" spans="1:5" x14ac:dyDescent="0.3">
      <c r="B9" t="s">
        <v>52</v>
      </c>
      <c r="C9" s="11">
        <f>SUMIFS(Table14[Debit], Table14[Party],Table12[[#This Row],[Type]])+SUMIFS(Table14[Debit], Table14[Party],"Advance Salary")</f>
        <v>3874423</v>
      </c>
      <c r="E9" s="43">
        <f ca="1">Table12[[#This Row],[Amount]]/Table1[[#Totals],[tiyar/meters]]</f>
        <v>1.7460576262986518</v>
      </c>
    </row>
    <row r="10" spans="1:5" x14ac:dyDescent="0.3">
      <c r="B10" t="s">
        <v>53</v>
      </c>
      <c r="C10" s="11">
        <f>Table5[[#Totals],[Amount]]</f>
        <v>240140</v>
      </c>
      <c r="E10" s="43">
        <f ca="1">Table12[[#This Row],[Amount]]/Table1[[#Totals],[tiyar/meters]]</f>
        <v>0.10822212194676685</v>
      </c>
    </row>
    <row r="11" spans="1:5" x14ac:dyDescent="0.3">
      <c r="B11" t="s">
        <v>54</v>
      </c>
      <c r="C11" s="11">
        <f>Table13[[#Totals],[Debit]]</f>
        <v>126926</v>
      </c>
      <c r="E11" s="43">
        <f ca="1">Table12[[#This Row],[Amount]]/Table1[[#Totals],[tiyar/meters]]</f>
        <v>5.7200803906951481E-2</v>
      </c>
    </row>
    <row r="12" spans="1:5" x14ac:dyDescent="0.3">
      <c r="B12" t="s">
        <v>55</v>
      </c>
      <c r="C12" s="11">
        <f>Table15[[#Totals],[Amount]]</f>
        <v>1119603</v>
      </c>
      <c r="E12" s="43">
        <f ca="1">Table12[[#This Row],[Amount]]/Table1[[#Totals],[tiyar/meters]]</f>
        <v>0.50456322311137669</v>
      </c>
    </row>
    <row r="13" spans="1:5" x14ac:dyDescent="0.3">
      <c r="C13" s="11"/>
      <c r="E13" s="43">
        <f ca="1">Table12[[#This Row],[Amount]]/Table1[[#Totals],[tiyar/meters]]</f>
        <v>0</v>
      </c>
    </row>
    <row r="14" spans="1:5" x14ac:dyDescent="0.3">
      <c r="C14" s="14">
        <f>SUM(Table12[Amount])</f>
        <v>21715983</v>
      </c>
      <c r="E14" s="43">
        <f ca="1">SUM(Table12[cost per meter])</f>
        <v>9.7865818290160593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25224101.13386979</v>
      </c>
    </row>
    <row r="4" spans="1:3" x14ac:dyDescent="0.3">
      <c r="B4" s="11" t="s">
        <v>44</v>
      </c>
      <c r="C4" s="11">
        <f>Table12[[#Totals],[Amount]]</f>
        <v>21715983</v>
      </c>
    </row>
    <row r="5" spans="1:3" x14ac:dyDescent="0.3">
      <c r="A5" s="6"/>
      <c r="B5" s="15" t="s">
        <v>68</v>
      </c>
      <c r="C5" s="15">
        <f>C3-C4</f>
        <v>3508118.1338697895</v>
      </c>
    </row>
    <row r="10" spans="1:3" ht="15" thickBot="1" x14ac:dyDescent="0.35">
      <c r="B10" t="s">
        <v>66</v>
      </c>
      <c r="C10" s="14" t="s">
        <v>67</v>
      </c>
    </row>
    <row r="11" spans="1:3" x14ac:dyDescent="0.3">
      <c r="B11" s="56" t="s">
        <v>0</v>
      </c>
      <c r="C11" s="57">
        <f>C3</f>
        <v>25224101.13386979</v>
      </c>
    </row>
    <row r="12" spans="1:3" x14ac:dyDescent="0.3">
      <c r="B12" s="58" t="s">
        <v>69</v>
      </c>
      <c r="C12" s="59">
        <f>SUM(Table14[Credit])</f>
        <v>33778909.229517192</v>
      </c>
    </row>
    <row r="13" spans="1:3" ht="15" thickBot="1" x14ac:dyDescent="0.35">
      <c r="B13" s="74" t="s">
        <v>93</v>
      </c>
      <c r="C13" s="73">
        <f>(C11-C12)</f>
        <v>-8554808.0956474021</v>
      </c>
    </row>
    <row r="14" spans="1:3" ht="15" thickBot="1" x14ac:dyDescent="0.35">
      <c r="B14" s="58"/>
      <c r="C14" s="59"/>
    </row>
    <row r="15" spans="1:3" x14ac:dyDescent="0.3">
      <c r="B15" s="56" t="s">
        <v>44</v>
      </c>
      <c r="C15" s="57">
        <f>C4</f>
        <v>21715983</v>
      </c>
    </row>
    <row r="16" spans="1:3" x14ac:dyDescent="0.3">
      <c r="B16" s="58" t="s">
        <v>70</v>
      </c>
      <c r="C16" s="59">
        <f>SUM(Table14[Debit])</f>
        <v>33775477.399999999</v>
      </c>
    </row>
    <row r="17" spans="2:6" ht="15" thickBot="1" x14ac:dyDescent="0.35">
      <c r="B17" s="74" t="s">
        <v>71</v>
      </c>
      <c r="C17" s="73">
        <f>C15-C16</f>
        <v>-12059494.399999999</v>
      </c>
    </row>
    <row r="18" spans="2:6" ht="15" thickBot="1" x14ac:dyDescent="0.35">
      <c r="B18" s="58"/>
      <c r="C18" s="59"/>
    </row>
    <row r="19" spans="2:6" ht="15" thickBot="1" x14ac:dyDescent="0.35">
      <c r="B19" s="75" t="s">
        <v>72</v>
      </c>
      <c r="C19" s="76">
        <f>Table18[[#Totals],[amount]]</f>
        <v>10945.829517193139</v>
      </c>
    </row>
    <row r="20" spans="2:6" ht="15" thickBot="1" x14ac:dyDescent="0.35">
      <c r="B20" s="71"/>
      <c r="C20" s="72"/>
    </row>
    <row r="21" spans="2:6" ht="15" thickBot="1" x14ac:dyDescent="0.35">
      <c r="B21" s="60" t="s">
        <v>73</v>
      </c>
      <c r="C21" s="61">
        <f>(C13-C17)+C19</f>
        <v>3515632.1338697895</v>
      </c>
      <c r="E21" s="79" t="s">
        <v>74</v>
      </c>
      <c r="F21" s="125">
        <f>C5*0.05</f>
        <v>175405.90669348949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6"/>
  <sheetViews>
    <sheetView topLeftCell="A203" zoomScale="107" zoomScaleNormal="107" workbookViewId="0">
      <selection activeCell="K224" sqref="K22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6">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v>0</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7.4313821769604544</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7.4313821769604544</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58.966464281722104</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94.384029017014385</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17"/>
      <c r="B222" s="120"/>
      <c r="C222" s="117"/>
      <c r="D222" s="117"/>
      <c r="E222" s="11"/>
      <c r="F222" s="11"/>
      <c r="G222" s="11"/>
      <c r="H222" s="118" t="e">
        <f>_xlfn.XLOOKUP(Table1[[#This Row],[Shipment Number]], 'pivot '!A:A,'pivot '!G:G, "NF")</f>
        <v>#DIV/0!</v>
      </c>
      <c r="I222" s="119"/>
      <c r="J222" s="119"/>
      <c r="K222" s="117"/>
    </row>
    <row r="223" spans="1:11" x14ac:dyDescent="0.3">
      <c r="A223" s="117"/>
      <c r="B223" s="120"/>
      <c r="C223" s="117"/>
      <c r="D223" s="117"/>
      <c r="E223" s="11"/>
      <c r="F223" s="11"/>
      <c r="G223" s="11"/>
      <c r="H223" s="118" t="e">
        <f>_xlfn.XLOOKUP(Table1[[#This Row],[Shipment Number]], 'pivot '!A:A,'pivot '!G:G, "NF")</f>
        <v>#DIV/0!</v>
      </c>
      <c r="I223" s="119"/>
      <c r="J223" s="119"/>
      <c r="K223" s="117"/>
    </row>
    <row r="224" spans="1:11" x14ac:dyDescent="0.3">
      <c r="A224" s="117"/>
      <c r="B224" s="120"/>
      <c r="C224" s="117"/>
      <c r="D224" s="117"/>
      <c r="E224" s="11"/>
      <c r="F224" s="11"/>
      <c r="G224" s="11"/>
      <c r="H224" s="118" t="e">
        <f>_xlfn.XLOOKUP(Table1[[#This Row],[Shipment Number]], 'pivot '!A:A,'pivot '!G:G, "NF")</f>
        <v>#DIV/0!</v>
      </c>
      <c r="I224" s="119"/>
      <c r="J224" s="119"/>
      <c r="K224" s="117"/>
    </row>
    <row r="225" spans="1:11" x14ac:dyDescent="0.3">
      <c r="A225" s="117"/>
      <c r="B225" s="120"/>
      <c r="C225" s="117"/>
      <c r="D225" s="117"/>
      <c r="E225" s="11"/>
      <c r="F225" s="11"/>
      <c r="G225" s="11"/>
      <c r="H225" s="118" t="e">
        <f>_xlfn.XLOOKUP(Table1[[#This Row],[Shipment Number]], 'pivot '!A:A,'pivot '!G:G, "NF")</f>
        <v>#DIV/0!</v>
      </c>
      <c r="I225" s="119"/>
      <c r="J225" s="119"/>
      <c r="K225" s="117"/>
    </row>
    <row r="226" spans="1:11" x14ac:dyDescent="0.3">
      <c r="A226"/>
      <c r="B226"/>
      <c r="C226"/>
      <c r="D226"/>
      <c r="E226" s="14"/>
      <c r="F226" s="14"/>
      <c r="G226" s="14"/>
      <c r="H226" s="43"/>
      <c r="I226" s="93" cm="1">
        <f t="array" aca="1" ref="I226" ca="1">SUMPRODUCT( SUBTOTAL(109, OFFSET(Table1[tiyar/meters], ROW(Table1[tiyar/meters])-MIN(ROW(Table1[tiyar/meters])), 0, 1)), --(Table1[Bill Number]&lt;&gt;"January Closing CF") )</f>
        <v>2218954.828090711</v>
      </c>
      <c r="J226" s="43" cm="1">
        <f t="array" aca="1" ref="J226" ca="1">SUMPRODUCT( SUBTOTAL(109, OFFSET(Table1[billing], ROW(Table1[billing])-MIN(ROW(Table1[billing])), 0, 1)), --(Table1[Bill Number]&lt;&gt;"January Closing CF") )</f>
        <v>25224101.133869801</v>
      </c>
      <c r="K226" s="14">
        <f>SUMIFS(Table1[billing], Table1[Bill Number], "&lt;&gt;January Closing CF")</f>
        <v>25224101.133869801</v>
      </c>
    </row>
  </sheetData>
  <phoneticPr fontId="7" alignment="center"/>
  <conditionalFormatting sqref="H2:H22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50" zoomScale="145" zoomScaleNormal="90" workbookViewId="0">
      <selection activeCell="B63" sqref="B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8424835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t="s">
        <v>28</v>
      </c>
      <c r="M60" s="14">
        <v>10429</v>
      </c>
      <c r="N60" s="14">
        <v>8424835</v>
      </c>
      <c r="O60" s="14">
        <v>0</v>
      </c>
      <c r="P60" s="14">
        <v>12478861</v>
      </c>
    </row>
    <row r="61" spans="1:16" x14ac:dyDescent="0.3">
      <c r="A61" s="1">
        <v>46133</v>
      </c>
      <c r="B61" t="s">
        <v>196</v>
      </c>
      <c r="D61" s="11">
        <v>208</v>
      </c>
      <c r="E61" s="11">
        <v>960</v>
      </c>
      <c r="F61" s="11"/>
      <c r="G61" s="11">
        <f t="shared" si="2"/>
        <v>199680</v>
      </c>
      <c r="H61" s="11"/>
      <c r="I61" s="11">
        <f>(D61*E61)-Table3[[#This Row],[Paid]]</f>
        <v>199680</v>
      </c>
    </row>
    <row r="62" spans="1:16" x14ac:dyDescent="0.3">
      <c r="A62" s="1">
        <v>46135</v>
      </c>
      <c r="B62" t="s">
        <v>641</v>
      </c>
      <c r="D62" s="11">
        <v>278</v>
      </c>
      <c r="E62" s="11">
        <v>1100</v>
      </c>
      <c r="F62" s="11">
        <v>30000</v>
      </c>
      <c r="G62" s="11">
        <f t="shared" si="2"/>
        <v>305800</v>
      </c>
      <c r="H62" s="11"/>
      <c r="I62" s="11">
        <f>(D62*E62)-Table3[[#This Row],[Paid]]</f>
        <v>305800</v>
      </c>
    </row>
    <row r="63" spans="1:16" x14ac:dyDescent="0.3">
      <c r="A63" s="1">
        <v>46135</v>
      </c>
      <c r="B63" t="s">
        <v>224</v>
      </c>
      <c r="D63" s="11">
        <v>357</v>
      </c>
      <c r="E63" s="11">
        <v>1060</v>
      </c>
      <c r="F63" s="11">
        <v>70000</v>
      </c>
      <c r="G63" s="11">
        <f t="shared" si="2"/>
        <v>378420</v>
      </c>
      <c r="H63" s="11"/>
      <c r="I63" s="11">
        <f>(D63*E63)-Table3[[#This Row],[Paid]]</f>
        <v>378420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f t="shared" ref="G81:G86" si="4">D81*E81</f>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ref="G87:G125" si="5">D87*E87</f>
        <v>0</v>
      </c>
      <c r="H87" s="11"/>
      <c r="I87" s="11">
        <f>(D87*E87)-Table3[[#This Row],[Paid]]</f>
        <v>0</v>
      </c>
    </row>
    <row r="88" spans="1:9" x14ac:dyDescent="0.3">
      <c r="A88" s="1"/>
      <c r="D88" s="11"/>
      <c r="E88" s="11"/>
      <c r="F88" s="11"/>
      <c r="G88" s="11">
        <f t="shared" si="5"/>
        <v>0</v>
      </c>
      <c r="H88" s="11"/>
      <c r="I88" s="11">
        <f>(D88*E88)-Table3[[#This Row],[Paid]]</f>
        <v>0</v>
      </c>
    </row>
    <row r="89" spans="1:9" x14ac:dyDescent="0.3">
      <c r="A89" s="1"/>
      <c r="D89" s="11"/>
      <c r="E89" s="11"/>
      <c r="F89" s="11"/>
      <c r="G89" s="11">
        <f t="shared" si="5"/>
        <v>0</v>
      </c>
      <c r="H89" s="11"/>
      <c r="I89" s="11">
        <f>(D89*E89)-Table3[[#This Row],[Paid]]</f>
        <v>0</v>
      </c>
    </row>
    <row r="90" spans="1:9" x14ac:dyDescent="0.3">
      <c r="A90" s="1"/>
      <c r="D90" s="11"/>
      <c r="E90" s="11"/>
      <c r="F90" s="11"/>
      <c r="G90" s="11">
        <f t="shared" si="5"/>
        <v>0</v>
      </c>
      <c r="H90" s="11"/>
      <c r="I90" s="11">
        <f>(D90*E90)-Table3[[#This Row],[Paid]]</f>
        <v>0</v>
      </c>
    </row>
    <row r="91" spans="1:9" x14ac:dyDescent="0.3">
      <c r="A91" s="1"/>
      <c r="D91" s="11"/>
      <c r="E91" s="11"/>
      <c r="F91" s="11"/>
      <c r="G91" s="11">
        <f t="shared" si="5"/>
        <v>0</v>
      </c>
      <c r="H91" s="11"/>
      <c r="I91" s="11">
        <f>(D91*E91)-Table3[[#This Row],[Paid]]</f>
        <v>0</v>
      </c>
    </row>
    <row r="92" spans="1:9" x14ac:dyDescent="0.3">
      <c r="A92" s="1"/>
      <c r="D92" s="11"/>
      <c r="E92" s="11"/>
      <c r="F92" s="11"/>
      <c r="G92" s="11">
        <f t="shared" si="5"/>
        <v>0</v>
      </c>
      <c r="H92" s="11"/>
      <c r="I92" s="11">
        <f>(D92*E92)-Table3[[#This Row],[Paid]]</f>
        <v>0</v>
      </c>
    </row>
    <row r="93" spans="1:9" x14ac:dyDescent="0.3">
      <c r="A93" s="1"/>
      <c r="D93" s="11"/>
      <c r="E93" s="11"/>
      <c r="F93" s="11"/>
      <c r="G93" s="11">
        <f t="shared" si="5"/>
        <v>0</v>
      </c>
      <c r="H93" s="11"/>
      <c r="I93" s="11">
        <f>(D93*E93)-Table3[[#This Row],[Paid]]</f>
        <v>0</v>
      </c>
    </row>
    <row r="94" spans="1:9" x14ac:dyDescent="0.3">
      <c r="A94" s="1"/>
      <c r="D94" s="11"/>
      <c r="E94" s="11"/>
      <c r="F94" s="11"/>
      <c r="G94" s="11">
        <f t="shared" si="5"/>
        <v>0</v>
      </c>
      <c r="H94" s="11"/>
      <c r="I94" s="11">
        <f>(D94*E94)-Table3[[#This Row],[Paid]]</f>
        <v>0</v>
      </c>
    </row>
    <row r="95" spans="1:9" x14ac:dyDescent="0.3">
      <c r="A95" s="1"/>
      <c r="D95" s="11"/>
      <c r="E95" s="11"/>
      <c r="F95" s="11"/>
      <c r="G95" s="11">
        <f t="shared" si="5"/>
        <v>0</v>
      </c>
      <c r="H95" s="11"/>
      <c r="I95" s="11">
        <f>(D95*E95)-Table3[[#This Row],[Paid]]</f>
        <v>0</v>
      </c>
    </row>
    <row r="96" spans="1:9"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8424835</v>
      </c>
      <c r="H127" s="14">
        <f>SUBTOTAL(109,Table3[Paid])</f>
        <v>0</v>
      </c>
      <c r="I127" s="14">
        <f>SUBTOTAL(109,Table3[balance])</f>
        <v>12478861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85"/>
  <sheetViews>
    <sheetView tabSelected="1" topLeftCell="A665" zoomScale="106" zoomScaleNormal="70" workbookViewId="0">
      <selection activeCell="C674" sqref="C67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33775477.399999999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33778909.229517192</v>
      </c>
      <c r="M5" s="45" t="s">
        <v>108</v>
      </c>
      <c r="N5" s="46">
        <f>(SUMIFS(Table14[Credit],Table14[Mode],"Bank")-SUMIFS(Table14[Debit],Table14[Mode],"Bank")-SUMIFS(Table14[Withdrawal],Table14[Mode],"Transfer"))</f>
        <v>621861.82951719314</v>
      </c>
      <c r="O5">
        <v>360000</v>
      </c>
    </row>
    <row r="6" spans="1:16" x14ac:dyDescent="0.3">
      <c r="A6" s="114">
        <v>46042</v>
      </c>
      <c r="B6" s="80" t="s">
        <v>221</v>
      </c>
      <c r="C6" s="11">
        <v>783072</v>
      </c>
      <c r="D6" s="86"/>
      <c r="E6" s="80" t="s">
        <v>223</v>
      </c>
      <c r="F6" s="87" t="s">
        <v>108</v>
      </c>
      <c r="J6" s="52" t="s">
        <v>43</v>
      </c>
      <c r="K6" s="53">
        <f>(K5-K4)</f>
        <v>3431.8295171931386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10945.829517193139</v>
      </c>
      <c r="O7" s="89">
        <f>SUM(O5,O6)</f>
        <v>410000</v>
      </c>
      <c r="P7" s="14">
        <f>Table18[[#Totals],[amount]]-Table18[[#Totals],[Actual]]</f>
        <v>-399054.17048280686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418000</v>
      </c>
      <c r="N164">
        <v>45600</v>
      </c>
      <c r="O164">
        <v>9200</v>
      </c>
    </row>
    <row r="165" spans="1:15" x14ac:dyDescent="0.3">
      <c r="A165" s="38">
        <v>46083</v>
      </c>
      <c r="B165" t="s">
        <v>282</v>
      </c>
      <c r="C165" s="11"/>
      <c r="D165" s="11"/>
      <c r="E165" t="s">
        <v>360</v>
      </c>
      <c r="F165" s="110" t="s">
        <v>108</v>
      </c>
      <c r="J165" s="4" t="s">
        <v>9</v>
      </c>
      <c r="K165" s="14">
        <v>1183000</v>
      </c>
      <c r="L165" s="14"/>
      <c r="N165">
        <v>49400</v>
      </c>
      <c r="O165">
        <v>45600</v>
      </c>
    </row>
    <row r="166" spans="1:15" x14ac:dyDescent="0.3">
      <c r="A166" s="38">
        <v>46083</v>
      </c>
      <c r="B166" t="s">
        <v>282</v>
      </c>
      <c r="C166" s="11"/>
      <c r="D166" s="11"/>
      <c r="E166" t="s">
        <v>361</v>
      </c>
      <c r="F166" s="110" t="s">
        <v>108</v>
      </c>
      <c r="J166" s="4" t="s">
        <v>117</v>
      </c>
      <c r="K166" s="14"/>
      <c r="L166" s="14">
        <v>281400</v>
      </c>
      <c r="N166">
        <v>37200</v>
      </c>
      <c r="O166">
        <v>30000</v>
      </c>
    </row>
    <row r="167" spans="1:15" x14ac:dyDescent="0.3">
      <c r="A167" s="38">
        <v>46083</v>
      </c>
      <c r="B167" t="s">
        <v>249</v>
      </c>
      <c r="C167" s="11">
        <v>7200</v>
      </c>
      <c r="D167" s="11"/>
      <c r="E167" t="s">
        <v>247</v>
      </c>
      <c r="F167" s="110" t="s">
        <v>108</v>
      </c>
      <c r="J167" s="4" t="s">
        <v>94</v>
      </c>
      <c r="K167" s="14"/>
      <c r="L167" s="14">
        <v>1026077</v>
      </c>
      <c r="N167">
        <v>9200</v>
      </c>
      <c r="O167">
        <v>37200</v>
      </c>
    </row>
    <row r="168" spans="1:15" x14ac:dyDescent="0.3">
      <c r="A168" s="38">
        <v>46083</v>
      </c>
      <c r="B168" t="s">
        <v>169</v>
      </c>
      <c r="C168" s="11">
        <v>1000</v>
      </c>
      <c r="D168" s="11"/>
      <c r="E168" t="s">
        <v>341</v>
      </c>
      <c r="F168" s="110" t="s">
        <v>108</v>
      </c>
      <c r="J168" s="4" t="s">
        <v>246</v>
      </c>
      <c r="K168" s="14"/>
      <c r="L168" s="14">
        <v>86780</v>
      </c>
      <c r="N168">
        <v>50000</v>
      </c>
      <c r="O168">
        <v>49400</v>
      </c>
    </row>
    <row r="169" spans="1:15" x14ac:dyDescent="0.3">
      <c r="A169" s="38">
        <v>46083</v>
      </c>
      <c r="B169" t="s">
        <v>282</v>
      </c>
      <c r="C169" s="11"/>
      <c r="D169" s="11"/>
      <c r="F169" s="110" t="s">
        <v>108</v>
      </c>
      <c r="J169" s="4" t="s">
        <v>55</v>
      </c>
      <c r="K169" s="14"/>
      <c r="L169" s="14">
        <v>1119603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3456423</v>
      </c>
      <c r="N171">
        <v>13670</v>
      </c>
      <c r="O171">
        <v>1000</v>
      </c>
    </row>
    <row r="172" spans="1:15" x14ac:dyDescent="0.3">
      <c r="A172" s="38">
        <v>46083</v>
      </c>
      <c r="B172" t="s">
        <v>357</v>
      </c>
      <c r="C172" s="11">
        <v>12000</v>
      </c>
      <c r="D172" s="11"/>
      <c r="E172" t="s">
        <v>360</v>
      </c>
      <c r="F172" s="110" t="s">
        <v>108</v>
      </c>
      <c r="J172" s="4" t="s">
        <v>54</v>
      </c>
      <c r="K172" s="14"/>
      <c r="L172" s="14">
        <v>250946.4</v>
      </c>
      <c r="N172">
        <v>18120</v>
      </c>
      <c r="O172">
        <v>35000</v>
      </c>
    </row>
    <row r="173" spans="1:15" x14ac:dyDescent="0.3">
      <c r="A173" s="38">
        <v>46083</v>
      </c>
      <c r="B173" t="s">
        <v>55</v>
      </c>
      <c r="C173" s="11">
        <v>20900</v>
      </c>
      <c r="D173" s="11"/>
      <c r="E173" t="s">
        <v>366</v>
      </c>
      <c r="F173" s="110" t="s">
        <v>108</v>
      </c>
      <c r="J173" s="4" t="s">
        <v>221</v>
      </c>
      <c r="K173" s="14">
        <v>0</v>
      </c>
      <c r="L173" s="14">
        <v>1017464</v>
      </c>
      <c r="N173">
        <v>7650</v>
      </c>
      <c r="O173">
        <v>29600</v>
      </c>
    </row>
    <row r="174" spans="1:15" x14ac:dyDescent="0.3">
      <c r="A174" s="38">
        <v>46083</v>
      </c>
      <c r="B174" t="s">
        <v>297</v>
      </c>
      <c r="C174" s="11">
        <v>23000</v>
      </c>
      <c r="D174" s="11"/>
      <c r="E174" t="s">
        <v>367</v>
      </c>
      <c r="F174" s="110" t="s">
        <v>108</v>
      </c>
      <c r="J174" s="4" t="s">
        <v>212</v>
      </c>
      <c r="K174" s="14">
        <v>1025490.7364667157</v>
      </c>
      <c r="L174" s="14">
        <v>412282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1593080</v>
      </c>
      <c r="L178" s="14">
        <v>86594</v>
      </c>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2380860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12914144</v>
      </c>
      <c r="L185" s="14">
        <v>9708579</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401705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1013684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2020650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4441396.4930504756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56000</v>
      </c>
    </row>
    <row r="215" spans="1:12" x14ac:dyDescent="0.3">
      <c r="A215" s="114">
        <v>46085</v>
      </c>
      <c r="B215" t="s">
        <v>55</v>
      </c>
      <c r="C215" s="11">
        <v>3900</v>
      </c>
      <c r="D215" s="11"/>
      <c r="F215" s="110" t="s">
        <v>108</v>
      </c>
      <c r="J215" s="4" t="s">
        <v>28</v>
      </c>
      <c r="K215" s="14">
        <v>33778909.229517192</v>
      </c>
      <c r="L215" s="14">
        <v>33775477.399999999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t="s">
        <v>653</v>
      </c>
      <c r="F642" s="110" t="s">
        <v>108</v>
      </c>
    </row>
    <row r="643" spans="1:6" x14ac:dyDescent="0.3">
      <c r="A643" s="38">
        <v>46135</v>
      </c>
      <c r="B643" t="s">
        <v>357</v>
      </c>
      <c r="C643" s="95">
        <v>20000</v>
      </c>
      <c r="D643" s="95"/>
      <c r="E643"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665</v>
      </c>
      <c r="F656" s="110" t="s">
        <v>108</v>
      </c>
    </row>
    <row r="657" spans="1:6" x14ac:dyDescent="0.3">
      <c r="A657" s="114">
        <v>46137</v>
      </c>
      <c r="B657" t="s">
        <v>55</v>
      </c>
      <c r="C657" s="11">
        <v>690</v>
      </c>
      <c r="D657" s="11"/>
      <c r="E657" t="s">
        <v>664</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666</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667</v>
      </c>
      <c r="F663" s="110" t="s">
        <v>108</v>
      </c>
    </row>
    <row r="664" spans="1:6" x14ac:dyDescent="0.3">
      <c r="A664" s="114">
        <v>46137</v>
      </c>
      <c r="B664" t="s">
        <v>601</v>
      </c>
      <c r="C664" s="11">
        <v>8000</v>
      </c>
      <c r="D664" s="11"/>
      <c r="E664" t="s">
        <v>668</v>
      </c>
      <c r="F664" s="110" t="s">
        <v>108</v>
      </c>
    </row>
    <row r="665" spans="1:6" x14ac:dyDescent="0.3">
      <c r="A665" s="114">
        <v>46137</v>
      </c>
      <c r="B665" t="s">
        <v>220</v>
      </c>
      <c r="C665" s="11"/>
      <c r="D665" s="11">
        <v>10000</v>
      </c>
      <c r="E665" t="s">
        <v>669</v>
      </c>
      <c r="F665" s="110" t="s">
        <v>108</v>
      </c>
    </row>
    <row r="666" spans="1:6" x14ac:dyDescent="0.3">
      <c r="A666" s="114">
        <v>46137</v>
      </c>
      <c r="B666" t="s">
        <v>9</v>
      </c>
      <c r="C666" s="11"/>
      <c r="D666" s="11">
        <v>98000</v>
      </c>
      <c r="E666" t="s">
        <v>670</v>
      </c>
      <c r="F666" s="110" t="s">
        <v>108</v>
      </c>
    </row>
    <row r="667" spans="1:6" x14ac:dyDescent="0.3">
      <c r="A667" s="114">
        <v>46137</v>
      </c>
      <c r="B667" t="s">
        <v>357</v>
      </c>
      <c r="C667" s="11">
        <v>10000</v>
      </c>
      <c r="D667" s="11"/>
      <c r="E66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671</v>
      </c>
      <c r="F669" s="110" t="s">
        <v>108</v>
      </c>
    </row>
    <row r="670" spans="1:6" x14ac:dyDescent="0.3">
      <c r="A670" s="114">
        <v>46138</v>
      </c>
      <c r="B670" t="s">
        <v>55</v>
      </c>
      <c r="C670" s="11">
        <v>11456</v>
      </c>
      <c r="D670" s="11"/>
      <c r="E670" t="s">
        <v>673</v>
      </c>
      <c r="F670" s="110" t="s">
        <v>108</v>
      </c>
    </row>
    <row r="671" spans="1:6" x14ac:dyDescent="0.3">
      <c r="A671" s="114">
        <v>46139</v>
      </c>
      <c r="B671" t="s">
        <v>115</v>
      </c>
      <c r="C671" s="11">
        <v>200000</v>
      </c>
      <c r="D671" s="11"/>
      <c r="E671" t="s">
        <v>674</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675</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676</v>
      </c>
      <c r="F675" s="110" t="s">
        <v>108</v>
      </c>
    </row>
    <row r="676" spans="1:6" x14ac:dyDescent="0.3">
      <c r="A676" s="114">
        <v>46139</v>
      </c>
      <c r="B676" t="s">
        <v>220</v>
      </c>
      <c r="C676" s="95"/>
      <c r="D676" s="95">
        <v>6200</v>
      </c>
      <c r="E676" t="s">
        <v>676</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677</v>
      </c>
      <c r="F678" s="110" t="s">
        <v>108</v>
      </c>
    </row>
    <row r="679" spans="1:6" x14ac:dyDescent="0.3">
      <c r="A679" s="114">
        <v>46139</v>
      </c>
      <c r="B679" t="s">
        <v>220</v>
      </c>
      <c r="C679" s="95"/>
      <c r="D679" s="95">
        <v>7000</v>
      </c>
      <c r="E679" t="s">
        <v>638</v>
      </c>
      <c r="F679" s="110" t="s">
        <v>108</v>
      </c>
    </row>
    <row r="680" spans="1:6" x14ac:dyDescent="0.3">
      <c r="A680" s="114">
        <v>46139</v>
      </c>
      <c r="B680" t="s">
        <v>54</v>
      </c>
      <c r="C680" s="95">
        <v>2500</v>
      </c>
      <c r="D680" s="95"/>
      <c r="E680" t="s">
        <v>679</v>
      </c>
      <c r="F680" s="110" t="s">
        <v>108</v>
      </c>
    </row>
    <row r="681" spans="1:6" x14ac:dyDescent="0.3">
      <c r="A681" s="114">
        <v>46139</v>
      </c>
      <c r="B681" t="s">
        <v>54</v>
      </c>
      <c r="C681" s="95">
        <v>4500</v>
      </c>
      <c r="D681" s="95"/>
      <c r="E681" t="s">
        <v>680</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c r="C684" s="95"/>
      <c r="D684" s="95"/>
      <c r="F684" s="110"/>
    </row>
    <row r="685" spans="1:6" x14ac:dyDescent="0.3">
      <c r="A685" s="38"/>
      <c r="C685" s="14">
        <f>SUBTOTAL(109,Table14[Debit])</f>
        <v>33775477.399999999</v>
      </c>
      <c r="D685" s="14">
        <f>SUBTOTAL(109,Table14[Credit])</f>
        <v>33778909.229517192</v>
      </c>
      <c r="F685" s="54">
        <f>(Table14[[#Totals],[Credit]]-Table14[[#Totals],[Debit]])</f>
        <v>3431.8295171931386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C31" sqref="C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c r="G31">
        <f>SUMIFS(Table14[Debit], Table14[Date], Table8[[#This Row],[Date]], Table14[Party], Table8[[#This Row],[Party]])</f>
        <v>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2280755</v>
      </c>
      <c r="G42">
        <f>SUBTOTAL(109,Table8[Paid])</f>
        <v>2264880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8"/>
  <sheetViews>
    <sheetView topLeftCell="A29"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281400</v>
      </c>
      <c r="L7">
        <v>281400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142500</v>
      </c>
      <c r="M11">
        <v>-58000</v>
      </c>
    </row>
    <row r="12" spans="1:13" x14ac:dyDescent="0.3">
      <c r="A12" s="1"/>
      <c r="B12" s="1"/>
      <c r="J12" s="4" t="s">
        <v>427</v>
      </c>
      <c r="K12">
        <v>0</v>
      </c>
      <c r="L12">
        <v>0</v>
      </c>
      <c r="M12">
        <v>0</v>
      </c>
    </row>
    <row r="13" spans="1:13" x14ac:dyDescent="0.3">
      <c r="A13" s="1"/>
      <c r="B13" s="1"/>
      <c r="J13" s="4" t="s">
        <v>672</v>
      </c>
      <c r="K13">
        <v>0</v>
      </c>
      <c r="L13">
        <v>0</v>
      </c>
      <c r="M13">
        <v>0</v>
      </c>
    </row>
    <row r="14" spans="1:13" x14ac:dyDescent="0.3">
      <c r="A14" s="1"/>
      <c r="B14" s="1"/>
      <c r="J14" s="4" t="s">
        <v>28</v>
      </c>
      <c r="K14">
        <v>950850</v>
      </c>
      <c r="L14">
        <v>1073850</v>
      </c>
      <c r="M14">
        <v>-3000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f>Table2[[#This Row],[Quantity]]*200*Table2[[#This Row],[Boxes]]</f>
        <v>0</v>
      </c>
      <c r="G43">
        <f>SUMIFS(Table14[Debit], Table14[Date], Table2[[#This Row],[Date]], Table14[Party], Table2[[#This Row],[Party Name]])</f>
        <v>0</v>
      </c>
      <c r="H43">
        <f>Table2[[#This Row],[Price]]-Table2[[#This Row],[Paid]]</f>
        <v>0</v>
      </c>
    </row>
    <row r="44" spans="1:8" x14ac:dyDescent="0.3">
      <c r="A44" s="1"/>
      <c r="B44" s="1"/>
      <c r="F44">
        <f>Table2[[#This Row],[Quantity]]*200*Table2[[#This Row],[Boxes]]</f>
        <v>0</v>
      </c>
      <c r="G44">
        <f>SUMIFS(Table14[Debit], Table14[Date], Table2[[#This Row],[Date]], Table14[Party], Table2[[#This Row],[Party Name]])</f>
        <v>0</v>
      </c>
      <c r="H44">
        <f>Table2[[#This Row],[Price]]-Table2[[#This Row],[Paid]]</f>
        <v>0</v>
      </c>
    </row>
    <row r="45" spans="1:8" x14ac:dyDescent="0.3">
      <c r="A45" s="1"/>
      <c r="B45" s="1"/>
      <c r="F45">
        <f>Table2[[#This Row],[Quantity]]*200*Table2[[#This Row],[Boxes]]</f>
        <v>0</v>
      </c>
      <c r="G45">
        <f>SUMIFS(Table14[Debit], Table14[Date], Table2[[#This Row],[Date]], Table14[Party], Table2[[#This Row],[Party Name]])</f>
        <v>0</v>
      </c>
      <c r="H45">
        <f>Table2[[#This Row],[Price]]-Table2[[#This Row],[Paid]]</f>
        <v>0</v>
      </c>
    </row>
    <row r="46" spans="1:8" x14ac:dyDescent="0.3">
      <c r="A46" s="1"/>
      <c r="B46" s="1"/>
      <c r="F46">
        <f>Table2[[#This Row],[Quantity]]*200*Table2[[#This Row],[Boxes]]</f>
        <v>0</v>
      </c>
      <c r="G46">
        <f>SUMIFS(Table14[Debit], Table14[Date], Table2[[#This Row],[Date]], Table14[Party], Table2[[#This Row],[Party Name]])</f>
        <v>0</v>
      </c>
      <c r="H46">
        <f>Table2[[#This Row],[Price]]-Table2[[#This Row],[Paid]]</f>
        <v>0</v>
      </c>
    </row>
    <row r="47" spans="1:8" x14ac:dyDescent="0.3">
      <c r="A47" s="1"/>
      <c r="B47" s="1"/>
      <c r="F47">
        <f>Table2[[#This Row],[Quantity]]*200*Table2[[#This Row],[Boxes]]</f>
        <v>0</v>
      </c>
      <c r="G47">
        <f>SUMIFS(Table14[Debit], Table14[Date], Table2[[#This Row],[Date]], Table14[Party], Table2[[#This Row],[Party Name]])</f>
        <v>0</v>
      </c>
      <c r="H47">
        <f>Table2[[#This Row],[Price]]-Table2[[#This Row],[Paid]]</f>
        <v>0</v>
      </c>
    </row>
    <row r="48" spans="1:8" x14ac:dyDescent="0.3">
      <c r="A48" s="1"/>
      <c r="F48">
        <f>SUBTOTAL(109,Table2[Price])</f>
        <v>950850</v>
      </c>
      <c r="G48">
        <f>SUBTOTAL(109,Table2[Paid])</f>
        <v>1073850</v>
      </c>
      <c r="H48">
        <f>SUBTOTAL(109,Table2[Balance])</f>
        <v>-3000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2528377</v>
      </c>
      <c r="C2" s="32">
        <f>GETPIVOTDATA("Sum of Tiyaar/gaz",$A$3)</f>
        <v>2426649</v>
      </c>
      <c r="D2" s="31">
        <f>((B2*48)+((C2/1.0936)*10))/C2</f>
        <v>59.156328039575193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48275</v>
      </c>
      <c r="D92" s="28">
        <f t="shared" si="37"/>
        <v>56.559460752205666</v>
      </c>
      <c r="E92" s="11">
        <f t="shared" si="38"/>
        <v>52150.503199999992</v>
      </c>
      <c r="F92" s="11">
        <f t="shared" si="39"/>
        <v>48275</v>
      </c>
      <c r="G92" s="78">
        <f t="shared" si="40"/>
        <v>7.4313821769604544</v>
      </c>
      <c r="H92" s="28">
        <f t="shared" si="41"/>
        <v>44143.196781272862</v>
      </c>
      <c r="I92" s="28">
        <f t="shared" si="42"/>
        <v>56.559460752205666</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6728</v>
      </c>
      <c r="D95" s="28">
        <f t="shared" si="37"/>
        <v>116.10962843377141</v>
      </c>
      <c r="E95" s="11">
        <f t="shared" si="38"/>
        <v>16396.344799999999</v>
      </c>
      <c r="F95" s="11">
        <f t="shared" si="39"/>
        <v>6728</v>
      </c>
      <c r="G95" s="78">
        <f t="shared" si="40"/>
        <v>58.966464281722104</v>
      </c>
      <c r="H95" s="28">
        <f t="shared" si="41"/>
        <v>6152.1580102414055</v>
      </c>
      <c r="I95" s="28">
        <f t="shared" si="42"/>
        <v>116.10962843377141</v>
      </c>
    </row>
    <row r="96" spans="1:9" x14ac:dyDescent="0.3">
      <c r="A96" s="16">
        <v>2172</v>
      </c>
      <c r="B96" s="14">
        <v>78432</v>
      </c>
      <c r="C96" s="14">
        <v>4817</v>
      </c>
      <c r="D96" s="28">
        <f t="shared" si="37"/>
        <v>790.69611451396156</v>
      </c>
      <c r="E96" s="11">
        <f t="shared" si="38"/>
        <v>85773.235199999996</v>
      </c>
      <c r="F96" s="11">
        <f t="shared" si="39"/>
        <v>4817</v>
      </c>
      <c r="G96" s="78">
        <f t="shared" si="40"/>
        <v>94.384029017014385</v>
      </c>
      <c r="H96" s="28">
        <f t="shared" si="41"/>
        <v>4404.718361375275</v>
      </c>
      <c r="I96" s="28">
        <f t="shared" si="42"/>
        <v>790.69611451396156</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t="s">
        <v>28</v>
      </c>
      <c r="B101" s="30">
        <v>101030</v>
      </c>
      <c r="C101" s="30">
        <v>2426649</v>
      </c>
      <c r="D101" s="28">
        <f t="shared" si="37"/>
        <v>11.142521345652829</v>
      </c>
      <c r="E101" s="11">
        <f t="shared" si="38"/>
        <v>110486.408</v>
      </c>
      <c r="F101" s="11">
        <f t="shared" si="39"/>
        <v>2426649</v>
      </c>
      <c r="G101" s="78">
        <f t="shared" si="40"/>
        <v>-2096.332602287152</v>
      </c>
      <c r="H101" s="28">
        <f t="shared" si="41"/>
        <v>2218954.8280907096</v>
      </c>
      <c r="I101" s="28">
        <f t="shared" si="42"/>
        <v>11.142521345652829</v>
      </c>
    </row>
    <row r="102" spans="1:9" x14ac:dyDescent="0.3">
      <c r="D102" s="28" t="e">
        <f t="shared" si="37"/>
        <v>#DIV/0!</v>
      </c>
      <c r="E102" s="11">
        <f t="shared" si="38"/>
        <v>0</v>
      </c>
      <c r="F102" s="11">
        <f t="shared" si="39"/>
        <v>0</v>
      </c>
      <c r="G102" s="78" t="e">
        <f t="shared" si="40"/>
        <v>#DIV/0!</v>
      </c>
      <c r="H102" s="28">
        <f t="shared" si="41"/>
        <v>0</v>
      </c>
      <c r="I102" s="28" t="e">
        <f t="shared" si="42"/>
        <v>#DIV/0!</v>
      </c>
    </row>
    <row r="103" spans="1:9" x14ac:dyDescent="0.3">
      <c r="D103" s="28" t="e">
        <f t="shared" si="37"/>
        <v>#DIV/0!</v>
      </c>
      <c r="E103" s="11">
        <f t="shared" si="38"/>
        <v>0</v>
      </c>
      <c r="F103" s="11">
        <f t="shared" si="39"/>
        <v>0</v>
      </c>
      <c r="G103" s="78" t="e">
        <f t="shared" si="40"/>
        <v>#DIV/0!</v>
      </c>
      <c r="H103" s="28">
        <f t="shared" si="41"/>
        <v>0</v>
      </c>
      <c r="I103" s="28" t="e">
        <f t="shared" si="42"/>
        <v>#DIV/0!</v>
      </c>
    </row>
    <row r="104" spans="1:9" x14ac:dyDescent="0.3">
      <c r="D104" s="28" t="e">
        <f t="shared" si="37"/>
        <v>#DIV/0!</v>
      </c>
      <c r="E104" s="11">
        <f t="shared" si="38"/>
        <v>0</v>
      </c>
      <c r="F104" s="11">
        <f t="shared" si="39"/>
        <v>0</v>
      </c>
      <c r="G104" s="78" t="e">
        <f t="shared" si="40"/>
        <v>#DIV/0!</v>
      </c>
      <c r="H104" s="28">
        <f t="shared" si="41"/>
        <v>0</v>
      </c>
      <c r="I104" s="28" t="e">
        <f t="shared" si="42"/>
        <v>#DIV/0!</v>
      </c>
    </row>
    <row r="105" spans="1:9" x14ac:dyDescent="0.3">
      <c r="D105" s="28" t="e">
        <f t="shared" si="37"/>
        <v>#DIV/0!</v>
      </c>
      <c r="E105" s="11">
        <f t="shared" si="38"/>
        <v>0</v>
      </c>
      <c r="F105" s="11">
        <f t="shared" si="39"/>
        <v>0</v>
      </c>
      <c r="G105" s="78" t="e">
        <f t="shared" si="40"/>
        <v>#DIV/0!</v>
      </c>
      <c r="H105" s="28">
        <f t="shared" si="41"/>
        <v>0</v>
      </c>
      <c r="I105" s="28" t="e">
        <f t="shared" si="42"/>
        <v>#DIV/0!</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2"/>
  <sheetViews>
    <sheetView topLeftCell="A46" workbookViewId="0">
      <selection activeCell="H38" sqref="H38:H7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0</v>
      </c>
    </row>
    <row r="71" spans="2:10" x14ac:dyDescent="0.3">
      <c r="B71" s="1">
        <v>46141</v>
      </c>
      <c r="C71" t="s">
        <v>113</v>
      </c>
      <c r="D71">
        <f>SUMIFS(Table14[Debit], Table14[Date], Table5[[#This Row],[Date]], Table14[Party], "Rashan")</f>
        <v>0</v>
      </c>
      <c r="H71" s="1"/>
      <c r="J71">
        <f>SUM(Table15[Amount])</f>
        <v>1119603</v>
      </c>
    </row>
    <row r="72" spans="2:10" x14ac:dyDescent="0.3">
      <c r="B72" s="1"/>
      <c r="D72">
        <f>SUM(Table5[Amount])</f>
        <v>240140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3" sqref="J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24189563.937088519</v>
      </c>
    </row>
    <row r="3" spans="1:3" ht="21" x14ac:dyDescent="0.4">
      <c r="A3" s="101" t="str">
        <f>Billing!R38</f>
        <v>Rauf Khan</v>
      </c>
      <c r="B3" s="104">
        <f>Billing!AF38</f>
        <v>0</v>
      </c>
      <c r="C3" s="102">
        <f>Billing!AG38</f>
        <v>1117008.0468178494</v>
      </c>
    </row>
    <row r="4" spans="1:3" ht="21" x14ac:dyDescent="0.4">
      <c r="A4" s="101" t="str">
        <f>Billing!R15</f>
        <v>Hafiz Qureshi</v>
      </c>
      <c r="B4" s="104">
        <f>Billing!AF15</f>
        <v>5825853</v>
      </c>
      <c r="C4" s="102">
        <f>Billing!AG15</f>
        <v>534243.01316752099</v>
      </c>
    </row>
    <row r="5" spans="1:3" ht="21" x14ac:dyDescent="0.4">
      <c r="A5" s="101" t="str">
        <f>Billing!R36</f>
        <v>Faizan Kamoki</v>
      </c>
      <c r="B5" s="104">
        <f>Billing!AF36</f>
        <v>4441396.4930504756</v>
      </c>
      <c r="C5" s="102">
        <f>Billing!AG36</f>
        <v>592626.91587417759</v>
      </c>
    </row>
    <row r="6" spans="1:3" ht="21" x14ac:dyDescent="0.4">
      <c r="A6" s="101" t="str">
        <f>Billing!R34</f>
        <v>Hafiz Shawl</v>
      </c>
      <c r="B6" s="104">
        <f>Billing!AF34</f>
        <v>55855</v>
      </c>
      <c r="C6" s="102">
        <f>Billing!AG34</f>
        <v>544044.41477688379</v>
      </c>
    </row>
    <row r="7" spans="1:3" ht="21" x14ac:dyDescent="0.4">
      <c r="A7" s="101" t="str">
        <f>Billing!R23</f>
        <v>Amjad sohail</v>
      </c>
      <c r="B7" s="104">
        <f>Billing!AF23</f>
        <v>4417830</v>
      </c>
      <c r="C7" s="102">
        <f>Billing!AG23</f>
        <v>451112.02633504104</v>
      </c>
    </row>
    <row r="8" spans="1:3" ht="21" x14ac:dyDescent="0.4">
      <c r="A8" s="101" t="str">
        <f>Billing!R6</f>
        <v>Ejaz Sahab</v>
      </c>
      <c r="B8" s="104">
        <f>Billing!AF6</f>
        <v>7214622</v>
      </c>
      <c r="C8" s="102">
        <f>Billing!AG6</f>
        <v>270520.64813460223</v>
      </c>
    </row>
    <row r="9" spans="1:3" ht="21" x14ac:dyDescent="0.4">
      <c r="A9" s="101" t="str">
        <f>Billing!R7</f>
        <v>Arshad</v>
      </c>
      <c r="B9" s="104">
        <f>Billing!AF7</f>
        <v>9675501</v>
      </c>
      <c r="C9" s="103">
        <f>Billing!AG7</f>
        <v>137106.90051206946</v>
      </c>
    </row>
    <row r="10" spans="1:3" ht="21" x14ac:dyDescent="0.4">
      <c r="A10" s="101" t="str">
        <f>Billing!R11</f>
        <v>Raaz Fabrics</v>
      </c>
      <c r="B10" s="104">
        <f>Billing!AF11</f>
        <v>1726321</v>
      </c>
      <c r="C10" s="103">
        <f>Billing!AG11</f>
        <v>132704.23774689133</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Billing!R25</f>
        <v>Shahid Qasayi</v>
      </c>
      <c r="B13" s="104">
        <f>Billing!AF25</f>
        <v>3645477</v>
      </c>
      <c r="C13" s="102">
        <f>Billing!AG25</f>
        <v>55466.6722750552</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Billing!R27</f>
        <v>ibraheem behraam</v>
      </c>
      <c r="B18" s="104">
        <f>Billing!AF27</f>
        <v>1623500</v>
      </c>
      <c r="C18" s="102">
        <f>Billing!AG27</f>
        <v>3366.313094367506</v>
      </c>
    </row>
    <row r="19" spans="1:3" ht="21" x14ac:dyDescent="0.4">
      <c r="A19" s="101" t="str">
        <f>Billing!R37</f>
        <v>KK fabrics</v>
      </c>
      <c r="B19" s="104">
        <f>Billing!AF37</f>
        <v>544000</v>
      </c>
      <c r="C19" s="102">
        <f>Billing!AG37</f>
        <v>1345.6474030724494</v>
      </c>
    </row>
    <row r="20" spans="1:3" ht="21" x14ac:dyDescent="0.4">
      <c r="A20" s="101" t="str">
        <f>Billing!R13</f>
        <v>Ubaidullah</v>
      </c>
      <c r="B20" s="104">
        <f>Billing!AF13</f>
        <v>2831990</v>
      </c>
      <c r="C20" s="102">
        <f>Billing!AG13</f>
        <v>1318.3394294073805</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f>Billing!R39</f>
        <v>0</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6">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c r="G36">
        <v>0</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2026-04-27T21:44:15Z</dcterms:modified>
  <cp:category/>
  <cp:contentStatus/>
</cp:coreProperties>
</file>