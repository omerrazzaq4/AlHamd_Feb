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richPivotRecords1.xml" ContentType="application/vnd.openxmlformats-officedocument.spreadsheetml.richPivotRecords+xml"/>
  <Override PartName="/xl/pivotCache/pivotCacheDefinition5.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812" documentId="8_{5FA7CF9A-3CD5-4319-9FC5-E34696581AAD}" xr6:coauthVersionLast="47" xr6:coauthVersionMax="47" xr10:uidLastSave="{4ACE7B53-3D0E-4FA1-8CA0-2052214AF9EF}"/>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1"/>
    <pivotCache cacheId="15" r:id="rId22"/>
    <pivotCache cacheId="20" r:id="rId23"/>
    <pivotCache cacheId="24" r:id="rId24"/>
    <pivotCache cacheId="28"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6" l="1"/>
  <c r="G30" i="6"/>
  <c r="G31" i="6"/>
  <c r="G32" i="6"/>
  <c r="G33" i="6"/>
  <c r="G34" i="6"/>
  <c r="G35" i="6"/>
  <c r="G36" i="6"/>
  <c r="G37" i="6"/>
  <c r="G38" i="6"/>
  <c r="G39" i="6"/>
  <c r="G40" i="6"/>
  <c r="G41" i="6"/>
  <c r="G42" i="6"/>
  <c r="G43" i="6"/>
  <c r="G44" i="6"/>
  <c r="G45" i="6"/>
  <c r="G46" i="6"/>
  <c r="G47" i="6"/>
  <c r="G48" i="6"/>
  <c r="G49" i="6"/>
  <c r="G50" i="6"/>
  <c r="G51" i="6"/>
  <c r="G52" i="6"/>
  <c r="G53" i="6"/>
  <c r="I127" i="1"/>
  <c r="J127" i="1" a="1"/>
  <c r="J127" i="1" s="1"/>
  <c r="I128" i="1"/>
  <c r="J128" i="1" a="1"/>
  <c r="J128" i="1" s="1"/>
  <c r="I129" i="1"/>
  <c r="J129" i="1" a="1"/>
  <c r="J129" i="1" s="1"/>
  <c r="I130" i="1"/>
  <c r="J130" i="1" a="1"/>
  <c r="J130" i="1" s="1"/>
  <c r="I131" i="1"/>
  <c r="J131" i="1" s="1" a="1"/>
  <c r="J131" i="1" s="1"/>
  <c r="I132" i="1"/>
  <c r="J132" i="1" a="1"/>
  <c r="J132" i="1" s="1"/>
  <c r="I133" i="1"/>
  <c r="J133" i="1" a="1"/>
  <c r="J133" i="1" s="1"/>
  <c r="C240" i="17"/>
  <c r="I120" i="1"/>
  <c r="J120" i="1" a="1"/>
  <c r="J120" i="1" s="1"/>
  <c r="I121" i="1"/>
  <c r="J121" i="1" s="1" a="1"/>
  <c r="J121" i="1" s="1"/>
  <c r="I122" i="1"/>
  <c r="J122" i="1" s="1" a="1"/>
  <c r="J122" i="1" s="1"/>
  <c r="I123" i="1"/>
  <c r="J123" i="1" s="1" a="1"/>
  <c r="J123" i="1" s="1"/>
  <c r="I124" i="1"/>
  <c r="J124" i="1" s="1" a="1"/>
  <c r="J124" i="1" s="1"/>
  <c r="I125" i="1"/>
  <c r="J125" i="1" s="1" a="1"/>
  <c r="J125" i="1" s="1"/>
  <c r="I126" i="1"/>
  <c r="J126" i="1" a="1"/>
  <c r="J126" i="1" s="1"/>
  <c r="C144" i="17"/>
  <c r="F27" i="15" l="1"/>
  <c r="F28" i="15"/>
  <c r="G27" i="15"/>
  <c r="H27" i="15" s="1"/>
  <c r="G28" i="15"/>
  <c r="H28" i="15" s="1"/>
  <c r="F10" i="15"/>
  <c r="C208" i="17"/>
  <c r="F26" i="15"/>
  <c r="G26" i="15"/>
  <c r="AD39" i="9" a="1"/>
  <c r="AD39" i="9" s="1"/>
  <c r="I112" i="1"/>
  <c r="J112" i="1" s="1"/>
  <c r="I113" i="1"/>
  <c r="J113" i="1" s="1"/>
  <c r="G26" i="6"/>
  <c r="I106" i="1"/>
  <c r="J106" i="1" s="1" a="1"/>
  <c r="J106" i="1" s="1"/>
  <c r="I107" i="1"/>
  <c r="J107" i="1" s="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s="1" a="1"/>
  <c r="J119" i="1" s="1"/>
  <c r="D176" i="17"/>
  <c r="D120" i="17"/>
  <c r="C58" i="17"/>
  <c r="H26" i="15" l="1"/>
  <c r="C162" i="17"/>
  <c r="C16" i="10" s="1"/>
  <c r="I102" i="1"/>
  <c r="J102" i="1" s="1" a="1"/>
  <c r="J102" i="1" s="1"/>
  <c r="I103" i="1"/>
  <c r="J103" i="1" s="1" a="1"/>
  <c r="J103" i="1" s="1"/>
  <c r="I104" i="1"/>
  <c r="J104" i="1" s="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7" i="6"/>
  <c r="G28" i="6"/>
  <c r="K6" i="6" s="1"/>
  <c r="C4" i="8" s="1"/>
  <c r="A37" i="20"/>
  <c r="A38" i="20"/>
  <c r="A39" i="20"/>
  <c r="A40" i="20"/>
  <c r="R5" i="9" a="1"/>
  <c r="AF38" i="9" s="1"/>
  <c r="B35" i="20" s="1"/>
  <c r="F5" i="15"/>
  <c r="F6" i="15"/>
  <c r="F7" i="15"/>
  <c r="F8" i="15"/>
  <c r="F9" i="15"/>
  <c r="F23" i="15"/>
  <c r="F24" i="15"/>
  <c r="G8" i="7"/>
  <c r="G6" i="7"/>
  <c r="G7" i="7"/>
  <c r="G9" i="7"/>
  <c r="G14" i="6"/>
  <c r="A37" i="21"/>
  <c r="B37" i="21" s="1"/>
  <c r="A38" i="21"/>
  <c r="B38" i="21" s="1"/>
  <c r="G2" i="21" a="1"/>
  <c r="A35" i="21" s="1"/>
  <c r="B35"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B49" i="9" a="1"/>
  <c r="AD38" i="9" s="1" a="1"/>
  <c r="AD38" i="9" s="1"/>
  <c r="I36" i="12"/>
  <c r="J35" i="14"/>
  <c r="J36" i="14"/>
  <c r="D35" i="14"/>
  <c r="D36" i="14"/>
  <c r="D35" i="18"/>
  <c r="D36" i="18"/>
  <c r="D37" i="18"/>
  <c r="E35" i="18"/>
  <c r="E36" i="18"/>
  <c r="E37" i="18"/>
  <c r="J25" i="15"/>
  <c r="J27" i="15"/>
  <c r="J30" i="15" s="1"/>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AD41" i="9" s="1" a="1"/>
  <c r="AD41"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s="1"/>
  <c r="I27" i="2" s="1"/>
  <c r="D27" i="2" s="1"/>
  <c r="E27" i="2"/>
  <c r="G27" i="2" s="1"/>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s="1"/>
  <c r="H131" i="1" s="1"/>
  <c r="E46" i="2"/>
  <c r="F46" i="2"/>
  <c r="E47" i="2"/>
  <c r="F47" i="2"/>
  <c r="G47" i="2" s="1"/>
  <c r="E48" i="2"/>
  <c r="F48" i="2"/>
  <c r="H48" i="2"/>
  <c r="I48" i="2"/>
  <c r="D48" i="2"/>
  <c r="F20" i="2"/>
  <c r="H20" i="2" s="1"/>
  <c r="I20" i="2" s="1"/>
  <c r="D20" i="2" s="1"/>
  <c r="E20" i="2"/>
  <c r="E49" i="2"/>
  <c r="F49" i="2"/>
  <c r="H49" i="2"/>
  <c r="I49" i="2"/>
  <c r="D49" i="2"/>
  <c r="F21" i="2"/>
  <c r="H21" i="2"/>
  <c r="I21" i="2" s="1"/>
  <c r="D21" i="2" s="1"/>
  <c r="E21" i="2"/>
  <c r="E50" i="2"/>
  <c r="F50" i="2"/>
  <c r="G50" i="2"/>
  <c r="E51" i="2"/>
  <c r="F51" i="2"/>
  <c r="H51" i="2"/>
  <c r="I51" i="2"/>
  <c r="D51" i="2"/>
  <c r="E52" i="2"/>
  <c r="F52" i="2"/>
  <c r="H52" i="2"/>
  <c r="I52" i="2"/>
  <c r="D52" i="2"/>
  <c r="E53" i="2"/>
  <c r="F53" i="2"/>
  <c r="H53" i="2"/>
  <c r="I53" i="2"/>
  <c r="D53" i="2"/>
  <c r="E54" i="2"/>
  <c r="G54" i="2"/>
  <c r="F54" i="2"/>
  <c r="F24" i="2"/>
  <c r="H24" i="2"/>
  <c r="I24" i="2" s="1"/>
  <c r="D24" i="2" s="1"/>
  <c r="E24" i="2"/>
  <c r="G24" i="2" s="1"/>
  <c r="H98" i="1" s="1"/>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G36" i="2"/>
  <c r="H116" i="1" s="1"/>
  <c r="F36" i="2"/>
  <c r="H36" i="2" s="1"/>
  <c r="I36" i="2" s="1"/>
  <c r="D36" i="2" s="1"/>
  <c r="F22" i="2"/>
  <c r="H22" i="2"/>
  <c r="I22" i="2" s="1"/>
  <c r="D22" i="2" s="1"/>
  <c r="E22" i="2"/>
  <c r="F7" i="2"/>
  <c r="H7" i="2" s="1"/>
  <c r="I7" i="2" s="1"/>
  <c r="D7" i="2" s="1"/>
  <c r="E7" i="2"/>
  <c r="E37" i="2"/>
  <c r="F37" i="2"/>
  <c r="H37" i="2" s="1"/>
  <c r="I37" i="2" s="1"/>
  <c r="D37" i="2" s="1"/>
  <c r="E39" i="2"/>
  <c r="F39" i="2"/>
  <c r="G39" i="2" s="1"/>
  <c r="E40" i="2"/>
  <c r="F40" i="2"/>
  <c r="H40" i="2" s="1"/>
  <c r="I40" i="2" s="1"/>
  <c r="D40" i="2" s="1"/>
  <c r="E41" i="2"/>
  <c r="F41" i="2"/>
  <c r="H41" i="2"/>
  <c r="I41" i="2" s="1"/>
  <c r="D41" i="2" s="1"/>
  <c r="E42" i="2"/>
  <c r="F42" i="2"/>
  <c r="G42" i="2" s="1"/>
  <c r="H126" i="1" s="1"/>
  <c r="E43" i="2"/>
  <c r="F43" i="2"/>
  <c r="H43" i="2" s="1"/>
  <c r="I43" i="2" s="1"/>
  <c r="D43" i="2" s="1"/>
  <c r="E44" i="2"/>
  <c r="F44" i="2"/>
  <c r="H44" i="2"/>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G23" i="2" s="1"/>
  <c r="H96" i="1" s="1"/>
  <c r="F15" i="2"/>
  <c r="H15" i="2" s="1"/>
  <c r="I15" i="2" s="1"/>
  <c r="D15" i="2" s="1"/>
  <c r="E15" i="2"/>
  <c r="F16" i="2"/>
  <c r="H16" i="2" s="1"/>
  <c r="I16" i="2" s="1"/>
  <c r="D16" i="2" s="1"/>
  <c r="E16" i="2"/>
  <c r="F26" i="2"/>
  <c r="E26" i="2"/>
  <c r="F29" i="2"/>
  <c r="E29" i="2"/>
  <c r="F30" i="2"/>
  <c r="G30" i="2" s="1"/>
  <c r="H106" i="1" s="1"/>
  <c r="F31" i="2"/>
  <c r="H31" i="2" s="1"/>
  <c r="I31" i="2" s="1"/>
  <c r="D31" i="2" s="1"/>
  <c r="E31" i="2"/>
  <c r="F32" i="2"/>
  <c r="H32" i="2" s="1"/>
  <c r="I32" i="2" s="1"/>
  <c r="D32" i="2" s="1"/>
  <c r="F14" i="2"/>
  <c r="H14" i="2" s="1"/>
  <c r="I14" i="2" s="1"/>
  <c r="D14" i="2" s="1"/>
  <c r="E14" i="2"/>
  <c r="E30" i="2"/>
  <c r="E32" i="2"/>
  <c r="N4" i="17"/>
  <c r="F12" i="2"/>
  <c r="H12" i="2"/>
  <c r="I12" i="2" s="1"/>
  <c r="D12" i="2" s="1"/>
  <c r="E12" i="2"/>
  <c r="F11" i="2"/>
  <c r="H11" i="2" s="1"/>
  <c r="I11" i="2" s="1"/>
  <c r="E11" i="2"/>
  <c r="E17" i="2"/>
  <c r="F17" i="2"/>
  <c r="H17" i="2" s="1"/>
  <c r="I17" i="2" s="1"/>
  <c r="D17" i="2" s="1"/>
  <c r="F9" i="2"/>
  <c r="H9" i="2" s="1"/>
  <c r="I9" i="2" s="1"/>
  <c r="D9" i="2" s="1"/>
  <c r="E9" i="2"/>
  <c r="E8" i="2"/>
  <c r="F8" i="2"/>
  <c r="G8" i="2" s="1"/>
  <c r="E10" i="2"/>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49" i="2"/>
  <c r="G77" i="2"/>
  <c r="G70" i="2"/>
  <c r="G69" i="2"/>
  <c r="H77" i="2"/>
  <c r="I77" i="2"/>
  <c r="D77" i="2"/>
  <c r="G66" i="2"/>
  <c r="H76" i="2"/>
  <c r="I76" i="2"/>
  <c r="D76" i="2"/>
  <c r="G67" i="2"/>
  <c r="G68" i="2"/>
  <c r="H57" i="2"/>
  <c r="I57" i="2"/>
  <c r="D57" i="2"/>
  <c r="G46" i="2"/>
  <c r="H132" i="1" s="1"/>
  <c r="G51" i="2"/>
  <c r="G44" i="2"/>
  <c r="G52" i="2"/>
  <c r="G61" i="2"/>
  <c r="G56" i="2"/>
  <c r="G63" i="2"/>
  <c r="G58" i="2"/>
  <c r="H54" i="2"/>
  <c r="I54" i="2"/>
  <c r="D54" i="2"/>
  <c r="H46" i="2"/>
  <c r="I46" i="2"/>
  <c r="D46" i="2" s="1"/>
  <c r="P56" i="7"/>
  <c r="G62" i="2"/>
  <c r="G81" i="2"/>
  <c r="G41" i="2"/>
  <c r="H125" i="1" s="1"/>
  <c r="G65" i="2"/>
  <c r="H50" i="2"/>
  <c r="I50" i="2"/>
  <c r="D50" i="2"/>
  <c r="H72" i="2"/>
  <c r="I72" i="2"/>
  <c r="D72" i="2"/>
  <c r="G48" i="2"/>
  <c r="G59" i="2"/>
  <c r="G75" i="2"/>
  <c r="G74" i="2"/>
  <c r="H71" i="2"/>
  <c r="I71" i="2"/>
  <c r="D71" i="2"/>
  <c r="G79" i="2"/>
  <c r="G60" i="2"/>
  <c r="G53" i="2"/>
  <c r="G22" i="2"/>
  <c r="H95" i="1" s="1"/>
  <c r="G78" i="2"/>
  <c r="E65" i="7"/>
  <c r="C246"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C2" i="2"/>
  <c r="H42" i="2" l="1"/>
  <c r="I42" i="2" s="1"/>
  <c r="D42" i="2" s="1"/>
  <c r="G7" i="2"/>
  <c r="H86" i="1" s="1"/>
  <c r="H45" i="2"/>
  <c r="I45" i="2" s="1"/>
  <c r="D45" i="2" s="1"/>
  <c r="G34" i="2"/>
  <c r="G12" i="2"/>
  <c r="H97" i="1" s="1"/>
  <c r="H30" i="2"/>
  <c r="I30" i="2" s="1"/>
  <c r="D30" i="2" s="1"/>
  <c r="H128" i="1"/>
  <c r="H129" i="1"/>
  <c r="G29" i="2"/>
  <c r="H103" i="1" s="1"/>
  <c r="H47" i="2"/>
  <c r="I47" i="2" s="1"/>
  <c r="D47" i="2" s="1"/>
  <c r="G26" i="2"/>
  <c r="H100" i="1" s="1"/>
  <c r="G43" i="2"/>
  <c r="A36" i="21"/>
  <c r="B36" i="21" s="1"/>
  <c r="A36" i="20"/>
  <c r="H120" i="1"/>
  <c r="H122" i="1"/>
  <c r="G40" i="2"/>
  <c r="G33" i="2"/>
  <c r="H111" i="1" s="1"/>
  <c r="G20" i="2"/>
  <c r="H90" i="1" s="1"/>
  <c r="G18" i="2"/>
  <c r="H89" i="1" s="1"/>
  <c r="H107" i="1"/>
  <c r="H113" i="1"/>
  <c r="H112" i="1"/>
  <c r="G35" i="2"/>
  <c r="H115" i="1" s="1"/>
  <c r="G38" i="2"/>
  <c r="H119" i="1" s="1"/>
  <c r="G37" i="2"/>
  <c r="H117" i="1" s="1"/>
  <c r="G4" i="2"/>
  <c r="G31" i="2"/>
  <c r="G15" i="2"/>
  <c r="H76" i="1" s="1"/>
  <c r="K30" i="15"/>
  <c r="AD13" i="9" a="1"/>
  <c r="AD13" i="9" s="1"/>
  <c r="AD20" i="9" a="1"/>
  <c r="AD20" i="9" s="1"/>
  <c r="AD27" i="9" a="1"/>
  <c r="AD27" i="9" s="1"/>
  <c r="AD35" i="9" a="1"/>
  <c r="AD35" i="9" s="1"/>
  <c r="N81" i="9" a="1"/>
  <c r="N81" i="9" s="1"/>
  <c r="N61" i="9" a="1"/>
  <c r="N61" i="9" s="1"/>
  <c r="N72" i="9" a="1"/>
  <c r="N72" i="9" s="1"/>
  <c r="N55" i="9" a="1"/>
  <c r="N55" i="9" s="1"/>
  <c r="N56" i="9" a="1"/>
  <c r="N56" i="9" s="1"/>
  <c r="AD6" i="9" a="1"/>
  <c r="AD6" i="9" s="1"/>
  <c r="AD28" i="9" a="1"/>
  <c r="AD28" i="9" s="1"/>
  <c r="N50" i="9" a="1"/>
  <c r="N50" i="9" s="1"/>
  <c r="N62" i="9" a="1"/>
  <c r="N62" i="9" s="1"/>
  <c r="N73" i="9" a="1"/>
  <c r="N73" i="9" s="1"/>
  <c r="N74" i="9" a="1"/>
  <c r="N74" i="9" s="1"/>
  <c r="AD29" i="9" a="1"/>
  <c r="AD29" i="9" s="1"/>
  <c r="N52" i="9" a="1"/>
  <c r="N52" i="9" s="1"/>
  <c r="N75" i="9" a="1"/>
  <c r="N75" i="9" s="1"/>
  <c r="AD24" i="9" a="1"/>
  <c r="AD24" i="9" s="1"/>
  <c r="AD7" i="9" a="1"/>
  <c r="AD7" i="9" s="1"/>
  <c r="AD14" i="9" a="1"/>
  <c r="AD14" i="9" s="1"/>
  <c r="AD21" i="9" a="1"/>
  <c r="AD21" i="9" s="1"/>
  <c r="AD36" i="9" a="1"/>
  <c r="AD36" i="9" s="1"/>
  <c r="N51" i="9" a="1"/>
  <c r="N51" i="9" s="1"/>
  <c r="N63" i="9" a="1"/>
  <c r="N63" i="9" s="1"/>
  <c r="AD37" i="9" a="1"/>
  <c r="AD37" i="9" s="1"/>
  <c r="N64" i="9" a="1"/>
  <c r="N64" i="9" s="1"/>
  <c r="AD22" i="9" a="1"/>
  <c r="AD22" i="9" s="1"/>
  <c r="AD8" i="9" a="1"/>
  <c r="AD8" i="9" s="1"/>
  <c r="AD15" i="9" a="1"/>
  <c r="AD15" i="9" s="1"/>
  <c r="N53" i="9" a="1"/>
  <c r="N53" i="9" s="1"/>
  <c r="N76" i="9" a="1"/>
  <c r="N76" i="9" s="1"/>
  <c r="AD17" i="9" a="1"/>
  <c r="AD17" i="9" s="1"/>
  <c r="AD16" i="9" a="1"/>
  <c r="AD16" i="9" s="1"/>
  <c r="AD23" i="9" a="1"/>
  <c r="AD23" i="9" s="1"/>
  <c r="AD30" i="9" a="1"/>
  <c r="AD30" i="9" s="1"/>
  <c r="AD9" i="9" a="1"/>
  <c r="AD9" i="9" s="1"/>
  <c r="AD31" i="9" a="1"/>
  <c r="AD31" i="9" s="1"/>
  <c r="AD10" i="9" a="1"/>
  <c r="AD10" i="9" s="1"/>
  <c r="AD25" i="9" a="1"/>
  <c r="AD25" i="9" s="1"/>
  <c r="AD32" i="9" a="1"/>
  <c r="AD32" i="9" s="1"/>
  <c r="N57" i="9" a="1"/>
  <c r="N57" i="9" s="1"/>
  <c r="N68" i="9" a="1"/>
  <c r="N68" i="9" s="1"/>
  <c r="N80" i="9" a="1"/>
  <c r="N80" i="9" s="1"/>
  <c r="AD11" i="9" a="1"/>
  <c r="AD11" i="9" s="1"/>
  <c r="AD18" i="9" a="1"/>
  <c r="AD18" i="9" s="1"/>
  <c r="AD33" i="9" a="1"/>
  <c r="AD33" i="9" s="1"/>
  <c r="N58" i="9" a="1"/>
  <c r="N58" i="9" s="1"/>
  <c r="N69" i="9" a="1"/>
  <c r="N69" i="9" s="1"/>
  <c r="N65" i="9" a="1"/>
  <c r="N65" i="9" s="1"/>
  <c r="N66" i="9" a="1"/>
  <c r="N66" i="9" s="1"/>
  <c r="N67" i="9" a="1"/>
  <c r="N67" i="9" s="1"/>
  <c r="AD19" i="9" a="1"/>
  <c r="AD19" i="9" s="1"/>
  <c r="AD26" i="9" a="1"/>
  <c r="AD26" i="9" s="1"/>
  <c r="AD34" i="9" a="1"/>
  <c r="AD34" i="9" s="1"/>
  <c r="N59" i="9" a="1"/>
  <c r="N59" i="9" s="1"/>
  <c r="N70" i="9" a="1"/>
  <c r="N70" i="9" s="1"/>
  <c r="N77" i="9" a="1"/>
  <c r="N77" i="9" s="1"/>
  <c r="N78" i="9" a="1"/>
  <c r="N78" i="9" s="1"/>
  <c r="N79" i="9" a="1"/>
  <c r="N79" i="9" s="1"/>
  <c r="AD12" i="9" a="1"/>
  <c r="AD12" i="9" s="1"/>
  <c r="N60" i="9" a="1"/>
  <c r="N60" i="9" s="1"/>
  <c r="N71" i="9" a="1"/>
  <c r="N71" i="9" s="1"/>
  <c r="N54" i="9" a="1"/>
  <c r="N54" i="9" s="1"/>
  <c r="H24" i="15"/>
  <c r="C6" i="8"/>
  <c r="H23" i="15"/>
  <c r="F29" i="15"/>
  <c r="H9" i="15"/>
  <c r="B84" i="9"/>
  <c r="AD40" i="9" s="1" a="1"/>
  <c r="AD40" i="9" s="1"/>
  <c r="AC38" i="9" a="1"/>
  <c r="AC38" i="9" s="1"/>
  <c r="T38" i="9" a="1"/>
  <c r="T38" i="9" s="1"/>
  <c r="AA38" i="9" a="1"/>
  <c r="AA38" i="9" s="1"/>
  <c r="S38" i="9" a="1"/>
  <c r="S38" i="9" s="1"/>
  <c r="Y38" i="9" a="1"/>
  <c r="Y38" i="9" s="1"/>
  <c r="AB38" i="9" a="1"/>
  <c r="AB38" i="9" s="1"/>
  <c r="U38" i="9" a="1"/>
  <c r="U38" i="9" s="1"/>
  <c r="Z38" i="9" a="1"/>
  <c r="Z38" i="9" s="1"/>
  <c r="V38" i="9" a="1"/>
  <c r="V38" i="9" s="1"/>
  <c r="X38" i="9" a="1"/>
  <c r="X38" i="9" s="1"/>
  <c r="W38" i="9" a="1"/>
  <c r="W38" i="9" s="1"/>
  <c r="K114" i="9"/>
  <c r="AA35" i="9" s="1" a="1"/>
  <c r="AA35" i="9" s="1"/>
  <c r="P81" i="9"/>
  <c r="V37" i="9" a="1"/>
  <c r="V37" i="9" s="1"/>
  <c r="AB37" i="9" a="1"/>
  <c r="AB37" i="9" s="1"/>
  <c r="S37" i="9" a="1"/>
  <c r="S37" i="9" s="1"/>
  <c r="AC37" i="9" a="1"/>
  <c r="AC37" i="9" s="1"/>
  <c r="U37" i="9" a="1"/>
  <c r="U37" i="9" s="1"/>
  <c r="G81" i="9" a="1"/>
  <c r="G81" i="9" s="1"/>
  <c r="T37" i="9" a="1"/>
  <c r="T37" i="9" s="1"/>
  <c r="H81" i="9" a="1"/>
  <c r="H81" i="9" s="1"/>
  <c r="J81" i="9" a="1"/>
  <c r="J81" i="9" s="1"/>
  <c r="I81" i="9" a="1"/>
  <c r="I81" i="9" s="1"/>
  <c r="W37" i="9" a="1"/>
  <c r="W37" i="9" s="1"/>
  <c r="K81" i="9" a="1"/>
  <c r="K81" i="9" s="1"/>
  <c r="X37" i="9" a="1"/>
  <c r="X37" i="9" s="1"/>
  <c r="L81" i="9" a="1"/>
  <c r="L81" i="9" s="1"/>
  <c r="Y37" i="9" a="1"/>
  <c r="Y37" i="9" s="1"/>
  <c r="M81" i="9" a="1"/>
  <c r="M81" i="9" s="1"/>
  <c r="Z37" i="9" a="1"/>
  <c r="Z37" i="9" s="1"/>
  <c r="AA37" i="9" a="1"/>
  <c r="AA37" i="9" s="1"/>
  <c r="A6" i="20"/>
  <c r="AF37" i="9"/>
  <c r="B34" i="20" s="1"/>
  <c r="H105" i="1"/>
  <c r="H101" i="1"/>
  <c r="H118" i="1"/>
  <c r="H109" i="1"/>
  <c r="H18" i="2"/>
  <c r="I18" i="2" s="1"/>
  <c r="D18" i="2" s="1"/>
  <c r="H39" i="2"/>
  <c r="I39" i="2" s="1"/>
  <c r="D39" i="2" s="1"/>
  <c r="H4" i="2"/>
  <c r="I4" i="2" s="1"/>
  <c r="D4" i="2" s="1"/>
  <c r="G32" i="2"/>
  <c r="H110" i="1" s="1"/>
  <c r="G11" i="2"/>
  <c r="H79" i="1" s="1"/>
  <c r="G17" i="2"/>
  <c r="H78" i="1" s="1"/>
  <c r="G21" i="2"/>
  <c r="H93" i="1" s="1"/>
  <c r="H29" i="2"/>
  <c r="I29" i="2" s="1"/>
  <c r="D29" i="2" s="1"/>
  <c r="G13" i="2"/>
  <c r="A35" i="20"/>
  <c r="L80" i="9" a="1"/>
  <c r="L80" i="9" s="1"/>
  <c r="I60" i="9" a="1"/>
  <c r="I60" i="9" s="1"/>
  <c r="B18" i="9"/>
  <c r="C18" i="9" s="1"/>
  <c r="H62" i="9" a="1"/>
  <c r="H62" i="9" s="1"/>
  <c r="H80" i="9" a="1"/>
  <c r="H80" i="9" s="1"/>
  <c r="P55" i="9"/>
  <c r="B5" i="9"/>
  <c r="E5" i="9" s="1"/>
  <c r="I51" i="9" a="1"/>
  <c r="I51" i="9" s="1"/>
  <c r="G58" i="9" a="1"/>
  <c r="G58" i="9" s="1"/>
  <c r="H68" i="9" a="1"/>
  <c r="H68" i="9" s="1"/>
  <c r="D89" i="17"/>
  <c r="H51" i="9" a="1"/>
  <c r="H51" i="9" s="1"/>
  <c r="M80" i="9" a="1"/>
  <c r="M80" i="9" s="1"/>
  <c r="K80" i="9" a="1"/>
  <c r="K80" i="9" s="1"/>
  <c r="P64" i="9"/>
  <c r="G70" i="9" a="1"/>
  <c r="G70" i="9" s="1"/>
  <c r="J80" i="9" a="1"/>
  <c r="J80" i="9" s="1"/>
  <c r="I80" i="9" a="1"/>
  <c r="I80" i="9" s="1"/>
  <c r="G80" i="9" a="1"/>
  <c r="G80" i="9" s="1"/>
  <c r="G123" i="6"/>
  <c r="I123" i="6"/>
  <c r="H83" i="1"/>
  <c r="H82" i="1"/>
  <c r="H71" i="1"/>
  <c r="H70" i="1"/>
  <c r="G9" i="2"/>
  <c r="H80" i="1" s="1"/>
  <c r="G19" i="2"/>
  <c r="H85" i="1" s="1"/>
  <c r="G6" i="2"/>
  <c r="H81" i="1" s="1"/>
  <c r="G25" i="2"/>
  <c r="H99" i="1" s="1"/>
  <c r="G14" i="2"/>
  <c r="G10" i="2"/>
  <c r="H91" i="1" s="1"/>
  <c r="H72" i="1"/>
  <c r="H26" i="2"/>
  <c r="I26" i="2" s="1"/>
  <c r="D26" i="2" s="1"/>
  <c r="G5" i="2"/>
  <c r="H88" i="1" s="1"/>
  <c r="H8" i="2"/>
  <c r="I8" i="2" s="1"/>
  <c r="D8" i="2" s="1"/>
  <c r="G28" i="2"/>
  <c r="H121" i="1" s="1"/>
  <c r="G16" i="2"/>
  <c r="H75" i="1"/>
  <c r="B6" i="9"/>
  <c r="E6" i="9" s="1"/>
  <c r="J68" i="9" a="1"/>
  <c r="J68" i="9" s="1"/>
  <c r="I52" i="9" a="1"/>
  <c r="I52" i="9" s="1"/>
  <c r="L76" i="9" a="1"/>
  <c r="L76" i="9" s="1"/>
  <c r="P61" i="9"/>
  <c r="L60" i="9" a="1"/>
  <c r="L60" i="9" s="1"/>
  <c r="J62" i="9" a="1"/>
  <c r="J62" i="9" s="1"/>
  <c r="B9" i="9"/>
  <c r="E9" i="9" s="1"/>
  <c r="J67" i="9" a="1"/>
  <c r="J67" i="9" s="1"/>
  <c r="M66" i="9" a="1"/>
  <c r="M66" i="9" s="1"/>
  <c r="J77" i="9" a="1"/>
  <c r="J77" i="9" s="1"/>
  <c r="P59" i="9"/>
  <c r="J75" i="9" a="1"/>
  <c r="J75" i="9" s="1"/>
  <c r="P72" i="9"/>
  <c r="H71" i="9" a="1"/>
  <c r="H71" i="9" s="1"/>
  <c r="G68" i="9" a="1"/>
  <c r="G68" i="9" s="1"/>
  <c r="L55" i="9" a="1"/>
  <c r="L55" i="9" s="1"/>
  <c r="M78" i="9" a="1"/>
  <c r="M78" i="9" s="1"/>
  <c r="B8" i="9"/>
  <c r="E8" i="9" s="1"/>
  <c r="B7" i="9"/>
  <c r="E7" i="9" s="1" a="1"/>
  <c r="E7" i="9" s="1"/>
  <c r="K54" i="9" a="1"/>
  <c r="K54" i="9" s="1"/>
  <c r="L63" i="9" a="1"/>
  <c r="L63" i="9" s="1"/>
  <c r="P67" i="9"/>
  <c r="M61" i="9" a="1"/>
  <c r="M61" i="9" s="1"/>
  <c r="B3" i="9"/>
  <c r="E3" i="9" s="1"/>
  <c r="L58" i="9" a="1"/>
  <c r="L58" i="9" s="1"/>
  <c r="I55" i="9" a="1"/>
  <c r="I55" i="9" s="1"/>
  <c r="K59" i="9" a="1"/>
  <c r="K59" i="9" s="1"/>
  <c r="L56" i="9" a="1"/>
  <c r="L56" i="9" s="1"/>
  <c r="B12" i="9"/>
  <c r="E12" i="9" s="1"/>
  <c r="K78" i="9" a="1"/>
  <c r="K78" i="9" s="1"/>
  <c r="M53" i="9" a="1"/>
  <c r="M53" i="9" s="1"/>
  <c r="P60" i="9"/>
  <c r="K69" i="9" a="1"/>
  <c r="K69" i="9" s="1"/>
  <c r="I54" i="9" a="1"/>
  <c r="I54" i="9" s="1"/>
  <c r="L54" i="9" a="1"/>
  <c r="L54" i="9" s="1"/>
  <c r="G61" i="9" a="1"/>
  <c r="G61" i="9" s="1"/>
  <c r="J54" i="9" a="1"/>
  <c r="J54" i="9" s="1"/>
  <c r="M64" i="9" a="1"/>
  <c r="M64" i="9" s="1"/>
  <c r="B14" i="9"/>
  <c r="C14" i="9" s="1"/>
  <c r="K68" i="9" a="1"/>
  <c r="K68" i="9" s="1"/>
  <c r="J72" i="9" a="1"/>
  <c r="J72" i="9" s="1"/>
  <c r="I73" i="9" a="1"/>
  <c r="I73" i="9" s="1"/>
  <c r="P76" i="9"/>
  <c r="F115" i="9"/>
  <c r="V36" i="9" s="1" a="1"/>
  <c r="V36" i="9" s="1"/>
  <c r="K52" i="9" a="1"/>
  <c r="K52" i="9" s="1"/>
  <c r="K75" i="9" a="1"/>
  <c r="K75" i="9" s="1"/>
  <c r="J50" i="9" a="1"/>
  <c r="J50" i="9" s="1"/>
  <c r="M72" i="9" a="1"/>
  <c r="M72" i="9" s="1"/>
  <c r="P74" i="9"/>
  <c r="P58" i="9"/>
  <c r="I115" i="9"/>
  <c r="Y36" i="9" s="1" a="1"/>
  <c r="Y36" i="9" s="1"/>
  <c r="L50" i="9" a="1"/>
  <c r="L50" i="9" s="1"/>
  <c r="I65" i="9" a="1"/>
  <c r="I65" i="9" s="1"/>
  <c r="G66" i="9" a="1"/>
  <c r="G66" i="9" s="1"/>
  <c r="J59" i="9" a="1"/>
  <c r="J59" i="9" s="1"/>
  <c r="P75" i="9"/>
  <c r="P56" i="9"/>
  <c r="I74" i="9" a="1"/>
  <c r="I74" i="9" s="1"/>
  <c r="I64" i="9" a="1"/>
  <c r="I64" i="9" s="1"/>
  <c r="G74" i="9" a="1"/>
  <c r="G74" i="9" s="1"/>
  <c r="J57" i="9" a="1"/>
  <c r="J57" i="9" s="1"/>
  <c r="K76" i="9" a="1"/>
  <c r="K76" i="9" s="1"/>
  <c r="P68" i="9"/>
  <c r="P51" i="9"/>
  <c r="K70" i="9" a="1"/>
  <c r="K70" i="9" s="1"/>
  <c r="H58" i="9" a="1"/>
  <c r="H58" i="9" s="1"/>
  <c r="H56" i="9" a="1"/>
  <c r="H56" i="9" s="1"/>
  <c r="K56" i="9" a="1"/>
  <c r="K56" i="9" s="1"/>
  <c r="P114" i="9"/>
  <c r="AF35" i="9" s="1"/>
  <c r="B32" i="20" s="1"/>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AB36" i="9" s="1" a="1"/>
  <c r="AB36" i="9" s="1"/>
  <c r="I59" i="9" a="1"/>
  <c r="I59" i="9" s="1"/>
  <c r="I56" i="9" a="1"/>
  <c r="I56" i="9" s="1"/>
  <c r="I69" i="9" a="1"/>
  <c r="I69" i="9" s="1"/>
  <c r="G73" i="9" a="1"/>
  <c r="G73" i="9" s="1"/>
  <c r="M73" i="9" a="1"/>
  <c r="M73" i="9" s="1"/>
  <c r="E114" i="9"/>
  <c r="U35" i="9" s="1" a="1"/>
  <c r="U35" i="9" s="1"/>
  <c r="I58" i="9" a="1"/>
  <c r="I58" i="9" s="1"/>
  <c r="J66" i="9" a="1"/>
  <c r="J66" i="9" s="1"/>
  <c r="H61" i="9" a="1"/>
  <c r="H61" i="9" s="1"/>
  <c r="I71" i="9" a="1"/>
  <c r="I71" i="9" s="1"/>
  <c r="L62" i="9" a="1"/>
  <c r="L62" i="9" s="1"/>
  <c r="M59" i="9" a="1"/>
  <c r="M59" i="9" s="1"/>
  <c r="L52" i="9" a="1"/>
  <c r="L52" i="9" s="1"/>
  <c r="A20" i="21"/>
  <c r="G2" i="21"/>
  <c r="A2" i="21" s="1"/>
  <c r="A23" i="21"/>
  <c r="J52" i="9" a="1"/>
  <c r="J52" i="9" s="1"/>
  <c r="G60" i="9" a="1"/>
  <c r="G60" i="9" s="1"/>
  <c r="G52" i="9" a="1"/>
  <c r="G52" i="9" s="1"/>
  <c r="L69" i="9" a="1"/>
  <c r="L69" i="9" s="1"/>
  <c r="G78" i="9" a="1"/>
  <c r="G78" i="9" s="1"/>
  <c r="L77" i="9" a="1"/>
  <c r="L77" i="9" s="1"/>
  <c r="F114" i="9"/>
  <c r="V35" i="9" s="1" a="1"/>
  <c r="V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U36" i="9" s="1" a="1"/>
  <c r="U36" i="9" s="1"/>
  <c r="P70" i="9"/>
  <c r="P53" i="9"/>
  <c r="P52" i="9"/>
  <c r="P54" i="9"/>
  <c r="P115" i="9"/>
  <c r="H77" i="9" a="1"/>
  <c r="H77" i="9" s="1"/>
  <c r="L70" i="9" a="1"/>
  <c r="L70" i="9" s="1"/>
  <c r="G75" i="9" a="1"/>
  <c r="G75" i="9" s="1"/>
  <c r="G57" i="9" a="1"/>
  <c r="G57" i="9" s="1"/>
  <c r="K50" i="9" a="1"/>
  <c r="K50" i="9" s="1"/>
  <c r="K73" i="9" a="1"/>
  <c r="K73" i="9" s="1"/>
  <c r="L57" i="9" a="1"/>
  <c r="L57" i="9" s="1"/>
  <c r="P73" i="9"/>
  <c r="I78" i="9" a="1"/>
  <c r="I78" i="9" s="1"/>
  <c r="J114" i="9"/>
  <c r="Z35" i="9" s="1" a="1"/>
  <c r="Z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T36" i="9" s="1" a="1"/>
  <c r="T36" i="9" s="1"/>
  <c r="B4" i="9"/>
  <c r="P57" i="9"/>
  <c r="P63" i="9"/>
  <c r="P71" i="9"/>
  <c r="L68" i="9" a="1"/>
  <c r="L68" i="9" s="1"/>
  <c r="G72" i="9" a="1"/>
  <c r="G72" i="9" s="1"/>
  <c r="H55" i="9" a="1"/>
  <c r="H55" i="9" s="1"/>
  <c r="J53" i="9" a="1"/>
  <c r="J53" i="9" s="1"/>
  <c r="H70" i="9" a="1"/>
  <c r="H70" i="9" s="1"/>
  <c r="M115" i="9"/>
  <c r="AC36" i="9" s="1" a="1"/>
  <c r="AC36" i="9" s="1"/>
  <c r="P66" i="9"/>
  <c r="B11" i="9"/>
  <c r="E11" i="9" s="1"/>
  <c r="L114" i="9"/>
  <c r="AB35" i="9" s="1" a="1"/>
  <c r="AB35" i="9" s="1"/>
  <c r="M52" i="9" a="1"/>
  <c r="M52" i="9" s="1"/>
  <c r="J70" i="9" a="1"/>
  <c r="J70" i="9" s="1"/>
  <c r="J65" i="9" a="1"/>
  <c r="J65" i="9" s="1"/>
  <c r="B10" i="9"/>
  <c r="C10"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X36" i="9" s="1" a="1"/>
  <c r="X36" i="9" s="1"/>
  <c r="P69" i="9"/>
  <c r="B17" i="9"/>
  <c r="C17" i="9" s="1"/>
  <c r="B13" i="9"/>
  <c r="C13" i="9" s="1"/>
  <c r="P65" i="9"/>
  <c r="M77" i="9" a="1"/>
  <c r="M77" i="9" s="1"/>
  <c r="L53" i="9" a="1"/>
  <c r="L53" i="9" s="1"/>
  <c r="L64" i="9" a="1"/>
  <c r="L64" i="9" s="1"/>
  <c r="I70" i="9" a="1"/>
  <c r="I70" i="9" s="1"/>
  <c r="H60" i="9" a="1"/>
  <c r="H60" i="9" s="1"/>
  <c r="I63" i="9" a="1"/>
  <c r="I63" i="9" s="1"/>
  <c r="I57" i="9" a="1"/>
  <c r="I57" i="9" s="1"/>
  <c r="K115" i="9"/>
  <c r="AA36" i="9" s="1" a="1"/>
  <c r="AA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S36" i="9" s="1" a="1"/>
  <c r="S36" i="9" s="1"/>
  <c r="P78" i="9"/>
  <c r="P50" i="9"/>
  <c r="P62" i="9"/>
  <c r="I76" i="9" a="1"/>
  <c r="I76" i="9" s="1"/>
  <c r="M56" i="9" a="1"/>
  <c r="M56" i="9" s="1"/>
  <c r="L61" i="9" a="1"/>
  <c r="L61" i="9" s="1"/>
  <c r="G63" i="9" a="1"/>
  <c r="G63" i="9" s="1"/>
  <c r="I67" i="9" a="1"/>
  <c r="I67" i="9" s="1"/>
  <c r="G54" i="9" a="1"/>
  <c r="G54" i="9" s="1"/>
  <c r="M60" i="9" a="1"/>
  <c r="M60" i="9" s="1"/>
  <c r="L75" i="9" a="1"/>
  <c r="L75" i="9" s="1"/>
  <c r="G115" i="9"/>
  <c r="W36" i="9" s="1" a="1"/>
  <c r="W36" i="9" s="1"/>
  <c r="B15" i="9"/>
  <c r="E15" i="9" s="1"/>
  <c r="P77" i="9"/>
  <c r="B16" i="9"/>
  <c r="C16" i="9" s="1"/>
  <c r="J115" i="9"/>
  <c r="Z36" i="9" s="1" a="1"/>
  <c r="Z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C35" i="9" s="1" a="1"/>
  <c r="AC35" i="9" s="1"/>
  <c r="K77" i="9" a="1"/>
  <c r="K77" i="9" s="1"/>
  <c r="G77" i="9" a="1"/>
  <c r="G77" i="9" s="1"/>
  <c r="G59" i="9" a="1"/>
  <c r="G59" i="9" s="1"/>
  <c r="A4" i="20"/>
  <c r="K63" i="9" a="1"/>
  <c r="K63" i="9" s="1"/>
  <c r="M54" i="9" a="1"/>
  <c r="M54" i="9" s="1"/>
  <c r="J56" i="9" a="1"/>
  <c r="J56" i="9" s="1"/>
  <c r="H114" i="9"/>
  <c r="X35" i="9" s="1" a="1"/>
  <c r="X35" i="9" s="1"/>
  <c r="I114" i="9"/>
  <c r="Y35" i="9" s="1" a="1"/>
  <c r="Y35" i="9" s="1"/>
  <c r="M79" i="9" a="1"/>
  <c r="M79" i="9" s="1"/>
  <c r="A34" i="20"/>
  <c r="J58" i="9" a="1"/>
  <c r="J58" i="9" s="1"/>
  <c r="L71" i="9" a="1"/>
  <c r="L71" i="9" s="1"/>
  <c r="L51" i="9" a="1"/>
  <c r="L51" i="9" s="1"/>
  <c r="G114" i="9"/>
  <c r="W35" i="9" s="1" a="1"/>
  <c r="W35" i="9" s="1"/>
  <c r="I77" i="9" a="1"/>
  <c r="I77" i="9" s="1"/>
  <c r="A34" i="21"/>
  <c r="B34" i="21" s="1"/>
  <c r="K67" i="9" a="1"/>
  <c r="K67" i="9" s="1"/>
  <c r="H76" i="9" a="1"/>
  <c r="H76" i="9" s="1"/>
  <c r="D114" i="9"/>
  <c r="T35" i="9" s="1" a="1"/>
  <c r="T35" i="9" s="1"/>
  <c r="H78" i="9" a="1"/>
  <c r="H78" i="9" s="1"/>
  <c r="I79" i="9" a="1"/>
  <c r="I79" i="9" s="1"/>
  <c r="C11" i="9"/>
  <c r="G51" i="9" a="1"/>
  <c r="G51" i="9" s="1"/>
  <c r="A9" i="20"/>
  <c r="A28" i="20"/>
  <c r="A16" i="21"/>
  <c r="A17" i="20"/>
  <c r="A31" i="21"/>
  <c r="A11" i="20"/>
  <c r="A29" i="20"/>
  <c r="A10" i="20"/>
  <c r="A24" i="20"/>
  <c r="A30" i="20"/>
  <c r="A33" i="20"/>
  <c r="A25" i="20"/>
  <c r="A21" i="20"/>
  <c r="A20" i="20"/>
  <c r="P79" i="9"/>
  <c r="A13" i="20"/>
  <c r="A31" i="20"/>
  <c r="A32" i="20"/>
  <c r="L79" i="9" a="1"/>
  <c r="L79" i="9" s="1"/>
  <c r="A14" i="20"/>
  <c r="A19" i="20"/>
  <c r="G55" i="9" a="1"/>
  <c r="G55" i="9" s="1"/>
  <c r="A26" i="20"/>
  <c r="A22" i="20"/>
  <c r="C114" i="9"/>
  <c r="S35" i="9" s="1" a="1"/>
  <c r="S35" i="9" s="1"/>
  <c r="A3" i="20"/>
  <c r="E18" i="9"/>
  <c r="K134" i="1"/>
  <c r="A5" i="20"/>
  <c r="A12" i="20"/>
  <c r="A18" i="20"/>
  <c r="A15" i="20"/>
  <c r="R5" i="9"/>
  <c r="D8" i="19" s="1" a="1"/>
  <c r="D8" i="19" s="1"/>
  <c r="A7" i="20"/>
  <c r="A16" i="20"/>
  <c r="A23" i="20"/>
  <c r="A21" i="21"/>
  <c r="A17" i="21"/>
  <c r="A25" i="21"/>
  <c r="A9" i="21"/>
  <c r="A5" i="21"/>
  <c r="A13" i="21"/>
  <c r="A32" i="21"/>
  <c r="B32" i="21" s="1"/>
  <c r="A28" i="21"/>
  <c r="H65" i="9" a="1"/>
  <c r="H65" i="9" s="1"/>
  <c r="A11" i="21"/>
  <c r="A29" i="21"/>
  <c r="A10" i="21"/>
  <c r="B49" i="9"/>
  <c r="A14" i="21"/>
  <c r="A6" i="21"/>
  <c r="A22" i="21"/>
  <c r="A26" i="21"/>
  <c r="A18" i="21"/>
  <c r="A12" i="21"/>
  <c r="A3" i="21"/>
  <c r="A30" i="21"/>
  <c r="A24" i="21"/>
  <c r="A15" i="21"/>
  <c r="A7" i="21"/>
  <c r="A33" i="21"/>
  <c r="B33" i="21" s="1"/>
  <c r="A27" i="21"/>
  <c r="A19" i="21"/>
  <c r="A4" i="21"/>
  <c r="A8" i="21"/>
  <c r="E29" i="7"/>
  <c r="H21" i="7"/>
  <c r="H29" i="7" s="1"/>
  <c r="D44" i="18"/>
  <c r="C11" i="8" s="1"/>
  <c r="I37" i="12"/>
  <c r="C43" i="12"/>
  <c r="E44" i="18"/>
  <c r="D42" i="14"/>
  <c r="C10" i="8" s="1"/>
  <c r="J43" i="14"/>
  <c r="C12" i="8" s="1"/>
  <c r="G29" i="15"/>
  <c r="D2" i="2"/>
  <c r="H127" i="1" l="1"/>
  <c r="H130" i="1"/>
  <c r="H77" i="1"/>
  <c r="H133" i="1"/>
  <c r="H104" i="1"/>
  <c r="H92" i="1"/>
  <c r="H87" i="1"/>
  <c r="H114" i="1"/>
  <c r="H84" i="1"/>
  <c r="H94" i="1"/>
  <c r="H123" i="1"/>
  <c r="H124" i="1"/>
  <c r="AE38" i="9"/>
  <c r="AG38" i="9" s="1"/>
  <c r="C35" i="20" s="1"/>
  <c r="AE35" i="9"/>
  <c r="AG35" i="9" s="1"/>
  <c r="C32" i="20" s="1"/>
  <c r="N49" i="9" a="1"/>
  <c r="N49" i="9" s="1"/>
  <c r="AD5" i="9" a="1"/>
  <c r="AD5" i="9" s="1"/>
  <c r="M49" i="9" a="1"/>
  <c r="M49" i="9" s="1"/>
  <c r="M84" i="9"/>
  <c r="AE37" i="9"/>
  <c r="AG37" i="9" s="1"/>
  <c r="C34" i="20" s="1"/>
  <c r="AE36" i="9"/>
  <c r="H29" i="15"/>
  <c r="C12" i="19" a="1"/>
  <c r="C12" i="19" s="1"/>
  <c r="O81" i="9"/>
  <c r="Q81" i="9" s="1"/>
  <c r="E14" i="9"/>
  <c r="H102" i="1"/>
  <c r="H108" i="1"/>
  <c r="C7" i="9"/>
  <c r="C5" i="9"/>
  <c r="O80" i="9"/>
  <c r="C6" i="9"/>
  <c r="H73" i="1"/>
  <c r="H74" i="1"/>
  <c r="C3" i="9"/>
  <c r="C12" i="9"/>
  <c r="P80" i="9"/>
  <c r="C9" i="9"/>
  <c r="C8" i="9"/>
  <c r="AF36" i="9"/>
  <c r="B33" i="20" s="1"/>
  <c r="C49" i="9" a="1"/>
  <c r="C49" i="9" s="1"/>
  <c r="O55" i="9"/>
  <c r="Q55" i="9" s="1"/>
  <c r="O114" i="9"/>
  <c r="O53" i="9"/>
  <c r="Q53" i="9" s="1"/>
  <c r="O57" i="9"/>
  <c r="Q57" i="9" s="1"/>
  <c r="O72" i="9"/>
  <c r="Q72" i="9" s="1"/>
  <c r="O50" i="9"/>
  <c r="Q50" i="9" s="1"/>
  <c r="O70" i="9"/>
  <c r="Q70" i="9" s="1"/>
  <c r="C15" i="9"/>
  <c r="E13" i="9"/>
  <c r="O74" i="9"/>
  <c r="Q74" i="9" s="1"/>
  <c r="O68" i="9"/>
  <c r="Q68" i="9" s="1"/>
  <c r="O66" i="9"/>
  <c r="Q66" i="9" s="1"/>
  <c r="O62" i="9"/>
  <c r="Q62" i="9" s="1"/>
  <c r="O73" i="9"/>
  <c r="Q73" i="9" s="1"/>
  <c r="O61" i="9"/>
  <c r="Q61" i="9" s="1"/>
  <c r="O75" i="9"/>
  <c r="Q75" i="9" s="1"/>
  <c r="O69" i="9"/>
  <c r="Q69" i="9" s="1"/>
  <c r="O54" i="9"/>
  <c r="Q54" i="9" s="1"/>
  <c r="O78" i="9"/>
  <c r="Q78" i="9" s="1"/>
  <c r="O58" i="9"/>
  <c r="Q58" i="9" s="1"/>
  <c r="O52" i="9"/>
  <c r="Q52" i="9" s="1"/>
  <c r="O65" i="9"/>
  <c r="Q65" i="9" s="1"/>
  <c r="O59" i="9"/>
  <c r="Q59" i="9" s="1"/>
  <c r="E16" i="9"/>
  <c r="O115" i="9"/>
  <c r="O76" i="9"/>
  <c r="Q76" i="9" s="1"/>
  <c r="O71" i="9"/>
  <c r="Q71" i="9" s="1"/>
  <c r="E4" i="9"/>
  <c r="C4" i="9"/>
  <c r="O67" i="9"/>
  <c r="Q67" i="9" s="1"/>
  <c r="E10" i="9"/>
  <c r="E17" i="9"/>
  <c r="O60" i="9"/>
  <c r="Q60" i="9" s="1"/>
  <c r="O56" i="9"/>
  <c r="Q56" i="9" s="1"/>
  <c r="O64" i="9"/>
  <c r="Q64" i="9" s="1"/>
  <c r="O79" i="9"/>
  <c r="Q79" i="9" s="1"/>
  <c r="O77" i="9"/>
  <c r="Q77" i="9" s="1"/>
  <c r="O63" i="9"/>
  <c r="Q63" i="9" s="1"/>
  <c r="O51" i="9"/>
  <c r="Q51" i="9" s="1"/>
  <c r="G49" i="9" a="1"/>
  <c r="G49" i="9" s="1"/>
  <c r="H49" i="9" a="1"/>
  <c r="H49" i="9" s="1"/>
  <c r="L49" i="9" a="1"/>
  <c r="L49" i="9" s="1"/>
  <c r="J49" i="9" a="1"/>
  <c r="J49" i="9" s="1"/>
  <c r="B2" i="9"/>
  <c r="K49" i="9" a="1"/>
  <c r="K49" i="9" s="1"/>
  <c r="I49" i="9" a="1"/>
  <c r="I49" i="9" s="1"/>
  <c r="P49" i="9"/>
  <c r="D49" i="9" a="1"/>
  <c r="D49" i="9" s="1"/>
  <c r="F49" i="9" a="1"/>
  <c r="F49" i="9" s="1"/>
  <c r="E49" i="9" a="1"/>
  <c r="E49" i="9" s="1"/>
  <c r="D10" i="19" a="1"/>
  <c r="D10" i="19" s="1"/>
  <c r="D14" i="19" a="1"/>
  <c r="D14" i="19" s="1"/>
  <c r="E14" i="19" s="1"/>
  <c r="D12" i="19" a="1"/>
  <c r="D12" i="19" s="1"/>
  <c r="A2" i="20"/>
  <c r="F44" i="18"/>
  <c r="C14" i="8"/>
  <c r="C4" i="10" s="1"/>
  <c r="C15" i="10" s="1"/>
  <c r="C17" i="10" s="1"/>
  <c r="E12" i="19" l="1"/>
  <c r="E16" i="19" s="1"/>
  <c r="Q115" i="9"/>
  <c r="Q114" i="9"/>
  <c r="Q80" i="9"/>
  <c r="AG36" i="9"/>
  <c r="C33" i="20" s="1"/>
  <c r="E2" i="9"/>
  <c r="C2" i="9"/>
  <c r="O49" i="9"/>
  <c r="C21" i="9" l="1"/>
  <c r="C23" i="9"/>
  <c r="C3" i="10" s="1"/>
  <c r="Q49" i="9"/>
  <c r="C11" i="10" l="1"/>
  <c r="C5" i="10"/>
  <c r="F21" i="10" s="1"/>
  <c r="D3" i="17" l="1"/>
  <c r="N6" i="17" s="1"/>
  <c r="C110" i="9" l="1"/>
  <c r="S31" i="9" s="1" a="1"/>
  <c r="S31" i="9" s="1"/>
  <c r="M91" i="9"/>
  <c r="AC12" i="9" s="1" a="1"/>
  <c r="AC12" i="9" s="1"/>
  <c r="L111" i="9"/>
  <c r="AB32" i="9" s="1" a="1"/>
  <c r="AB32" i="9" s="1"/>
  <c r="J98" i="9"/>
  <c r="Z19" i="9" s="1" a="1"/>
  <c r="Z19" i="9" s="1"/>
  <c r="M88" i="9"/>
  <c r="AC9" i="9" s="1" a="1"/>
  <c r="AC9" i="9" s="1"/>
  <c r="L91" i="9"/>
  <c r="AB12" i="9" s="1" a="1"/>
  <c r="AB12" i="9" s="1"/>
  <c r="I98" i="9"/>
  <c r="Y19" i="9" s="1" a="1"/>
  <c r="Y19" i="9" s="1"/>
  <c r="C101" i="9"/>
  <c r="S22" i="9" s="1" a="1"/>
  <c r="S22" i="9" s="1"/>
  <c r="M85" i="9"/>
  <c r="AC6" i="9" s="1" a="1"/>
  <c r="AC6" i="9" s="1"/>
  <c r="K94" i="9"/>
  <c r="AA15" i="9" s="1" a="1"/>
  <c r="AA15" i="9" s="1"/>
  <c r="I85" i="9"/>
  <c r="Y6" i="9" s="1" a="1"/>
  <c r="Y6" i="9" s="1"/>
  <c r="D106" i="9"/>
  <c r="T27" i="9" s="1" a="1"/>
  <c r="T27" i="9" s="1"/>
  <c r="C91" i="9"/>
  <c r="S12" i="9" s="1" a="1"/>
  <c r="S12" i="9" s="1"/>
  <c r="K101" i="9"/>
  <c r="AA22" i="9" s="1" a="1"/>
  <c r="AA22" i="9" s="1"/>
  <c r="G111" i="9"/>
  <c r="M94" i="9"/>
  <c r="AC15" i="9" s="1" a="1"/>
  <c r="AC15" i="9" s="1"/>
  <c r="M90" i="9"/>
  <c r="AC11" i="9" s="1" a="1"/>
  <c r="AC11" i="9" s="1"/>
  <c r="K85" i="9"/>
  <c r="AA6" i="9" s="1" a="1"/>
  <c r="AA6" i="9" s="1"/>
  <c r="D100" i="9"/>
  <c r="T21" i="9" s="1" a="1"/>
  <c r="T21" i="9" s="1"/>
  <c r="D112" i="9"/>
  <c r="T33" i="9" s="1" a="1"/>
  <c r="T33" i="9" s="1"/>
  <c r="J86" i="9"/>
  <c r="Z7" i="9" s="1" a="1"/>
  <c r="Z7" i="9" s="1"/>
  <c r="D107" i="9"/>
  <c r="T28" i="9" s="1" a="1"/>
  <c r="T28" i="9" s="1"/>
  <c r="D103" i="9"/>
  <c r="T24" i="9" s="1" a="1"/>
  <c r="T24" i="9" s="1"/>
  <c r="I105" i="9"/>
  <c r="Y26" i="9" s="1" a="1"/>
  <c r="Y26" i="9" s="1"/>
  <c r="J93" i="9"/>
  <c r="Z14" i="9" s="1" a="1"/>
  <c r="Z14" i="9" s="1"/>
  <c r="D88" i="9"/>
  <c r="T9" i="9" s="1" a="1"/>
  <c r="T9" i="9" s="1"/>
  <c r="L86" i="9"/>
  <c r="AB7" i="9" s="1" a="1"/>
  <c r="AB7" i="9" s="1"/>
  <c r="M93" i="9"/>
  <c r="AC14" i="9" s="1" a="1"/>
  <c r="AC14" i="9" s="1"/>
  <c r="I111" i="9"/>
  <c r="Y32" i="9" s="1" a="1"/>
  <c r="Y32" i="9" s="1"/>
  <c r="D101" i="9"/>
  <c r="T22" i="9" s="1" a="1"/>
  <c r="T22" i="9" s="1"/>
  <c r="C98" i="9"/>
  <c r="S19" i="9" s="1" a="1"/>
  <c r="S19" i="9" s="1"/>
  <c r="D105" i="9"/>
  <c r="T26" i="9" s="1" a="1"/>
  <c r="T26" i="9" s="1"/>
  <c r="M110" i="9"/>
  <c r="AC31" i="9" s="1" a="1"/>
  <c r="AC31" i="9" s="1"/>
  <c r="D111" i="9"/>
  <c r="T32" i="9" s="1" a="1"/>
  <c r="T32" i="9" s="1"/>
  <c r="I109" i="9"/>
  <c r="Y30" i="9" s="1" a="1"/>
  <c r="Y30" i="9" s="1"/>
  <c r="C87" i="9"/>
  <c r="S8" i="9" s="1" a="1"/>
  <c r="S8" i="9" s="1"/>
  <c r="J96" i="9"/>
  <c r="Z17" i="9" s="1" a="1"/>
  <c r="Z17" i="9" s="1"/>
  <c r="D93" i="9"/>
  <c r="T14" i="9" s="1" a="1"/>
  <c r="T14" i="9" s="1"/>
  <c r="L100" i="9"/>
  <c r="AB21" i="9" s="1" a="1"/>
  <c r="AB21" i="9" s="1"/>
  <c r="C112" i="9"/>
  <c r="S33" i="9" s="1" a="1"/>
  <c r="S33" i="9" s="1"/>
  <c r="L94" i="9"/>
  <c r="AB15" i="9" s="1" a="1"/>
  <c r="AB15" i="9" s="1"/>
  <c r="K90" i="9"/>
  <c r="AA11" i="9" s="1" a="1"/>
  <c r="AA11" i="9" s="1"/>
  <c r="M97" i="9"/>
  <c r="AC18" i="9" s="1" a="1"/>
  <c r="AC18" i="9" s="1"/>
  <c r="I108" i="9"/>
  <c r="Y29" i="9" s="1" a="1"/>
  <c r="Y29" i="9" s="1"/>
  <c r="L89" i="9"/>
  <c r="AB10" i="9" s="1" a="1"/>
  <c r="AB10" i="9" s="1"/>
  <c r="I106" i="9"/>
  <c r="Y27" i="9" s="1" a="1"/>
  <c r="Y27" i="9" s="1"/>
  <c r="K106" i="9"/>
  <c r="AA27" i="9" s="1" a="1"/>
  <c r="AA27" i="9" s="1"/>
  <c r="J92" i="9"/>
  <c r="Z13" i="9" s="1" a="1"/>
  <c r="Z13" i="9" s="1"/>
  <c r="D99" i="9"/>
  <c r="T20" i="9" s="1" a="1"/>
  <c r="T20" i="9" s="1"/>
  <c r="J108" i="9"/>
  <c r="Z29" i="9" s="1" a="1"/>
  <c r="Z29" i="9" s="1"/>
  <c r="L92" i="9"/>
  <c r="AB13" i="9" s="1" a="1"/>
  <c r="AB13" i="9" s="1"/>
  <c r="C96" i="9"/>
  <c r="S17" i="9" s="1" a="1"/>
  <c r="S17" i="9" s="1"/>
  <c r="L105" i="9"/>
  <c r="AB26" i="9" s="1" a="1"/>
  <c r="AB26" i="9" s="1"/>
  <c r="K96" i="9"/>
  <c r="AA17" i="9" s="1" a="1"/>
  <c r="AA17" i="9" s="1"/>
  <c r="M104" i="9"/>
  <c r="AC25" i="9" s="1" a="1"/>
  <c r="AC25" i="9" s="1"/>
  <c r="E112" i="9"/>
  <c r="U33" i="9" s="1" a="1"/>
  <c r="U33" i="9" s="1"/>
  <c r="K99" i="9"/>
  <c r="AA20" i="9" s="1" a="1"/>
  <c r="AA20" i="9" s="1"/>
  <c r="K102" i="9"/>
  <c r="AA23" i="9" s="1" a="1"/>
  <c r="AA23" i="9" s="1"/>
  <c r="L101" i="9"/>
  <c r="AB22" i="9" s="1" a="1"/>
  <c r="AB22" i="9" s="1"/>
  <c r="L99" i="9"/>
  <c r="AB20" i="9" s="1" a="1"/>
  <c r="AB20" i="9" s="1"/>
  <c r="I99" i="9"/>
  <c r="Y20" i="9" s="1" a="1"/>
  <c r="Y20" i="9" s="1"/>
  <c r="I95" i="9"/>
  <c r="Y16" i="9" s="1" a="1"/>
  <c r="Y16" i="9" s="1"/>
  <c r="J95" i="9"/>
  <c r="Z16" i="9" s="1" a="1"/>
  <c r="Z16" i="9" s="1"/>
  <c r="E111" i="9"/>
  <c r="U32" i="9" s="1" a="1"/>
  <c r="U32" i="9" s="1"/>
  <c r="K113" i="9"/>
  <c r="AA34" i="9" s="1" a="1"/>
  <c r="AA34" i="9" s="1"/>
  <c r="L106" i="9"/>
  <c r="AB27" i="9" s="1" a="1"/>
  <c r="AB27" i="9" s="1"/>
  <c r="L87" i="9"/>
  <c r="AB8" i="9" s="1" a="1"/>
  <c r="AB8" i="9" s="1"/>
  <c r="J104" i="9"/>
  <c r="Z25" i="9" s="1" a="1"/>
  <c r="Z25" i="9" s="1"/>
  <c r="K111" i="9"/>
  <c r="AA32" i="9" s="1" a="1"/>
  <c r="AA32" i="9" s="1"/>
  <c r="J97" i="9"/>
  <c r="Z18" i="9" s="1" a="1"/>
  <c r="Z18" i="9" s="1"/>
  <c r="J106" i="9"/>
  <c r="Z27" i="9" s="1" a="1"/>
  <c r="Z27" i="9" s="1"/>
  <c r="D85" i="9"/>
  <c r="T6" i="9" s="1" a="1"/>
  <c r="T6" i="9" s="1"/>
  <c r="D98" i="9"/>
  <c r="T19" i="9" s="1" a="1"/>
  <c r="T19" i="9" s="1"/>
  <c r="I103" i="9"/>
  <c r="Y24" i="9" s="1" a="1"/>
  <c r="Y24" i="9" s="1"/>
  <c r="K86" i="9"/>
  <c r="AA7" i="9" s="1" a="1"/>
  <c r="AA7" i="9" s="1"/>
  <c r="I90" i="9"/>
  <c r="Y11" i="9" s="1" a="1"/>
  <c r="Y11" i="9" s="1"/>
  <c r="J103" i="9"/>
  <c r="Z24" i="9" s="1" a="1"/>
  <c r="Z24" i="9" s="1"/>
  <c r="I102" i="9"/>
  <c r="Y23" i="9" s="1" a="1"/>
  <c r="Y23" i="9" s="1"/>
  <c r="L110" i="9"/>
  <c r="AB31" i="9" s="1" a="1"/>
  <c r="AB31" i="9" s="1"/>
  <c r="D89" i="9"/>
  <c r="T10" i="9" s="1" a="1"/>
  <c r="T10" i="9" s="1"/>
  <c r="K97" i="9"/>
  <c r="AA18" i="9" s="1" a="1"/>
  <c r="AA18" i="9" s="1"/>
  <c r="L97" i="9"/>
  <c r="AB18" i="9" s="1" a="1"/>
  <c r="AB18" i="9" s="1"/>
  <c r="C102" i="9"/>
  <c r="S23" i="9" s="1" a="1"/>
  <c r="S23" i="9" s="1"/>
  <c r="J87" i="9"/>
  <c r="Z8" i="9" s="1" a="1"/>
  <c r="Z8" i="9" s="1"/>
  <c r="D86" i="9"/>
  <c r="T7" i="9" s="1" a="1"/>
  <c r="T7" i="9" s="1"/>
  <c r="M111" i="9"/>
  <c r="AC32" i="9" s="1" a="1"/>
  <c r="AC32" i="9" s="1"/>
  <c r="D110" i="9"/>
  <c r="T31" i="9" s="1" a="1"/>
  <c r="T31" i="9" s="1"/>
  <c r="I87" i="9"/>
  <c r="Y8" i="9" s="1" a="1"/>
  <c r="Y8" i="9" s="1"/>
  <c r="C86" i="9"/>
  <c r="S7" i="9" s="1" a="1"/>
  <c r="S7" i="9" s="1"/>
  <c r="I88" i="9"/>
  <c r="Y9" i="9" s="1" a="1"/>
  <c r="Y9" i="9" s="1"/>
  <c r="C85" i="9"/>
  <c r="S6" i="9" s="1" a="1"/>
  <c r="S6" i="9" s="1"/>
  <c r="K87" i="9"/>
  <c r="AA8" i="9" s="1" a="1"/>
  <c r="AA8" i="9" s="1"/>
  <c r="K105" i="9"/>
  <c r="AA26" i="9" s="1" a="1"/>
  <c r="AA26" i="9" s="1"/>
  <c r="I94" i="9"/>
  <c r="Y15" i="9" s="1" a="1"/>
  <c r="Y15" i="9" s="1"/>
  <c r="J85" i="9"/>
  <c r="Z6" i="9" s="1" a="1"/>
  <c r="Z6" i="9" s="1"/>
  <c r="M113" i="9"/>
  <c r="AC34" i="9" s="1" a="1"/>
  <c r="AC34" i="9" s="1"/>
  <c r="C104" i="9"/>
  <c r="S25" i="9" s="1" a="1"/>
  <c r="S25" i="9" s="1"/>
  <c r="D94" i="9"/>
  <c r="T15" i="9" s="1" a="1"/>
  <c r="T15" i="9" s="1"/>
  <c r="I96" i="9"/>
  <c r="Y17" i="9" s="1" a="1"/>
  <c r="Y17" i="9" s="1"/>
  <c r="L107" i="9"/>
  <c r="AB28" i="9" s="1" a="1"/>
  <c r="AB28" i="9" s="1"/>
  <c r="C90" i="9"/>
  <c r="S11" i="9" s="1" a="1"/>
  <c r="S11" i="9" s="1"/>
  <c r="M106" i="9"/>
  <c r="AC27" i="9" s="1" a="1"/>
  <c r="AC27" i="9" s="1"/>
  <c r="L93" i="9"/>
  <c r="AB14" i="9" s="1" a="1"/>
  <c r="AB14" i="9" s="1"/>
  <c r="M87" i="9"/>
  <c r="AC8" i="9" s="1" a="1"/>
  <c r="AC8" i="9" s="1"/>
  <c r="M92" i="9"/>
  <c r="AC13" i="9" s="1" a="1"/>
  <c r="AC13" i="9" s="1"/>
  <c r="K107" i="9"/>
  <c r="AA28" i="9" s="1" a="1"/>
  <c r="AA28" i="9" s="1"/>
  <c r="D87" i="9"/>
  <c r="T8" i="9" s="1" a="1"/>
  <c r="T8" i="9" s="1"/>
  <c r="L112" i="9"/>
  <c r="AB33" i="9" s="1" a="1"/>
  <c r="AB33" i="9" s="1"/>
  <c r="I110" i="9"/>
  <c r="Y31" i="9" s="1" a="1"/>
  <c r="Y31" i="9" s="1"/>
  <c r="K100" i="9"/>
  <c r="AA21" i="9" s="1" a="1"/>
  <c r="AA21" i="9" s="1"/>
  <c r="I104" i="9"/>
  <c r="Y25" i="9" s="1" a="1"/>
  <c r="Y25" i="9" s="1"/>
  <c r="C93" i="9"/>
  <c r="S14" i="9" s="1" a="1"/>
  <c r="S14" i="9" s="1"/>
  <c r="L88" i="9"/>
  <c r="AB9" i="9" s="1" a="1"/>
  <c r="AB9" i="9" s="1"/>
  <c r="L98" i="9"/>
  <c r="AB19" i="9" s="1" a="1"/>
  <c r="AB19" i="9" s="1"/>
  <c r="M103" i="9"/>
  <c r="AC24" i="9" s="1" a="1"/>
  <c r="AC24" i="9" s="1"/>
  <c r="L85" i="9"/>
  <c r="AB6" i="9" s="1" a="1"/>
  <c r="AB6" i="9" s="1"/>
  <c r="C100" i="9"/>
  <c r="S21" i="9" s="1" a="1"/>
  <c r="S21" i="9" s="1"/>
  <c r="L108" i="9"/>
  <c r="AB29" i="9" s="1" a="1"/>
  <c r="AB29" i="9" s="1"/>
  <c r="J102" i="9"/>
  <c r="Z23" i="9" s="1" a="1"/>
  <c r="Z23" i="9" s="1"/>
  <c r="M107" i="9"/>
  <c r="AC28" i="9" s="1" a="1"/>
  <c r="AC28" i="9" s="1"/>
  <c r="M98" i="9"/>
  <c r="AC19" i="9" s="1" a="1"/>
  <c r="AC19" i="9" s="1"/>
  <c r="C107" i="9"/>
  <c r="S28" i="9" s="1" a="1"/>
  <c r="S28" i="9" s="1"/>
  <c r="K91" i="9"/>
  <c r="AA12" i="9" s="1" a="1"/>
  <c r="AA12" i="9" s="1"/>
  <c r="K88" i="9"/>
  <c r="AA9" i="9" s="1" a="1"/>
  <c r="AA9" i="9" s="1"/>
  <c r="C92" i="9"/>
  <c r="S13" i="9" s="1" a="1"/>
  <c r="S13" i="9" s="1"/>
  <c r="I92" i="9"/>
  <c r="Y13" i="9" s="1" a="1"/>
  <c r="Y13" i="9" s="1"/>
  <c r="J100" i="9"/>
  <c r="Z21" i="9" s="1" a="1"/>
  <c r="Z21" i="9" s="1"/>
  <c r="J91" i="9"/>
  <c r="Z12" i="9" s="1" a="1"/>
  <c r="Z12" i="9" s="1"/>
  <c r="M99" i="9"/>
  <c r="AC20" i="9" s="1" a="1"/>
  <c r="AC20" i="9" s="1"/>
  <c r="C97" i="9"/>
  <c r="S18" i="9" s="1" a="1"/>
  <c r="S18" i="9" s="1"/>
  <c r="K109" i="9"/>
  <c r="AA30" i="9" s="1" a="1"/>
  <c r="AA30" i="9" s="1"/>
  <c r="D109" i="9"/>
  <c r="T30" i="9" s="1" a="1"/>
  <c r="T30" i="9" s="1"/>
  <c r="I93" i="9"/>
  <c r="Y14" i="9" s="1" a="1"/>
  <c r="Y14" i="9" s="1"/>
  <c r="M112" i="9"/>
  <c r="AC33" i="9" s="1" a="1"/>
  <c r="AC33" i="9" s="1"/>
  <c r="K92" i="9"/>
  <c r="AA13" i="9" s="1" a="1"/>
  <c r="AA13" i="9" s="1"/>
  <c r="M100" i="9"/>
  <c r="AC21" i="9" s="1" a="1"/>
  <c r="AC21" i="9" s="1"/>
  <c r="C88" i="9"/>
  <c r="S9" i="9" s="1" a="1"/>
  <c r="S9" i="9" s="1"/>
  <c r="K108" i="9"/>
  <c r="AA29" i="9" s="1" a="1"/>
  <c r="AA29" i="9" s="1"/>
  <c r="D95" i="9"/>
  <c r="T16" i="9" s="1" a="1"/>
  <c r="T16" i="9" s="1"/>
  <c r="M96" i="9"/>
  <c r="AC17" i="9" s="1" a="1"/>
  <c r="AC17" i="9" s="1"/>
  <c r="J107" i="9"/>
  <c r="Z28" i="9" s="1" a="1"/>
  <c r="Z28" i="9" s="1"/>
  <c r="C111" i="9"/>
  <c r="S32" i="9" s="1" a="1"/>
  <c r="S32" i="9" s="1"/>
  <c r="J110" i="9"/>
  <c r="Z31" i="9" s="1" a="1"/>
  <c r="Z31" i="9" s="1"/>
  <c r="D102" i="9"/>
  <c r="T23" i="9" s="1" a="1"/>
  <c r="T23" i="9" s="1"/>
  <c r="L113" i="9"/>
  <c r="AB34" i="9" s="1" a="1"/>
  <c r="AB34" i="9" s="1"/>
  <c r="I97" i="9"/>
  <c r="Y18" i="9" s="1" a="1"/>
  <c r="Y18" i="9" s="1"/>
  <c r="J89" i="9"/>
  <c r="Z10" i="9" s="1" a="1"/>
  <c r="Z10" i="9" s="1"/>
  <c r="M105" i="9"/>
  <c r="AC26" i="9" s="1" a="1"/>
  <c r="AC26" i="9" s="1"/>
  <c r="C103" i="9"/>
  <c r="S24" i="9" s="1" a="1"/>
  <c r="S24" i="9" s="1"/>
  <c r="E113" i="9"/>
  <c r="U34" i="9" s="1" a="1"/>
  <c r="U34" i="9" s="1"/>
  <c r="M102" i="9"/>
  <c r="AC23" i="9" s="1" a="1"/>
  <c r="AC23" i="9" s="1"/>
  <c r="C106" i="9"/>
  <c r="S27" i="9" s="1" a="1"/>
  <c r="S27" i="9" s="1"/>
  <c r="D97" i="9"/>
  <c r="T18" i="9" s="1" a="1"/>
  <c r="T18" i="9" s="1"/>
  <c r="M108" i="9"/>
  <c r="AC29" i="9" s="1" a="1"/>
  <c r="AC29" i="9" s="1"/>
  <c r="L102" i="9"/>
  <c r="AB23" i="9" s="1" a="1"/>
  <c r="AB23" i="9" s="1"/>
  <c r="K98" i="9"/>
  <c r="AA19" i="9" s="1" a="1"/>
  <c r="AA19" i="9" s="1"/>
  <c r="D90" i="9"/>
  <c r="T11" i="9" s="1" a="1"/>
  <c r="T11" i="9" s="1"/>
  <c r="I112" i="9"/>
  <c r="Y33" i="9" s="1" a="1"/>
  <c r="Y33" i="9" s="1"/>
  <c r="D113" i="9"/>
  <c r="T34" i="9" s="1" a="1"/>
  <c r="T34" i="9" s="1"/>
  <c r="C108" i="9"/>
  <c r="S29" i="9" s="1" a="1"/>
  <c r="S29" i="9" s="1"/>
  <c r="L96" i="9"/>
  <c r="AB17" i="9" s="1" a="1"/>
  <c r="AB17" i="9" s="1"/>
  <c r="J112" i="9"/>
  <c r="Z33" i="9" s="1" a="1"/>
  <c r="Z33" i="9" s="1"/>
  <c r="J113" i="9"/>
  <c r="Z34" i="9" s="1" a="1"/>
  <c r="Z34" i="9" s="1"/>
  <c r="J105" i="9"/>
  <c r="Z26" i="9" s="1" a="1"/>
  <c r="Z26" i="9" s="1"/>
  <c r="C89" i="9"/>
  <c r="S10" i="9" s="1" a="1"/>
  <c r="S10" i="9" s="1"/>
  <c r="C113" i="9"/>
  <c r="S34" i="9" s="1" a="1"/>
  <c r="S34" i="9" s="1"/>
  <c r="J99" i="9"/>
  <c r="Z20" i="9" s="1" a="1"/>
  <c r="Z20" i="9" s="1"/>
  <c r="M95" i="9"/>
  <c r="AC16" i="9" s="1" a="1"/>
  <c r="AC16" i="9" s="1"/>
  <c r="C109" i="9"/>
  <c r="S30" i="9" s="1" a="1"/>
  <c r="S30" i="9" s="1"/>
  <c r="K93" i="9"/>
  <c r="AA14" i="9" s="1" a="1"/>
  <c r="AA14" i="9" s="1"/>
  <c r="D92" i="9"/>
  <c r="T13" i="9" s="1" a="1"/>
  <c r="T13" i="9" s="1"/>
  <c r="K95" i="9"/>
  <c r="AA16" i="9" s="1" a="1"/>
  <c r="AA16" i="9" s="1"/>
  <c r="I91" i="9"/>
  <c r="Y12" i="9" s="1" a="1"/>
  <c r="Y12" i="9" s="1"/>
  <c r="M89" i="9"/>
  <c r="AC10" i="9" s="1" a="1"/>
  <c r="AC10" i="9" s="1"/>
  <c r="L109" i="9"/>
  <c r="AB30" i="9" s="1" a="1"/>
  <c r="AB30" i="9" s="1"/>
  <c r="J90" i="9"/>
  <c r="Z11" i="9" s="1" a="1"/>
  <c r="Z11" i="9" s="1"/>
  <c r="J94" i="9"/>
  <c r="Z15" i="9" s="1" a="1"/>
  <c r="Z15" i="9" s="1"/>
  <c r="M86" i="9"/>
  <c r="AC7" i="9" s="1" a="1"/>
  <c r="AC7" i="9" s="1"/>
  <c r="L95" i="9"/>
  <c r="AB16" i="9" s="1" a="1"/>
  <c r="AB16" i="9" s="1"/>
  <c r="M101" i="9"/>
  <c r="AC22" i="9" s="1" a="1"/>
  <c r="AC22" i="9" s="1"/>
  <c r="D96" i="9"/>
  <c r="T17" i="9" s="1" a="1"/>
  <c r="T17" i="9" s="1"/>
  <c r="I107" i="9"/>
  <c r="Y28" i="9" s="1" a="1"/>
  <c r="Y28" i="9" s="1"/>
  <c r="I113" i="9"/>
  <c r="Y34" i="9" s="1" a="1"/>
  <c r="Y34" i="9" s="1"/>
  <c r="D104" i="9"/>
  <c r="T25" i="9" s="1" a="1"/>
  <c r="T25" i="9" s="1"/>
  <c r="D108" i="9"/>
  <c r="T29" i="9" s="1" a="1"/>
  <c r="T29" i="9" s="1"/>
  <c r="C95" i="9"/>
  <c r="S16" i="9" s="1" a="1"/>
  <c r="S16" i="9" s="1"/>
  <c r="K112" i="9"/>
  <c r="AA33" i="9" s="1" a="1"/>
  <c r="AA33" i="9" s="1"/>
  <c r="I101" i="9"/>
  <c r="Y22" i="9" s="1" a="1"/>
  <c r="Y22" i="9" s="1"/>
  <c r="L90" i="9"/>
  <c r="AB11" i="9" s="1" a="1"/>
  <c r="AB11" i="9" s="1"/>
  <c r="D91" i="9"/>
  <c r="T12" i="9" s="1" a="1"/>
  <c r="T12" i="9" s="1"/>
  <c r="J109" i="9"/>
  <c r="Z30" i="9" s="1" a="1"/>
  <c r="Z30" i="9" s="1"/>
  <c r="C94" i="9"/>
  <c r="S15" i="9" s="1" a="1"/>
  <c r="S15" i="9" s="1"/>
  <c r="C99" i="9"/>
  <c r="S20" i="9" s="1" a="1"/>
  <c r="S20" i="9" s="1"/>
  <c r="I86" i="9"/>
  <c r="Y7" i="9" s="1" a="1"/>
  <c r="Y7" i="9" s="1"/>
  <c r="J111" i="9"/>
  <c r="Z32" i="9" s="1" a="1"/>
  <c r="Z32" i="9" s="1"/>
  <c r="K110" i="9"/>
  <c r="AA31" i="9" s="1" a="1"/>
  <c r="AA31" i="9" s="1"/>
  <c r="C105" i="9"/>
  <c r="S26" i="9" s="1" a="1"/>
  <c r="S26" i="9" s="1"/>
  <c r="D2" i="17"/>
  <c r="P96" i="9" l="1"/>
  <c r="AF17" i="9" s="1"/>
  <c r="B14" i="20" s="1"/>
  <c r="B14" i="21"/>
  <c r="I55" i="1"/>
  <c r="F106" i="9"/>
  <c r="V27" i="9" s="1" a="1"/>
  <c r="V27" i="9" s="1"/>
  <c r="J7" i="1"/>
  <c r="G89" i="9"/>
  <c r="J23" i="1"/>
  <c r="G105" i="9"/>
  <c r="J51" i="1"/>
  <c r="H112" i="9"/>
  <c r="X33" i="9" s="1" a="1"/>
  <c r="X33" i="9" s="1"/>
  <c r="I24" i="1"/>
  <c r="E106" i="9"/>
  <c r="U27" i="9" s="1" a="1"/>
  <c r="U27" i="9" s="1"/>
  <c r="J18" i="1"/>
  <c r="G100" i="9"/>
  <c r="P89" i="9"/>
  <c r="AF10" i="9" s="1"/>
  <c r="B7" i="20" s="1"/>
  <c r="B7" i="21"/>
  <c r="J10" i="1"/>
  <c r="G92" i="9"/>
  <c r="I37" i="1"/>
  <c r="F92" i="9"/>
  <c r="V13" i="9" s="1" a="1"/>
  <c r="V13" i="9" s="1"/>
  <c r="J67" i="1"/>
  <c r="L104" i="9"/>
  <c r="AB25" i="9" s="1" a="1"/>
  <c r="AB25" i="9" s="1"/>
  <c r="I11" i="1"/>
  <c r="E93" i="9"/>
  <c r="U14" i="9" s="1" a="1"/>
  <c r="U14" i="9" s="1"/>
  <c r="J27" i="1"/>
  <c r="G109" i="9"/>
  <c r="J37" i="1"/>
  <c r="H92" i="9"/>
  <c r="X13" i="9" s="1" a="1"/>
  <c r="X13" i="9" s="1"/>
  <c r="I35" i="1"/>
  <c r="F90" i="9"/>
  <c r="V11" i="9" s="1" a="1"/>
  <c r="V11" i="9" s="1"/>
  <c r="I40" i="1"/>
  <c r="F95" i="9"/>
  <c r="V16" i="9" s="1" a="1"/>
  <c r="V16" i="9" s="1"/>
  <c r="I32" i="1"/>
  <c r="F87" i="9"/>
  <c r="V8" i="9" s="1" a="1"/>
  <c r="V8" i="9" s="1"/>
  <c r="P112" i="9"/>
  <c r="AF33" i="9" s="1"/>
  <c r="B30" i="20" s="1"/>
  <c r="B30" i="21"/>
  <c r="P93" i="9"/>
  <c r="AF14" i="9" s="1"/>
  <c r="B11" i="20" s="1"/>
  <c r="B11" i="21"/>
  <c r="I56" i="1"/>
  <c r="F107" i="9"/>
  <c r="V28" i="9" s="1" a="1"/>
  <c r="V28" i="9" s="1"/>
  <c r="J61" i="1"/>
  <c r="J101" i="9"/>
  <c r="Z22" i="9" s="1" a="1"/>
  <c r="Z22" i="9" s="1"/>
  <c r="J66" i="1"/>
  <c r="L103" i="9"/>
  <c r="AB24" i="9" s="1" a="1"/>
  <c r="AB24" i="9" s="1"/>
  <c r="P92" i="9"/>
  <c r="AF13" i="9" s="1"/>
  <c r="B10" i="20" s="1"/>
  <c r="B10" i="21"/>
  <c r="P94" i="9"/>
  <c r="AF15" i="9" s="1"/>
  <c r="B12" i="20" s="1"/>
  <c r="B12" i="21"/>
  <c r="J30" i="1"/>
  <c r="H85" i="9"/>
  <c r="X6" i="9" s="1" a="1"/>
  <c r="X6" i="9" s="1"/>
  <c r="I53" i="1"/>
  <c r="F104" i="9"/>
  <c r="V25" i="9" s="1" a="1"/>
  <c r="V25" i="9" s="1"/>
  <c r="P100" i="9"/>
  <c r="AF21" i="9" s="1"/>
  <c r="B18" i="20" s="1"/>
  <c r="B18" i="21"/>
  <c r="I36" i="1"/>
  <c r="F91" i="9"/>
  <c r="V12" i="9" s="1" a="1"/>
  <c r="V12" i="9" s="1"/>
  <c r="J42" i="1"/>
  <c r="H97" i="9"/>
  <c r="X18" i="9" s="1" a="1"/>
  <c r="X18" i="9" s="1"/>
  <c r="I3" i="1"/>
  <c r="E85" i="9"/>
  <c r="U6" i="9" s="1" a="1"/>
  <c r="U6" i="9" s="1"/>
  <c r="I20" i="1"/>
  <c r="E102" i="9"/>
  <c r="U23" i="9" s="1" a="1"/>
  <c r="U23" i="9" s="1"/>
  <c r="I5" i="1"/>
  <c r="E87" i="9"/>
  <c r="U8" i="9" s="1" a="1"/>
  <c r="U8" i="9" s="1"/>
  <c r="P87" i="9"/>
  <c r="AF8" i="9" s="1"/>
  <c r="B5" i="20" s="1"/>
  <c r="B5" i="21"/>
  <c r="H105" i="9"/>
  <c r="X26" i="9" s="1" a="1"/>
  <c r="X26" i="9" s="1"/>
  <c r="J54" i="1"/>
  <c r="I27" i="1"/>
  <c r="E109" i="9"/>
  <c r="U30" i="9" s="1" a="1"/>
  <c r="U30" i="9" s="1"/>
  <c r="J28" i="1"/>
  <c r="G110" i="9"/>
  <c r="J22" i="1"/>
  <c r="G104" i="9"/>
  <c r="J8" i="1"/>
  <c r="G90" i="9"/>
  <c r="J59" i="1"/>
  <c r="I89" i="9"/>
  <c r="Y10" i="9" s="1" a="1"/>
  <c r="Y10" i="9" s="1"/>
  <c r="I7" i="1"/>
  <c r="E89" i="9"/>
  <c r="U10" i="9" s="1" a="1"/>
  <c r="U10" i="9" s="1"/>
  <c r="I23" i="1"/>
  <c r="E105" i="9"/>
  <c r="U26" i="9" s="1" a="1"/>
  <c r="U26" i="9" s="1"/>
  <c r="P98" i="9"/>
  <c r="AF19" i="9" s="1"/>
  <c r="B16" i="20" s="1"/>
  <c r="B16" i="21"/>
  <c r="J47" i="1"/>
  <c r="H102" i="9"/>
  <c r="X23" i="9" s="1" a="1"/>
  <c r="X23" i="9" s="1"/>
  <c r="J63" i="1"/>
  <c r="K103" i="9"/>
  <c r="AA24" i="9" s="1" a="1"/>
  <c r="AA24" i="9" s="1"/>
  <c r="J56" i="1"/>
  <c r="H107" i="9"/>
  <c r="X28" i="9" s="1" a="1"/>
  <c r="X28" i="9" s="1"/>
  <c r="J39" i="1"/>
  <c r="H94" i="9"/>
  <c r="X15" i="9" s="1" a="1"/>
  <c r="X15" i="9" s="1"/>
  <c r="J49" i="1"/>
  <c r="H111" i="9"/>
  <c r="X32" i="9" s="1" a="1"/>
  <c r="X32" i="9" s="1"/>
  <c r="E91" i="9"/>
  <c r="U12" i="9" s="1" a="1"/>
  <c r="U12" i="9" s="1"/>
  <c r="I9" i="1"/>
  <c r="J44" i="1"/>
  <c r="H99" i="9"/>
  <c r="X20" i="9" s="1" a="1"/>
  <c r="X20" i="9" s="1"/>
  <c r="I26" i="1"/>
  <c r="E108" i="9"/>
  <c r="U29" i="9" s="1" a="1"/>
  <c r="U29" i="9" s="1"/>
  <c r="J11" i="1"/>
  <c r="G93" i="9"/>
  <c r="P103" i="9"/>
  <c r="AF24" i="9" s="1"/>
  <c r="B21" i="20" s="1"/>
  <c r="B21" i="21"/>
  <c r="J45" i="1"/>
  <c r="H100" i="9"/>
  <c r="X21" i="9" s="1" a="1"/>
  <c r="X21" i="9" s="1"/>
  <c r="E90" i="9"/>
  <c r="U11" i="9" s="1" a="1"/>
  <c r="U11" i="9" s="1"/>
  <c r="I8" i="1"/>
  <c r="I31" i="1"/>
  <c r="F86" i="9"/>
  <c r="V7" i="9" s="1" a="1"/>
  <c r="V7" i="9" s="1"/>
  <c r="I17" i="1"/>
  <c r="E99" i="9"/>
  <c r="U20" i="9" s="1" a="1"/>
  <c r="U20" i="9" s="1"/>
  <c r="J38" i="1"/>
  <c r="H93" i="9"/>
  <c r="X14" i="9" s="1" a="1"/>
  <c r="X14" i="9" s="1"/>
  <c r="J53" i="1"/>
  <c r="H104" i="9"/>
  <c r="X25" i="9" s="1" a="1"/>
  <c r="X25" i="9" s="1"/>
  <c r="I52" i="1"/>
  <c r="F113" i="9"/>
  <c r="V34" i="9" s="1" a="1"/>
  <c r="V34" i="9" s="1"/>
  <c r="J31" i="1"/>
  <c r="H86" i="9"/>
  <c r="X7" i="9" s="1" a="1"/>
  <c r="X7" i="9" s="1"/>
  <c r="P85" i="9"/>
  <c r="AF6" i="9" s="1"/>
  <c r="B3" i="20" s="1"/>
  <c r="B3" i="21"/>
  <c r="J65" i="1"/>
  <c r="K89" i="9"/>
  <c r="AA10" i="9" s="1" a="1"/>
  <c r="AA10" i="9" s="1"/>
  <c r="I38" i="1"/>
  <c r="F93" i="9"/>
  <c r="V14" i="9" s="1" a="1"/>
  <c r="V14" i="9" s="1"/>
  <c r="J50" i="1"/>
  <c r="H110" i="9"/>
  <c r="X31" i="9" s="1" a="1"/>
  <c r="X31" i="9" s="1"/>
  <c r="J16" i="1"/>
  <c r="G98" i="9"/>
  <c r="P107" i="9"/>
  <c r="AF28" i="9" s="1"/>
  <c r="B25" i="20" s="1"/>
  <c r="B25" i="21"/>
  <c r="P90" i="9"/>
  <c r="AF11" i="9" s="1"/>
  <c r="B8" i="20" s="1"/>
  <c r="B8" i="21"/>
  <c r="D246" i="17"/>
  <c r="C12" i="10"/>
  <c r="C13" i="10" s="1"/>
  <c r="N5" i="17"/>
  <c r="N7" i="17" s="1"/>
  <c r="I14" i="1"/>
  <c r="E96" i="9"/>
  <c r="U17" i="9" s="1" a="1"/>
  <c r="U17" i="9" s="1"/>
  <c r="P108" i="9"/>
  <c r="AF29" i="9" s="1"/>
  <c r="B26" i="20" s="1"/>
  <c r="B26" i="21"/>
  <c r="I57" i="1"/>
  <c r="F108" i="9"/>
  <c r="V29" i="9" s="1" a="1"/>
  <c r="V29" i="9" s="1"/>
  <c r="I13" i="1"/>
  <c r="E95" i="9"/>
  <c r="U16" i="9" s="1" a="1"/>
  <c r="U16" i="9" s="1"/>
  <c r="J55" i="1"/>
  <c r="H106" i="9"/>
  <c r="X27" i="9" s="1" a="1"/>
  <c r="X27" i="9" s="1"/>
  <c r="I50" i="1"/>
  <c r="F110" i="9"/>
  <c r="V31" i="9" s="1" a="1"/>
  <c r="V31" i="9" s="1"/>
  <c r="J58" i="1"/>
  <c r="H109" i="9"/>
  <c r="X30" i="9" s="1" a="1"/>
  <c r="X30" i="9" s="1"/>
  <c r="P102" i="9"/>
  <c r="AF23" i="9" s="1"/>
  <c r="B20" i="20" s="1"/>
  <c r="B20" i="21"/>
  <c r="J25" i="1"/>
  <c r="G107" i="9"/>
  <c r="P106" i="9"/>
  <c r="AF27" i="9" s="1"/>
  <c r="B24" i="20" s="1"/>
  <c r="B24" i="21"/>
  <c r="J26" i="1"/>
  <c r="G108" i="9"/>
  <c r="P105" i="9"/>
  <c r="AF26" i="9" s="1"/>
  <c r="B23" i="20" s="1"/>
  <c r="B23" i="21"/>
  <c r="I15" i="1"/>
  <c r="E97" i="9"/>
  <c r="U18" i="9" s="1" a="1"/>
  <c r="U18" i="9" s="1"/>
  <c r="P86" i="9"/>
  <c r="AF7" i="9" s="1"/>
  <c r="B4" i="20" s="1"/>
  <c r="B4" i="21"/>
  <c r="I6" i="1"/>
  <c r="E88" i="9"/>
  <c r="U9" i="9" s="1" a="1"/>
  <c r="U9" i="9" s="1"/>
  <c r="P88" i="9"/>
  <c r="AF9" i="9" s="1"/>
  <c r="B6" i="20" s="1"/>
  <c r="B6" i="21"/>
  <c r="I16" i="1"/>
  <c r="E98" i="9"/>
  <c r="U19" i="9" s="1" a="1"/>
  <c r="U19" i="9" s="1"/>
  <c r="P95" i="9"/>
  <c r="AF16" i="9" s="1"/>
  <c r="B13" i="20" s="1"/>
  <c r="B13" i="21"/>
  <c r="I22" i="1"/>
  <c r="E104" i="9"/>
  <c r="U25" i="9" s="1" a="1"/>
  <c r="U25" i="9" s="1"/>
  <c r="I42" i="1"/>
  <c r="F97" i="9"/>
  <c r="V18" i="9" s="1" a="1"/>
  <c r="V18" i="9" s="1"/>
  <c r="I34" i="1"/>
  <c r="F89" i="9"/>
  <c r="V10" i="9" s="1" a="1"/>
  <c r="V10" i="9" s="1"/>
  <c r="J3" i="1"/>
  <c r="G85" i="9"/>
  <c r="J41" i="1"/>
  <c r="H96" i="9"/>
  <c r="X17" i="9" s="1" a="1"/>
  <c r="X17" i="9" s="1"/>
  <c r="J60" i="1"/>
  <c r="I100" i="9"/>
  <c r="Y21" i="9" s="1" a="1"/>
  <c r="Y21" i="9" s="1"/>
  <c r="F85" i="9"/>
  <c r="V6" i="9" s="1" a="1"/>
  <c r="V6" i="9" s="1"/>
  <c r="I30" i="1"/>
  <c r="I41" i="1"/>
  <c r="F96" i="9"/>
  <c r="V17" i="9" s="1" a="1"/>
  <c r="V17" i="9" s="1"/>
  <c r="P99" i="9"/>
  <c r="AF20" i="9" s="1"/>
  <c r="B17" i="20" s="1"/>
  <c r="B17" i="21"/>
  <c r="I58" i="1"/>
  <c r="F109" i="9"/>
  <c r="V30" i="9" s="1" a="1"/>
  <c r="V30" i="9" s="1"/>
  <c r="I46" i="1"/>
  <c r="F101" i="9"/>
  <c r="V22" i="9" s="1" a="1"/>
  <c r="V22" i="9" s="1"/>
  <c r="P109" i="9"/>
  <c r="AF30" i="9" s="1"/>
  <c r="B27" i="20" s="1"/>
  <c r="B27" i="21"/>
  <c r="J52" i="1"/>
  <c r="H113" i="9"/>
  <c r="X34" i="9" s="1" a="1"/>
  <c r="X34" i="9" s="1"/>
  <c r="W32" i="9" a="1"/>
  <c r="W32" i="9" s="1"/>
  <c r="I19" i="1"/>
  <c r="E101" i="9"/>
  <c r="U22" i="9" s="1" a="1"/>
  <c r="U22" i="9" s="1"/>
  <c r="I43" i="1"/>
  <c r="F98" i="9"/>
  <c r="V19" i="9" s="1" a="1"/>
  <c r="V19" i="9" s="1"/>
  <c r="I25" i="1"/>
  <c r="E107" i="9"/>
  <c r="U28" i="9" s="1" a="1"/>
  <c r="U28" i="9" s="1"/>
  <c r="P113" i="9"/>
  <c r="AF34" i="9" s="1"/>
  <c r="B31" i="20" s="1"/>
  <c r="B31" i="21"/>
  <c r="P104" i="9"/>
  <c r="AF25" i="9" s="1"/>
  <c r="B22" i="20" s="1"/>
  <c r="B22" i="21"/>
  <c r="J32" i="1"/>
  <c r="H87" i="9"/>
  <c r="X8" i="9" s="1" a="1"/>
  <c r="X8" i="9" s="1"/>
  <c r="P101" i="9"/>
  <c r="AF22" i="9" s="1"/>
  <c r="B19" i="20" s="1"/>
  <c r="B19" i="21"/>
  <c r="J9" i="1"/>
  <c r="G91" i="9"/>
  <c r="I39" i="1"/>
  <c r="F94" i="9"/>
  <c r="V15" i="9" s="1" a="1"/>
  <c r="V15" i="9" s="1"/>
  <c r="I12" i="1"/>
  <c r="E94" i="9"/>
  <c r="U15" i="9" s="1" a="1"/>
  <c r="U15" i="9" s="1"/>
  <c r="I47" i="1"/>
  <c r="F102" i="9"/>
  <c r="V23" i="9" s="1" a="1"/>
  <c r="V23" i="9" s="1"/>
  <c r="J34" i="1"/>
  <c r="H89" i="9"/>
  <c r="X10" i="9" s="1" a="1"/>
  <c r="X10" i="9" s="1"/>
  <c r="I51" i="1"/>
  <c r="F112" i="9"/>
  <c r="V33" i="9" s="1" a="1"/>
  <c r="V33" i="9" s="1"/>
  <c r="J20" i="1"/>
  <c r="G102" i="9"/>
  <c r="I10" i="1"/>
  <c r="E92" i="9"/>
  <c r="U13" i="9" s="1" a="1"/>
  <c r="U13" i="9" s="1"/>
  <c r="J36" i="1"/>
  <c r="H91" i="9"/>
  <c r="X12" i="9" s="1" a="1"/>
  <c r="X12" i="9" s="1"/>
  <c r="I4" i="1"/>
  <c r="E86" i="9"/>
  <c r="U7" i="9" s="1" a="1"/>
  <c r="U7" i="9" s="1"/>
  <c r="P91" i="9"/>
  <c r="AF12" i="9" s="1"/>
  <c r="B9" i="20" s="1"/>
  <c r="B9" i="21"/>
  <c r="J24" i="1"/>
  <c r="G106" i="9"/>
  <c r="I48" i="1"/>
  <c r="F103" i="9"/>
  <c r="V24" i="9" s="1" a="1"/>
  <c r="V24" i="9" s="1"/>
  <c r="J13" i="1"/>
  <c r="G95" i="9"/>
  <c r="I28" i="1"/>
  <c r="E110" i="9"/>
  <c r="U31" i="9" s="1" a="1"/>
  <c r="U31" i="9" s="1"/>
  <c r="J48" i="1"/>
  <c r="H103" i="9"/>
  <c r="X24" i="9" s="1" a="1"/>
  <c r="X24" i="9" s="1"/>
  <c r="P111" i="9"/>
  <c r="AF32" i="9" s="1"/>
  <c r="B29" i="20" s="1"/>
  <c r="B29" i="21"/>
  <c r="I49" i="1"/>
  <c r="F111" i="9"/>
  <c r="V32" i="9" s="1" a="1"/>
  <c r="V32" i="9" s="1"/>
  <c r="I33" i="1"/>
  <c r="F88" i="9"/>
  <c r="V9" i="9" s="1" a="1"/>
  <c r="V9" i="9" s="1"/>
  <c r="J46" i="1"/>
  <c r="H101" i="9"/>
  <c r="X22" i="9" s="1" a="1"/>
  <c r="X22" i="9" s="1"/>
  <c r="I21" i="1"/>
  <c r="E103" i="9"/>
  <c r="U24" i="9" s="1" a="1"/>
  <c r="U24" i="9" s="1"/>
  <c r="J6" i="1"/>
  <c r="G88" i="9"/>
  <c r="J69" i="1"/>
  <c r="M109" i="9"/>
  <c r="AC30" i="9" s="1" a="1"/>
  <c r="AC30" i="9" s="1"/>
  <c r="P110" i="9"/>
  <c r="AF31" i="9" s="1"/>
  <c r="B28" i="21"/>
  <c r="J4" i="1"/>
  <c r="G86" i="9"/>
  <c r="I54" i="1"/>
  <c r="F105" i="9"/>
  <c r="V26" i="9" s="1" a="1"/>
  <c r="V26" i="9" s="1"/>
  <c r="P97" i="9"/>
  <c r="AF18" i="9" s="1"/>
  <c r="B15" i="20" s="1"/>
  <c r="B15" i="21"/>
  <c r="J64" i="1"/>
  <c r="K104" i="9"/>
  <c r="AA25" i="9" s="1" a="1"/>
  <c r="AA25" i="9" s="1"/>
  <c r="J35" i="1"/>
  <c r="H90" i="9"/>
  <c r="X11" i="9" s="1" a="1"/>
  <c r="X11" i="9" s="1"/>
  <c r="I45" i="1"/>
  <c r="F100" i="9"/>
  <c r="V21" i="9" s="1" a="1"/>
  <c r="V21" i="9" s="1"/>
  <c r="J5" i="1"/>
  <c r="G87" i="9"/>
  <c r="J62" i="1"/>
  <c r="J88" i="9"/>
  <c r="Z9" i="9" s="1" a="1"/>
  <c r="Z9" i="9" s="1"/>
  <c r="I44" i="1"/>
  <c r="F99" i="9"/>
  <c r="V20" i="9" s="1" a="1"/>
  <c r="V20" i="9" s="1"/>
  <c r="I18" i="1"/>
  <c r="E100" i="9"/>
  <c r="U21" i="9" s="1" a="1"/>
  <c r="U21" i="9" s="1"/>
  <c r="J57" i="1"/>
  <c r="H108" i="9"/>
  <c r="X29" i="9" s="1" a="1"/>
  <c r="X29" i="9" s="1"/>
  <c r="J40" i="1"/>
  <c r="H95" i="9"/>
  <c r="X16" i="9" s="1" a="1"/>
  <c r="X16" i="9" s="1"/>
  <c r="AC5" i="9" a="1"/>
  <c r="AC5" i="9" s="1"/>
  <c r="K84" i="9"/>
  <c r="AA5" i="9" s="1" a="1"/>
  <c r="AA5" i="9" s="1"/>
  <c r="D84" i="9"/>
  <c r="T5" i="9" s="1" a="1"/>
  <c r="T5" i="9" s="1"/>
  <c r="I84" i="9"/>
  <c r="Y5" i="9" s="1" a="1"/>
  <c r="Y5" i="9" s="1"/>
  <c r="J84" i="9"/>
  <c r="Z5" i="9" s="1" a="1"/>
  <c r="Z5" i="9" s="1"/>
  <c r="C84" i="9"/>
  <c r="S5" i="9" s="1" a="1"/>
  <c r="S5" i="9" s="1"/>
  <c r="G113" i="9"/>
  <c r="G112" i="9"/>
  <c r="AE32" i="9" l="1"/>
  <c r="AG32" i="9" s="1"/>
  <c r="C29" i="20" s="1"/>
  <c r="J15" i="1"/>
  <c r="G97" i="9"/>
  <c r="W27" i="9" a="1"/>
  <c r="W27" i="9" s="1"/>
  <c r="O106" i="9"/>
  <c r="W28" i="9" a="1"/>
  <c r="W28" i="9" s="1"/>
  <c r="O107" i="9"/>
  <c r="W33" i="9" a="1"/>
  <c r="W33" i="9" s="1"/>
  <c r="O112" i="9"/>
  <c r="W19" i="9" a="1"/>
  <c r="W19" i="9" s="1"/>
  <c r="J43" i="1"/>
  <c r="H98" i="9"/>
  <c r="X19" i="9" s="1" a="1"/>
  <c r="X19" i="9" s="1"/>
  <c r="O111" i="9"/>
  <c r="O105" i="9"/>
  <c r="W26" i="9" a="1"/>
  <c r="W26" i="9" s="1"/>
  <c r="J68" i="1"/>
  <c r="L84" i="9"/>
  <c r="AB5" i="9" s="1" a="1"/>
  <c r="AB5" i="9" s="1"/>
  <c r="I29" i="1"/>
  <c r="F84" i="9"/>
  <c r="V5" i="9" s="1" a="1"/>
  <c r="V5" i="9" s="1"/>
  <c r="W9" i="9" a="1"/>
  <c r="W9" i="9" s="1"/>
  <c r="J29" i="1"/>
  <c r="H84" i="9"/>
  <c r="X5" i="9" s="1" a="1"/>
  <c r="X5" i="9" s="1"/>
  <c r="W34" i="9" a="1"/>
  <c r="W34" i="9" s="1"/>
  <c r="O113" i="9"/>
  <c r="J2" i="1"/>
  <c r="G84" i="9"/>
  <c r="G99" i="9"/>
  <c r="J17" i="1"/>
  <c r="W14" i="9" a="1"/>
  <c r="W14" i="9" s="1"/>
  <c r="O93" i="9"/>
  <c r="W13" i="9" a="1"/>
  <c r="W13" i="9" s="1"/>
  <c r="O92" i="9"/>
  <c r="W10" i="9" a="1"/>
  <c r="W10" i="9" s="1"/>
  <c r="O89" i="9"/>
  <c r="J21" i="1"/>
  <c r="G103" i="9"/>
  <c r="P7" i="17"/>
  <c r="C19" i="10"/>
  <c r="C21" i="10" s="1"/>
  <c r="P84" i="9"/>
  <c r="AF5" i="9" s="1"/>
  <c r="B2" i="20" s="1"/>
  <c r="B2" i="21"/>
  <c r="I2" i="1"/>
  <c r="E84" i="9"/>
  <c r="U5" i="9" s="1" a="1"/>
  <c r="U5" i="9" s="1"/>
  <c r="W11" i="9" a="1"/>
  <c r="W11" i="9" s="1"/>
  <c r="O90" i="9"/>
  <c r="J12" i="1"/>
  <c r="G94" i="9"/>
  <c r="J33" i="1"/>
  <c r="H88" i="9"/>
  <c r="X9" i="9" s="1" a="1"/>
  <c r="X9" i="9" s="1"/>
  <c r="W29" i="9" a="1"/>
  <c r="W29" i="9" s="1"/>
  <c r="O108" i="9"/>
  <c r="F246" i="17"/>
  <c r="K5" i="17"/>
  <c r="K6" i="17" s="1"/>
  <c r="W31" i="9" a="1"/>
  <c r="W31" i="9" s="1"/>
  <c r="O110" i="9"/>
  <c r="B28" i="20"/>
  <c r="E18" i="19" a="1"/>
  <c r="E18" i="19" s="1"/>
  <c r="W16" i="9" a="1"/>
  <c r="W16" i="9" s="1"/>
  <c r="O95" i="9"/>
  <c r="J14" i="1"/>
  <c r="G96" i="9"/>
  <c r="W25" i="9" a="1"/>
  <c r="W25" i="9" s="1"/>
  <c r="O104" i="9"/>
  <c r="W30" i="9" a="1"/>
  <c r="W30" i="9" s="1"/>
  <c r="O109" i="9"/>
  <c r="W21" i="9" a="1"/>
  <c r="W21" i="9" s="1"/>
  <c r="O100" i="9"/>
  <c r="J19" i="1"/>
  <c r="G101" i="9"/>
  <c r="W8" i="9" a="1"/>
  <c r="W8" i="9" s="1"/>
  <c r="O87" i="9"/>
  <c r="W7" i="9" a="1"/>
  <c r="W7" i="9" s="1"/>
  <c r="O86" i="9"/>
  <c r="W23" i="9" a="1"/>
  <c r="W23" i="9" s="1"/>
  <c r="O102" i="9"/>
  <c r="W12" i="9" a="1"/>
  <c r="W12" i="9" s="1"/>
  <c r="O91" i="9"/>
  <c r="W6" i="9" a="1"/>
  <c r="W6" i="9" s="1"/>
  <c r="O85" i="9"/>
  <c r="AE9" i="9" l="1"/>
  <c r="AE19" i="9"/>
  <c r="AE10" i="9"/>
  <c r="AG10" i="9" s="1"/>
  <c r="C7" i="20" s="1"/>
  <c r="AE33" i="9"/>
  <c r="AG33" i="9" s="1"/>
  <c r="C30" i="20" s="1"/>
  <c r="AE7" i="9"/>
  <c r="AG7" i="9" s="1"/>
  <c r="C4" i="20" s="1"/>
  <c r="AE6" i="9"/>
  <c r="AG6" i="9" s="1"/>
  <c r="C3" i="20" s="1"/>
  <c r="AE14" i="9"/>
  <c r="AG14" i="9" s="1"/>
  <c r="C11" i="20" s="1"/>
  <c r="AE11" i="9"/>
  <c r="AG11" i="9" s="1"/>
  <c r="C8" i="20" s="1"/>
  <c r="AE31" i="9"/>
  <c r="AG31" i="9" s="1"/>
  <c r="AE28" i="9"/>
  <c r="AG28" i="9" s="1"/>
  <c r="C25" i="20" s="1"/>
  <c r="AE13" i="9"/>
  <c r="AG13" i="9" s="1"/>
  <c r="C10" i="20" s="1"/>
  <c r="AE30" i="9"/>
  <c r="AG30" i="9" s="1"/>
  <c r="C27" i="20" s="1"/>
  <c r="AE27" i="9"/>
  <c r="AG27" i="9" s="1"/>
  <c r="C24" i="20" s="1"/>
  <c r="AE16" i="9"/>
  <c r="AG16" i="9" s="1"/>
  <c r="C13" i="20" s="1"/>
  <c r="AE12" i="9"/>
  <c r="AG12" i="9" s="1"/>
  <c r="C9" i="20" s="1"/>
  <c r="AE26" i="9"/>
  <c r="AG26" i="9" s="1"/>
  <c r="C23" i="20" s="1"/>
  <c r="AE8" i="9"/>
  <c r="AG8" i="9" s="1"/>
  <c r="C5" i="20" s="1"/>
  <c r="AE21" i="9"/>
  <c r="AG21" i="9" s="1"/>
  <c r="C18" i="20" s="1"/>
  <c r="AE29" i="9"/>
  <c r="AG29" i="9" s="1"/>
  <c r="C26" i="20" s="1"/>
  <c r="AE34" i="9"/>
  <c r="AG34" i="9" s="1"/>
  <c r="C31" i="20" s="1"/>
  <c r="AE23" i="9"/>
  <c r="AG23" i="9" s="1"/>
  <c r="C20" i="20" s="1"/>
  <c r="AE25" i="9"/>
  <c r="AG25" i="9" s="1"/>
  <c r="C22" i="20" s="1"/>
  <c r="Q86" i="9"/>
  <c r="Q89" i="9"/>
  <c r="Q85" i="9"/>
  <c r="Q100" i="9"/>
  <c r="Q110" i="9"/>
  <c r="Q93" i="9"/>
  <c r="Q107" i="9"/>
  <c r="Q111" i="9"/>
  <c r="Q95" i="9"/>
  <c r="Q90" i="9"/>
  <c r="Q92" i="9"/>
  <c r="Q91" i="9"/>
  <c r="Q109" i="9"/>
  <c r="Q106" i="9"/>
  <c r="Q112" i="9"/>
  <c r="Q113" i="9"/>
  <c r="Q87" i="9"/>
  <c r="Q102" i="9"/>
  <c r="Q104" i="9"/>
  <c r="Q108" i="9"/>
  <c r="Q105" i="9"/>
  <c r="I134" i="1" a="1"/>
  <c r="I134" i="1" s="1"/>
  <c r="E7" i="8" s="1"/>
  <c r="AG9" i="9"/>
  <c r="C6" i="20" s="1"/>
  <c r="W22" i="9" a="1"/>
  <c r="W22" i="9" s="1"/>
  <c r="O101" i="9"/>
  <c r="O88" i="9"/>
  <c r="O98" i="9"/>
  <c r="AG19" i="9"/>
  <c r="C16" i="20" s="1"/>
  <c r="W20" i="9" a="1"/>
  <c r="W20" i="9" s="1"/>
  <c r="O99" i="9"/>
  <c r="O84" i="9"/>
  <c r="W5" i="9" a="1"/>
  <c r="W5" i="9" s="1"/>
  <c r="J134" i="1" a="1"/>
  <c r="J134" i="1" s="1"/>
  <c r="W24" i="9" a="1"/>
  <c r="W24" i="9" s="1"/>
  <c r="O103" i="9"/>
  <c r="W18" i="9" a="1"/>
  <c r="W18" i="9" s="1"/>
  <c r="O97" i="9"/>
  <c r="W17" i="9" a="1"/>
  <c r="W17" i="9" s="1"/>
  <c r="O96" i="9"/>
  <c r="W15" i="9" a="1"/>
  <c r="W15" i="9" s="1"/>
  <c r="O94" i="9"/>
  <c r="C28" i="20" l="1"/>
  <c r="E20" i="19" a="1"/>
  <c r="E20" i="19" s="1"/>
  <c r="AE17" i="9"/>
  <c r="AG17" i="9" s="1"/>
  <c r="C14" i="20" s="1"/>
  <c r="AE18" i="9"/>
  <c r="AG18" i="9" s="1"/>
  <c r="C15" i="20" s="1"/>
  <c r="AE20" i="9"/>
  <c r="AG20" i="9" s="1"/>
  <c r="C17" i="20" s="1"/>
  <c r="AE22" i="9"/>
  <c r="AG22" i="9" s="1"/>
  <c r="C19" i="20" s="1"/>
  <c r="AE24" i="9"/>
  <c r="AG24" i="9" s="1"/>
  <c r="C21" i="20" s="1"/>
  <c r="AE15" i="9"/>
  <c r="AG15" i="9" s="1"/>
  <c r="C12" i="20" s="1"/>
  <c r="AE5" i="9"/>
  <c r="AG5" i="9" s="1"/>
  <c r="C2" i="20" s="1"/>
  <c r="Q97" i="9"/>
  <c r="Q98" i="9"/>
  <c r="Q88" i="9"/>
  <c r="Q103" i="9"/>
  <c r="Q101" i="9"/>
  <c r="Q94" i="9"/>
  <c r="Q99" i="9"/>
  <c r="Q84" i="9"/>
  <c r="Q96" i="9"/>
  <c r="E6" i="8"/>
  <c r="E9" i="8"/>
  <c r="E11" i="8"/>
  <c r="E5" i="8"/>
  <c r="E8" i="8"/>
  <c r="E10" i="8"/>
  <c r="E4" i="8"/>
  <c r="E12" i="8"/>
  <c r="E13" i="8"/>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<sst xmlns="http://schemas.openxmlformats.org/spreadsheetml/2006/main" count="1597" uniqueCount="417">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</sst>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0" fontId="0" fillId="0" borderId="0" xfId="0" applyNumberFormat="1"/>
  </cellXfs>
  <cellStyles count="2">
    <cellStyle name="Comma" xfId="1" builtinId="3"/>
    <cellStyle name="Normal" xfId="0" builtinId="0"/>
  </cellStyles>
  <dxfs count="154">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ill>
        <patternFill>
          <bgColor rgb="FFFF000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microsoft.com/office/2017/06/relationships/rdArray" Target="richData/rdarray.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microsoft.com/office/2007/relationships/slicerCache" Target="slicerCaches/slicerCache3.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microsoft.com/office/2017/06/relationships/rdRichValue" Target="richData/rdrichvalue.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4"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microsoft.com/office/2017/06/relationships/rdSupportingPropertyBagStructure" Target="richData/rdsupportingpropertybagstructure.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 Id="rId46" Type="http://schemas.openxmlformats.org/officeDocument/2006/relationships/powerPivotData" Target="model/item.data"/><Relationship Id="rId20" Type="http://schemas.openxmlformats.org/officeDocument/2006/relationships/externalLink" Target="externalLinks/externalLink2.xml"/><Relationship Id="rId41"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550343</xdr:colOff>
      <xdr:row>7</xdr:row>
      <xdr:rowOff>43181</xdr:rowOff>
    </xdr:from>
    <xdr:to>
      <xdr:col>13</xdr:col>
      <xdr:colOff>418378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248632</xdr:colOff>
      <xdr:row>12</xdr:row>
      <xdr:rowOff>138748</xdr:rowOff>
    </xdr:from>
    <xdr:to>
      <xdr:col>14</xdr:col>
      <xdr:colOff>554122</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6034302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8.158756365738"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5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8.15875682870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0">
        <d v="2026-02-20T00:00:00"/>
        <m/>
        <d v="2026-02-21T00:00:00"/>
        <d v="2026-02-22T00:00:00"/>
        <d v="2026-02-23T00:00:00"/>
        <d v="2026-02-19T00:00:00"/>
        <d v="2026-02-24T00:00:00"/>
        <d v="2026-02-25T00:00:00"/>
        <d v="2026-02-2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8.158756944445"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2-27T00:00:00" count="82">
        <d v="2026-02-19T00:00:00"/>
        <m/>
        <d v="2026-02-20T00:00:00"/>
        <d v="2026-02-22T00:00:00"/>
        <d v="2026-02-23T00:00:00"/>
        <d v="2026-02-24T00:00:00"/>
        <d v="2026-02-25T00:00:00"/>
        <d v="2026-02-26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50000"/>
    </cacheField>
    <cacheField name="Balance" numFmtId="0">
      <sharedItems containsBlank="1" containsMixedTypes="1" containsNumber="1" containsInteger="1" minValue="-15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mer Razzaq" refreshedDate="46088.15875706018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2">
        <s v="#SPILL!"/>
        <n v="0"/>
      </sharedItems>
    </cacheField>
    <cacheField name="Tiyaar" numFmtId="1">
      <sharedItems containsSemiMixedTypes="0" containsString="0" containsNumber="1" containsInteger="1" minValue="0" maxValue="0"/>
    </cacheField>
    <cacheField name="Rate" numFmtId="0">
      <sharedItems containsString="0" containsBlank="1" containsNumber="1" minValue="10" maxValue="12"/>
    </cacheField>
    <cacheField name="Total" numFmtId="164">
      <sharedItems containsSemiMixedTypes="0" containsString="0"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C9337D87-FB7F-43A5-B835-F515E859066B}" pivotIgnoreInvalidCache="1" r:id="rId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8.158757291669" createdVersion="8" refreshedVersion="8" minRefreshableVersion="3" recordCount="244" xr:uid="{B5BDFB73-D93A-4A7A-8149-666BC190B09B}">
  <cacheSource type="worksheet">
    <worksheetSource name="Table14"/>
  </cacheSource>
  <cacheFields count="7">
    <cacheField name="Date" numFmtId="14">
      <sharedItems containsNonDate="0" containsDate="1" containsString="0" containsBlank="1" minDate="2025-12-23T00:00:00" maxDate="2026-03-07T00:00:00"/>
    </cacheField>
    <cacheField name="Party" numFmtId="0">
      <sharedItems containsBlank="1" count="96">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s v="KK fabrics"/>
        <s v="Shengtai"/>
        <s v="MAK dyes"/>
        <s v="sajad khan"/>
        <s v="salman Zaffar" u="1"/>
        <s v="ubaidullah"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603430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8.158757407407" createdVersion="8" refreshedVersion="8" minRefreshableVersion="3" recordCount="133" xr:uid="{46CBB50D-3613-4E5B-8212-DD0313DCD05A}">
  <cacheSource type="worksheet">
    <worksheetSource name="Table1"/>
  </cacheSource>
  <cacheFields count="14">
    <cacheField name="Date" numFmtId="0">
      <sharedItems containsSemiMixedTypes="0" containsNonDate="0" containsDate="1" containsString="0" minDate="2026-02-19T00:00:00" maxDate="2026-03-06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zaid ejaz"/>
        <m/>
        <s v="Reject" u="1"/>
        <s v="YING" u="1"/>
        <s v="Meow" u="1"/>
        <s v="Umer Sb" u="1"/>
        <s v="-" u="1"/>
        <s v="Sajjad" u="1"/>
        <s v="Haji Ejaz" u="1"/>
      </sharedItems>
    </cacheField>
    <cacheField name="Bill Number" numFmtId="0">
      <sharedItems containsMixedTypes="1" containsNumber="1" containsInteger="1" minValue="1509" maxValue="1572"/>
    </cacheField>
    <cacheField name="Quality" numFmtId="0">
      <sharedItems containsBlank="1"/>
    </cacheField>
    <cacheField name="Shipment Number" numFmtId="164">
      <sharedItems containsBlank="1" containsMixedTypes="1" containsNumber="1" containsInteger="1" minValue="1558" maxValue="17000" count="474">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1124"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1260"/>
    <m/>
    <n v="77760"/>
  </r>
  <r>
    <x v="7"/>
    <x v="11"/>
    <x v="1"/>
    <n v="248"/>
    <n v="810"/>
    <m/>
    <n v="200880"/>
    <m/>
    <n v="200880"/>
  </r>
  <r>
    <x v="8"/>
    <x v="8"/>
    <x v="1"/>
    <n v="137"/>
    <n v="580"/>
    <m/>
    <n v="79460"/>
    <m/>
    <n v="7946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
  <r>
    <d v="2026-01-20T00:00:00"/>
    <x v="0"/>
    <m/>
    <n v="603430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5"/>
    <n v="70415"/>
    <m/>
    <s v="Bill Nill"/>
    <s v="Bank"/>
    <m/>
  </r>
  <r>
    <d v="2026-03-03T00:00:00"/>
    <x v="22"/>
    <n v="250000"/>
    <m/>
    <s v="TID:218700"/>
    <s v="Bank"/>
    <m/>
  </r>
  <r>
    <d v="2026-03-03T00:00:00"/>
    <x v="28"/>
    <n v="150000"/>
    <m/>
    <s v="TID:195084"/>
    <s v="Bank"/>
    <m/>
  </r>
  <r>
    <d v="2026-03-03T00:00:00"/>
    <x v="12"/>
    <n v="31000"/>
    <m/>
    <s v="Freight"/>
    <s v="Bank"/>
    <m/>
  </r>
  <r>
    <d v="2026-03-03T00:00:00"/>
    <x v="36"/>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3"/>
    <n v="25000"/>
    <m/>
    <s v="ghulam abbas"/>
    <s v="Bank"/>
    <m/>
  </r>
  <r>
    <d v="2026-03-05T00:00:00"/>
    <x v="23"/>
    <n v="10000"/>
    <m/>
    <s v="Khalid sahab"/>
    <s v="Bank"/>
    <m/>
  </r>
  <r>
    <d v="2026-03-05T00:00:00"/>
    <x v="4"/>
    <m/>
    <n v="100000"/>
    <s v="TID:396552"/>
    <s v="Bank"/>
    <m/>
  </r>
  <r>
    <d v="2026-03-05T00:00:00"/>
    <x v="37"/>
    <n v="4000"/>
    <m/>
    <s v="leaveling+ME transport"/>
    <s v="Bank"/>
    <m/>
  </r>
  <r>
    <d v="2026-03-05T00:00:00"/>
    <x v="9"/>
    <m/>
    <n v="60000"/>
    <m/>
    <s v="Bank"/>
    <m/>
  </r>
  <r>
    <d v="2026-03-05T00:00:00"/>
    <x v="1"/>
    <m/>
    <n v="400000"/>
    <s v="MAK dyes"/>
    <s v="Bank"/>
    <m/>
  </r>
  <r>
    <d v="2026-03-05T00:00:00"/>
    <x v="38"/>
    <n v="400000"/>
    <m/>
    <m/>
    <s v="Bank"/>
    <m/>
  </r>
  <r>
    <d v="2026-03-05T00:00:00"/>
    <x v="21"/>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6T00:00:00"/>
    <x v="18"/>
    <m/>
    <m/>
    <m/>
    <m/>
    <m/>
  </r>
  <r>
    <d v="2026-03-06T00:00:00"/>
    <x v="18"/>
    <m/>
    <m/>
    <m/>
    <m/>
    <m/>
  </r>
  <r>
    <d v="2026-03-06T00:00:00"/>
    <x v="18"/>
    <m/>
    <m/>
    <m/>
    <m/>
    <m/>
  </r>
  <r>
    <d v="2026-03-06T00:00:00"/>
    <x v="18"/>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44.955083521318684"/>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44.955083521318684"/>
    <n v="6300.2926115581568"/>
    <n v="81903.803950256042"/>
    <m/>
  </r>
  <r>
    <d v="2026-03-02T00:00:00"/>
    <x v="0"/>
    <n v="1548"/>
    <s v="Silky"/>
    <x v="27"/>
    <n v="22835"/>
    <n v="3207"/>
    <n v="77.130712056163219"/>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18.495070232109597"/>
    <n v="15309.070958302855"/>
    <n v="199017.92245793712"/>
    <m/>
  </r>
  <r>
    <d v="2026-03-02T00:00:00"/>
    <x v="0"/>
    <n v="1556"/>
    <s v="Silky"/>
    <x v="27"/>
    <n v="22835"/>
    <n v="2504"/>
    <n v="77.130712056163219"/>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44.955083521318684"/>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5T00:00:00"/>
    <x v="0"/>
    <n v="1565"/>
    <s v="Crinkle"/>
    <x v="39"/>
    <n v="24035"/>
    <n v="13601"/>
    <s v="NF"/>
    <m/>
    <m/>
    <m/>
  </r>
  <r>
    <d v="2026-03-05T00:00:00"/>
    <x v="33"/>
    <n v="1566"/>
    <s v="Crinkle"/>
    <x v="40"/>
    <n v="12102"/>
    <n v="3559"/>
    <s v="NF"/>
    <m/>
    <m/>
    <m/>
  </r>
  <r>
    <d v="2026-03-05T00:00:00"/>
    <x v="33"/>
    <n v="1567"/>
    <s v="Crinkle"/>
    <x v="40"/>
    <n v="12102"/>
    <n v="8596"/>
    <s v="NF"/>
    <m/>
    <m/>
    <m/>
  </r>
  <r>
    <d v="2026-03-05T00:00:00"/>
    <x v="0"/>
    <n v="1568"/>
    <s v="Crinkle"/>
    <x v="39"/>
    <n v="24035"/>
    <n v="11867"/>
    <s v="NF"/>
    <m/>
    <m/>
    <m/>
  </r>
  <r>
    <d v="2026-03-05T00:00:00"/>
    <x v="0"/>
    <n v="1569"/>
    <s v="Crinkle"/>
    <x v="41"/>
    <n v="14038"/>
    <n v="11418"/>
    <s v="NF"/>
    <m/>
    <m/>
    <m/>
  </r>
  <r>
    <d v="2026-03-05T00:00:00"/>
    <x v="0"/>
    <n v="1570"/>
    <s v="Crinkle"/>
    <x v="42"/>
    <n v="12042"/>
    <n v="12864"/>
    <s v="NF"/>
    <m/>
    <m/>
    <m/>
  </r>
  <r>
    <d v="2026-03-05T00:00:00"/>
    <x v="0"/>
    <n v="1571"/>
    <s v="Crinkle"/>
    <x v="5"/>
    <n v="13927"/>
    <n v="1124"/>
    <n v="54.611014092764712"/>
    <m/>
    <m/>
    <m/>
  </r>
  <r>
    <d v="2026-03-05T00:00:00"/>
    <x v="34"/>
    <n v="1572"/>
    <m/>
    <x v="0"/>
    <m/>
    <m/>
    <e v="#DIV/0!"/>
    <m/>
    <m/>
    <m/>
  </r>
</pivotCacheRecords>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0"/>
    <n v="10"/>
    <n v="0"/>
  </r>
  <r>
    <x v="1"/>
    <n v="0"/>
    <n v="10"/>
    <n v="0"/>
  </r>
  <r>
    <x v="1"/>
    <n v="0"/>
    <n v="10"/>
    <n v="0"/>
  </r>
  <r>
    <x v="1"/>
    <n v="0"/>
    <n v="10.5"/>
    <n v="0"/>
  </r>
  <r>
    <x v="1"/>
    <n v="0"/>
    <n v="10"/>
    <n v="0"/>
  </r>
  <r>
    <x v="1"/>
    <n v="0"/>
    <n v="10"/>
    <n v="0"/>
  </r>
  <r>
    <x v="1"/>
    <n v="0"/>
    <n v="10"/>
    <n v="0"/>
  </r>
  <r>
    <x v="1"/>
    <n v="0"/>
    <n v="10"/>
    <n v="0"/>
  </r>
  <r>
    <x v="1"/>
    <n v="0"/>
    <n v="10"/>
    <n v="0"/>
  </r>
  <r>
    <x v="1"/>
    <n v="0"/>
    <n v="12"/>
    <n v="0"/>
  </r>
  <r>
    <x v="1"/>
    <n v="0"/>
    <m/>
    <n v="0"/>
  </r>
  <r>
    <x v="1"/>
    <n v="0"/>
    <m/>
    <n v="0"/>
  </r>
  <r>
    <x v="1"/>
    <n v="0"/>
    <m/>
    <n v="0"/>
  </r>
  <r>
    <x v="1"/>
    <n v="0"/>
    <m/>
    <n v="0"/>
  </r>
  <r>
    <x v="1"/>
    <n v="0"/>
    <m/>
    <n v="0"/>
  </r>
  <r>
    <x v="1"/>
    <n v="0"/>
    <m/>
    <n v="0"/>
  </r>
  <r>
    <x v="1"/>
    <n v="0"/>
    <m/>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60" firstHeaderRow="0" firstDataRow="1" firstDataCol="1"/>
  <pivotFields count="4">
    <pivotField axis="axisRow" showAll="0" includeNewItemsInFilter="1">
      <items count="3">
        <item x="1"/>
        <item x="0"/>
        <item t="default"/>
      </items>
    </pivotField>
    <pivotField dataField="1" showAll="0"/>
    <pivotField showAll="0"/>
    <pivotField dataField="1" showAll="0"/>
  </pivotFields>
  <rowFields count="1">
    <field x="0"/>
  </rowFields>
  <rowItems count="3">
    <i>
      <x/>
    </i>
    <i>
      <x v="1"/>
    </i>
    <i t="grand">
      <x/>
    </i>
  </rowItems>
  <colFields count="1">
    <field x="-2"/>
  </colFields>
  <colItems count="2">
    <i>
      <x/>
    </i>
    <i i="1">
      <x v="1"/>
    </i>
  </colItems>
  <dataFields count="2">
    <dataField name="Sum of Tiyaar" fld="1" baseField="0" baseItem="0"/>
    <dataField name="Sum of Total" fld="3" baseField="0" baseItem="0"/>
  </dataFields>
  <formats count="4">
    <format dxfId="151">
      <pivotArea field="0" grandRow="1" outline="0" collapsedLevelsAreSubtotals="1" axis="axisRow" fieldPosition="0">
        <references count="1">
          <reference field="4294967294" count="1" selected="0">
            <x v="1"/>
          </reference>
        </references>
      </pivotArea>
    </format>
    <format dxfId="150">
      <pivotArea field="0" grandRow="1" outline="0" collapsedLevelsAreSubtotals="1" axis="axisRow" fieldPosition="0">
        <references count="1">
          <reference field="4294967294" count="1" selected="0">
            <x v="0"/>
          </reference>
        </references>
      </pivotArea>
    </format>
    <format dxfId="149">
      <pivotArea collapsedLevelsAreSubtotals="1" fieldPosition="0">
        <references count="2">
          <reference field="4294967294" count="1" selected="0">
            <x v="1"/>
          </reference>
          <reference field="0" count="0"/>
        </references>
      </pivotArea>
    </format>
    <format dxfId="14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8" firstHeaderRow="0" firstDataRow="1" firstDataCol="1" rowPageCount="1" colPageCount="1"/>
  <pivotFields count="9">
    <pivotField axis="axisRow" numFmtId="14" showAll="0">
      <items count="201">
        <item m="1" x="184"/>
        <item m="1" x="185"/>
        <item m="1" x="186"/>
        <item m="1" x="187"/>
        <item m="1" x="188"/>
        <item m="1" x="189"/>
        <item m="1" x="190"/>
        <item m="1" x="199"/>
        <item m="1" x="180"/>
        <item m="1" x="191"/>
        <item m="1" x="192"/>
        <item m="1" x="193"/>
        <item m="1" x="194"/>
        <item m="1" x="195"/>
        <item m="1" x="196"/>
        <item m="1" x="197"/>
        <item m="1" x="151"/>
        <item m="1" x="152"/>
        <item m="1" x="198"/>
        <item m="1" x="153"/>
        <item m="1" x="150"/>
        <item m="1" x="154"/>
        <item m="1" x="156"/>
        <item m="1" x="157"/>
        <item m="1" x="158"/>
        <item m="1" x="160"/>
        <item m="1" x="161"/>
        <item m="1" x="162"/>
        <item m="1" x="155"/>
        <item m="1" x="159"/>
        <item m="1" x="163"/>
        <item m="1" x="164"/>
        <item m="1" x="165"/>
        <item m="1" x="166"/>
        <item m="1" x="149"/>
        <item m="1" x="167"/>
        <item m="1" x="181"/>
        <item m="1" x="182"/>
        <item m="1" x="183"/>
        <item m="1" x="168"/>
        <item m="1" x="169"/>
        <item m="1" x="170"/>
        <item m="1" x="171"/>
        <item m="1" x="172"/>
        <item m="1" x="173"/>
        <item m="1" x="174"/>
        <item m="1" x="175"/>
        <item m="1" x="176"/>
        <item m="1" x="177"/>
        <item m="1" x="178"/>
        <item m="1" x="179"/>
        <item m="1" x="120"/>
        <item m="1" x="121"/>
        <item m="1" x="122"/>
        <item m="1" x="123"/>
        <item m="1" x="124"/>
        <item m="1" x="125"/>
        <item m="1" x="126"/>
        <item m="1" x="127"/>
        <item m="1" x="129"/>
        <item m="1" x="130"/>
        <item m="1" x="131"/>
        <item m="1" x="128"/>
        <item m="1" x="132"/>
        <item m="1" x="133"/>
        <item m="1" x="134"/>
        <item m="1" x="135"/>
        <item m="1" x="136"/>
        <item m="1" x="137"/>
        <item m="1" x="138"/>
        <item m="1" x="139"/>
        <item m="1" x="140"/>
        <item m="1" x="141"/>
        <item m="1" x="142"/>
        <item m="1" x="143"/>
        <item m="1" x="144"/>
        <item m="1" x="145"/>
        <item m="1" x="146"/>
        <item m="1" x="147"/>
        <item m="1" x="148"/>
        <item m="1" x="66"/>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67"/>
        <item m="1" x="70"/>
        <item m="1" x="68"/>
        <item m="1" x="69"/>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34"/>
        <item m="1" x="35"/>
        <item m="1" x="36"/>
        <item m="1" x="37"/>
        <item m="1" x="38"/>
        <item m="1" x="39"/>
        <item m="1" x="40"/>
        <item m="1" x="41"/>
        <item x="1"/>
        <item m="1" x="42"/>
        <item m="1" x="43"/>
        <item m="1" x="44"/>
        <item m="1" x="45"/>
        <item m="1" x="46"/>
        <item m="1" x="47"/>
        <item m="1" x="65"/>
        <item m="1" x="48"/>
        <item m="1" x="49"/>
        <item m="1" x="33"/>
        <item m="1" x="32"/>
        <item m="1" x="50"/>
        <item m="1" x="51"/>
        <item m="1" x="52"/>
        <item m="1" x="53"/>
        <item m="1" x="54"/>
        <item m="1" x="55"/>
        <item m="1" x="56"/>
        <item m="1" x="57"/>
        <item m="1" x="58"/>
        <item m="1" x="59"/>
        <item m="1" x="60"/>
        <item m="1" x="61"/>
        <item m="1" x="62"/>
        <item m="1" x="63"/>
        <item m="1" x="64"/>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x="5"/>
        <item x="0"/>
        <item x="2"/>
        <item x="3"/>
        <item x="4"/>
        <item x="6"/>
        <item x="7"/>
        <item x="8"/>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0">
    <i>
      <x v="142"/>
    </i>
    <i r="1">
      <x v="54"/>
    </i>
    <i>
      <x v="192"/>
    </i>
    <i r="1">
      <x v="54"/>
    </i>
    <i>
      <x v="193"/>
    </i>
    <i r="1">
      <x v="20"/>
    </i>
    <i r="1">
      <x v="54"/>
    </i>
    <i>
      <x v="194"/>
    </i>
    <i r="1">
      <x v="54"/>
    </i>
    <i>
      <x v="195"/>
    </i>
    <i r="1">
      <x v="54"/>
    </i>
    <i>
      <x v="196"/>
    </i>
    <i r="1">
      <x v="54"/>
    </i>
    <i>
      <x v="197"/>
    </i>
    <i r="1">
      <x v="54"/>
    </i>
    <i>
      <x v="198"/>
    </i>
    <i r="1">
      <x v="54"/>
    </i>
    <i>
      <x v="19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3">
      <pivotArea dataOnly="0" labelOnly="1" outline="0" fieldPosition="0">
        <references count="1">
          <reference field="1" count="1">
            <x v="1"/>
          </reference>
        </references>
      </pivotArea>
    </format>
    <format dxfId="12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97">
        <item x="33"/>
        <item x="19"/>
        <item m="1" x="65"/>
        <item m="1" x="83"/>
        <item m="1" x="86"/>
        <item x="13"/>
        <item x="21"/>
        <item x="14"/>
        <item x="5"/>
        <item x="35"/>
        <item x="23"/>
        <item m="1" x="94"/>
        <item m="1" x="60"/>
        <item x="10"/>
        <item m="1" x="45"/>
        <item m="1" x="92"/>
        <item x="2"/>
        <item m="1" x="43"/>
        <item x="3"/>
        <item x="4"/>
        <item x="18"/>
        <item x="39"/>
        <item m="1" x="95"/>
        <item m="1" x="61"/>
        <item x="15"/>
        <item m="1" x="93"/>
        <item m="1" x="85"/>
        <item x="31"/>
        <item m="1" x="87"/>
        <item m="1" x="88"/>
        <item m="1" x="89"/>
        <item m="1" x="90"/>
        <item m="1" x="41"/>
        <item m="1" x="91"/>
        <item m="1" x="62"/>
        <item m="1" x="54"/>
        <item x="34"/>
        <item m="1" x="51"/>
        <item m="1" x="82"/>
        <item m="1" x="78"/>
        <item m="1" x="58"/>
        <item x="22"/>
        <item x="17"/>
        <item m="1" x="84"/>
        <item x="1"/>
        <item x="24"/>
        <item m="1" x="73"/>
        <item x="7"/>
        <item x="27"/>
        <item m="1" x="74"/>
        <item m="1" x="75"/>
        <item m="1" x="76"/>
        <item m="1" x="77"/>
        <item m="1" x="79"/>
        <item m="1" x="50"/>
        <item m="1" x="66"/>
        <item m="1" x="80"/>
        <item m="1" x="81"/>
        <item m="1" x="64"/>
        <item m="1" x="53"/>
        <item m="1" x="63"/>
        <item x="8"/>
        <item m="1" x="67"/>
        <item m="1" x="55"/>
        <item m="1" x="72"/>
        <item x="26"/>
        <item x="30"/>
        <item m="1" x="69"/>
        <item x="32"/>
        <item m="1" x="68"/>
        <item x="28"/>
        <item m="1" x="70"/>
        <item x="20"/>
        <item m="1" x="71"/>
        <item x="0"/>
        <item m="1" x="56"/>
        <item m="1" x="40"/>
        <item m="1" x="59"/>
        <item x="12"/>
        <item m="1" x="49"/>
        <item m="1" x="57"/>
        <item m="1" x="44"/>
        <item x="9"/>
        <item m="1" x="42"/>
        <item m="1" x="46"/>
        <item m="1" x="47"/>
        <item m="1" x="48"/>
        <item m="1" x="52"/>
        <item x="25"/>
        <item x="11"/>
        <item x="6"/>
        <item x="16"/>
        <item x="29"/>
        <item x="36"/>
        <item x="37"/>
        <item x="38"/>
        <item t="default"/>
      </items>
    </pivotField>
    <pivotField dataField="1" showAll="0"/>
    <pivotField dataField="1" showAll="0"/>
    <pivotField showAll="0"/>
    <pivotField showAll="0"/>
    <pivotField showAll="0"/>
  </pivotFields>
  <rowFields count="1">
    <field x="1"/>
  </rowFields>
  <rowItems count="41">
    <i>
      <x/>
    </i>
    <i>
      <x v="1"/>
    </i>
    <i>
      <x v="5"/>
    </i>
    <i>
      <x v="6"/>
    </i>
    <i>
      <x v="7"/>
    </i>
    <i>
      <x v="8"/>
    </i>
    <i>
      <x v="9"/>
    </i>
    <i>
      <x v="10"/>
    </i>
    <i>
      <x v="13"/>
    </i>
    <i>
      <x v="16"/>
    </i>
    <i>
      <x v="18"/>
    </i>
    <i>
      <x v="19"/>
    </i>
    <i>
      <x v="20"/>
    </i>
    <i>
      <x v="21"/>
    </i>
    <i>
      <x v="24"/>
    </i>
    <i>
      <x v="27"/>
    </i>
    <i>
      <x v="36"/>
    </i>
    <i>
      <x v="41"/>
    </i>
    <i>
      <x v="42"/>
    </i>
    <i>
      <x v="44"/>
    </i>
    <i>
      <x v="45"/>
    </i>
    <i>
      <x v="47"/>
    </i>
    <i>
      <x v="48"/>
    </i>
    <i>
      <x v="61"/>
    </i>
    <i>
      <x v="65"/>
    </i>
    <i>
      <x v="66"/>
    </i>
    <i>
      <x v="68"/>
    </i>
    <i>
      <x v="70"/>
    </i>
    <i>
      <x v="72"/>
    </i>
    <i>
      <x v="74"/>
    </i>
    <i>
      <x v="78"/>
    </i>
    <i>
      <x v="82"/>
    </i>
    <i>
      <x v="88"/>
    </i>
    <i>
      <x v="89"/>
    </i>
    <i>
      <x v="90"/>
    </i>
    <i>
      <x v="91"/>
    </i>
    <i>
      <x v="92"/>
    </i>
    <i>
      <x v="93"/>
    </i>
    <i>
      <x v="94"/>
    </i>
    <i>
      <x v="95"/>
    </i>
    <i t="grand">
      <x/>
    </i>
  </rowItems>
  <colFields count="1">
    <field x="-2"/>
  </colFields>
  <colItems count="2">
    <i>
      <x/>
    </i>
    <i i="1">
      <x v="1"/>
    </i>
  </colItems>
  <dataFields count="2">
    <dataField name="Sum of Credit" fld="3" baseField="0" baseItem="0"/>
    <dataField name="Sum of Debit" fld="2" baseField="0" baseItem="0"/>
  </dataFields>
  <formats count="1">
    <format dxfId="1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83">
        <item m="1" x="77"/>
        <item m="1" x="78"/>
        <item m="1" x="79"/>
        <item m="1" x="80"/>
        <item m="1" x="81"/>
        <item m="1" x="76"/>
        <item m="1" x="64"/>
        <item m="1" x="65"/>
        <item m="1" x="69"/>
        <item m="1" x="70"/>
        <item m="1" x="66"/>
        <item m="1" x="71"/>
        <item m="1" x="72"/>
        <item m="1" x="73"/>
        <item m="1" x="74"/>
        <item m="1" x="75"/>
        <item m="1" x="63"/>
        <item m="1" x="67"/>
        <item m="1" x="68"/>
        <item m="1" x="56"/>
        <item m="1" x="57"/>
        <item m="1" x="58"/>
        <item m="1" x="59"/>
        <item m="1" x="60"/>
        <item m="1" x="61"/>
        <item m="1" x="62"/>
        <item m="1" x="32"/>
        <item m="1" x="48"/>
        <item m="1" x="49"/>
        <item m="1" x="50"/>
        <item m="1" x="51"/>
        <item m="1" x="52"/>
        <item m="1" x="53"/>
        <item m="1" x="54"/>
        <item m="1" x="55"/>
        <item m="1" x="33"/>
        <item m="1" x="34"/>
        <item m="1" x="35"/>
        <item m="1" x="36"/>
        <item m="1" x="37"/>
        <item m="1" x="38"/>
        <item m="1" x="39"/>
        <item m="1" x="41"/>
        <item m="1" x="42"/>
        <item m="1" x="40"/>
        <item m="1" x="43"/>
        <item m="1" x="44"/>
        <item m="1" x="45"/>
        <item m="1" x="46"/>
        <item m="1" x="47"/>
        <item m="1" x="8"/>
        <item m="1" x="19"/>
        <item m="1" x="20"/>
        <item m="1" x="21"/>
        <item m="1" x="22"/>
        <item m="1" x="23"/>
        <item m="1" x="24"/>
        <item m="1" x="25"/>
        <item m="1" x="26"/>
        <item m="1" x="27"/>
        <item m="1" x="28"/>
        <item m="1" x="29"/>
        <item m="1" x="30"/>
        <item m="1" x="31"/>
        <item m="1" x="9"/>
        <item m="1" x="10"/>
        <item m="1" x="11"/>
        <item m="1" x="12"/>
        <item m="1" x="13"/>
        <item x="1"/>
        <item m="1" x="14"/>
        <item m="1" x="15"/>
        <item m="1" x="16"/>
        <item m="1" x="17"/>
        <item m="1" x="18"/>
        <item x="0"/>
        <item x="2"/>
        <item x="3"/>
        <item x="4"/>
        <item x="5"/>
        <item x="6"/>
        <item x="7"/>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9">
    <i>
      <x v="69"/>
    </i>
    <i>
      <x v="75"/>
    </i>
    <i>
      <x v="76"/>
    </i>
    <i>
      <x v="77"/>
    </i>
    <i>
      <x v="78"/>
    </i>
    <i>
      <x v="79"/>
    </i>
    <i>
      <x v="80"/>
    </i>
    <i>
      <x v="81"/>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4"/>
        <item x="5"/>
        <item x="10"/>
        <item x="8"/>
        <item x="9"/>
        <item x="7"/>
        <item x="11"/>
        <item m="1" x="35"/>
        <item x="13"/>
        <item x="14"/>
        <item x="15"/>
        <item x="16"/>
        <item x="17"/>
        <item x="18"/>
        <item x="19"/>
        <item x="20"/>
        <item x="21"/>
        <item x="22"/>
        <item x="23"/>
        <item x="24"/>
        <item x="25"/>
        <item x="12"/>
        <item x="27"/>
        <item x="26"/>
        <item x="28"/>
        <item x="29"/>
        <item x="30"/>
        <item x="31"/>
        <item x="32"/>
        <item x="33"/>
        <item t="default"/>
      </items>
    </pivotField>
    <pivotField showAll="0"/>
    <pivotField showAll="0"/>
    <pivotField axis="axisRow" showAll="0">
      <items count="475">
        <item m="1" x="457"/>
        <item m="1" x="458"/>
        <item m="1" x="456"/>
        <item m="1" x="455"/>
        <item m="1" x="459"/>
        <item m="1" x="461"/>
        <item m="1" x="460"/>
        <item m="1" x="462"/>
        <item m="1" x="463"/>
        <item m="1" x="464"/>
        <item m="1" x="465"/>
        <item m="1" x="466"/>
        <item m="1" x="467"/>
        <item m="1" x="468"/>
        <item m="1" x="393"/>
        <item m="1" x="415"/>
        <item m="1" x="469"/>
        <item m="1" x="470"/>
        <item m="1" x="471"/>
        <item m="1" x="423"/>
        <item m="1" x="422"/>
        <item m="1" x="472"/>
        <item m="1" x="473"/>
        <item m="1" x="432"/>
        <item m="1" x="424"/>
        <item m="1" x="425"/>
        <item m="1" x="426"/>
        <item m="1" x="427"/>
        <item m="1" x="428"/>
        <item m="1" x="429"/>
        <item m="1" x="430"/>
        <item m="1" x="431"/>
        <item m="1" x="433"/>
        <item m="1" x="453"/>
        <item m="1" x="434"/>
        <item m="1" x="454"/>
        <item m="1" x="435"/>
        <item m="1" x="436"/>
        <item m="1" x="437"/>
        <item m="1" x="438"/>
        <item m="1" x="439"/>
        <item m="1" x="370"/>
        <item m="1" x="440"/>
        <item m="1" x="441"/>
        <item m="1" x="442"/>
        <item m="1" x="443"/>
        <item m="1" x="444"/>
        <item m="1" x="445"/>
        <item m="1" x="446"/>
        <item m="1" x="447"/>
        <item m="1" x="448"/>
        <item m="1" x="449"/>
        <item m="1" x="450"/>
        <item m="1" x="451"/>
        <item m="1" x="452"/>
        <item x="0"/>
        <item m="1" x="369"/>
        <item m="1" x="371"/>
        <item m="1" x="372"/>
        <item m="1" x="373"/>
        <item m="1" x="374"/>
        <item m="1" x="375"/>
        <item m="1" x="376"/>
        <item m="1" x="377"/>
        <item m="1" x="378"/>
        <item m="1" x="379"/>
        <item m="1" x="380"/>
        <item m="1" x="381"/>
        <item m="1" x="382"/>
        <item m="1" x="383"/>
        <item m="1" x="107"/>
        <item m="1" x="384"/>
        <item m="1" x="385"/>
        <item m="1" x="386"/>
        <item m="1" x="387"/>
        <item m="1" x="388"/>
        <item m="1" x="389"/>
        <item m="1" x="390"/>
        <item m="1" x="391"/>
        <item m="1" x="392"/>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6"/>
        <item m="1" x="417"/>
        <item m="1" x="418"/>
        <item m="1" x="419"/>
        <item m="1" x="420"/>
        <item m="1" x="421"/>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124"/>
        <item m="1" x="338"/>
        <item m="1" x="339"/>
        <item m="1" x="340"/>
        <item m="1" x="341"/>
        <item m="1" x="342"/>
        <item m="1" x="343"/>
        <item m="1" x="344"/>
        <item m="1" x="345"/>
        <item m="1" x="346"/>
        <item m="1" x="347"/>
        <item m="1" x="348"/>
        <item m="1" x="368"/>
        <item m="1" x="349"/>
        <item m="1" x="350"/>
        <item m="1" x="351"/>
        <item m="1" x="352"/>
        <item m="1" x="353"/>
        <item m="1" x="354"/>
        <item m="1" x="355"/>
        <item m="1" x="356"/>
        <item m="1" x="357"/>
        <item m="1" x="358"/>
        <item m="1" x="359"/>
        <item m="1" x="360"/>
        <item m="1" x="361"/>
        <item m="1" x="362"/>
        <item m="1" x="363"/>
        <item m="1" x="364"/>
        <item m="1" x="365"/>
        <item m="1" x="366"/>
        <item m="1" x="367"/>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164"/>
        <item m="1" x="287"/>
        <item m="1" x="155"/>
        <item m="1" x="156"/>
        <item m="1" x="157"/>
        <item m="1" x="158"/>
        <item m="1" x="159"/>
        <item m="1" x="160"/>
        <item m="1" x="161"/>
        <item m="1" x="162"/>
        <item m="1" x="163"/>
        <item m="1" x="165"/>
        <item m="1" x="166"/>
        <item m="1" x="167"/>
        <item m="1" x="168"/>
        <item m="1" x="169"/>
        <item m="1" x="170"/>
        <item m="1" x="171"/>
        <item m="1" x="172"/>
        <item m="1" x="173"/>
        <item m="1" x="174"/>
        <item m="1" x="175"/>
        <item m="1" x="176"/>
        <item m="1" x="177"/>
        <item m="1" x="178"/>
        <item m="1" x="104"/>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108"/>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105"/>
        <item m="1" x="230"/>
        <item m="1" x="231"/>
        <item m="1" x="102"/>
        <item m="1" x="111"/>
        <item m="1" x="103"/>
        <item m="1" x="106"/>
        <item m="1" x="109"/>
        <item m="1" x="110"/>
        <item m="1" x="112"/>
        <item m="1" x="113"/>
        <item m="1" x="114"/>
        <item m="1" x="115"/>
        <item m="1" x="116"/>
        <item m="1" x="117"/>
        <item m="1" x="118"/>
        <item m="1" x="119"/>
        <item m="1" x="120"/>
        <item m="1" x="121"/>
        <item m="1" x="122"/>
        <item m="1" x="123"/>
        <item m="1" x="125"/>
        <item m="1" x="126"/>
        <item m="1" x="127"/>
        <item m="1" x="82"/>
        <item m="1" x="58"/>
        <item m="1" x="128"/>
        <item m="1" x="129"/>
        <item m="1" x="130"/>
        <item m="1" x="50"/>
        <item m="1" x="131"/>
        <item m="1" x="132"/>
        <item m="1" x="133"/>
        <item m="1" x="134"/>
        <item m="1" x="98"/>
        <item m="1" x="135"/>
        <item m="1" x="136"/>
        <item m="1" x="137"/>
        <item m="1" x="138"/>
        <item m="1" x="139"/>
        <item m="1" x="140"/>
        <item m="1" x="141"/>
        <item m="1" x="142"/>
        <item m="1" x="143"/>
        <item m="1" x="144"/>
        <item m="1" x="145"/>
        <item m="1" x="146"/>
        <item m="1" x="154"/>
        <item m="1" x="147"/>
        <item m="1" x="148"/>
        <item m="1" x="47"/>
        <item m="1" x="48"/>
        <item m="1" x="149"/>
        <item m="1" x="59"/>
        <item m="1" x="150"/>
        <item m="1" x="151"/>
        <item m="1" x="152"/>
        <item m="1" x="153"/>
        <item m="1" x="46"/>
        <item m="1" x="44"/>
        <item m="1" x="43"/>
        <item m="1" x="45"/>
        <item m="1" x="49"/>
        <item x="13"/>
        <item x="9"/>
        <item m="1" x="51"/>
        <item m="1" x="52"/>
        <item m="1" x="53"/>
        <item m="1" x="54"/>
        <item m="1" x="55"/>
        <item m="1" x="56"/>
        <item m="1" x="57"/>
        <item m="1" x="60"/>
        <item m="1" x="61"/>
        <item m="1" x="62"/>
        <item m="1" x="63"/>
        <item m="1" x="64"/>
        <item m="1" x="65"/>
        <item m="1" x="66"/>
        <item m="1" x="67"/>
        <item m="1" x="68"/>
        <item m="1" x="69"/>
        <item m="1" x="70"/>
        <item m="1" x="71"/>
        <item m="1" x="72"/>
        <item m="1" x="73"/>
        <item x="2"/>
        <item m="1" x="74"/>
        <item m="1" x="75"/>
        <item m="1" x="76"/>
        <item x="10"/>
        <item m="1" x="77"/>
        <item m="1" x="78"/>
        <item m="1" x="79"/>
        <item m="1" x="80"/>
        <item m="1" x="81"/>
        <item m="1" x="83"/>
        <item m="1" x="84"/>
        <item m="1" x="85"/>
        <item m="1" x="86"/>
        <item x="8"/>
        <item m="1" x="87"/>
        <item m="1" x="88"/>
        <item m="1" x="89"/>
        <item m="1" x="90"/>
        <item m="1" x="91"/>
        <item m="1" x="92"/>
        <item x="15"/>
        <item m="1" x="93"/>
        <item m="1" x="94"/>
        <item m="1" x="95"/>
        <item x="7"/>
        <item m="1" x="96"/>
        <item m="1" x="97"/>
        <item x="19"/>
        <item m="1" x="99"/>
        <item m="1" x="100"/>
        <item m="1" x="101"/>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8">
      <pivotArea type="all" dataOnly="0" outline="0" fieldPosition="0"/>
    </format>
    <format dxfId="67">
      <pivotArea outline="0" collapsedLevelsAreSubtotals="1" fieldPosition="0"/>
    </format>
    <format dxfId="66">
      <pivotArea field="4" type="button" dataOnly="0" labelOnly="1" outline="0" axis="axisRow" fieldPosition="0"/>
    </format>
    <format dxfId="65">
      <pivotArea dataOnly="0" labelOnly="1" fieldPosition="0">
        <references count="1">
          <reference field="4" count="0"/>
        </references>
      </pivotArea>
    </format>
    <format dxfId="64">
      <pivotArea dataOnly="0" labelOnly="1" grandRow="1" outline="0" fieldPosition="0"/>
    </format>
    <format dxfId="63">
      <pivotArea dataOnly="0" labelOnly="1" outline="0" fieldPosition="0">
        <references count="1">
          <reference field="4294967294" count="2">
            <x v="0"/>
            <x v="1"/>
          </reference>
        </references>
      </pivotArea>
    </format>
    <format dxfId="62">
      <pivotArea grandRow="1" outline="0" collapsedLevelsAreSubtotals="1" fieldPosition="0"/>
    </format>
    <format dxfId="61">
      <pivotArea field="4" type="button" dataOnly="0" labelOnly="1" outline="0" axis="axisRow" fieldPosition="0"/>
    </format>
    <format dxfId="6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1">
  <a r="3">
    <v t="r">0</v>
    <v t="e">#NULL!</v>
    <v t="i">1</v>
  </a>
</arrayData>
</file>

<file path=xl/richData/rdrichvalue.xml><?xml version="1.0" encoding="utf-8"?>
<rvData xmlns="http://schemas.microsoft.com/office/spreadsheetml/2017/richdata" count="3">
  <rv s="0">
    <v>8</v>
    <v>1</v>
  </rv>
  <rv s="1">
    <v>0</v>
  </rv>
  <rv s="2">
    <v>{C9337D87-FB7F-43A5-B835-F515E859066B}</v>
    <v>0</v>
    <v>0</v>
    <v>1</v>
  </rv>
</rvData>
</file>

<file path=xl/richData/rdrichvaluestructure.xml><?xml version="1.0" encoding="utf-8"?>
<rvStructures xmlns="http://schemas.microsoft.com/office/spreadsheetml/2017/richdata" count="3">
  <s t="_error">
    <k n="errorType" t="i"/>
    <k n="propagated" t="b"/>
  </s>
  <s t="_array">
    <k n="array" t="a"/>
  </s>
  <s t="_datasourcecontainer">
    <k n="%XLUID" t="s"/>
    <k n="_CRID" t="i"/>
    <k n="_Display" t="spb"/>
    <k n="Party Name" t="r"/>
  </s>
</rvStructures>
</file>

<file path=xl/richData/rdsupportingpropertybag.xml><?xml version="1.0" encoding="utf-8"?>
<supportingPropertyBags xmlns="http://schemas.microsoft.com/office/spreadsheetml/2017/richdata2">
  <spbArrays count="1">
    <a count="4">
      <v t="s">Party Name</v>
      <v t="s">_CRID</v>
      <v t="s">%XLUID</v>
      <v t="s">_Display</v>
    </a>
  </spbArrays>
  <spbData count="1">
    <spb s="0">
      <v>0</v>
    </spb>
  </spbData>
</supportingPropertyBags>
</file>

<file path=xl/richData/rdsupportingpropertybagstructure.xml><?xml version="1.0" encoding="utf-8"?>
<spbStructures xmlns="http://schemas.microsoft.com/office/spreadsheetml/2017/richdata2" count="1">
  <s>
    <k n="^Order" t="spba"/>
  </s>
</spb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74">
        <i x="42" s="1"/>
        <i x="5" s="1"/>
        <i x="41" s="1"/>
        <i x="34" s="1"/>
        <i x="23" s="1"/>
        <i x="13" s="1"/>
        <i x="9" s="1"/>
        <i x="10" s="1"/>
        <i x="3" s="1"/>
        <i x="6" s="1"/>
        <i x="4" s="1"/>
        <i x="8" s="1"/>
        <i x="2" s="1"/>
        <i x="12" s="1"/>
        <i x="17" s="1"/>
        <i x="7" s="1"/>
        <i x="22" s="1"/>
        <i x="15" s="1"/>
        <i x="35" s="1"/>
        <i x="11" s="1"/>
        <i x="19" s="1"/>
        <i x="1" s="1"/>
        <i x="16" s="1"/>
        <i x="14" s="1"/>
        <i x="18" s="1"/>
        <i x="21" s="1"/>
        <i x="20" s="1"/>
        <i x="30" s="1"/>
        <i x="25" s="1"/>
        <i x="26" s="1"/>
        <i x="28" s="1"/>
        <i x="29" s="1"/>
        <i x="40" s="1"/>
        <i x="32" s="1"/>
        <i x="24" s="1"/>
        <i x="27" s="1"/>
        <i x="33" s="1"/>
        <i x="38" s="1"/>
        <i x="31" s="1"/>
        <i x="36" s="1"/>
        <i x="37" s="1"/>
        <i x="39" s="1"/>
        <i x="428" s="1" nd="1"/>
        <i x="457" s="1" nd="1"/>
        <i x="458" s="1" nd="1"/>
        <i x="466" s="1" nd="1"/>
        <i x="456" s="1" nd="1"/>
        <i x="455" s="1" nd="1"/>
        <i x="459" s="1" nd="1"/>
        <i x="470" s="1" nd="1"/>
        <i x="462" s="1" nd="1"/>
        <i x="463" s="1" nd="1"/>
        <i x="460" s="1" nd="1"/>
        <i x="461" s="1" nd="1"/>
        <i x="471" s="1" nd="1"/>
        <i x="464" s="1" nd="1"/>
        <i x="465" s="1" nd="1"/>
        <i x="468" s="1" nd="1"/>
        <i x="469" s="1" nd="1"/>
        <i x="467" s="1" nd="1"/>
        <i x="423" s="1" nd="1"/>
        <i x="473" s="1" nd="1"/>
        <i x="422" s="1" nd="1"/>
        <i x="472" s="1" nd="1"/>
        <i x="425" s="1" nd="1"/>
        <i x="386" s="1" nd="1"/>
        <i x="424" s="1" nd="1"/>
        <i x="426" s="1" nd="1"/>
        <i x="432" s="1" nd="1"/>
        <i x="427" s="1" nd="1"/>
        <i x="429" s="1" nd="1"/>
        <i x="445" s="1" nd="1"/>
        <i x="369" s="1" nd="1"/>
        <i x="433" s="1" nd="1"/>
        <i x="374" s="1" nd="1"/>
        <i x="439" s="1" nd="1"/>
        <i x="434" s="1" nd="1"/>
        <i x="437" s="1" nd="1"/>
        <i x="442" s="1" nd="1"/>
        <i x="453" s="1" nd="1"/>
        <i x="435" s="1" nd="1"/>
        <i x="447" s="1" nd="1"/>
        <i x="450" s="1" nd="1"/>
        <i x="441" s="1" nd="1"/>
        <i x="430" s="1" nd="1"/>
        <i x="438" s="1" nd="1"/>
        <i x="431" s="1" nd="1"/>
        <i x="436" s="1" nd="1"/>
        <i x="370" s="1" nd="1"/>
        <i x="440" s="1" nd="1"/>
        <i x="446" s="1" nd="1"/>
        <i x="107" s="1" nd="1"/>
        <i x="443" s="1" nd="1"/>
        <i x="448" s="1" nd="1"/>
        <i x="444" s="1" nd="1"/>
        <i x="410" s="1" nd="1"/>
        <i x="449" s="1" nd="1"/>
        <i x="451" s="1" nd="1"/>
        <i x="372" s="1" nd="1"/>
        <i x="379" s="1" nd="1"/>
        <i x="452" s="1" nd="1"/>
        <i x="376" s="1" nd="1"/>
        <i x="377" s="1" nd="1"/>
        <i x="371" s="1" nd="1"/>
        <i x="375" s="1" nd="1"/>
        <i x="263" s="1" nd="1"/>
        <i x="373" s="1" nd="1"/>
        <i x="382" s="1" nd="1"/>
        <i x="378" s="1" nd="1"/>
        <i x="380" s="1" nd="1"/>
        <i x="383" s="1" nd="1"/>
        <i x="390" s="1" nd="1"/>
        <i x="381" s="1" nd="1"/>
        <i x="389" s="1" nd="1"/>
        <i x="394" s="1" nd="1"/>
        <i x="388" s="1" nd="1"/>
        <i x="391" s="1" nd="1"/>
        <i x="401" s="1" nd="1"/>
        <i x="387" s="1" nd="1"/>
        <i x="384" s="1" nd="1"/>
        <i x="385" s="1" nd="1"/>
        <i x="400" s="1" nd="1"/>
        <i x="259" s="1" nd="1"/>
        <i x="393" s="1" nd="1"/>
        <i x="404" s="1" nd="1"/>
        <i x="399" s="1" nd="1"/>
        <i x="392" s="1" nd="1"/>
        <i x="416" s="1" nd="1"/>
        <i x="397" s="1" nd="1"/>
        <i x="407" s="1" nd="1"/>
        <i x="405" s="1" nd="1"/>
        <i x="395" s="1" nd="1"/>
        <i x="403" s="1" nd="1"/>
        <i x="402" s="1" nd="1"/>
        <i x="398" s="1" nd="1"/>
        <i x="408" s="1" nd="1"/>
        <i x="406" s="1" nd="1"/>
        <i x="409" s="1" nd="1"/>
        <i x="396" s="1" nd="1"/>
        <i x="338" s="1" nd="1"/>
        <i x="411" s="1" nd="1"/>
        <i x="412" s="1" nd="1"/>
        <i x="297" s="1" nd="1"/>
        <i x="299" s="1" nd="1"/>
        <i x="419" s="1" nd="1"/>
        <i x="293" s="1" nd="1"/>
        <i x="339" s="1" nd="1"/>
        <i x="413" s="1" nd="1"/>
        <i x="414" s="1" nd="1"/>
        <i x="296" s="1" nd="1"/>
        <i x="421" s="1" nd="1"/>
        <i x="295" s="1" nd="1"/>
        <i x="310" s="1" nd="1"/>
        <i x="420" s="1" nd="1"/>
        <i x="415" s="1" nd="1"/>
        <i x="314" s="1" nd="1"/>
        <i x="418" s="1" nd="1"/>
        <i x="417" s="1" nd="1"/>
        <i x="335" s="1" nd="1"/>
        <i x="288" s="1" nd="1"/>
        <i x="300" s="1" nd="1"/>
        <i x="336" s="1" nd="1"/>
        <i x="334" s="1" nd="1"/>
        <i x="292" s="1" nd="1"/>
        <i x="294" s="1" nd="1"/>
        <i x="127" s="1" nd="1"/>
        <i x="298" s="1" nd="1"/>
        <i x="289" s="1" nd="1"/>
        <i x="324" s="1" nd="1"/>
        <i x="329" s="1" nd="1"/>
        <i x="290" s="1" nd="1"/>
        <i x="291" s="1" nd="1"/>
        <i x="301" s="1" nd="1"/>
        <i x="304" s="1" nd="1"/>
        <i x="311" s="1" nd="1"/>
        <i x="303" s="1" nd="1"/>
        <i x="306" s="1" nd="1"/>
        <i x="305" s="1" nd="1"/>
        <i x="347" s="1" nd="1"/>
        <i x="302" s="1" nd="1"/>
        <i x="327" s="1" nd="1"/>
        <i x="342" s="1" nd="1"/>
        <i x="307" s="1" nd="1"/>
        <i x="332" s="1" nd="1"/>
        <i x="344" s="1" nd="1"/>
        <i x="316" s="1" nd="1"/>
        <i x="356" s="1" nd="1"/>
        <i x="315" s="1" nd="1"/>
        <i x="312" s="1" nd="1"/>
        <i x="308" s="1" nd="1"/>
        <i x="309" s="1" nd="1"/>
        <i x="328" s="1" nd="1"/>
        <i x="317" s="1" nd="1"/>
        <i x="240" s="1" nd="1"/>
        <i x="318" s="1" nd="1"/>
        <i x="313" s="1" nd="1"/>
        <i x="320" s="1" nd="1"/>
        <i x="321" s="1" nd="1"/>
        <i x="349" s="1" nd="1"/>
        <i x="319" s="1" nd="1"/>
        <i x="337" s="1" nd="1"/>
        <i x="325" s="1" nd="1"/>
        <i x="322" s="1" nd="1"/>
        <i x="326" s="1" nd="1"/>
        <i x="323" s="1" nd="1"/>
        <i x="330" s="1" nd="1"/>
        <i x="122" s="1" nd="1"/>
        <i x="348" s="1" nd="1"/>
        <i x="343" s="1" nd="1"/>
        <i x="362" s="1" nd="1"/>
        <i x="331" s="1" nd="1"/>
        <i x="233" s="1" nd="1"/>
        <i x="341" s="1" nd="1"/>
        <i x="333" s="1" nd="1"/>
        <i x="357" s="1" nd="1"/>
        <i x="340" s="1" nd="1"/>
        <i x="355" s="1" nd="1"/>
        <i x="241" s="1" nd="1"/>
        <i x="346" s="1" nd="1"/>
        <i x="345" s="1" nd="1"/>
        <i x="361" s="1" nd="1"/>
        <i x="358" s="1" nd="1"/>
        <i x="252" s="1" nd="1"/>
        <i x="366" s="1" nd="1"/>
        <i x="350" s="1" nd="1"/>
        <i x="359" s="1" nd="1"/>
        <i x="364" s="1" nd="1"/>
        <i x="243" s="1" nd="1"/>
        <i x="269" s="1" nd="1"/>
        <i x="368" s="1" nd="1"/>
        <i x="365" s="1" nd="1"/>
        <i x="234" s="1" nd="1"/>
        <i x="254" s="1" nd="1"/>
        <i x="360" s="1" nd="1"/>
        <i x="236" s="1" nd="1"/>
        <i x="351" s="1" nd="1"/>
        <i x="354" s="1" nd="1"/>
        <i x="251" s="1" nd="1"/>
        <i x="363" s="1" nd="1"/>
        <i x="352" s="1" nd="1"/>
        <i x="353" s="1" nd="1"/>
        <i x="238" s="1" nd="1"/>
        <i x="256" s="1" nd="1"/>
        <i x="257" s="1" nd="1"/>
        <i x="270" s="1" nd="1"/>
        <i x="367" s="1" nd="1"/>
        <i x="232" s="1" nd="1"/>
        <i x="255" s="1" nd="1"/>
        <i x="248" s="1" nd="1"/>
        <i x="235" s="1" nd="1"/>
        <i x="239" s="1" nd="1"/>
        <i x="245" s="1" nd="1"/>
        <i x="237" s="1" nd="1"/>
        <i x="261" s="1" nd="1"/>
        <i x="265" s="1" nd="1"/>
        <i x="266" s="1" nd="1"/>
        <i x="258" s="1" nd="1"/>
        <i x="242" s="1" nd="1"/>
        <i x="106" s="1" nd="1"/>
        <i x="244" s="1" nd="1"/>
        <i x="246" s="1" nd="1"/>
        <i x="249" s="1" nd="1"/>
        <i x="262" s="1" nd="1"/>
        <i x="247" s="1" nd="1"/>
        <i x="268" s="1" nd="1"/>
        <i x="200" s="1" nd="1"/>
        <i x="179" s="1" nd="1"/>
        <i x="283" s="1" nd="1"/>
        <i x="250" s="1" nd="1"/>
        <i x="271" s="1" nd="1"/>
        <i x="267" s="1" nd="1"/>
        <i x="253" s="1" nd="1"/>
        <i x="275" s="1" nd="1"/>
        <i x="211" s="1" nd="1"/>
        <i x="174" s="1" nd="1"/>
        <i x="260" s="1" nd="1"/>
        <i x="284" s="1" nd="1"/>
        <i x="264" s="1" nd="1"/>
        <i x="287" s="1" nd="1"/>
        <i x="274" s="1" nd="1"/>
        <i x="279" s="1" nd="1"/>
        <i x="156" s="1" nd="1"/>
        <i x="276" s="1" nd="1"/>
        <i x="278" s="1" nd="1"/>
        <i x="196" s="1" nd="1"/>
        <i x="164" s="1" nd="1"/>
        <i x="273" s="1" nd="1"/>
        <i x="161" s="1" nd="1"/>
        <i x="272" s="1" nd="1"/>
        <i x="173" s="1" nd="1"/>
        <i x="157" s="1" nd="1"/>
        <i x="155" s="1" nd="1"/>
        <i x="277" s="1" nd="1"/>
        <i x="171" s="1" nd="1"/>
        <i x="165" s="1" nd="1"/>
        <i x="176" s="1" nd="1"/>
        <i x="193" s="1" nd="1"/>
        <i x="170" s="1" nd="1"/>
        <i x="181" s="1" nd="1"/>
        <i x="175" s="1" nd="1"/>
        <i x="172" s="1" nd="1"/>
        <i x="285" s="1" nd="1"/>
        <i x="229" s="1" nd="1"/>
        <i x="183" s="1" nd="1"/>
        <i x="184" s="1" nd="1"/>
        <i x="281" s="1" nd="1"/>
        <i x="280" s="1" nd="1"/>
        <i x="158" s="1" nd="1"/>
        <i x="160" s="1" nd="1"/>
        <i x="191" s="1" nd="1"/>
        <i x="167" s="1" nd="1"/>
        <i x="286" s="1" nd="1"/>
        <i x="225" s="1" nd="1"/>
        <i x="216" s="1" nd="1"/>
        <i x="204" s="1" nd="1"/>
        <i x="178" s="1" nd="1"/>
        <i x="163" s="1" nd="1"/>
        <i x="194" s="1" nd="1"/>
        <i x="213" s="1" nd="1"/>
        <i x="205" s="1" nd="1"/>
        <i x="201" s="1" nd="1"/>
        <i x="169" s="1" nd="1"/>
        <i x="189" s="1" nd="1"/>
        <i x="188" s="1" nd="1"/>
        <i x="203" s="1" nd="1"/>
        <i x="190" s="1" nd="1"/>
        <i x="282" s="1" nd="1"/>
        <i x="166" s="1" nd="1"/>
        <i x="162" s="1" nd="1"/>
        <i x="192" s="1" nd="1"/>
        <i x="159" s="1" nd="1"/>
        <i x="197" s="1" nd="1"/>
        <i x="198" s="1" nd="1"/>
        <i x="202" s="1" nd="1"/>
        <i x="105" s="1" nd="1"/>
        <i x="182" s="1" nd="1"/>
        <i x="177" s="1" nd="1"/>
        <i x="210" s="1" nd="1"/>
        <i x="209" s="1" nd="1"/>
        <i x="214" s="1" nd="1"/>
        <i x="168" s="1" nd="1"/>
        <i x="212" s="1" nd="1"/>
        <i x="199" s="1" nd="1"/>
        <i x="104" s="1" nd="1"/>
        <i x="180" s="1" nd="1"/>
        <i x="185" s="1" nd="1"/>
        <i x="186" s="1" nd="1"/>
        <i x="195" s="1" nd="1"/>
        <i x="187" s="1" nd="1"/>
        <i x="206" s="1" nd="1"/>
        <i x="123" s="1" nd="1"/>
        <i x="217" s="1" nd="1"/>
        <i x="207" s="1" nd="1"/>
        <i x="223" s="1" nd="1"/>
        <i x="220" s="1" nd="1"/>
        <i x="218" s="1" nd="1"/>
        <i x="117" s="1" nd="1"/>
        <i x="116" s="1" nd="1"/>
        <i x="230" s="1" nd="1"/>
        <i x="103" s="1" nd="1"/>
        <i x="115" s="1" nd="1"/>
        <i x="224" s="1" nd="1"/>
        <i x="231" s="1" nd="1"/>
        <i x="108" s="1" nd="1"/>
        <i x="226" s="1" nd="1"/>
        <i x="227" s="1" nd="1"/>
        <i x="208" s="1" nd="1"/>
        <i x="221" s="1" nd="1"/>
        <i x="228" s="1" nd="1"/>
        <i x="219" s="1" nd="1"/>
        <i x="139" s="1" nd="1"/>
        <i x="222" s="1" nd="1"/>
        <i x="102" s="1" nd="1"/>
        <i x="111" s="1" nd="1"/>
        <i x="110" s="1" nd="1"/>
        <i x="215" s="1" nd="1"/>
        <i x="98" s="1" nd="1"/>
        <i x="91" s="1" nd="1"/>
        <i x="62" s="1" nd="1"/>
        <i x="97" s="1" nd="1"/>
        <i x="114" s="1" nd="1"/>
        <i x="112" s="1" nd="1"/>
        <i x="119" s="1" nd="1"/>
        <i x="120" s="1" nd="1"/>
        <i x="118" s="1" nd="1"/>
        <i x="113" s="1" nd="1"/>
        <i x="109" s="1" nd="1"/>
        <i x="58" s="1" nd="1"/>
        <i x="82" s="1" nd="1"/>
        <i x="136" s="1" nd="1"/>
        <i x="126" s="1" nd="1"/>
        <i x="121" s="1" nd="1"/>
        <i x="140" s="1" nd="1"/>
        <i x="125" s="1" nd="1"/>
        <i x="135" s="1" nd="1"/>
        <i x="137" s="1" nd="1"/>
        <i x="124" s="1" nd="1"/>
        <i x="128" s="1" nd="1"/>
        <i x="138" s="1" nd="1"/>
        <i x="131" s="1" nd="1"/>
        <i x="129" s="1" nd="1"/>
        <i x="130" s="1" nd="1"/>
        <i x="50" s="1" nd="1"/>
        <i x="134" s="1" nd="1"/>
        <i x="132" s="1" nd="1"/>
        <i x="133" s="1" nd="1"/>
        <i x="142" s="1" nd="1"/>
        <i x="141" s="1" nd="1"/>
        <i x="59" s="1" nd="1"/>
        <i x="151" s="1" nd="1"/>
        <i x="150" s="1" nd="1"/>
        <i x="60" s="1" nd="1"/>
        <i x="149" s="1" nd="1"/>
        <i x="154" s="1" nd="1"/>
        <i x="147" s="1" nd="1"/>
        <i x="153" s="1" nd="1"/>
        <i x="51" s="1" nd="1"/>
        <i x="56" s="1" nd="1"/>
        <i x="143" s="1" nd="1"/>
        <i x="44" s="1" nd="1"/>
        <i x="43" s="1" nd="1"/>
        <i x="45" s="1" nd="1"/>
        <i x="48" s="1" nd="1"/>
        <i x="144" s="1" nd="1"/>
        <i x="145" s="1" nd="1"/>
        <i x="146" s="1" nd="1"/>
        <i x="148" s="1" nd="1"/>
        <i x="152" s="1" nd="1"/>
        <i x="55" s="1" nd="1"/>
        <i x="54" s="1" nd="1"/>
        <i x="52" s="1" nd="1"/>
        <i x="69" s="1" nd="1"/>
        <i x="47" s="1" nd="1"/>
        <i x="46" s="1" nd="1"/>
        <i x="49" s="1" nd="1"/>
        <i x="68" s="1" nd="1"/>
        <i x="63" s="1" nd="1"/>
        <i x="64" s="1" nd="1"/>
        <i x="94" s="1" nd="1"/>
        <i x="53" s="1" nd="1"/>
        <i x="76" s="1" nd="1"/>
        <i x="99" s="1" nd="1"/>
        <i x="65" s="1" nd="1"/>
        <i x="67" s="1" nd="1"/>
        <i x="57" s="1" nd="1"/>
        <i x="73" s="1" nd="1"/>
        <i x="77" s="1" nd="1"/>
        <i x="71" s="1" nd="1"/>
        <i x="70" s="1" nd="1"/>
        <i x="66" s="1" nd="1"/>
        <i x="61" s="1" nd="1"/>
        <i x="84" s="1" nd="1"/>
        <i x="85" s="1" nd="1"/>
        <i x="83" s="1" nd="1"/>
        <i x="72" s="1" nd="1"/>
        <i x="95" s="1" nd="1"/>
        <i x="75" s="1" nd="1"/>
        <i x="74" s="1" nd="1"/>
        <i x="81" s="1" nd="1"/>
        <i x="86" s="1" nd="1"/>
        <i x="90" s="1" nd="1"/>
        <i x="101" s="1" nd="1"/>
        <i x="100" s="1" nd="1"/>
        <i x="80" s="1" nd="1"/>
        <i x="79" s="1" nd="1"/>
        <i x="93" s="1" nd="1"/>
        <i x="89" s="1" nd="1"/>
        <i x="78" s="1" nd="1"/>
        <i x="88" s="1" nd="1"/>
        <i x="87" s="1" nd="1"/>
        <i x="92" s="1" nd="1"/>
        <i x="96" s="1" nd="1"/>
        <i x="45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7">
      <calculatedColumnFormula>B49</calculatedColumnFormula>
    </tableColumn>
    <tableColumn id="2" xr3:uid="{7EDCC2ED-0339-42B3-9633-FFEA7A3DD9F3}" name="Tiyaar" dataDxfId="146">
      <calculatedColumnFormula>SUMIFS(ledger!G:G, ledger!B:B, B2, ledger!E:E, "&lt;&gt;*RD*") / 1.0936</calculatedColumnFormula>
    </tableColumn>
    <tableColumn id="3" xr3:uid="{CC1535DD-3FE7-4F55-8040-E7643388A78E}" name="Rate"/>
    <tableColumn id="4" xr3:uid="{059CB70B-ADAD-4985-84AA-0D530BAC5567}" name="Total" dataDxfId="14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4" dataDxfId="143">
  <autoFilter ref="B7:E20" xr:uid="{449E5D32-DF9C-4018-96AB-CA98E118D910}"/>
  <tableColumns count="4">
    <tableColumn id="1" xr3:uid="{F663704C-91DD-4BB9-B7EB-EEB0C5EDED6C}" name="Description" dataDxfId="142"/>
    <tableColumn id="2" xr3:uid="{6D94D495-CD0B-4FD3-9771-81D731982A97}" name="Rate" dataDxfId="141" dataCellStyle="Comma"/>
    <tableColumn id="3" xr3:uid="{2D14CEAD-3602-40E7-A488-3584EBC9141E}" name="gazana" dataDxfId="140" dataCellStyle="Comma"/>
    <tableColumn id="4" xr3:uid="{06FEE63C-6480-4079-8426-51BC26B38B34}" name="sum" dataDxfId="13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8" totalsRowDxfId="137" dataCellStyle="Comma">
      <totalsRowFormula>SUM(Table12[Amount])</totalsRowFormula>
    </tableColumn>
    <tableColumn id="3" xr3:uid="{12F975D1-A51D-47BD-82DF-F0C35A709016}" name="Description"/>
    <tableColumn id="4" xr3:uid="{96712812-B120-49C2-B905-59FC86A743E8}" name="cost per meter" totalsRowFunction="custom" dataDxfId="136" totalsRowDxfId="13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4" totalsRowCount="1" headerRowDxfId="125" dataDxfId="124" headerRowCellStyle="Comma" dataCellStyle="Comma">
  <autoFilter ref="A1:K133" xr:uid="{11DACEC6-751B-4B1D-817F-5C5BCD38EF6D}"/>
  <tableColumns count="11">
    <tableColumn id="1" xr3:uid="{2FCE3FA8-A48C-4685-8919-AE44C6C71FD9}" name="Date" dataDxfId="31" dataCellStyle="Comma"/>
    <tableColumn id="2" xr3:uid="{5780FD5F-0890-44E6-B59C-8E37A559FE36}" name="Party Name" dataDxfId="30" dataCellStyle="Comma"/>
    <tableColumn id="3" xr3:uid="{5B3ECD85-9174-40AC-BFBD-49CAC97A83D3}" name="Bill Number" dataDxfId="29" dataCellStyle="Comma"/>
    <tableColumn id="4" xr3:uid="{11B50761-04B6-4262-AD4D-7182450037D1}" name="Quality" dataDxfId="28" dataCellStyle="Comma"/>
    <tableColumn id="5" xr3:uid="{2C556969-B713-4967-BD24-466AACCBE5F5}" name="Shipment Number" dataDxfId="27" totalsRowDxfId="14" dataCellStyle="Comma"/>
    <tableColumn id="6" xr3:uid="{F4E1FD2B-9017-4DEB-B772-BF447ECE56F7}" name="Kora/metre" dataDxfId="26" totalsRowDxfId="13" dataCellStyle="Comma"/>
    <tableColumn id="7" xr3:uid="{52ACC1DA-7A76-4A90-B809-3A1AE728E7EA}" name="Tiyaar/gaz" dataDxfId="25" totalsRowDxfId="12" dataCellStyle="Comma"/>
    <tableColumn id="8" xr3:uid="{31A0FF5E-56F0-44D1-9865-73256B964660}" name="shortage %" dataDxfId="24" totalsRowDxfId="11" dataCellStyle="Comma">
      <calculatedColumnFormula>_xlfn.XLOOKUP(Table1[[#This Row],[Shipment Number]], 'pivot '!A:A,'pivot '!G:G, "NF")</calculatedColumnFormula>
    </tableColumn>
    <tableColumn id="9" xr3:uid="{F99075E0-AC8E-094D-BB85-272AD2C6C568}" name="tiyar/meters" totalsRowFunction="custom" dataDxfId="23" totalsRowDxfId="10"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22" totalsRowDxfId="9"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21" totalsRowDxfId="8"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21" headerRowBorderDxfId="120" tableBorderDxfId="119">
  <autoFilter ref="A1:I122" xr:uid="{F8E8C957-ABE7-4E4F-8D4E-7D44E26B334F}"/>
  <tableColumns count="9">
    <tableColumn id="1" xr3:uid="{C2E817D6-AB98-4DDD-8890-736B27F261CD}" name="Date" dataDxfId="118" totalsRowDxfId="7"/>
    <tableColumn id="2" xr3:uid="{CFB51890-CCDC-463C-81C9-3F8BD7469CB9}" name="Party Name"/>
    <tableColumn id="3" xr3:uid="{A113D971-1C9D-4733-99C4-BD0CC4333209}" name="Vehicle Number"/>
    <tableColumn id="4" xr3:uid="{49780304-3DD1-4AE9-98EE-2BC7EB8F3B57}" name="Weight" dataDxfId="117" totalsRowDxfId="6" dataCellStyle="Comma"/>
    <tableColumn id="5" xr3:uid="{FCAF1BC6-1D8C-42AD-8BBC-F924BF2DC7FE}" name="Rate" dataDxfId="116" totalsRowDxfId="5" dataCellStyle="Comma"/>
    <tableColumn id="6" xr3:uid="{8C70A624-4134-410C-9C45-9FDEB51D51BF}" name="Rent" dataDxfId="115" totalsRowDxfId="4" dataCellStyle="Comma"/>
    <tableColumn id="7" xr3:uid="{EBCE10AE-9634-4982-9C95-37ABC8A7078C}" name="Total" totalsRowFunction="sum" dataDxfId="114" totalsRowDxfId="3" dataCellStyle="Comma">
      <calculatedColumnFormula>D2*E2</calculatedColumnFormula>
    </tableColumn>
    <tableColumn id="9" xr3:uid="{D4788559-C94A-44D9-B9AE-E72B214355AC}" name="Paid" totalsRowFunction="sum" dataDxfId="113" totalsRowDxfId="2" dataCellStyle="Comma"/>
    <tableColumn id="8" xr3:uid="{E26F5BF0-1875-4FC6-994D-49F202ED562B}" name="balance" totalsRowFunction="sum" dataDxfId="112" totalsRowDxfId="1"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46" totalsRowCount="1">
  <autoFilter ref="A1:G245" xr:uid="{CB032221-B416-47A8-9A76-693DE76CFD04}"/>
  <tableColumns count="7">
    <tableColumn id="1" xr3:uid="{554B1EED-65B6-4E9A-B646-82727FAC40DE}" name="Date" dataDxfId="110" totalsRowDxfId="53"/>
    <tableColumn id="2" xr3:uid="{32259059-42CF-4947-83DE-115AA430BE2B}" name="Party"/>
    <tableColumn id="3" xr3:uid="{A1320223-D55D-483C-91C3-AB19B95CC9D8}" name="Debit" totalsRowFunction="sum" dataDxfId="109" totalsRowDxfId="52" dataCellStyle="Comma"/>
    <tableColumn id="4" xr3:uid="{E9745767-9FF0-4B1C-9052-FF335D1D7588}" name="Credit" totalsRowFunction="sum" dataDxfId="108" totalsRowDxfId="51" dataCellStyle="Comma"/>
    <tableColumn id="5" xr3:uid="{5C88A48E-2467-4E6D-B626-2442B7FD0BE4}" name="Description"/>
    <tableColumn id="6" xr3:uid="{63CA4666-144E-4BE6-8B7C-7CB992BD3041}" name="Mode" totalsRowFunction="custom" dataDxfId="107" totalsRowDxfId="5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6" tableBorderDxfId="105" totalsRowBorderDxfId="104">
  <autoFilter ref="J3:K6" xr:uid="{DCE01694-23ED-48BF-8B92-4186B9ED10A8}"/>
  <tableColumns count="2">
    <tableColumn id="1" xr3:uid="{C8484DAF-2989-4C2F-9AEC-A6917E1C57F6}" name="Type" dataDxfId="103"/>
    <tableColumn id="2" xr3:uid="{B07B7A2A-4D4E-4654-BED6-FE2F0A7BEC34}" name="Amount" dataDxfId="10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1" headerRowBorderDxfId="100" tableBorderDxfId="99" totalsRowBorderDxfId="98">
  <autoFilter ref="M3:O6" xr:uid="{D166BDD1-ACD7-45D7-8AE9-7350373F8CEB}"/>
  <tableColumns count="3">
    <tableColumn id="1" xr3:uid="{64F0205E-DEA7-4571-BA86-E4374A5FEE28}" name="Type" totalsRowLabel="Total" dataDxfId="97" totalsRowDxfId="96"/>
    <tableColumn id="2" xr3:uid="{15FA05F9-789C-4459-9BE0-5C1EC84D3365}" name="amount" totalsRowFunction="custom" dataDxfId="95" totalsRowDxfId="94">
      <totalsRowFormula>SUM(N5:N6)</totalsRowFormula>
    </tableColumn>
    <tableColumn id="3" xr3:uid="{3681D409-90C6-44D0-BDE2-4B5943A516F0}" name="Actual" totalsRowFunction="custom" totalsRowDxfId="93">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2" totalsRowDxfId="91"/>
    <tableColumn id="2" xr3:uid="{5B9D0FEE-4304-4C5C-A05C-5B27CF7841D3}" name="Type"/>
    <tableColumn id="3" xr3:uid="{6A91CA0D-C802-4C6F-9F39-CA53687E8EDE}" name="Description"/>
    <tableColumn id="4" xr3:uid="{A251D40C-AB87-4BB4-85F8-444B20E32FDF}" name="Total" totalsRowFunction="custom" dataDxfId="90" totalsRowDxfId="89"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88" headerRowBorderDxfId="87">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6"/>
    <tableColumn id="4" xr3:uid="{1889A312-9B41-4EC4-BD8F-05252F27084A}" name="Price" totalsRowFunction="sum"/>
    <tableColumn id="6" xr3:uid="{8B974B20-F003-4E67-8660-024FA4F324A9}" name="Party"/>
    <tableColumn id="7" xr3:uid="{0A5A5C21-FD61-47DA-9F54-66A6479FA557}" name="Paid" dataDxfId="85">
      <calculatedColumnFormula>SUMIFS(Table14[Debit], Table14[Date], Table8[[#This Row],[Date]], Table14[Party], Table8[[#This Row],[Party]])</calculatedColumnFormula>
    </tableColumn>
    <tableColumn id="8" xr3:uid="{8DCB3B43-2161-4081-82EC-CDB0F4DE4E6F}" name="Balance" totalsRowFunction="sum" dataDxfId="8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9" totalsRowCount="1" headerRowDxfId="83" headerRowBorderDxfId="82">
  <autoFilter ref="A4:H28" xr:uid="{A4C80688-A8BA-4BA7-90B4-791CD99446B4}"/>
  <sortState xmlns:xlrd2="http://schemas.microsoft.com/office/spreadsheetml/2017/richdata2" ref="A5:H6">
    <sortCondition ref="A4:A6"/>
  </sortState>
  <tableColumns count="8">
    <tableColumn id="1" xr3:uid="{4A818912-918E-4111-ACFC-BC93FEF7C1AD}" name="Date" dataDxfId="81" totalsRowDxfId="0"/>
    <tableColumn id="8" xr3:uid="{477ACFD5-62AF-4F69-974B-E9B974C11D7D}" name="Party Name" dataDxfId="8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9">
      <calculatedColumnFormula>Table2[[#This Row],[Quantity]]*200*Table2[[#This Row],[Boxes]]</calculatedColumnFormula>
    </tableColumn>
    <tableColumn id="6" xr3:uid="{30432929-CBD4-4BA8-B63F-CD0F6CF6405F}" name="Paid" totalsRowFunction="sum" dataDxfId="78">
      <calculatedColumnFormula>SUMIFS(Table14[Debit], Table14[Date], Table2[[#This Row],[Date]], Table14[Party], Table2[[#This Row],[Party Name]])</calculatedColumnFormula>
    </tableColumn>
    <tableColumn id="7" xr3:uid="{BB689DF2-5D1E-436D-84C4-9745D88E8F3D}" name="Balance" totalsRowFunction="sum" dataDxfId="7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6" totalsRowDxfId="7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4" totalsRowDxfId="73"/>
    <tableColumn id="2" xr3:uid="{053BFC14-4828-417C-9F9F-95B6E232A945}" name="Amount" totalsRowFunction="custom" dataDxfId="72" totalsRowDxfId="7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0" totalsRowDxfId="6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59" totalsRowDxfId="5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57" totalsRowDxfId="5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53">
      <calculatedColumnFormula>Billing!R5</calculatedColumnFormula>
    </tableColumn>
    <tableColumn id="2" xr3:uid="{7093A59E-B58F-487D-888A-9AA8156B5F9A}" name="Amount Paid" dataDxfId="152">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55">
      <calculatedColumnFormula>G2</calculatedColumnFormula>
    </tableColumn>
    <tableColumn id="2" xr3:uid="{F72CFEEB-BA11-4A49-BD19-88592EB6A27C}" name="Credit" dataDxfId="54"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2.4414062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326394.47695683985</v>
      </c>
      <c r="D2">
        <v>10</v>
      </c>
      <c r="E2" s="14">
        <f>(SUMIFS(ledger!G:G, ledger!B:B, B2, ledger!E:E, "&lt;&gt;*RD*",ledger!D:D, "Silky") / 1.0936)*12 + (SUMIFS(ledger!G:G, ledger!B:B, B2, ledger!E:E, "&lt;&gt;*RD*",ledger!D:D, "Chamki") / 1.0936)*10</f>
        <v>2212726.7739575715</v>
      </c>
      <c r="I2" t="s">
        <v>21</v>
      </c>
      <c r="R2" t="s">
        <v>1</v>
      </c>
    </row>
    <row r="3" spans="2:35" x14ac:dyDescent="0.3">
      <c r="B3" t="str">
        <f t="shared" si="0"/>
        <v>Ejaz Sahab</v>
      </c>
      <c r="C3" s="18">
        <f>SUMIFS(ledger!G:G, ledger!B:B, B3, ledger!E:E, "&lt;&gt;*RD*") / 1.0936</f>
        <v>27478.054133138263</v>
      </c>
      <c r="D3">
        <v>10</v>
      </c>
      <c r="E3" s="14">
        <f>(SUMIFS(ledger!G:G, ledger!B:B, B3, ledger!E:E, "&lt;&gt;*RD*",ledger!D:D, "Silky") / 1.0936)*12 + (SUMIFS(ledger!G:G, ledger!B:B, B3, ledger!E:E, "&lt;&gt;*RD*",ledger!D:D, "Chamki") / 1.0936)*10</f>
        <v>329736.64959765912</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4009711.8824</v>
      </c>
      <c r="T5" s="22" cm="1">
        <f t="array" ref="T5">_xlfn.BYROW(B49, _xlfn.LAMBDA(_xlpm.party, SUMIFS(ledger!G:G, ledger!B:B, _xlpm.party, ledger!E:E, "&lt;&gt;*RD*") / 1.0936 ))+_xlfn.IFNA(D84,0)</f>
        <v>3666525.1302121435</v>
      </c>
      <c r="U5" s="22" cm="1">
        <f t="array" ref="U5">(_xlfn.BYROW(B49,_xlfn.LAMBDA(_xlpm.party,SUMIFS(ledger!G:G,ledger!B:B,_xlpm.party,ledger!E:E,"&lt;&gt;*RD*",ledger!D:D,"Chamki")+SUMIFS(ledger!G:G, ledger!B:B, _xlpm.party, ledger!E:E, "&lt;&gt;*RD*", ledger!D:D, "Crinkle")))/1.0936)+_xlfn.IFNA(E84,0)</f>
        <v>2979389.0658376007</v>
      </c>
      <c r="V5" s="70" cm="1">
        <f t="array" ref="V5">(_xlfn.BYROW(B49,_xlfn.LAMBDA(_xlpm.party,SUMIFS(ledger!G:G,ledger!B:B,_xlpm.party,ledger!E:E,"&lt;&gt;*RD*",ledger!D:D,"Silky")))/1.0936)+_xlfn.IFNA(F84,0)</f>
        <v>612955.37673738122</v>
      </c>
      <c r="W5" s="22" cm="1">
        <f t="array" ref="W5">(_xlfn.BYROW(B49,_xlfn.LAMBDA(_xlpm.party,
(SUMIFS(ledger!J:J,ledger!B:B,_xlpm.party,ledger!E:E,"&lt;&gt;*RD*",ledger!D:D,"Chamki",ledger!C:C,"&lt;&gt;January Closing CF")+
SUMIFS(ledger!J:J,ledger!B:B,_xlpm.party,ledger!E:E,"&lt;&gt;*RD*",ledger!D:D,"Crinkle",ledger!C:C,"&lt;&gt;January Closing CF")
)+_xlfn.IFNA(G84,0))))</f>
        <v>29793890.658376012</v>
      </c>
      <c r="X5" s="70" cm="1">
        <f t="array" ref="X5">_xlfn.BYROW(B49, _xlfn.LAMBDA(_xlpm.party,
   SUMIFS(ledger!J:J, ledger!B:B, _xlpm.party, ledger!E:E, "&lt;&gt;*RD*", ledger!D:D, "Silky", ledger!C:C, "&lt;&gt;January Closing CF")
)) + _xlfn.IFNA(H84, 0)</f>
        <v>7880064.0087783476</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815987.56400877843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38489942.231163137</v>
      </c>
      <c r="AF5" s="22">
        <f>(SUMIF(Table14[Party],#REF!,Table14[Credit]))+_xlfn.IFNA(P84,0)</f>
        <v>19750734</v>
      </c>
      <c r="AG5" s="33">
        <f>AE5-AF5</f>
        <v>18739208.231163137</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610529</v>
      </c>
      <c r="T6" s="22" cm="1">
        <f t="array" ref="T6">_xlfn.BYROW(B50, _xlfn.LAMBDA(_xlpm.party, SUMIFS(ledger!G:G, ledger!B:B, _xlpm.party, ledger!E:E, "&lt;&gt;*RD*") / 1.0936 ))+_xlfn.IFNA(D85,0)</f>
        <v>558274.50621799566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410128.93196781276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5272532.0043891743</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6753987.7468910031</v>
      </c>
      <c r="AF6" s="22">
        <f>(SUMIF(Table14[Party],R6,Table14[Credit]))+_xlfn.IFNA(P85,0)</f>
        <v>6701773</v>
      </c>
      <c r="AG6" s="33">
        <f t="shared" ref="AG6:AG36" si="2">AE6-AF6</f>
        <v>52214.746891003102</v>
      </c>
      <c r="AH6" s="21">
        <v>10</v>
      </c>
      <c r="AI6" s="21">
        <v>13</v>
      </c>
    </row>
    <row r="7" spans="2:35"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8952501</v>
      </c>
      <c r="AG7" s="33">
        <f t="shared" si="2"/>
        <v>373713.33796634898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1065869</v>
      </c>
      <c r="T10" s="22" cm="1">
        <f t="array" ref="T10">_xlfn.BYROW(B54, _xlfn.LAMBDA(_xlpm.party, SUMIFS(ledger!G:G, ledger!B:B, _xlpm.party, ledger!E:E, "&lt;&gt;*RD*") / 1.0936 ))+_xlfn.IFNA(D89,0)</f>
        <v>974642.46525237767</v>
      </c>
      <c r="U10" s="22" cm="1">
        <f t="array" ref="U10">(_xlfn.BYROW(B54,_xlfn.LAMBDA(_xlpm.party,SUMIFS(ledger!G:G,ledger!B:B,_xlpm.party,ledger!E:E,"&lt;&gt;*RD*",ledger!D:D,"Chamki")+SUMIFS(ledger!G:G, ledger!B:B, _xlpm.party, ledger!E:E, "&lt;&gt;*RD*", ledger!D:D, "Crinkle")))/1.0936)+_xlfn.IFNA(E89,0)</f>
        <v>942295.17190929048</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9422951.7190929055</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9816608.449158743</v>
      </c>
      <c r="AF10" s="22">
        <f>(SUMIF(Table14[Party],R10,Table14[Credit]))+_xlfn.IFNA(P89,0)</f>
        <v>9809871</v>
      </c>
      <c r="AG10" s="33">
        <f t="shared" si="2"/>
        <v>6737.4491587430239</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1526321</v>
      </c>
      <c r="AG11" s="33">
        <f t="shared" si="2"/>
        <v>332704.23774689133</v>
      </c>
      <c r="AH11" s="21">
        <v>10</v>
      </c>
      <c r="AI11" s="21">
        <v>13</v>
      </c>
    </row>
    <row r="12" spans="2:35" x14ac:dyDescent="0.3">
      <c r="B12" t="str">
        <f t="shared" si="0"/>
        <v>Hafiz Qureshi</v>
      </c>
      <c r="C12" s="18">
        <f>SUMIFS(ledger!G:G, ledger!B:B, B12, ledger!E:E, "&lt;&gt;*RD*") / 1.0936</f>
        <v>119521.7629846379</v>
      </c>
      <c r="E12" s="14">
        <f>(SUMIFS(ledger!G:G, ledger!B:B, B12, ledger!E:E, "&lt;&gt;*RD*",ledger!D:D, "Silky") / 1.0936)*12 + (SUMIFS(ledger!G:G, ledger!B:B, B12, ledger!E:E, "&lt;&gt;*RD*",ledger!D:D, "Chamki") / 1.0936)*10</f>
        <v>1195217.6298463789</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585336</v>
      </c>
      <c r="T15" s="22" cm="1">
        <f t="array" ref="T15">_xlfn.BYROW(B59, _xlfn.LAMBDA(_xlpm.party, SUMIFS(ledger!G:G, ledger!B:B, _xlpm.party, ledger!E:E, "&lt;&gt;*RD*") / 1.0936 ))+_xlfn.IFNA(D94,0)</f>
        <v>535237.74689100229</v>
      </c>
      <c r="U15" s="22" cm="1">
        <f t="array" ref="U15">(_xlfn.BYROW(B59,_xlfn.LAMBDA(_xlpm.party,SUMIFS(ledger!G:G,ledger!B:B,_xlpm.party,ledger!E:E,"&lt;&gt;*RD*",ledger!D:D,"Chamki")+SUMIFS(ledger!G:G, ledger!B:B, _xlpm.party, ledger!E:E, "&lt;&gt;*RD*", ledger!D:D, "Crinkle")))/1.0936)+_xlfn.IFNA(E94,0)</f>
        <v>535237.74689100229</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5352377.4689100226</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5352377.4689100226</v>
      </c>
      <c r="AF15" s="22">
        <f>(SUMIF(Table14[Party],R15,Table14[Credit]))+_xlfn.IFNA(P94,0)</f>
        <v>4830359</v>
      </c>
      <c r="AG15" s="33">
        <f t="shared" si="2"/>
        <v>522018.46891002264</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10824550.109729337</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10824550.109729337</v>
      </c>
      <c r="D23" t="s">
        <v>32</v>
      </c>
      <c r="I23" t="s">
        <v>193</v>
      </c>
      <c r="P23" s="21"/>
      <c r="R23" t="str">
        <v>Amjad sohail</v>
      </c>
      <c r="S23" s="22" cm="1">
        <f t="array" ref="S23">_xlfn.BYROW(B67,_xlfn.LAMBDA(_xlpm.party,SUMIFS(ledger!G:G,ledger!B:B,_xlpm.party,ledger!E:E,"&lt;&gt;*RD*")))+_xlfn.IFNA(C102,0)</f>
        <v>447742</v>
      </c>
      <c r="T23" s="22" cm="1">
        <f t="array" ref="T23">_xlfn.BYROW(B67, _xlfn.LAMBDA(_xlpm.party, SUMIFS(ledger!G:G, ledger!B:B, _xlpm.party, ledger!E:E, "&lt;&gt;*RD*") / 1.0936 ))+_xlfn.IFNA(D102,0)</f>
        <v>409420.2633504023</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46600.219458668624</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605802.85296269215</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4234003.2918800302</v>
      </c>
      <c r="AF23" s="22">
        <f>(SUMIF(Table14[Party],R23,Table14[Credit]))+_xlfn.IFNA(P102,0)</f>
        <v>4417830</v>
      </c>
      <c r="AG23" s="33">
        <f t="shared" si="2"/>
        <v>-183826.70811996982</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122386</v>
      </c>
      <c r="T27" s="22" cm="1">
        <f t="array" ref="T27">_xlfn.BYROW(B71, _xlfn.LAMBDA(_xlpm.party, SUMIFS(ledger!G:G, ledger!B:B, _xlpm.party, ledger!E:E, "&lt;&gt;*RD*") / 1.0936 ))+_xlfn.IFNA(D106,0)</f>
        <v>111911.11923920995</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111911.11923920995</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1454844.5501097296</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1454844.5501097296</v>
      </c>
      <c r="AF27" s="22">
        <f>(SUMIF(Table14[Party],R27,Table14[Credit]))+_xlfn.IFNA(P106,0)</f>
        <v>1445500</v>
      </c>
      <c r="AG27" s="33">
        <f t="shared" si="2"/>
        <v>9344.5501097296365</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2150000</v>
      </c>
      <c r="AG31" s="33">
        <f t="shared" si="2"/>
        <v>966070.77542062942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39278</v>
      </c>
      <c r="AG35" s="33">
        <f t="shared" si="2"/>
        <v>122261.86832479882</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2026791.4930504756</v>
      </c>
      <c r="AG36" s="33">
        <f t="shared" si="2"/>
        <v>679406.38551572803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356945</v>
      </c>
      <c r="D49" s="22" cm="1">
        <f t="array" ref="D49:D81">_xlfn.BYROW(_xlfn.ANCHORARRAY(B49), _xlfn.LAMBDA(_xlpm.party, SUMIFS(ledger!G:G, ledger!B:B, _xlpm.party, ledger!E:E, "&lt;&gt;*RD*") / 1.0936 ))</f>
        <v>326394.47695683985</v>
      </c>
      <c r="E49" s="63" cm="1">
        <f t="array" ref="E49:E81">(_xlfn.BYROW(_xlfn.ANCHORARRAY(B49),_xlfn.LAMBDA(_xlpm.party,SUMIFS(ledger!G:G,ledger!B:B,_xlpm.party,ledger!E:E,"&lt;&gt;*RD*",ledger!D:D,"Chamki")+SUMIFS(ledger!G:G, ledger!B:B, _xlpm.party, ledger!E:E, "&lt;&gt;*RD*", ledger!D:D, "Crinkle")))/1.0936)</f>
        <v>211805.04754937821</v>
      </c>
      <c r="F49" s="63" cm="1">
        <f t="array" ref="F49:F81">(_xlfn.BYROW(_xlfn.ANCHORARRAY(B49),_xlfn.LAMBDA(_xlpm.party,SUMIFS(ledger!G:G,ledger!B:B,_xlpm.party,ledger!E:E,"&lt;&gt;*RD*",ledger!D:D,"Silky")))/1.0936)</f>
        <v>51923.9209948793</v>
      </c>
      <c r="G49" s="22" cm="1">
        <f t="array" ref="G49">(_xlfn.BYROW(B49,_xlfn.LAMBDA(_xlpm.party,
(SUMIFS(ledger!J:J,ledger!B:B,_xlpm.party,ledger!E:E,"&lt;&gt;*RD*",ledger!D:D,"Chamki",ledger!C:C,"&lt;&gt;January Closing CF")+
SUMIFS(ledger!J:J,ledger!B:B,_xlpm.party,ledger!E:E,"&lt;&gt;*RD*",ledger!D:D,"Crinkle",ledger!C:C,"&lt;&gt;January Closing CF")
))))</f>
        <v>2118050.4754937822</v>
      </c>
      <c r="H49" s="22" cm="1">
        <f t="array" ref="H49">_xlfn.BYROW(B49, _xlfn.LAMBDA(_xlpm.party,
   SUMIFS(ledger!J:J, ledger!B:B, _xlpm.party, ledger!E:E, "&lt;&gt;*RD*", ledger!D:D, "Silky", ledger!C:C, "&lt;&gt;January Closing CF")
))</f>
        <v>675010.97293343092</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3482382.0409656186</v>
      </c>
      <c r="P49" s="22">
        <f>(SUMIF(Table14[Party],B49,Table14[Credit]))</f>
        <v>0</v>
      </c>
      <c r="Q49" s="37">
        <f t="shared" ref="Q49:Q80" si="6">O49-P49</f>
        <v>3482382.0409656186</v>
      </c>
      <c r="R49" s="21">
        <v>10</v>
      </c>
      <c r="S49" s="21">
        <v>12</v>
      </c>
    </row>
    <row r="50" spans="1:24" x14ac:dyDescent="0.3">
      <c r="B50" s="24" t="str">
        <v>Ejaz Sahab</v>
      </c>
      <c r="C50" s="22">
        <v>30050</v>
      </c>
      <c r="D50" s="22">
        <v>27478.054133138263</v>
      </c>
      <c r="E50" s="63">
        <v>0</v>
      </c>
      <c r="F50" s="63">
        <v>27478.054133138263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357214.7037307974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357214.7037307974</v>
      </c>
      <c r="P50" s="22">
        <f>(SUMIF(Table14[Party],B50,Table14[Credit]))</f>
        <v>634454</v>
      </c>
      <c r="Q50" s="37">
        <f t="shared" si="6"/>
        <v>-277239.2962692026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460000</v>
      </c>
      <c r="Q51" s="37">
        <f t="shared" si="6"/>
        <v>262220.19019751286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0</v>
      </c>
      <c r="P54" s="22">
        <f>(SUMIF(Table14[Party],B54,Table14[Credit]))</f>
        <v>200000</v>
      </c>
      <c r="Q54" s="37">
        <f t="shared" si="6"/>
        <v>-200000</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0</v>
      </c>
      <c r="Q55" s="37">
        <f t="shared" si="6"/>
        <v>232644.47695683985</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v>0</v>
      </c>
      <c r="W58" s="5">
        <v>0</v>
      </c>
      <c r="X58" s="18">
        <v>0</v>
      </c>
    </row>
    <row r="59" spans="1:24" x14ac:dyDescent="0.3">
      <c r="B59" s="24" t="str">
        <v>Hafiz Qureshi</v>
      </c>
      <c r="C59" s="22">
        <v>130709</v>
      </c>
      <c r="D59" s="22">
        <v>119521.7629846379</v>
      </c>
      <c r="E59" s="63">
        <v>119521.7629846379</v>
      </c>
      <c r="F59" s="63">
        <v>0</v>
      </c>
      <c r="G59" s="22" cm="1">
        <f t="array" ref="G59">(_xlfn.BYROW(B59,_xlfn.LAMBDA(_xlpm.party,
(SUMIFS(ledger!J:J,ledger!B:B,_xlpm.party,ledger!E:E,"&lt;&gt;*RD*",ledger!D:D,"Chamki",ledger!C:C,"&lt;&gt;January Closing CF")+
SUMIFS(ledger!J:J,ledger!B:B,_xlpm.party,ledger!E:E,"&lt;&gt;*RD*",ledger!D:D,"Crinkle",ledger!C:C,"&lt;&gt;January Closing CF")
))))</f>
        <v>1195217.6298463792</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1195217.6298463792</v>
      </c>
      <c r="P59" s="22">
        <f>(SUMIF(Table14[Party],B59,Table14[Credit]))</f>
        <v>684180</v>
      </c>
      <c r="Q59" s="37">
        <f t="shared" si="6"/>
        <v>511037.62984637916</v>
      </c>
      <c r="R59" s="21">
        <v>10</v>
      </c>
      <c r="S59" s="21">
        <v>12</v>
      </c>
      <c r="V59" s="4" t="e" vm="1">
        <v>#VALUE!</v>
      </c>
      <c r="W59" s="5">
        <v>0</v>
      </c>
      <c r="X59" s="18">
        <v>0</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28</v>
      </c>
      <c r="W60" s="14">
        <v>0</v>
      </c>
      <c r="X60" s="14">
        <v>0</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row>
    <row r="65" spans="2:19"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row>
    <row r="66" spans="2:19"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row>
    <row r="67" spans="2:19"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20226.773957571328</v>
      </c>
      <c r="P67" s="22">
        <f>(SUMIF(Table14[Party],B67,Table14[Credit]))</f>
        <v>0</v>
      </c>
      <c r="Q67" s="37">
        <f t="shared" si="6"/>
        <v>20226.773957571328</v>
      </c>
      <c r="R67" s="21">
        <v>10</v>
      </c>
      <c r="S67" s="21">
        <v>12</v>
      </c>
    </row>
    <row r="68" spans="2:19"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row>
    <row r="69" spans="2:19"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row>
    <row r="70" spans="2:19"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row>
    <row r="71" spans="2:19"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0</v>
      </c>
      <c r="P71" s="22">
        <f>(SUMIF(Table14[Party],B71,Table14[Credit]))</f>
        <v>30000</v>
      </c>
      <c r="Q71" s="37">
        <f t="shared" si="6"/>
        <v>-30000</v>
      </c>
    </row>
    <row r="72" spans="2:19"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row>
    <row r="73" spans="2:19"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row>
    <row r="74" spans="2:19"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row>
    <row r="75" spans="2:19" x14ac:dyDescent="0.3">
      <c r="B75" s="81"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850000</v>
      </c>
      <c r="Q75" s="37">
        <f t="shared" si="6"/>
        <v>176764.81346013176</v>
      </c>
    </row>
    <row r="76" spans="2:19"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19"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19"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19"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39278</v>
      </c>
      <c r="Q79" s="37">
        <f t="shared" si="6"/>
        <v>122261.86832479882</v>
      </c>
    </row>
    <row r="80" spans="2:19"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2026791.4930504756</v>
      </c>
      <c r="Q80" s="37">
        <f t="shared" si="6"/>
        <v>679406.38551572803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385</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2150000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966070.77542062942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19" priority="1" operator="lessThan">
      <formula>20000</formula>
    </cfRule>
    <cfRule type="cellIs" dxfId="18"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3867910</v>
      </c>
      <c r="D4" t="s">
        <v>189</v>
      </c>
      <c r="E4" s="43">
        <f ca="1">Table12[[#This Row],[Amount]]/Table1[[#Totals],[tiyar/meters]]</f>
        <v>3.9501789052169167</v>
      </c>
    </row>
    <row r="5" spans="1:5" x14ac:dyDescent="0.3">
      <c r="B5" t="s">
        <v>48</v>
      </c>
      <c r="C5" s="11">
        <f>SUM(Table8[Price])+(301660)</f>
        <v>436660</v>
      </c>
      <c r="E5" s="43">
        <f ca="1">Table12[[#This Row],[Amount]]/Table1[[#Totals],[tiyar/meters]]</f>
        <v>0.44594758429022879</v>
      </c>
    </row>
    <row r="6" spans="1:5" x14ac:dyDescent="0.3">
      <c r="B6" t="s">
        <v>49</v>
      </c>
      <c r="C6" s="11">
        <f>SUM(Table2[Price])</f>
        <v>282500</v>
      </c>
      <c r="D6" t="s">
        <v>188</v>
      </c>
      <c r="E6" s="43">
        <f ca="1">Table12[[#This Row],[Amount]]/Table1[[#Totals],[tiyar/meters]]</f>
        <v>0.28850866248795315</v>
      </c>
    </row>
    <row r="7" spans="1:5" x14ac:dyDescent="0.3">
      <c r="B7" t="s">
        <v>50</v>
      </c>
      <c r="C7" s="11">
        <f>SUMIFS(Table14[Debit], Table14[Party],Table12[[#This Row],[Type]])</f>
        <v>8040</v>
      </c>
      <c r="E7" s="43">
        <f ca="1">Table12[[#This Row],[Amount]]/Table1[[#Totals],[tiyar/meters]]</f>
        <v>8.2110075978872338E-3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62000</v>
      </c>
      <c r="E9" s="43">
        <f ca="1">Table12[[#This Row],[Amount]]/Table1[[#Totals],[tiyar/meters]]</f>
        <v>6.3318715307090601E-2</v>
      </c>
    </row>
    <row r="10" spans="1:5" x14ac:dyDescent="0.3">
      <c r="B10" t="s">
        <v>53</v>
      </c>
      <c r="C10" s="11">
        <f>Table5[[#Totals],[Amount]]</f>
        <v>70415</v>
      </c>
      <c r="E10" s="43">
        <f ca="1">Table12[[#This Row],[Amount]]/Table1[[#Totals],[tiyar/meters]]</f>
        <v>7.1912699005625566E-2</v>
      </c>
    </row>
    <row r="11" spans="1:5" x14ac:dyDescent="0.3">
      <c r="B11" t="s">
        <v>54</v>
      </c>
      <c r="C11" s="11">
        <f>Table13[[#Totals],[Debit]]</f>
        <v>74039</v>
      </c>
      <c r="E11" s="43">
        <f ca="1">Table12[[#This Row],[Amount]]/Table1[[#Totals],[tiyar/meters]]</f>
        <v>7.5613780042285181E-2</v>
      </c>
    </row>
    <row r="12" spans="1:5" x14ac:dyDescent="0.3">
      <c r="B12" t="s">
        <v>55</v>
      </c>
      <c r="C12" s="11">
        <f>Table15[[#Totals],[Amount]]</f>
        <v>651045</v>
      </c>
      <c r="E12" s="43">
        <f ca="1">Table12[[#This Row],[Amount]]/Table1[[#Totals],[tiyar/meters]]</f>
        <v>0.66489246785652911</v>
      </c>
    </row>
    <row r="13" spans="1:5" x14ac:dyDescent="0.3">
      <c r="C13" s="11"/>
      <c r="E13" s="43">
        <f ca="1">Table12[[#This Row],[Amount]]/Table1[[#Totals],[tiyar/meters]]</f>
        <v>0</v>
      </c>
    </row>
    <row r="14" spans="1:5" x14ac:dyDescent="0.3">
      <c r="C14" s="14">
        <f>SUM(Table12[Amount])</f>
        <v>5452609</v>
      </c>
      <c r="E14" s="43">
        <f ca="1">SUM(Table12[cost per meter])</f>
        <v>5.5685838218045163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10824550.109729337</v>
      </c>
    </row>
    <row r="4" spans="1:3" x14ac:dyDescent="0.3">
      <c r="B4" s="11" t="s">
        <v>44</v>
      </c>
      <c r="C4" s="11">
        <f>Table12[[#Totals],[Amount]]</f>
        <v>5452609</v>
      </c>
    </row>
    <row r="5" spans="1:3" x14ac:dyDescent="0.3">
      <c r="A5" s="6"/>
      <c r="B5" s="15" t="s">
        <v>68</v>
      </c>
      <c r="C5" s="15">
        <f>C3-C4</f>
        <v>5371941.1097293366</v>
      </c>
    </row>
    <row r="10" spans="1:3" ht="15" thickBot="1" x14ac:dyDescent="0.35">
      <c r="B10" t="s">
        <v>66</v>
      </c>
      <c r="C10" s="14" t="s">
        <v>67</v>
      </c>
    </row>
    <row r="11" spans="1:3" x14ac:dyDescent="0.3">
      <c r="B11" s="56" t="s">
        <v>0</v>
      </c>
      <c r="C11" s="57">
        <f>C3</f>
        <v>10824550.109729337</v>
      </c>
    </row>
    <row r="12" spans="1:3" x14ac:dyDescent="0.3">
      <c r="B12" s="58" t="s">
        <v>69</v>
      </c>
      <c r="C12" s="59">
        <f>SUM(Table14[Credit])</f>
        <v>15797192.493050475</v>
      </c>
    </row>
    <row r="13" spans="1:3" ht="15" thickBot="1" x14ac:dyDescent="0.35">
      <c r="B13" s="74" t="s">
        <v>93</v>
      </c>
      <c r="C13" s="73">
        <f>(C11-C12)</f>
        <v>-4972642.3833211381</v>
      </c>
    </row>
    <row r="14" spans="1:3" ht="15" thickBot="1" x14ac:dyDescent="0.35">
      <c r="B14" s="58"/>
      <c r="C14" s="59"/>
    </row>
    <row r="15" spans="1:3" x14ac:dyDescent="0.3">
      <c r="B15" s="56" t="s">
        <v>44</v>
      </c>
      <c r="C15" s="57">
        <f>C4</f>
        <v>5452609</v>
      </c>
    </row>
    <row r="16" spans="1:3" x14ac:dyDescent="0.3">
      <c r="B16" s="58" t="s">
        <v>70</v>
      </c>
      <c r="C16" s="59">
        <f>SUM(Table14[Debit])</f>
        <v>15772077</v>
      </c>
    </row>
    <row r="17" spans="2:6" ht="15" thickBot="1" x14ac:dyDescent="0.35">
      <c r="B17" s="74" t="s">
        <v>71</v>
      </c>
      <c r="C17" s="73">
        <f>C15-C16</f>
        <v>-10319468</v>
      </c>
    </row>
    <row r="18" spans="2:6" ht="15" thickBot="1" x14ac:dyDescent="0.35">
      <c r="B18" s="58"/>
      <c r="C18" s="59"/>
    </row>
    <row r="19" spans="2:6" ht="15" thickBot="1" x14ac:dyDescent="0.35">
      <c r="B19" s="75" t="s">
        <v>72</v>
      </c>
      <c r="C19" s="76">
        <f>Table18[[#Totals],[amount]]</f>
        <v>25115.493050474674</v>
      </c>
    </row>
    <row r="20" spans="2:6" ht="15" thickBot="1" x14ac:dyDescent="0.35">
      <c r="B20" s="71"/>
      <c r="C20" s="72"/>
    </row>
    <row r="21" spans="2:6" ht="15" thickBot="1" x14ac:dyDescent="0.35">
      <c r="B21" s="60" t="s">
        <v>73</v>
      </c>
      <c r="C21" s="61">
        <f>(C13-C17)+C19</f>
        <v>5371941.1097293366</v>
      </c>
      <c r="E21" s="79" t="s">
        <v>74</v>
      </c>
      <c r="F21" s="80">
        <f>C5*0.05</f>
        <v>268597.05548646685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74039</v>
      </c>
      <c r="E44">
        <f>SUBTOTAL(109,Table13[Credit])</f>
        <v>0</v>
      </c>
      <c r="F44">
        <f>Table13[[#Totals],[Debit]]-Table13[[#Totals],[Credit]]</f>
        <v>74039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8" zoomScale="107" zoomScaleNormal="107" workbookViewId="0">
      <selection activeCell="B136" sqref="B13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227</v>
      </c>
      <c r="C49" s="108" t="s">
        <v>289</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228</v>
      </c>
      <c r="C50" s="108" t="s">
        <v>289</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244</v>
      </c>
      <c r="C51" s="108" t="s">
        <v>289</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248</v>
      </c>
      <c r="C52" s="108" t="s">
        <v>289</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233</v>
      </c>
      <c r="E77" s="11">
        <v>1809</v>
      </c>
      <c r="F77" s="11">
        <v>13927</v>
      </c>
      <c r="G77" s="11">
        <v>6913</v>
      </c>
      <c r="H77" s="119">
        <f>_xlfn.XLOOKUP(Table1[[#This Row],[Shipment Number]], 'pivot '!A:A,'pivot '!G:G, "NF")</f>
        <v>47.231118221257049</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313</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313</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313</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313</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4">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4">
        <v>46080</v>
      </c>
      <c r="B102" s="121" t="s">
        <v>21</v>
      </c>
      <c r="C102" s="118">
        <v>1541</v>
      </c>
      <c r="D102" s="118" t="s">
        <v>86</v>
      </c>
      <c r="E102" s="11">
        <v>2113</v>
      </c>
      <c r="F102" s="11">
        <v>46469</v>
      </c>
      <c r="G102" s="11">
        <v>9555</v>
      </c>
      <c r="H102" s="119">
        <f>_xlfn.XLOOKUP(Table1[[#This Row],[Shipment Number]], 'pivot '!A:A,'pivot '!G:G, "NF")</f>
        <v>44.955083521318684</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4">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4">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4">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4">
        <v>46083</v>
      </c>
      <c r="B106" s="121" t="s">
        <v>313</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4">
        <v>46083</v>
      </c>
      <c r="B107" s="121" t="s">
        <v>313</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4">
        <v>46083</v>
      </c>
      <c r="B108" s="121" t="s">
        <v>21</v>
      </c>
      <c r="C108" s="118">
        <v>1547</v>
      </c>
      <c r="D108" s="118" t="s">
        <v>86</v>
      </c>
      <c r="E108" s="11">
        <v>2113</v>
      </c>
      <c r="F108" s="11">
        <v>46469</v>
      </c>
      <c r="G108" s="11">
        <v>6890</v>
      </c>
      <c r="H108" s="119">
        <f>_xlfn.XLOOKUP(Table1[[#This Row],[Shipment Number]], 'pivot '!A:A,'pivot '!G:G, "NF")</f>
        <v>44.955083521318684</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4">
        <v>46083</v>
      </c>
      <c r="B109" s="121" t="s">
        <v>21</v>
      </c>
      <c r="C109" s="118">
        <v>1548</v>
      </c>
      <c r="D109" s="118" t="s">
        <v>86</v>
      </c>
      <c r="E109" s="11">
        <v>2114</v>
      </c>
      <c r="F109" s="11">
        <v>22835</v>
      </c>
      <c r="G109" s="11">
        <v>3207</v>
      </c>
      <c r="H109" s="119">
        <f>_xlfn.XLOOKUP(Table1[[#This Row],[Shipment Number]], 'pivot '!A:A,'pivot '!G:G, "NF")</f>
        <v>77.130712056163219</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4">
        <v>46083</v>
      </c>
      <c r="B110" s="121" t="s">
        <v>313</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4">
        <v>46083</v>
      </c>
      <c r="B111" s="121" t="s">
        <v>378</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4">
        <v>46083</v>
      </c>
      <c r="B112" s="121" t="s">
        <v>248</v>
      </c>
      <c r="C112" s="118" t="s">
        <v>382</v>
      </c>
      <c r="D112" s="118" t="s">
        <v>381</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4">
        <v>46083</v>
      </c>
      <c r="B113" s="121" t="s">
        <v>248</v>
      </c>
      <c r="C113" s="118" t="s">
        <v>383</v>
      </c>
      <c r="D113" s="118" t="s">
        <v>381</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4">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4">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4">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4">
        <v>46083</v>
      </c>
      <c r="B117" s="121" t="s">
        <v>21</v>
      </c>
      <c r="C117" s="118">
        <v>1555</v>
      </c>
      <c r="D117" s="118" t="s">
        <v>86</v>
      </c>
      <c r="E117" s="11">
        <v>2115</v>
      </c>
      <c r="F117" s="11">
        <v>18783</v>
      </c>
      <c r="G117" s="11">
        <v>16742</v>
      </c>
      <c r="H117" s="119">
        <f>_xlfn.XLOOKUP(Table1[[#This Row],[Shipment Number]], 'pivot '!A:A,'pivot '!G:G, "NF")</f>
        <v>18.495070232109597</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4">
        <v>46083</v>
      </c>
      <c r="B118" s="121" t="s">
        <v>21</v>
      </c>
      <c r="C118" s="118">
        <v>1556</v>
      </c>
      <c r="D118" s="118" t="s">
        <v>86</v>
      </c>
      <c r="E118" s="11">
        <v>2114</v>
      </c>
      <c r="F118" s="11">
        <v>22835</v>
      </c>
      <c r="G118" s="11">
        <v>2504</v>
      </c>
      <c r="H118" s="119">
        <f>_xlfn.XLOOKUP(Table1[[#This Row],[Shipment Number]], 'pivot '!A:A,'pivot '!G:G, "NF")</f>
        <v>77.130712056163219</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4">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s="124">
        <v>46084</v>
      </c>
      <c r="B120" s="121" t="s">
        <v>228</v>
      </c>
      <c r="C120" s="118">
        <v>1558</v>
      </c>
      <c r="D120" s="118" t="s">
        <v>85</v>
      </c>
      <c r="E120" s="11">
        <v>2093</v>
      </c>
      <c r="F120" s="11">
        <v>30363</v>
      </c>
      <c r="G120" s="11">
        <v>14204</v>
      </c>
      <c r="H120" s="119">
        <f>_xlfn.XLOOKUP(Table1[[#This Row],[Shipment Number]], 'pivot '!A:A,'pivot '!G:G, "NF")</f>
        <v>2.7766223284938292</v>
      </c>
      <c r="I120" s="120">
        <f>Table1[[#This Row],[Tiyaar/gaz]]/1.0936</f>
        <v>12988.295537673739</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8"/>
      <c r="P120"/>
      <c r="Q120"/>
    </row>
    <row r="121" spans="1:17" x14ac:dyDescent="0.3">
      <c r="A121" s="124">
        <v>46084</v>
      </c>
      <c r="B121" s="121" t="s">
        <v>402</v>
      </c>
      <c r="C121" s="118">
        <v>1559</v>
      </c>
      <c r="D121" s="118" t="s">
        <v>86</v>
      </c>
      <c r="E121" s="11">
        <v>2113</v>
      </c>
      <c r="F121" s="11">
        <v>46469</v>
      </c>
      <c r="G121" s="11">
        <v>11528</v>
      </c>
      <c r="H121" s="119">
        <f>_xlfn.XLOOKUP(Table1[[#This Row],[Shipment Number]], 'pivot '!A:A,'pivot '!G:G, "NF")</f>
        <v>44.955083521318684</v>
      </c>
      <c r="I121" s="120">
        <f>Table1[[#This Row],[Tiyaar/gaz]]/1.0936</f>
        <v>10541.331382589613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8"/>
      <c r="P121"/>
      <c r="Q121"/>
    </row>
    <row r="122" spans="1:17" x14ac:dyDescent="0.3">
      <c r="A122" s="124">
        <v>46084</v>
      </c>
      <c r="B122" s="121" t="s">
        <v>228</v>
      </c>
      <c r="C122" s="118">
        <v>1560</v>
      </c>
      <c r="D122" s="118" t="s">
        <v>85</v>
      </c>
      <c r="E122" s="11">
        <v>2093</v>
      </c>
      <c r="F122" s="11">
        <v>30363</v>
      </c>
      <c r="G122" s="11">
        <v>18079</v>
      </c>
      <c r="H122" s="119">
        <f>_xlfn.XLOOKUP(Table1[[#This Row],[Shipment Number]], 'pivot '!A:A,'pivot '!G:G, "NF")</f>
        <v>2.7766223284938292</v>
      </c>
      <c r="I122" s="120">
        <f>Table1[[#This Row],[Tiyaar/gaz]]/1.0936</f>
        <v>16531.638624725678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8"/>
      <c r="P122"/>
      <c r="Q122"/>
    </row>
    <row r="123" spans="1:17" x14ac:dyDescent="0.3">
      <c r="A123" s="124">
        <v>46084</v>
      </c>
      <c r="B123" s="121" t="s">
        <v>27</v>
      </c>
      <c r="C123" s="118">
        <v>1561</v>
      </c>
      <c r="D123" s="118" t="s">
        <v>85</v>
      </c>
      <c r="E123" s="11">
        <v>2121</v>
      </c>
      <c r="F123" s="11">
        <v>52527</v>
      </c>
      <c r="G123" s="11">
        <v>28294</v>
      </c>
      <c r="H123" s="119">
        <f>_xlfn.XLOOKUP(Table1[[#This Row],[Shipment Number]], 'pivot '!A:A,'pivot '!G:G, "NF")</f>
        <v>3.1152808457764678</v>
      </c>
      <c r="I123" s="120">
        <f>Table1[[#This Row],[Tiyaar/gaz]]/1.0936</f>
        <v>25872.34820775421</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8"/>
      <c r="P123"/>
      <c r="Q123"/>
    </row>
    <row r="124" spans="1:17" x14ac:dyDescent="0.3">
      <c r="A124" s="124">
        <v>46084</v>
      </c>
      <c r="B124" s="121" t="s">
        <v>27</v>
      </c>
      <c r="C124" s="118">
        <v>1562</v>
      </c>
      <c r="D124" s="118" t="s">
        <v>85</v>
      </c>
      <c r="E124" s="11">
        <v>2121</v>
      </c>
      <c r="F124" s="11">
        <v>52527</v>
      </c>
      <c r="G124" s="11">
        <v>27360</v>
      </c>
      <c r="H124" s="119">
        <f>_xlfn.XLOOKUP(Table1[[#This Row],[Shipment Number]], 'pivot '!A:A,'pivot '!G:G, "NF")</f>
        <v>3.1152808457764678</v>
      </c>
      <c r="I124" s="120">
        <f>Table1[[#This Row],[Tiyaar/gaz]]/1.0936</f>
        <v>25018.288222384785</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8"/>
      <c r="P124"/>
      <c r="Q124"/>
    </row>
    <row r="125" spans="1:17" x14ac:dyDescent="0.3">
      <c r="A125" s="124">
        <v>46085</v>
      </c>
      <c r="B125" s="121" t="s">
        <v>313</v>
      </c>
      <c r="C125" s="118">
        <v>1563</v>
      </c>
      <c r="D125" s="118" t="s">
        <v>207</v>
      </c>
      <c r="E125" s="11">
        <v>2127</v>
      </c>
      <c r="F125" s="11">
        <v>40476</v>
      </c>
      <c r="G125" s="11">
        <v>41559</v>
      </c>
      <c r="H125" s="119">
        <f>_xlfn.XLOOKUP(Table1[[#This Row],[Shipment Number]], 'pivot '!A:A,'pivot '!G:G, "NF")</f>
        <v>6.112235140670208</v>
      </c>
      <c r="I125" s="120">
        <f>Table1[[#This Row],[Tiyaar/gaz]]/1.0936</f>
        <v>38002.011704462333</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8"/>
      <c r="P125"/>
      <c r="Q125"/>
    </row>
    <row r="126" spans="1:17" x14ac:dyDescent="0.3">
      <c r="A126" s="124">
        <v>46085</v>
      </c>
      <c r="B126" s="121" t="s">
        <v>313</v>
      </c>
      <c r="C126" s="118">
        <v>1564</v>
      </c>
      <c r="D126" s="118" t="s">
        <v>207</v>
      </c>
      <c r="E126" s="11">
        <v>2118</v>
      </c>
      <c r="F126" s="11">
        <v>14074</v>
      </c>
      <c r="G126" s="11">
        <v>14324</v>
      </c>
      <c r="H126" s="119">
        <f>_xlfn.XLOOKUP(Table1[[#This Row],[Shipment Number]], 'pivot '!A:A,'pivot '!G:G, "NF")</f>
        <v>6.9345966180016632</v>
      </c>
      <c r="I126" s="120">
        <f>Table1[[#This Row],[Tiyaar/gaz]]/1.0936</f>
        <v>13098.024871982445</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8"/>
      <c r="P126"/>
      <c r="Q126"/>
    </row>
    <row r="127" spans="1:17" x14ac:dyDescent="0.3">
      <c r="A127" s="124">
        <v>46085</v>
      </c>
      <c r="B127" s="121" t="s">
        <v>21</v>
      </c>
      <c r="C127" s="118">
        <v>1565</v>
      </c>
      <c r="D127" s="118" t="s">
        <v>233</v>
      </c>
      <c r="E127" s="11" t="s">
        <v>416</v>
      </c>
      <c r="F127" s="11">
        <v>24035</v>
      </c>
      <c r="G127" s="11">
        <v>13601</v>
      </c>
      <c r="H127" s="119">
        <f>_xlfn.XLOOKUP(Table1[[#This Row],[Shipment Number]], 'pivot '!A:A,'pivot '!G:G, "NF")</f>
        <v>3.1070422933879769</v>
      </c>
      <c r="I127" s="120">
        <f>Table1[[#This Row],[Tiyaar/gaz]]/1.0936</f>
        <v>12436.905632772496</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8"/>
      <c r="P127"/>
      <c r="Q127"/>
    </row>
    <row r="128" spans="1:17" x14ac:dyDescent="0.3">
      <c r="A128" s="124">
        <v>46085</v>
      </c>
      <c r="B128" s="121" t="s">
        <v>232</v>
      </c>
      <c r="C128" s="118">
        <v>1566</v>
      </c>
      <c r="D128" s="118" t="s">
        <v>233</v>
      </c>
      <c r="E128" s="11">
        <v>2111</v>
      </c>
      <c r="F128" s="11">
        <v>12102</v>
      </c>
      <c r="G128" s="11">
        <v>3559</v>
      </c>
      <c r="H128" s="119">
        <f>_xlfn.XLOOKUP(Table1[[#This Row],[Shipment Number]], 'pivot '!A:A,'pivot '!G:G, "NF")</f>
        <v>8.1584270835184327</v>
      </c>
      <c r="I128" s="120">
        <f>Table1[[#This Row],[Tiyaar/gaz]]/1.0936</f>
        <v>3254.3891733723485</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8"/>
      <c r="P128"/>
      <c r="Q128"/>
    </row>
    <row r="129" spans="1:17" x14ac:dyDescent="0.3">
      <c r="A129" s="124">
        <v>46086</v>
      </c>
      <c r="B129" s="121" t="s">
        <v>232</v>
      </c>
      <c r="C129" s="118">
        <v>1567</v>
      </c>
      <c r="D129" s="118" t="s">
        <v>233</v>
      </c>
      <c r="E129" s="11">
        <v>2111</v>
      </c>
      <c r="F129" s="11">
        <v>12102</v>
      </c>
      <c r="G129" s="11">
        <v>8596</v>
      </c>
      <c r="H129" s="119">
        <f>_xlfn.XLOOKUP(Table1[[#This Row],[Shipment Number]], 'pivot '!A:A,'pivot '!G:G, "NF")</f>
        <v>8.1584270835184327</v>
      </c>
      <c r="I129" s="120">
        <f>Table1[[#This Row],[Tiyaar/gaz]]/1.0936</f>
        <v>7860.2779809802496</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8"/>
      <c r="P129"/>
      <c r="Q129"/>
    </row>
    <row r="130" spans="1:17" x14ac:dyDescent="0.3">
      <c r="A130" s="124">
        <v>46086</v>
      </c>
      <c r="B130" s="121" t="s">
        <v>21</v>
      </c>
      <c r="C130" s="118">
        <v>1568</v>
      </c>
      <c r="D130" s="118" t="s">
        <v>233</v>
      </c>
      <c r="E130" s="11" t="s">
        <v>416</v>
      </c>
      <c r="F130" s="11">
        <v>24035</v>
      </c>
      <c r="G130" s="11">
        <v>11867</v>
      </c>
      <c r="H130" s="119">
        <f>_xlfn.XLOOKUP(Table1[[#This Row],[Shipment Number]], 'pivot '!A:A,'pivot '!G:G, "NF")</f>
        <v>3.1070422933879769</v>
      </c>
      <c r="I130" s="120">
        <f>Table1[[#This Row],[Tiyaar/gaz]]/1.0936</f>
        <v>10851.316752011706</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8"/>
      <c r="P130"/>
      <c r="Q130"/>
    </row>
    <row r="131" spans="1:17" x14ac:dyDescent="0.3">
      <c r="A131" s="124">
        <v>46086</v>
      </c>
      <c r="B131" s="121" t="s">
        <v>21</v>
      </c>
      <c r="C131" s="118">
        <v>1569</v>
      </c>
      <c r="D131" s="118" t="s">
        <v>233</v>
      </c>
      <c r="E131" s="11">
        <v>1810</v>
      </c>
      <c r="F131" s="11">
        <v>14038</v>
      </c>
      <c r="G131" s="11">
        <v>11418</v>
      </c>
      <c r="H131" s="119">
        <f>_xlfn.XLOOKUP(Table1[[#This Row],[Shipment Number]], 'pivot '!A:A,'pivot '!G:G, "NF")</f>
        <v>25.625116402099309</v>
      </c>
      <c r="I131" s="120">
        <f>Table1[[#This Row],[Tiyaar/gaz]]/1.0936</f>
        <v>10440.746159473299</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8"/>
      <c r="O131"/>
      <c r="P131"/>
      <c r="Q131"/>
    </row>
    <row r="132" spans="1:17" x14ac:dyDescent="0.3">
      <c r="A132" s="124">
        <v>46086</v>
      </c>
      <c r="B132" s="121" t="s">
        <v>21</v>
      </c>
      <c r="C132" s="118">
        <v>1570</v>
      </c>
      <c r="D132" s="118" t="s">
        <v>233</v>
      </c>
      <c r="E132" s="11">
        <v>1743</v>
      </c>
      <c r="F132" s="11">
        <v>12042</v>
      </c>
      <c r="G132" s="11">
        <v>12864</v>
      </c>
      <c r="H132" s="119">
        <f>_xlfn.XLOOKUP(Table1[[#This Row],[Shipment Number]], 'pivot '!A:A,'pivot '!G:G, "NF")</f>
        <v>2.3170184529712685</v>
      </c>
      <c r="I132" s="120">
        <f>Table1[[#This Row],[Tiyaar/gaz]]/1.0936</f>
        <v>11762.984637893198</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8"/>
      <c r="M132"/>
      <c r="N132"/>
    </row>
    <row r="133" spans="1:17" x14ac:dyDescent="0.3">
      <c r="A133" s="124">
        <v>46086</v>
      </c>
      <c r="B133" s="121" t="s">
        <v>21</v>
      </c>
      <c r="C133" s="118">
        <v>1571</v>
      </c>
      <c r="D133" s="118" t="s">
        <v>233</v>
      </c>
      <c r="E133" s="11">
        <v>1809</v>
      </c>
      <c r="F133" s="11">
        <v>13927</v>
      </c>
      <c r="G133" s="11">
        <v>1124</v>
      </c>
      <c r="H133" s="119">
        <f>_xlfn.XLOOKUP(Table1[[#This Row],[Shipment Number]], 'pivot '!A:A,'pivot '!G:G, "NF")</f>
        <v>47.231118221257049</v>
      </c>
      <c r="I133" s="120">
        <f>Table1[[#This Row],[Tiyaar/gaz]]/1.0936</f>
        <v>1027.7980980248722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8"/>
    </row>
    <row r="134" spans="1:17" x14ac:dyDescent="0.3">
      <c r="A134"/>
      <c r="B134"/>
      <c r="C134"/>
      <c r="D134"/>
      <c r="E134" s="14"/>
      <c r="F134" s="14"/>
      <c r="G134" s="14"/>
      <c r="H134" s="43"/>
      <c r="I134" s="94" cm="1">
        <f t="array" aca="1" ref="I134" ca="1">SUMPRODUCT( SUBTOTAL(109, OFFSET(Table1[tiyar/meters], ROW(Table1[tiyar/meters])-MIN(ROW(Table1[tiyar/meters])), 0, 1)), --(Table1[Bill Number]&lt;&gt;"January Closing CF") )</f>
        <v>979173.37234820786</v>
      </c>
      <c r="J134" s="43" cm="1">
        <f t="array" aca="1" ref="J134" ca="1">SUMPRODUCT( SUBTOTAL(109, OFFSET(Table1[billing], ROW(Table1[billing])-MIN(ROW(Table1[billing])), 0, 1)), --(Table1[Bill Number]&lt;&gt;"January Closing CF") )</f>
        <v>10876186.905632773</v>
      </c>
      <c r="K134" s="14">
        <f>SUMIFS(Table1[billing], Table1[Bill Number], "&lt;&gt;January Closing CF")</f>
        <v>10876186.905632773</v>
      </c>
    </row>
    <row r="163" spans="12:12" x14ac:dyDescent="0.3">
      <c r="L163"/>
    </row>
  </sheetData>
  <phoneticPr fontId="7" alignment="center"/>
  <conditionalFormatting sqref="H2:H134">
    <cfRule type="cellIs" dxfId="17"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39" zoomScale="145" zoomScaleNormal="90" workbookViewId="0">
      <selection activeCell="A33" sqref="A3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3057910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3"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272140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272140</v>
      </c>
      <c r="O25" s="14"/>
      <c r="P25" s="14">
        <v>278640</v>
      </c>
    </row>
    <row r="26" spans="1:16" x14ac:dyDescent="0.3">
      <c r="A26" s="1">
        <v>46078</v>
      </c>
      <c r="B26" t="s">
        <v>198</v>
      </c>
      <c r="D26" s="11">
        <v>108</v>
      </c>
      <c r="E26" s="11">
        <v>720</v>
      </c>
      <c r="F26" s="11"/>
      <c r="G26" s="11">
        <f>D26*E26-6500</f>
        <v>71260</v>
      </c>
      <c r="H26" s="11"/>
      <c r="I26" s="11">
        <f>(D26*E26)-Table3[[#This Row],[Paid]]</f>
        <v>77760</v>
      </c>
      <c r="L26" s="26">
        <v>46080</v>
      </c>
      <c r="M26" s="14">
        <v>137</v>
      </c>
      <c r="N26" s="14">
        <v>79460</v>
      </c>
      <c r="O26" s="14"/>
      <c r="P26" s="14">
        <v>79460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79460</v>
      </c>
      <c r="O27" s="14"/>
      <c r="P27" s="14">
        <v>79460</v>
      </c>
    </row>
    <row r="28" spans="1:16" x14ac:dyDescent="0.3">
      <c r="A28" s="1">
        <v>46080</v>
      </c>
      <c r="B28" t="s">
        <v>198</v>
      </c>
      <c r="D28" s="11">
        <v>137</v>
      </c>
      <c r="E28" s="11">
        <v>480</v>
      </c>
      <c r="F28" s="11"/>
      <c r="G28" s="11">
        <f t="shared" si="2"/>
        <v>65760</v>
      </c>
      <c r="H28" s="11"/>
      <c r="I28" s="11">
        <f>(D28*E28)-Table3[[#This Row],[Paid]]</f>
        <v>65760</v>
      </c>
      <c r="L28" s="26" t="s">
        <v>28</v>
      </c>
      <c r="M28" s="14">
        <v>3239</v>
      </c>
      <c r="N28" s="14">
        <v>2439910</v>
      </c>
      <c r="O28" s="14">
        <v>0</v>
      </c>
      <c r="P28" s="14">
        <v>6493936</v>
      </c>
    </row>
    <row r="29" spans="1:16" x14ac:dyDescent="0.3">
      <c r="A29" s="1">
        <v>46083</v>
      </c>
      <c r="B29" t="s">
        <v>169</v>
      </c>
      <c r="D29" s="11">
        <v>295</v>
      </c>
      <c r="E29" s="11">
        <v>580</v>
      </c>
      <c r="F29" s="11"/>
      <c r="G29" s="11">
        <f t="shared" si="2"/>
        <v>171100</v>
      </c>
      <c r="H29" s="11"/>
      <c r="I29" s="11">
        <f>(D29*E29)-Table3[[#This Row],[Paid]]</f>
        <v>171100</v>
      </c>
      <c r="K29" s="14"/>
    </row>
    <row r="30" spans="1:16" x14ac:dyDescent="0.3">
      <c r="A30" s="1">
        <v>46084</v>
      </c>
      <c r="B30" t="s">
        <v>169</v>
      </c>
      <c r="D30" s="11">
        <v>247</v>
      </c>
      <c r="E30" s="11">
        <v>580</v>
      </c>
      <c r="F30" s="11"/>
      <c r="G30" s="11">
        <f t="shared" si="2"/>
        <v>143260</v>
      </c>
      <c r="H30" s="11"/>
      <c r="I30" s="11">
        <f>(D30*E30)-Table3[[#This Row],[Paid]]</f>
        <v>143260</v>
      </c>
    </row>
    <row r="31" spans="1:16" x14ac:dyDescent="0.3">
      <c r="A31" s="1">
        <v>46085</v>
      </c>
      <c r="B31" t="s">
        <v>218</v>
      </c>
      <c r="D31" s="11">
        <v>183</v>
      </c>
      <c r="E31" s="11">
        <v>820</v>
      </c>
      <c r="F31" s="11"/>
      <c r="G31" s="11">
        <f t="shared" si="2"/>
        <v>150060</v>
      </c>
      <c r="H31" s="11"/>
      <c r="I31" s="11">
        <f>(D31*E31)-Table3[[#This Row],[Paid]]</f>
        <v>150060</v>
      </c>
    </row>
    <row r="32" spans="1:16" x14ac:dyDescent="0.3">
      <c r="A32" s="1">
        <v>46085</v>
      </c>
      <c r="B32" t="s">
        <v>218</v>
      </c>
      <c r="D32" s="11">
        <v>204</v>
      </c>
      <c r="E32" s="11">
        <v>820</v>
      </c>
      <c r="F32" s="11"/>
      <c r="G32" s="11">
        <f t="shared" si="2"/>
        <v>167280</v>
      </c>
      <c r="H32" s="11"/>
      <c r="I32" s="11">
        <f>(D32*E32)-Table3[[#This Row],[Paid]]</f>
        <v>167280</v>
      </c>
    </row>
    <row r="33" spans="1:9" x14ac:dyDescent="0.3">
      <c r="A33" s="1"/>
      <c r="D33" s="11"/>
      <c r="E33" s="122"/>
      <c r="F33" s="11"/>
      <c r="G33" s="11">
        <f t="shared" si="2"/>
        <v>0</v>
      </c>
      <c r="H33" s="11"/>
      <c r="I33" s="11">
        <f>(D33*E33)-Table3[[#This Row],[Paid]]</f>
        <v>0</v>
      </c>
    </row>
    <row r="34" spans="1:9" x14ac:dyDescent="0.3">
      <c r="A34" s="1"/>
      <c r="D34" s="11"/>
      <c r="E34" s="11"/>
      <c r="F34" s="11"/>
      <c r="G34" s="11">
        <f t="shared" si="2"/>
        <v>0</v>
      </c>
      <c r="H34" s="11"/>
      <c r="I34" s="11">
        <f>(D34*E34)-Table3[[#This Row],[Paid]]</f>
        <v>0</v>
      </c>
    </row>
    <row r="35" spans="1:9" x14ac:dyDescent="0.3">
      <c r="A35" s="1"/>
      <c r="D35" s="11"/>
      <c r="E35" s="11"/>
      <c r="F35" s="11"/>
      <c r="G35" s="11">
        <f t="shared" si="2"/>
        <v>0</v>
      </c>
      <c r="H35" s="11"/>
      <c r="I35" s="11">
        <f>(D35*E35)-Table3[[#This Row],[Paid]]</f>
        <v>0</v>
      </c>
    </row>
    <row r="36" spans="1:9" x14ac:dyDescent="0.3">
      <c r="A36" s="1"/>
      <c r="D36" s="11"/>
      <c r="E36" s="11"/>
      <c r="F36" s="11"/>
      <c r="G36" s="11">
        <f t="shared" si="2"/>
        <v>0</v>
      </c>
      <c r="H36" s="11"/>
      <c r="I36" s="11"/>
    </row>
    <row r="37" spans="1:9" x14ac:dyDescent="0.3">
      <c r="A37" s="1"/>
      <c r="D37" s="11"/>
      <c r="E37" s="11"/>
      <c r="F37" s="11"/>
      <c r="G37" s="11">
        <f t="shared" si="2"/>
        <v>0</v>
      </c>
      <c r="H37" s="11"/>
      <c r="I37" s="11"/>
    </row>
    <row r="38" spans="1:9" x14ac:dyDescent="0.3">
      <c r="A38" s="1"/>
      <c r="D38" s="11"/>
      <c r="E38" s="11"/>
      <c r="F38" s="11"/>
      <c r="G38" s="11">
        <f t="shared" si="2"/>
        <v>0</v>
      </c>
      <c r="H38" s="11"/>
      <c r="I38" s="11"/>
    </row>
    <row r="39" spans="1:9" x14ac:dyDescent="0.3">
      <c r="A39" s="1"/>
      <c r="D39" s="11"/>
      <c r="E39" s="11"/>
      <c r="F39" s="11"/>
      <c r="G39" s="11">
        <f t="shared" si="2"/>
        <v>0</v>
      </c>
      <c r="H39" s="11"/>
      <c r="I39" s="11"/>
    </row>
    <row r="40" spans="1:9" x14ac:dyDescent="0.3">
      <c r="A40" s="1"/>
      <c r="D40" s="11"/>
      <c r="E40" s="11"/>
      <c r="F40" s="11"/>
      <c r="G40" s="11">
        <f t="shared" si="2"/>
        <v>0</v>
      </c>
      <c r="H40" s="11"/>
      <c r="I40" s="11"/>
    </row>
    <row r="41" spans="1:9" x14ac:dyDescent="0.3">
      <c r="A41" s="1"/>
      <c r="D41" s="11"/>
      <c r="E41" s="11"/>
      <c r="F41" s="11"/>
      <c r="G41" s="11">
        <f t="shared" si="2"/>
        <v>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3057910</v>
      </c>
      <c r="H123" s="14">
        <f>SUBTOTAL(109,Table3[Paid])</f>
        <v>0</v>
      </c>
      <c r="I123" s="14">
        <f>SUBTOTAL(109,Table3[balance])</f>
        <v>7111936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227" zoomScale="121" zoomScaleNormal="85" workbookViewId="0">
      <selection activeCell="B242" sqref="B24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6034302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15772077</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15797192.493050475</v>
      </c>
      <c r="M5" s="45" t="s">
        <v>108</v>
      </c>
      <c r="N5" s="46">
        <f>(SUMIFS(Table14[Credit],Table14[Mode],"Bank")-SUMIFS(Table14[Debit],Table14[Mode],"Bank")-SUMIFS(Table14[Withdrawal],Table14[Mode],"Transfer"))</f>
        <v>636031.49305047467</v>
      </c>
      <c r="O5">
        <v>360000</v>
      </c>
    </row>
    <row r="6" spans="1:16" x14ac:dyDescent="0.3">
      <c r="A6" s="115">
        <v>46014</v>
      </c>
      <c r="B6" s="81" t="s">
        <v>212</v>
      </c>
      <c r="C6" s="11"/>
      <c r="D6" s="11">
        <v>658663</v>
      </c>
      <c r="E6" s="81" t="s">
        <v>223</v>
      </c>
      <c r="F6" s="88" t="s">
        <v>108</v>
      </c>
      <c r="J6" s="52" t="s">
        <v>43</v>
      </c>
      <c r="K6" s="53">
        <f>(K5-K4)</f>
        <v>25115.493050474674</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25115.493050474674</v>
      </c>
      <c r="O7" s="90">
        <f>SUM(O5,O6)</f>
        <v>410000</v>
      </c>
      <c r="P7" s="14">
        <f>Table18[[#Totals],[amount]]-Table18[[#Totals],[Actual]]</f>
        <v>-384884.50694952533</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291</v>
      </c>
      <c r="F61" s="111" t="s">
        <v>108</v>
      </c>
    </row>
    <row r="62" spans="1:6" x14ac:dyDescent="0.3">
      <c r="A62" s="38">
        <v>46076</v>
      </c>
      <c r="B62" t="s">
        <v>220</v>
      </c>
      <c r="C62" s="11"/>
      <c r="D62" s="11"/>
      <c r="E62" t="s">
        <v>293</v>
      </c>
      <c r="F62" s="111" t="s">
        <v>108</v>
      </c>
    </row>
    <row r="63" spans="1:6" x14ac:dyDescent="0.3">
      <c r="A63" s="38">
        <v>46076</v>
      </c>
      <c r="B63" t="s">
        <v>55</v>
      </c>
      <c r="C63" s="11">
        <v>1470</v>
      </c>
      <c r="D63" s="11"/>
      <c r="E63" t="s">
        <v>292</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294</v>
      </c>
      <c r="F65" s="111" t="s">
        <v>108</v>
      </c>
    </row>
    <row r="66" spans="1:6" x14ac:dyDescent="0.3">
      <c r="A66" s="38">
        <v>46076</v>
      </c>
      <c r="B66" t="s">
        <v>295</v>
      </c>
      <c r="C66" s="11">
        <v>10000</v>
      </c>
      <c r="D66" s="11"/>
      <c r="E66" t="s">
        <v>296</v>
      </c>
      <c r="F66" s="111" t="s">
        <v>108</v>
      </c>
    </row>
    <row r="67" spans="1:6" x14ac:dyDescent="0.3">
      <c r="A67" s="38">
        <v>46076</v>
      </c>
      <c r="B67" t="s">
        <v>55</v>
      </c>
      <c r="C67" s="11">
        <v>27000</v>
      </c>
      <c r="D67" s="11"/>
      <c r="E67" t="s">
        <v>297</v>
      </c>
      <c r="F67" s="111" t="s">
        <v>108</v>
      </c>
    </row>
    <row r="68" spans="1:6" x14ac:dyDescent="0.3">
      <c r="A68" s="38">
        <v>46076</v>
      </c>
      <c r="B68" t="s">
        <v>176</v>
      </c>
      <c r="C68" s="11">
        <v>7800</v>
      </c>
      <c r="D68" s="11"/>
      <c r="E68" t="s">
        <v>298</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299</v>
      </c>
      <c r="C71" s="11">
        <v>101000</v>
      </c>
      <c r="D71" s="11"/>
      <c r="E71" t="s">
        <v>300</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301</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302</v>
      </c>
      <c r="F76" s="111" t="s">
        <v>108</v>
      </c>
    </row>
    <row r="77" spans="1:6" x14ac:dyDescent="0.3">
      <c r="A77" s="38">
        <v>46077</v>
      </c>
      <c r="B77" t="s">
        <v>176</v>
      </c>
      <c r="C77" s="11">
        <v>27200</v>
      </c>
      <c r="D77" s="11"/>
      <c r="E77" t="s">
        <v>303</v>
      </c>
      <c r="F77" s="111" t="s">
        <v>108</v>
      </c>
    </row>
    <row r="78" spans="1:6" x14ac:dyDescent="0.3">
      <c r="A78" s="38">
        <v>46077</v>
      </c>
      <c r="B78" t="s">
        <v>313</v>
      </c>
      <c r="C78" s="11"/>
      <c r="D78" s="11">
        <v>500000</v>
      </c>
      <c r="E78" t="s">
        <v>304</v>
      </c>
      <c r="F78" s="111" t="s">
        <v>108</v>
      </c>
    </row>
    <row r="79" spans="1:6" x14ac:dyDescent="0.3">
      <c r="A79" s="38">
        <v>46077</v>
      </c>
      <c r="B79" t="s">
        <v>54</v>
      </c>
      <c r="C79" s="11">
        <v>300</v>
      </c>
      <c r="D79" s="11"/>
      <c r="E79" t="s">
        <v>305</v>
      </c>
      <c r="F79" s="111" t="s">
        <v>108</v>
      </c>
    </row>
    <row r="80" spans="1:6" x14ac:dyDescent="0.3">
      <c r="A80" s="38">
        <v>46077</v>
      </c>
      <c r="B80" t="s">
        <v>55</v>
      </c>
      <c r="C80" s="11">
        <v>900</v>
      </c>
      <c r="D80" s="11"/>
      <c r="E80" t="s">
        <v>306</v>
      </c>
      <c r="F80" s="111" t="s">
        <v>108</v>
      </c>
    </row>
    <row r="81" spans="1:6" x14ac:dyDescent="0.3">
      <c r="A81" s="38">
        <v>46077</v>
      </c>
      <c r="B81" t="s">
        <v>222</v>
      </c>
      <c r="C81" s="11">
        <v>150000</v>
      </c>
      <c r="D81" s="11"/>
      <c r="E81" t="s">
        <v>307</v>
      </c>
      <c r="F81" s="111" t="s">
        <v>108</v>
      </c>
    </row>
    <row r="82" spans="1:6" x14ac:dyDescent="0.3">
      <c r="A82" s="38">
        <v>46077</v>
      </c>
      <c r="B82" t="s">
        <v>94</v>
      </c>
      <c r="C82" s="11">
        <v>150000</v>
      </c>
      <c r="D82" s="11"/>
      <c r="E82" t="s">
        <v>308</v>
      </c>
      <c r="F82" s="111" t="s">
        <v>108</v>
      </c>
    </row>
    <row r="83" spans="1:6" x14ac:dyDescent="0.3">
      <c r="A83" s="38">
        <v>46077</v>
      </c>
      <c r="B83" t="s">
        <v>169</v>
      </c>
      <c r="C83" s="11">
        <v>201500</v>
      </c>
      <c r="D83" s="11"/>
      <c r="E83" t="s">
        <v>309</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310</v>
      </c>
      <c r="F86" s="111" t="s">
        <v>108</v>
      </c>
    </row>
    <row r="87" spans="1:6" x14ac:dyDescent="0.3">
      <c r="A87" s="38">
        <v>46077</v>
      </c>
      <c r="B87" t="s">
        <v>220</v>
      </c>
      <c r="C87" s="11"/>
      <c r="D87" s="11">
        <v>45000</v>
      </c>
      <c r="E87" t="s">
        <v>311</v>
      </c>
      <c r="F87" s="111" t="s">
        <v>108</v>
      </c>
    </row>
    <row r="88" spans="1:6" x14ac:dyDescent="0.3">
      <c r="A88" s="38">
        <v>46077</v>
      </c>
      <c r="B88" t="s">
        <v>220</v>
      </c>
      <c r="C88" s="11"/>
      <c r="D88" s="11">
        <v>19700</v>
      </c>
      <c r="E88" t="s">
        <v>312</v>
      </c>
      <c r="F88" s="111" t="s">
        <v>108</v>
      </c>
    </row>
    <row r="89" spans="1:6" x14ac:dyDescent="0.3">
      <c r="A89" s="38">
        <v>46077</v>
      </c>
      <c r="B89" t="s">
        <v>313</v>
      </c>
      <c r="C89" s="11"/>
      <c r="D89" s="11">
        <f>SUM(ledger!I90,ledger!I92:I94)*0.1</f>
        <v>7928.4930504754948</v>
      </c>
      <c r="E89" t="s">
        <v>314</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316</v>
      </c>
      <c r="F91" s="111" t="s">
        <v>108</v>
      </c>
    </row>
    <row r="92" spans="1:6" x14ac:dyDescent="0.3">
      <c r="A92" s="38">
        <v>46078</v>
      </c>
      <c r="B92" t="s">
        <v>257</v>
      </c>
      <c r="C92" s="11">
        <v>34000</v>
      </c>
      <c r="D92" s="11"/>
      <c r="E92" t="s">
        <v>109</v>
      </c>
      <c r="F92" s="111" t="s">
        <v>108</v>
      </c>
    </row>
    <row r="93" spans="1:6" x14ac:dyDescent="0.3">
      <c r="A93" s="38">
        <v>46078</v>
      </c>
      <c r="B93" t="s">
        <v>313</v>
      </c>
      <c r="C93" s="11"/>
      <c r="D93" s="11">
        <v>505052</v>
      </c>
      <c r="E93" t="s">
        <v>317</v>
      </c>
      <c r="F93" s="111" t="s">
        <v>108</v>
      </c>
    </row>
    <row r="94" spans="1:6" x14ac:dyDescent="0.3">
      <c r="A94" s="38">
        <v>46078</v>
      </c>
      <c r="B94" t="s">
        <v>299</v>
      </c>
      <c r="C94" s="11">
        <v>100000</v>
      </c>
      <c r="D94" s="11"/>
      <c r="E94" t="s">
        <v>318</v>
      </c>
      <c r="F94" s="111" t="s">
        <v>108</v>
      </c>
    </row>
    <row r="95" spans="1:6" x14ac:dyDescent="0.3">
      <c r="A95" s="38">
        <v>46078</v>
      </c>
      <c r="B95" t="s">
        <v>282</v>
      </c>
      <c r="C95" s="11"/>
      <c r="D95" s="11"/>
      <c r="E95" t="s">
        <v>319</v>
      </c>
      <c r="F95" s="111" t="s">
        <v>108</v>
      </c>
    </row>
    <row r="96" spans="1:6" x14ac:dyDescent="0.3">
      <c r="A96" s="38">
        <v>46078</v>
      </c>
      <c r="B96" t="s">
        <v>55</v>
      </c>
      <c r="C96" s="11">
        <v>2810</v>
      </c>
      <c r="D96" s="11"/>
      <c r="E96" t="s">
        <v>320</v>
      </c>
      <c r="F96" s="111" t="s">
        <v>108</v>
      </c>
    </row>
    <row r="97" spans="1:13" x14ac:dyDescent="0.3">
      <c r="A97" s="38">
        <v>46078</v>
      </c>
      <c r="B97" t="s">
        <v>277</v>
      </c>
      <c r="C97" s="11">
        <v>50000</v>
      </c>
      <c r="D97" s="11"/>
      <c r="E97" t="s">
        <v>321</v>
      </c>
      <c r="F97" s="111" t="s">
        <v>108</v>
      </c>
    </row>
    <row r="98" spans="1:13" x14ac:dyDescent="0.3">
      <c r="A98" s="38">
        <v>46078</v>
      </c>
      <c r="B98" t="s">
        <v>55</v>
      </c>
      <c r="C98" s="96">
        <v>51500</v>
      </c>
      <c r="D98" s="96"/>
      <c r="E98" t="s">
        <v>322</v>
      </c>
      <c r="F98" s="111" t="s">
        <v>108</v>
      </c>
    </row>
    <row r="99" spans="1:13" x14ac:dyDescent="0.3">
      <c r="A99" s="38">
        <v>46078</v>
      </c>
      <c r="B99" t="s">
        <v>192</v>
      </c>
      <c r="C99" s="11"/>
      <c r="D99" s="11">
        <v>30000</v>
      </c>
      <c r="E99" t="s">
        <v>323</v>
      </c>
      <c r="F99" s="111" t="s">
        <v>108</v>
      </c>
    </row>
    <row r="100" spans="1:13" x14ac:dyDescent="0.3">
      <c r="A100" s="38">
        <v>46078</v>
      </c>
      <c r="B100" t="s">
        <v>54</v>
      </c>
      <c r="C100" s="11">
        <v>1500</v>
      </c>
      <c r="D100" s="11"/>
      <c r="E100" t="s">
        <v>324</v>
      </c>
      <c r="F100" s="111" t="s">
        <v>108</v>
      </c>
    </row>
    <row r="101" spans="1:13" x14ac:dyDescent="0.3">
      <c r="A101" s="38">
        <v>46078</v>
      </c>
      <c r="B101" t="s">
        <v>54</v>
      </c>
      <c r="C101" s="11">
        <v>5000</v>
      </c>
      <c r="D101" s="11"/>
      <c r="E101" t="s">
        <v>291</v>
      </c>
      <c r="F101" s="111" t="s">
        <v>108</v>
      </c>
    </row>
    <row r="102" spans="1:13" x14ac:dyDescent="0.3">
      <c r="A102" s="38">
        <v>46078</v>
      </c>
      <c r="B102" t="s">
        <v>221</v>
      </c>
      <c r="C102" s="11">
        <v>2000</v>
      </c>
      <c r="D102" s="11"/>
      <c r="E102" t="s">
        <v>325</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326</v>
      </c>
      <c r="F105" s="111" t="s">
        <v>108</v>
      </c>
      <c r="I105">
        <v>15400</v>
      </c>
      <c r="K105">
        <v>4300</v>
      </c>
      <c r="L105">
        <v>4300</v>
      </c>
      <c r="M105">
        <v>4300</v>
      </c>
    </row>
    <row r="106" spans="1:13" x14ac:dyDescent="0.3">
      <c r="A106" s="38">
        <v>46079</v>
      </c>
      <c r="B106" t="s">
        <v>249</v>
      </c>
      <c r="C106" s="11">
        <v>10000</v>
      </c>
      <c r="D106" s="11"/>
      <c r="E106" t="s">
        <v>327</v>
      </c>
      <c r="F106" s="111" t="s">
        <v>108</v>
      </c>
      <c r="I106">
        <v>4300</v>
      </c>
      <c r="K106">
        <v>1200</v>
      </c>
      <c r="L106">
        <v>1200</v>
      </c>
      <c r="M106">
        <v>1200</v>
      </c>
    </row>
    <row r="107" spans="1:13" x14ac:dyDescent="0.3">
      <c r="A107" s="38">
        <v>46079</v>
      </c>
      <c r="B107" t="s">
        <v>282</v>
      </c>
      <c r="C107" s="11"/>
      <c r="D107" s="11"/>
      <c r="E107" t="s">
        <v>328</v>
      </c>
      <c r="F107" s="111" t="s">
        <v>108</v>
      </c>
      <c r="I107">
        <v>13400</v>
      </c>
      <c r="K107">
        <v>22700</v>
      </c>
      <c r="L107">
        <v>22700</v>
      </c>
      <c r="M107">
        <v>22700</v>
      </c>
    </row>
    <row r="108" spans="1:13" x14ac:dyDescent="0.3">
      <c r="A108" s="38">
        <v>46079</v>
      </c>
      <c r="B108" t="s">
        <v>9</v>
      </c>
      <c r="C108" s="11"/>
      <c r="D108" s="11">
        <v>200000</v>
      </c>
      <c r="E108" t="s">
        <v>329</v>
      </c>
      <c r="F108" s="111" t="s">
        <v>108</v>
      </c>
      <c r="I108">
        <v>14900</v>
      </c>
      <c r="K108">
        <v>15000</v>
      </c>
      <c r="L108">
        <v>15000</v>
      </c>
      <c r="M108">
        <v>15000</v>
      </c>
    </row>
    <row r="109" spans="1:13" x14ac:dyDescent="0.3">
      <c r="A109" s="38">
        <v>46079</v>
      </c>
      <c r="B109" t="s">
        <v>115</v>
      </c>
      <c r="C109" s="11">
        <v>150000</v>
      </c>
      <c r="D109" s="11"/>
      <c r="E109" t="s">
        <v>366</v>
      </c>
      <c r="F109" s="111" t="s">
        <v>108</v>
      </c>
      <c r="I109">
        <v>15000</v>
      </c>
      <c r="K109">
        <v>15150</v>
      </c>
      <c r="L109">
        <v>15150</v>
      </c>
      <c r="M109">
        <v>15150</v>
      </c>
    </row>
    <row r="110" spans="1:13" x14ac:dyDescent="0.3">
      <c r="A110" s="38">
        <v>46079</v>
      </c>
      <c r="B110" t="s">
        <v>282</v>
      </c>
      <c r="C110" s="11"/>
      <c r="D110" s="11"/>
      <c r="E110" t="s">
        <v>330</v>
      </c>
      <c r="F110" s="111" t="s">
        <v>108</v>
      </c>
      <c r="I110">
        <v>11650</v>
      </c>
      <c r="K110">
        <v>22400</v>
      </c>
      <c r="L110">
        <v>22400</v>
      </c>
      <c r="M110">
        <v>22400</v>
      </c>
    </row>
    <row r="111" spans="1:13" x14ac:dyDescent="0.3">
      <c r="A111" s="38">
        <v>46079</v>
      </c>
      <c r="B111" t="s">
        <v>277</v>
      </c>
      <c r="C111" s="11">
        <v>50000</v>
      </c>
      <c r="D111" s="11"/>
      <c r="E111" t="s">
        <v>331</v>
      </c>
      <c r="F111" s="111" t="s">
        <v>108</v>
      </c>
      <c r="I111">
        <v>22700</v>
      </c>
      <c r="K111">
        <v>25000</v>
      </c>
      <c r="L111">
        <v>25000</v>
      </c>
      <c r="M111">
        <v>25000</v>
      </c>
    </row>
    <row r="112" spans="1:13" x14ac:dyDescent="0.3">
      <c r="A112" s="38">
        <v>46079</v>
      </c>
      <c r="B112" t="s">
        <v>222</v>
      </c>
      <c r="C112" s="11">
        <v>100295</v>
      </c>
      <c r="D112" s="11"/>
      <c r="E112" t="s">
        <v>332</v>
      </c>
      <c r="F112" s="111" t="s">
        <v>108</v>
      </c>
      <c r="I112">
        <v>17000</v>
      </c>
      <c r="K112">
        <v>20880</v>
      </c>
      <c r="L112">
        <v>20880</v>
      </c>
      <c r="M112">
        <v>20880</v>
      </c>
    </row>
    <row r="113" spans="1:13" x14ac:dyDescent="0.3">
      <c r="A113" s="38">
        <v>46079</v>
      </c>
      <c r="B113" t="s">
        <v>55</v>
      </c>
      <c r="C113" s="11">
        <v>15000</v>
      </c>
      <c r="D113" s="11"/>
      <c r="E113" t="s">
        <v>333</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334</v>
      </c>
      <c r="F115" s="111" t="s">
        <v>108</v>
      </c>
      <c r="I115">
        <v>25600</v>
      </c>
      <c r="K115">
        <v>45200</v>
      </c>
      <c r="L115">
        <v>45200</v>
      </c>
      <c r="M115">
        <v>45200</v>
      </c>
    </row>
    <row r="116" spans="1:13" x14ac:dyDescent="0.3">
      <c r="A116" s="38">
        <v>46078</v>
      </c>
      <c r="B116" t="s">
        <v>115</v>
      </c>
      <c r="C116" s="11">
        <v>150000</v>
      </c>
      <c r="D116" s="11"/>
      <c r="E116" t="s">
        <v>335</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297</v>
      </c>
      <c r="F119" s="111" t="s">
        <v>108</v>
      </c>
      <c r="I119">
        <v>5200</v>
      </c>
      <c r="K119">
        <v>21600</v>
      </c>
      <c r="L119">
        <v>21600</v>
      </c>
      <c r="M119">
        <v>21600</v>
      </c>
    </row>
    <row r="120" spans="1:13" x14ac:dyDescent="0.3">
      <c r="A120" s="115">
        <v>46078</v>
      </c>
      <c r="B120" t="s">
        <v>220</v>
      </c>
      <c r="C120" s="11"/>
      <c r="D120" s="11">
        <f>25000+19500</f>
        <v>44500</v>
      </c>
      <c r="E120" t="s">
        <v>336</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337</v>
      </c>
      <c r="F122" s="111" t="s">
        <v>108</v>
      </c>
      <c r="I122">
        <v>21700</v>
      </c>
      <c r="K122">
        <v>35000</v>
      </c>
      <c r="L122">
        <v>35000</v>
      </c>
      <c r="M122">
        <v>35000</v>
      </c>
    </row>
    <row r="123" spans="1:13" x14ac:dyDescent="0.3">
      <c r="A123" s="115">
        <v>46078</v>
      </c>
      <c r="B123" t="s">
        <v>220</v>
      </c>
      <c r="C123" s="11">
        <v>20340</v>
      </c>
      <c r="D123" s="11"/>
      <c r="E123" t="s">
        <v>338</v>
      </c>
      <c r="F123" s="111" t="s">
        <v>108</v>
      </c>
      <c r="I123">
        <v>6000</v>
      </c>
      <c r="K123">
        <v>80000</v>
      </c>
      <c r="L123">
        <v>80000</v>
      </c>
      <c r="M123">
        <v>80000</v>
      </c>
    </row>
    <row r="124" spans="1:13" x14ac:dyDescent="0.3">
      <c r="A124" s="115">
        <v>46078</v>
      </c>
      <c r="B124" t="s">
        <v>228</v>
      </c>
      <c r="C124" s="11"/>
      <c r="D124" s="11">
        <v>75000</v>
      </c>
      <c r="E124" t="s">
        <v>339</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340</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342</v>
      </c>
      <c r="F129" s="111" t="s">
        <v>108</v>
      </c>
      <c r="I129">
        <v>34000</v>
      </c>
      <c r="K129">
        <v>14900</v>
      </c>
      <c r="L129">
        <v>14900</v>
      </c>
      <c r="M129">
        <v>14900</v>
      </c>
    </row>
    <row r="130" spans="1:13" x14ac:dyDescent="0.3">
      <c r="A130" s="115">
        <v>46080</v>
      </c>
      <c r="B130" t="s">
        <v>169</v>
      </c>
      <c r="C130" s="96">
        <v>4000</v>
      </c>
      <c r="D130" s="96"/>
      <c r="E130" t="s">
        <v>342</v>
      </c>
      <c r="F130" s="111" t="s">
        <v>108</v>
      </c>
      <c r="I130">
        <v>22400</v>
      </c>
      <c r="K130">
        <v>11650</v>
      </c>
      <c r="L130">
        <v>11650</v>
      </c>
      <c r="M130">
        <v>11650</v>
      </c>
    </row>
    <row r="131" spans="1:13" x14ac:dyDescent="0.3">
      <c r="A131" s="115">
        <v>46080</v>
      </c>
      <c r="B131" t="s">
        <v>257</v>
      </c>
      <c r="C131" s="11">
        <v>2000</v>
      </c>
      <c r="D131" s="11"/>
      <c r="E131" t="s">
        <v>342</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342</v>
      </c>
      <c r="F133" s="111" t="s">
        <v>108</v>
      </c>
      <c r="I133">
        <v>2500</v>
      </c>
      <c r="K133">
        <v>6000</v>
      </c>
      <c r="L133">
        <v>15300</v>
      </c>
      <c r="M133">
        <v>15300</v>
      </c>
    </row>
    <row r="134" spans="1:13" x14ac:dyDescent="0.3">
      <c r="A134" s="115">
        <v>46080</v>
      </c>
      <c r="B134" t="s">
        <v>222</v>
      </c>
      <c r="C134" s="11">
        <v>4000</v>
      </c>
      <c r="D134" s="11"/>
      <c r="E134" t="s">
        <v>342</v>
      </c>
      <c r="F134" s="111" t="s">
        <v>108</v>
      </c>
      <c r="I134">
        <v>9500</v>
      </c>
      <c r="K134">
        <v>16550</v>
      </c>
      <c r="L134">
        <v>15000</v>
      </c>
      <c r="M134">
        <v>15000</v>
      </c>
    </row>
    <row r="135" spans="1:13" x14ac:dyDescent="0.3">
      <c r="A135" s="115">
        <v>46080</v>
      </c>
      <c r="B135" t="s">
        <v>225</v>
      </c>
      <c r="C135" s="11"/>
      <c r="D135" s="11">
        <v>105000</v>
      </c>
      <c r="E135" t="s">
        <v>343</v>
      </c>
      <c r="F135" s="111" t="s">
        <v>108</v>
      </c>
      <c r="I135">
        <v>20880</v>
      </c>
      <c r="K135">
        <v>13400</v>
      </c>
      <c r="L135">
        <v>6000</v>
      </c>
      <c r="M135">
        <v>6000</v>
      </c>
    </row>
    <row r="136" spans="1:13" x14ac:dyDescent="0.3">
      <c r="A136" s="115">
        <v>46080</v>
      </c>
      <c r="B136" t="s">
        <v>55</v>
      </c>
      <c r="C136" s="11">
        <v>8315</v>
      </c>
      <c r="D136" s="11"/>
      <c r="E136" t="s">
        <v>344</v>
      </c>
      <c r="F136" s="111" t="s">
        <v>108</v>
      </c>
      <c r="I136">
        <v>150000</v>
      </c>
      <c r="K136">
        <v>11650</v>
      </c>
      <c r="L136">
        <v>16550</v>
      </c>
      <c r="M136">
        <v>16550</v>
      </c>
    </row>
    <row r="137" spans="1:13" x14ac:dyDescent="0.3">
      <c r="A137" s="115">
        <v>46080</v>
      </c>
      <c r="B137" t="s">
        <v>165</v>
      </c>
      <c r="C137" s="11">
        <v>60000</v>
      </c>
      <c r="D137" s="11"/>
      <c r="E137" t="s">
        <v>345</v>
      </c>
      <c r="F137" s="111" t="s">
        <v>108</v>
      </c>
      <c r="K137">
        <v>2500</v>
      </c>
      <c r="L137">
        <v>13400</v>
      </c>
      <c r="M137">
        <v>13400</v>
      </c>
    </row>
    <row r="138" spans="1:13" x14ac:dyDescent="0.3">
      <c r="A138" s="115">
        <v>46080</v>
      </c>
      <c r="B138" t="s">
        <v>55</v>
      </c>
      <c r="C138" s="11">
        <v>3000</v>
      </c>
      <c r="D138" s="11"/>
      <c r="E138" t="s">
        <v>346</v>
      </c>
      <c r="F138" s="111" t="s">
        <v>108</v>
      </c>
      <c r="K138">
        <v>5700</v>
      </c>
      <c r="L138">
        <v>11650</v>
      </c>
      <c r="M138">
        <v>11650</v>
      </c>
    </row>
    <row r="139" spans="1:13" x14ac:dyDescent="0.3">
      <c r="A139" s="115">
        <v>46080</v>
      </c>
      <c r="B139" t="s">
        <v>55</v>
      </c>
      <c r="C139" s="11">
        <v>2800</v>
      </c>
      <c r="D139" s="11"/>
      <c r="E139" t="s">
        <v>347</v>
      </c>
      <c r="F139" s="111" t="s">
        <v>108</v>
      </c>
      <c r="L139">
        <v>2500</v>
      </c>
      <c r="M139">
        <v>2500</v>
      </c>
    </row>
    <row r="140" spans="1:13" x14ac:dyDescent="0.3">
      <c r="A140" s="115">
        <v>46080</v>
      </c>
      <c r="B140" t="s">
        <v>55</v>
      </c>
      <c r="C140" s="11">
        <v>400</v>
      </c>
      <c r="D140" s="11"/>
      <c r="E140" t="s">
        <v>348</v>
      </c>
      <c r="F140" s="111" t="s">
        <v>108</v>
      </c>
      <c r="L140">
        <v>5700</v>
      </c>
      <c r="M140">
        <v>5700</v>
      </c>
    </row>
    <row r="141" spans="1:13" x14ac:dyDescent="0.3">
      <c r="A141" s="115">
        <v>46080</v>
      </c>
      <c r="B141" t="s">
        <v>246</v>
      </c>
      <c r="C141" s="96">
        <v>190</v>
      </c>
      <c r="D141" s="96"/>
      <c r="E141" t="s">
        <v>349</v>
      </c>
      <c r="F141" s="111" t="s">
        <v>108</v>
      </c>
      <c r="L141">
        <v>5000</v>
      </c>
      <c r="M141">
        <v>5000</v>
      </c>
    </row>
    <row r="142" spans="1:13" x14ac:dyDescent="0.3">
      <c r="A142" s="115">
        <v>46080</v>
      </c>
      <c r="B142" t="s">
        <v>221</v>
      </c>
      <c r="C142" s="11">
        <v>4100</v>
      </c>
      <c r="D142" s="11"/>
      <c r="E142" t="s">
        <v>350</v>
      </c>
      <c r="F142" s="111" t="s">
        <v>108</v>
      </c>
    </row>
    <row r="143" spans="1:13" x14ac:dyDescent="0.3">
      <c r="A143" s="38">
        <v>46080</v>
      </c>
      <c r="B143" t="s">
        <v>221</v>
      </c>
      <c r="C143" s="96">
        <v>500</v>
      </c>
      <c r="D143" s="96"/>
      <c r="E143" t="s">
        <v>351</v>
      </c>
      <c r="F143" s="111" t="s">
        <v>108</v>
      </c>
    </row>
    <row r="144" spans="1:13" x14ac:dyDescent="0.3">
      <c r="A144" s="38">
        <v>46080</v>
      </c>
      <c r="B144" t="s">
        <v>212</v>
      </c>
      <c r="C144" s="96">
        <f>500+810</f>
        <v>1310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365</v>
      </c>
      <c r="F150" s="111" t="s">
        <v>108</v>
      </c>
    </row>
    <row r="151" spans="1:6" x14ac:dyDescent="0.3">
      <c r="A151" s="115">
        <v>46081</v>
      </c>
      <c r="B151" t="s">
        <v>220</v>
      </c>
      <c r="C151" s="11"/>
      <c r="D151" s="11">
        <v>18000</v>
      </c>
      <c r="E151" t="s">
        <v>365</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353</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354</v>
      </c>
      <c r="F155" s="111" t="s">
        <v>108</v>
      </c>
    </row>
    <row r="156" spans="1:6" x14ac:dyDescent="0.3">
      <c r="A156" s="38">
        <v>46081</v>
      </c>
      <c r="B156" t="s">
        <v>220</v>
      </c>
      <c r="C156" s="11"/>
      <c r="D156" s="11">
        <v>150000</v>
      </c>
      <c r="E156" t="s">
        <v>355</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356</v>
      </c>
      <c r="F159" s="111" t="s">
        <v>108</v>
      </c>
    </row>
    <row r="160" spans="1:6" x14ac:dyDescent="0.3">
      <c r="A160" s="38">
        <v>46081</v>
      </c>
      <c r="B160" t="s">
        <v>54</v>
      </c>
      <c r="C160" s="11">
        <v>1500</v>
      </c>
      <c r="D160" s="11"/>
      <c r="E160" t="s">
        <v>324</v>
      </c>
      <c r="F160" s="111" t="s">
        <v>108</v>
      </c>
    </row>
    <row r="161" spans="1:15" x14ac:dyDescent="0.3">
      <c r="A161" s="38">
        <v>46081</v>
      </c>
      <c r="B161" t="s">
        <v>54</v>
      </c>
      <c r="C161" s="11">
        <v>5000</v>
      </c>
      <c r="D161" s="11"/>
      <c r="E161" t="s">
        <v>291</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357</v>
      </c>
      <c r="F163" s="111" t="s">
        <v>108</v>
      </c>
      <c r="J163" s="3" t="s">
        <v>6</v>
      </c>
      <c r="K163" t="s">
        <v>118</v>
      </c>
      <c r="L163" t="s">
        <v>119</v>
      </c>
      <c r="N163">
        <v>32600</v>
      </c>
      <c r="O163">
        <v>32600</v>
      </c>
    </row>
    <row r="164" spans="1:15" x14ac:dyDescent="0.3">
      <c r="A164" s="38">
        <v>46082</v>
      </c>
      <c r="B164" t="s">
        <v>221</v>
      </c>
      <c r="C164" s="96">
        <v>1000</v>
      </c>
      <c r="D164" s="96"/>
      <c r="E164" t="s">
        <v>351</v>
      </c>
      <c r="F164" s="111" t="s">
        <v>108</v>
      </c>
      <c r="J164" s="4" t="s">
        <v>358</v>
      </c>
      <c r="K164" s="14"/>
      <c r="L164" s="14">
        <v>52000</v>
      </c>
      <c r="N164">
        <v>45600</v>
      </c>
      <c r="O164">
        <v>9200</v>
      </c>
    </row>
    <row r="165" spans="1:15" x14ac:dyDescent="0.3">
      <c r="A165" s="38">
        <v>46083</v>
      </c>
      <c r="B165" t="s">
        <v>282</v>
      </c>
      <c r="C165" s="11"/>
      <c r="D165" s="11"/>
      <c r="E165" t="s">
        <v>359</v>
      </c>
      <c r="F165" s="111" t="s">
        <v>108</v>
      </c>
      <c r="J165" s="4" t="s">
        <v>9</v>
      </c>
      <c r="K165" s="14">
        <v>460000</v>
      </c>
      <c r="L165" s="14"/>
      <c r="N165">
        <v>49400</v>
      </c>
      <c r="O165">
        <v>45600</v>
      </c>
    </row>
    <row r="166" spans="1:15" x14ac:dyDescent="0.3">
      <c r="A166" s="38">
        <v>46083</v>
      </c>
      <c r="B166" t="s">
        <v>220</v>
      </c>
      <c r="C166" s="11"/>
      <c r="D166" s="11">
        <v>200000</v>
      </c>
      <c r="E166" t="s">
        <v>360</v>
      </c>
      <c r="F166" s="111" t="s">
        <v>108</v>
      </c>
      <c r="J166" s="4" t="s">
        <v>117</v>
      </c>
      <c r="K166" s="14"/>
      <c r="L166" s="14">
        <v>78000</v>
      </c>
      <c r="N166">
        <v>37200</v>
      </c>
      <c r="O166">
        <v>30000</v>
      </c>
    </row>
    <row r="167" spans="1:15" x14ac:dyDescent="0.3">
      <c r="A167" s="38">
        <v>46083</v>
      </c>
      <c r="B167" t="s">
        <v>282</v>
      </c>
      <c r="C167" s="11"/>
      <c r="D167" s="11"/>
      <c r="E167" t="s">
        <v>361</v>
      </c>
      <c r="F167" s="111" t="s">
        <v>108</v>
      </c>
      <c r="J167" s="4" t="s">
        <v>94</v>
      </c>
      <c r="K167" s="14"/>
      <c r="L167" s="14">
        <v>481577</v>
      </c>
      <c r="N167">
        <v>9200</v>
      </c>
      <c r="O167">
        <v>37200</v>
      </c>
    </row>
    <row r="168" spans="1:15" x14ac:dyDescent="0.3">
      <c r="A168" s="38">
        <v>46083</v>
      </c>
      <c r="B168" t="s">
        <v>282</v>
      </c>
      <c r="C168" s="11"/>
      <c r="D168" s="11"/>
      <c r="E168" t="s">
        <v>362</v>
      </c>
      <c r="F168" s="111" t="s">
        <v>108</v>
      </c>
      <c r="J168" s="4" t="s">
        <v>246</v>
      </c>
      <c r="K168" s="14"/>
      <c r="L168" s="14">
        <v>8040</v>
      </c>
      <c r="N168">
        <v>50000</v>
      </c>
      <c r="O168">
        <v>49400</v>
      </c>
    </row>
    <row r="169" spans="1:15" x14ac:dyDescent="0.3">
      <c r="A169" s="38">
        <v>46083</v>
      </c>
      <c r="B169" t="s">
        <v>249</v>
      </c>
      <c r="C169" s="11">
        <v>7200</v>
      </c>
      <c r="D169" s="11"/>
      <c r="E169" t="s">
        <v>247</v>
      </c>
      <c r="F169" s="111" t="s">
        <v>108</v>
      </c>
      <c r="J169" s="4" t="s">
        <v>55</v>
      </c>
      <c r="K169" s="14"/>
      <c r="L169" s="14">
        <v>651045</v>
      </c>
      <c r="N169">
        <v>60400</v>
      </c>
      <c r="O169">
        <v>60400</v>
      </c>
    </row>
    <row r="170" spans="1:15" x14ac:dyDescent="0.3">
      <c r="A170" s="38">
        <v>46083</v>
      </c>
      <c r="B170" t="s">
        <v>169</v>
      </c>
      <c r="C170" s="11">
        <v>1000</v>
      </c>
      <c r="D170" s="11"/>
      <c r="E170" t="s">
        <v>342</v>
      </c>
      <c r="F170" s="111" t="s">
        <v>108</v>
      </c>
      <c r="J170" s="4" t="s">
        <v>113</v>
      </c>
      <c r="K170" s="14"/>
      <c r="L170" s="14">
        <v>70415</v>
      </c>
      <c r="N170">
        <v>30000</v>
      </c>
      <c r="O170">
        <v>50000</v>
      </c>
    </row>
    <row r="171" spans="1:15" x14ac:dyDescent="0.3">
      <c r="A171" s="38">
        <v>46083</v>
      </c>
      <c r="B171" t="s">
        <v>282</v>
      </c>
      <c r="C171" s="11"/>
      <c r="D171" s="11"/>
      <c r="F171" s="111" t="s">
        <v>108</v>
      </c>
      <c r="J171" s="4" t="s">
        <v>282</v>
      </c>
      <c r="K171" s="14"/>
      <c r="L171" s="14">
        <v>10000</v>
      </c>
      <c r="N171">
        <v>13670</v>
      </c>
      <c r="O171">
        <v>1000</v>
      </c>
    </row>
    <row r="172" spans="1:15" x14ac:dyDescent="0.3">
      <c r="A172" s="38">
        <v>46083</v>
      </c>
      <c r="B172" t="s">
        <v>282</v>
      </c>
      <c r="C172" s="11"/>
      <c r="D172" s="11"/>
      <c r="E172" t="s">
        <v>363</v>
      </c>
      <c r="F172" s="111" t="s">
        <v>108</v>
      </c>
      <c r="J172" s="4" t="s">
        <v>54</v>
      </c>
      <c r="K172" s="14"/>
      <c r="L172" s="14">
        <v>74039</v>
      </c>
      <c r="N172">
        <v>18120</v>
      </c>
      <c r="O172">
        <v>35000</v>
      </c>
    </row>
    <row r="173" spans="1:15" x14ac:dyDescent="0.3">
      <c r="A173" s="38">
        <v>46082</v>
      </c>
      <c r="B173" t="s">
        <v>282</v>
      </c>
      <c r="C173" s="11"/>
      <c r="D173" s="11"/>
      <c r="E173" t="s">
        <v>364</v>
      </c>
      <c r="F173" s="111" t="s">
        <v>108</v>
      </c>
      <c r="J173" s="4" t="s">
        <v>221</v>
      </c>
      <c r="K173" s="14"/>
      <c r="L173" s="14">
        <v>791672</v>
      </c>
      <c r="N173">
        <v>7650</v>
      </c>
      <c r="O173">
        <v>29600</v>
      </c>
    </row>
    <row r="174" spans="1:15" x14ac:dyDescent="0.3">
      <c r="A174" s="38">
        <v>46083</v>
      </c>
      <c r="B174" t="s">
        <v>282</v>
      </c>
      <c r="C174" s="11"/>
      <c r="D174" s="11"/>
      <c r="E174" t="s">
        <v>364</v>
      </c>
      <c r="F174" s="111" t="s">
        <v>108</v>
      </c>
      <c r="J174" s="4" t="s">
        <v>212</v>
      </c>
      <c r="K174" s="14">
        <v>668663</v>
      </c>
      <c r="L174" s="14">
        <v>18040</v>
      </c>
      <c r="N174">
        <v>25000</v>
      </c>
      <c r="O174">
        <v>20000</v>
      </c>
    </row>
    <row r="175" spans="1:15" x14ac:dyDescent="0.3">
      <c r="A175" s="38">
        <v>46083</v>
      </c>
      <c r="B175" t="s">
        <v>358</v>
      </c>
      <c r="C175" s="11">
        <v>12000</v>
      </c>
      <c r="D175" s="11"/>
      <c r="E175" t="s">
        <v>361</v>
      </c>
      <c r="F175" s="111" t="s">
        <v>108</v>
      </c>
      <c r="J175" s="4" t="s">
        <v>225</v>
      </c>
      <c r="K175" s="14">
        <v>634454</v>
      </c>
      <c r="L175" s="14"/>
      <c r="N175">
        <v>12000</v>
      </c>
      <c r="O175">
        <v>20800</v>
      </c>
    </row>
    <row r="176" spans="1:15" x14ac:dyDescent="0.3">
      <c r="A176" s="38">
        <v>46082</v>
      </c>
      <c r="B176" t="s">
        <v>220</v>
      </c>
      <c r="C176" s="11"/>
      <c r="D176" s="11">
        <f>9700+11200</f>
        <v>20900</v>
      </c>
      <c r="E176" t="s">
        <v>367</v>
      </c>
      <c r="F176" s="111" t="s">
        <v>108</v>
      </c>
      <c r="J176" s="4" t="s">
        <v>103</v>
      </c>
      <c r="K176" s="14"/>
      <c r="L176" s="14"/>
      <c r="N176">
        <v>22650</v>
      </c>
      <c r="O176">
        <v>19200</v>
      </c>
    </row>
    <row r="177" spans="1:15" x14ac:dyDescent="0.3">
      <c r="A177" s="38">
        <v>46083</v>
      </c>
      <c r="B177" t="s">
        <v>55</v>
      </c>
      <c r="C177" s="11">
        <v>20900</v>
      </c>
      <c r="D177" s="11"/>
      <c r="E177" t="s">
        <v>367</v>
      </c>
      <c r="F177" s="111" t="s">
        <v>108</v>
      </c>
      <c r="J177" s="4" t="s">
        <v>410</v>
      </c>
      <c r="K177" s="14">
        <v>200000</v>
      </c>
      <c r="L177" s="14"/>
      <c r="N177">
        <v>22650</v>
      </c>
    </row>
    <row r="178" spans="1:15" x14ac:dyDescent="0.3">
      <c r="A178" s="38">
        <v>46083</v>
      </c>
      <c r="B178" t="s">
        <v>298</v>
      </c>
      <c r="C178" s="11">
        <v>23000</v>
      </c>
      <c r="D178" s="11"/>
      <c r="E178" t="s">
        <v>368</v>
      </c>
      <c r="F178" s="111" t="s">
        <v>108</v>
      </c>
      <c r="J178" s="4" t="s">
        <v>245</v>
      </c>
      <c r="K178" s="14">
        <v>684180</v>
      </c>
      <c r="L178" s="14"/>
      <c r="N178">
        <v>24400</v>
      </c>
    </row>
    <row r="179" spans="1:15" x14ac:dyDescent="0.3">
      <c r="A179" s="38">
        <v>46083</v>
      </c>
      <c r="B179" t="s">
        <v>220</v>
      </c>
      <c r="C179" s="11"/>
      <c r="D179" s="11">
        <v>23000</v>
      </c>
      <c r="E179" t="s">
        <v>368</v>
      </c>
      <c r="F179" s="111" t="s">
        <v>108</v>
      </c>
      <c r="J179" s="4" t="s">
        <v>115</v>
      </c>
      <c r="K179" s="14"/>
      <c r="L179" s="14">
        <v>400000</v>
      </c>
      <c r="N179">
        <v>15000</v>
      </c>
      <c r="O179">
        <v>20850</v>
      </c>
    </row>
    <row r="180" spans="1:15" x14ac:dyDescent="0.3">
      <c r="A180" s="38">
        <v>46083</v>
      </c>
      <c r="B180" t="s">
        <v>54</v>
      </c>
      <c r="C180" s="11">
        <v>2000</v>
      </c>
      <c r="D180" s="11"/>
      <c r="E180" t="s">
        <v>369</v>
      </c>
      <c r="F180" s="111" t="s">
        <v>108</v>
      </c>
      <c r="J180" s="4" t="s">
        <v>298</v>
      </c>
      <c r="K180" s="14"/>
      <c r="L180" s="14">
        <v>23000</v>
      </c>
      <c r="N180">
        <v>22650</v>
      </c>
      <c r="O180">
        <v>16630</v>
      </c>
    </row>
    <row r="181" spans="1:15" x14ac:dyDescent="0.3">
      <c r="A181" s="38">
        <v>46083</v>
      </c>
      <c r="B181" t="s">
        <v>225</v>
      </c>
      <c r="C181" s="11"/>
      <c r="D181" s="11">
        <v>100000</v>
      </c>
      <c r="E181" t="s">
        <v>370</v>
      </c>
      <c r="F181" s="111" t="s">
        <v>108</v>
      </c>
      <c r="J181" s="4" t="s">
        <v>169</v>
      </c>
      <c r="K181" s="14"/>
      <c r="L181" s="14">
        <v>808900</v>
      </c>
      <c r="N181">
        <v>25000</v>
      </c>
      <c r="O181">
        <v>16630</v>
      </c>
    </row>
    <row r="182" spans="1:15" x14ac:dyDescent="0.3">
      <c r="A182" s="38">
        <v>46083</v>
      </c>
      <c r="B182" t="s">
        <v>55</v>
      </c>
      <c r="C182" s="11">
        <v>1600</v>
      </c>
      <c r="D182" s="11"/>
      <c r="E182" t="s">
        <v>371</v>
      </c>
      <c r="F182" s="111" t="s">
        <v>108</v>
      </c>
      <c r="J182" s="4" t="s">
        <v>273</v>
      </c>
      <c r="K182" s="14"/>
      <c r="L182" s="14">
        <v>251000</v>
      </c>
      <c r="N182">
        <v>20000</v>
      </c>
      <c r="O182">
        <v>7650</v>
      </c>
    </row>
    <row r="183" spans="1:15" x14ac:dyDescent="0.3">
      <c r="A183" s="38">
        <v>46083</v>
      </c>
      <c r="B183" t="s">
        <v>282</v>
      </c>
      <c r="C183" s="11"/>
      <c r="D183" s="11"/>
      <c r="E183" t="s">
        <v>372</v>
      </c>
      <c r="F183" s="111" t="s">
        <v>108</v>
      </c>
      <c r="J183" s="4" t="s">
        <v>220</v>
      </c>
      <c r="K183" s="14">
        <v>3799100</v>
      </c>
      <c r="L183" s="14">
        <v>7402648</v>
      </c>
      <c r="N183">
        <v>16650</v>
      </c>
      <c r="O183">
        <v>17000</v>
      </c>
    </row>
    <row r="184" spans="1:15" x14ac:dyDescent="0.3">
      <c r="A184" s="38">
        <v>46083</v>
      </c>
      <c r="B184" t="s">
        <v>55</v>
      </c>
      <c r="C184" s="11">
        <v>2120</v>
      </c>
      <c r="D184" s="11"/>
      <c r="E184" t="s">
        <v>373</v>
      </c>
      <c r="F184" s="111" t="s">
        <v>108</v>
      </c>
      <c r="J184" s="4" t="s">
        <v>165</v>
      </c>
      <c r="K184" s="14"/>
      <c r="L184" s="14">
        <v>65000</v>
      </c>
      <c r="N184">
        <v>29600</v>
      </c>
      <c r="O184">
        <v>16650</v>
      </c>
    </row>
    <row r="185" spans="1:15" x14ac:dyDescent="0.3">
      <c r="A185" s="38">
        <v>46083</v>
      </c>
      <c r="B185" t="s">
        <v>358</v>
      </c>
      <c r="C185" s="11">
        <v>5000</v>
      </c>
      <c r="D185" s="11"/>
      <c r="E185" t="s">
        <v>374</v>
      </c>
      <c r="F185" s="111" t="s">
        <v>108</v>
      </c>
      <c r="J185" s="4" t="s">
        <v>175</v>
      </c>
      <c r="K185" s="14">
        <v>704000</v>
      </c>
      <c r="L185" s="14"/>
      <c r="N185">
        <v>16630</v>
      </c>
      <c r="O185">
        <v>24400</v>
      </c>
    </row>
    <row r="186" spans="1:15" x14ac:dyDescent="0.3">
      <c r="A186" s="38">
        <v>46083</v>
      </c>
      <c r="B186" t="s">
        <v>358</v>
      </c>
      <c r="C186" s="11">
        <v>10000</v>
      </c>
      <c r="D186" s="11"/>
      <c r="E186" t="s">
        <v>275</v>
      </c>
      <c r="F186" s="111" t="s">
        <v>108</v>
      </c>
      <c r="J186" s="4" t="s">
        <v>176</v>
      </c>
      <c r="K186" s="14"/>
      <c r="L186" s="14">
        <v>35000</v>
      </c>
      <c r="N186">
        <v>16650</v>
      </c>
      <c r="O186">
        <v>15000</v>
      </c>
    </row>
    <row r="187" spans="1:15" x14ac:dyDescent="0.3">
      <c r="A187" s="38">
        <v>46083</v>
      </c>
      <c r="B187" t="s">
        <v>220</v>
      </c>
      <c r="C187" s="11"/>
      <c r="D187" s="11">
        <v>175000</v>
      </c>
      <c r="E187" t="s">
        <v>375</v>
      </c>
      <c r="F187" s="111" t="s">
        <v>108</v>
      </c>
      <c r="J187" s="4" t="s">
        <v>51</v>
      </c>
      <c r="K187" s="14"/>
      <c r="L187" s="14">
        <v>2222081</v>
      </c>
      <c r="N187">
        <v>160000</v>
      </c>
      <c r="O187">
        <v>16650</v>
      </c>
    </row>
    <row r="188" spans="1:15" x14ac:dyDescent="0.3">
      <c r="A188" s="38">
        <v>46083</v>
      </c>
      <c r="B188" t="s">
        <v>222</v>
      </c>
      <c r="C188" s="96">
        <v>125000</v>
      </c>
      <c r="D188" s="96"/>
      <c r="E188" t="s">
        <v>376</v>
      </c>
      <c r="F188" s="111" t="s">
        <v>108</v>
      </c>
      <c r="J188" s="4" t="s">
        <v>295</v>
      </c>
      <c r="K188" s="14"/>
      <c r="L188" s="14">
        <v>10000</v>
      </c>
      <c r="N188">
        <v>17000</v>
      </c>
      <c r="O188">
        <v>13650</v>
      </c>
    </row>
    <row r="189" spans="1:15" x14ac:dyDescent="0.3">
      <c r="A189" s="115">
        <v>46083</v>
      </c>
      <c r="B189" t="s">
        <v>246</v>
      </c>
      <c r="C189" s="11">
        <v>430</v>
      </c>
      <c r="D189" s="11"/>
      <c r="E189" t="s">
        <v>377</v>
      </c>
      <c r="F189" s="111" t="s">
        <v>108</v>
      </c>
      <c r="J189" s="4" t="s">
        <v>192</v>
      </c>
      <c r="K189" s="14">
        <v>30000</v>
      </c>
      <c r="L189" s="14"/>
      <c r="N189">
        <v>19200</v>
      </c>
      <c r="O189">
        <v>12000</v>
      </c>
    </row>
    <row r="190" spans="1:15" x14ac:dyDescent="0.3">
      <c r="A190" s="38">
        <v>46083</v>
      </c>
      <c r="B190" t="s">
        <v>221</v>
      </c>
      <c r="C190" s="96">
        <v>1000</v>
      </c>
      <c r="D190" s="96"/>
      <c r="E190" t="s">
        <v>351</v>
      </c>
      <c r="F190" s="111" t="s">
        <v>108</v>
      </c>
      <c r="J190" s="4" t="s">
        <v>190</v>
      </c>
      <c r="K190" s="14">
        <v>20340</v>
      </c>
      <c r="L190" s="14"/>
      <c r="N190">
        <v>20000</v>
      </c>
      <c r="O190">
        <v>14000</v>
      </c>
    </row>
    <row r="191" spans="1:15" x14ac:dyDescent="0.3">
      <c r="A191" s="115">
        <v>46083</v>
      </c>
      <c r="B191" t="s">
        <v>313</v>
      </c>
      <c r="C191" s="11"/>
      <c r="D191" s="11">
        <v>8701</v>
      </c>
      <c r="E191" t="s">
        <v>379</v>
      </c>
      <c r="F191" s="111" t="s">
        <v>108</v>
      </c>
      <c r="J191" s="4" t="s">
        <v>299</v>
      </c>
      <c r="K191" s="14"/>
      <c r="L191" s="14">
        <v>351000</v>
      </c>
      <c r="N191">
        <v>20850</v>
      </c>
      <c r="O191">
        <v>25000</v>
      </c>
    </row>
    <row r="192" spans="1:15" x14ac:dyDescent="0.3">
      <c r="A192" s="115">
        <v>46083</v>
      </c>
      <c r="B192" t="s">
        <v>54</v>
      </c>
      <c r="C192" s="11">
        <v>8701</v>
      </c>
      <c r="D192" s="11"/>
      <c r="E192" t="s">
        <v>267</v>
      </c>
      <c r="F192" s="111" t="s">
        <v>108</v>
      </c>
      <c r="J192" s="4" t="s">
        <v>277</v>
      </c>
      <c r="K192" s="14"/>
      <c r="L192" s="14">
        <v>140000</v>
      </c>
      <c r="N192">
        <v>16650</v>
      </c>
      <c r="O192">
        <v>20000</v>
      </c>
    </row>
    <row r="193" spans="1:15" x14ac:dyDescent="0.3">
      <c r="A193" s="115">
        <v>46083</v>
      </c>
      <c r="B193" t="s">
        <v>228</v>
      </c>
      <c r="C193" s="11"/>
      <c r="D193" s="11">
        <v>90000</v>
      </c>
      <c r="E193" t="s">
        <v>380</v>
      </c>
      <c r="F193" s="111" t="s">
        <v>108</v>
      </c>
      <c r="J193" s="4" t="s">
        <v>211</v>
      </c>
      <c r="K193" s="14">
        <v>5423386</v>
      </c>
      <c r="L193" s="14"/>
      <c r="N193">
        <v>14000</v>
      </c>
      <c r="O193">
        <v>25000</v>
      </c>
    </row>
    <row r="194" spans="1:15" x14ac:dyDescent="0.3">
      <c r="A194" s="38">
        <v>46083</v>
      </c>
      <c r="B194" t="s">
        <v>220</v>
      </c>
      <c r="C194" s="96">
        <v>90000</v>
      </c>
      <c r="D194" s="96"/>
      <c r="E194" t="s">
        <v>264</v>
      </c>
      <c r="F194" s="111" t="s">
        <v>108</v>
      </c>
      <c r="J194" s="4" t="s">
        <v>222</v>
      </c>
      <c r="K194" s="14"/>
      <c r="L194" s="14">
        <v>972255</v>
      </c>
      <c r="N194">
        <v>3900</v>
      </c>
      <c r="O194">
        <v>3900</v>
      </c>
    </row>
    <row r="195" spans="1:15" x14ac:dyDescent="0.3">
      <c r="A195" s="115">
        <v>46084</v>
      </c>
      <c r="B195" t="s">
        <v>9</v>
      </c>
      <c r="C195" s="11"/>
      <c r="D195" s="11">
        <v>60000</v>
      </c>
      <c r="E195" t="s">
        <v>386</v>
      </c>
      <c r="F195" s="111" t="s">
        <v>108</v>
      </c>
      <c r="J195" s="4" t="s">
        <v>228</v>
      </c>
      <c r="K195" s="14">
        <v>850000</v>
      </c>
      <c r="L195" s="14"/>
      <c r="N195">
        <v>35000</v>
      </c>
      <c r="O195">
        <v>18120</v>
      </c>
    </row>
    <row r="196" spans="1:15" x14ac:dyDescent="0.3">
      <c r="A196" s="115">
        <v>46084</v>
      </c>
      <c r="B196" t="s">
        <v>165</v>
      </c>
      <c r="C196" s="11">
        <v>2500</v>
      </c>
      <c r="D196" s="11"/>
      <c r="E196" t="s">
        <v>387</v>
      </c>
      <c r="F196" s="111" t="s">
        <v>108</v>
      </c>
      <c r="J196" s="4" t="s">
        <v>249</v>
      </c>
      <c r="K196" s="14"/>
      <c r="L196" s="14">
        <v>46375</v>
      </c>
      <c r="O196">
        <v>22650</v>
      </c>
    </row>
    <row r="197" spans="1:15" x14ac:dyDescent="0.3">
      <c r="A197" s="115">
        <v>46084</v>
      </c>
      <c r="B197" t="s">
        <v>257</v>
      </c>
      <c r="C197" s="11">
        <v>100000</v>
      </c>
      <c r="D197" s="11"/>
      <c r="E197" t="s">
        <v>388</v>
      </c>
      <c r="F197" s="111" t="s">
        <v>108</v>
      </c>
      <c r="J197" s="4" t="s">
        <v>252</v>
      </c>
      <c r="K197" s="14"/>
      <c r="L197" s="14">
        <v>100000</v>
      </c>
      <c r="O197">
        <v>22650</v>
      </c>
    </row>
    <row r="198" spans="1:15" x14ac:dyDescent="0.3">
      <c r="A198" s="115">
        <v>46084</v>
      </c>
      <c r="B198" t="s">
        <v>313</v>
      </c>
      <c r="C198" s="11"/>
      <c r="D198" s="11">
        <v>500000</v>
      </c>
      <c r="E198" t="s">
        <v>389</v>
      </c>
      <c r="F198" s="111" t="s">
        <v>108</v>
      </c>
      <c r="J198" s="4" t="s">
        <v>257</v>
      </c>
      <c r="K198" s="14"/>
      <c r="L198" s="14">
        <v>221490</v>
      </c>
      <c r="O198">
        <v>160000</v>
      </c>
    </row>
    <row r="199" spans="1:15" x14ac:dyDescent="0.3">
      <c r="A199" s="115">
        <v>46084</v>
      </c>
      <c r="B199" t="s">
        <v>55</v>
      </c>
      <c r="C199" s="11">
        <v>10500</v>
      </c>
      <c r="D199" s="11"/>
      <c r="E199" t="s">
        <v>390</v>
      </c>
      <c r="F199" s="111" t="s">
        <v>108</v>
      </c>
      <c r="J199" s="4" t="s">
        <v>232</v>
      </c>
      <c r="K199" s="14">
        <v>39278</v>
      </c>
      <c r="L199" s="14"/>
    </row>
    <row r="200" spans="1:15" x14ac:dyDescent="0.3">
      <c r="A200" s="115">
        <v>46084</v>
      </c>
      <c r="B200" t="s">
        <v>273</v>
      </c>
      <c r="C200" s="11">
        <v>150000</v>
      </c>
      <c r="D200" s="11"/>
      <c r="E200" t="s">
        <v>391</v>
      </c>
      <c r="F200" s="111" t="s">
        <v>108</v>
      </c>
      <c r="J200" s="4" t="s">
        <v>313</v>
      </c>
      <c r="K200" s="14">
        <v>2026791.4930504756</v>
      </c>
      <c r="L200" s="14"/>
    </row>
    <row r="201" spans="1:15" x14ac:dyDescent="0.3">
      <c r="A201" s="115">
        <v>46084</v>
      </c>
      <c r="B201" t="s">
        <v>222</v>
      </c>
      <c r="C201" s="11">
        <v>100210</v>
      </c>
      <c r="D201" s="11"/>
      <c r="E201" t="s">
        <v>392</v>
      </c>
      <c r="F201" s="111" t="s">
        <v>108</v>
      </c>
      <c r="J201" s="4" t="s">
        <v>378</v>
      </c>
      <c r="K201" s="14">
        <v>257000</v>
      </c>
      <c r="L201" s="14"/>
    </row>
    <row r="202" spans="1:15" x14ac:dyDescent="0.3">
      <c r="A202" s="115">
        <v>46084</v>
      </c>
      <c r="B202" t="s">
        <v>313</v>
      </c>
      <c r="C202" s="11"/>
      <c r="D202" s="11">
        <v>500000</v>
      </c>
      <c r="E202" t="s">
        <v>393</v>
      </c>
      <c r="F202" s="111" t="s">
        <v>108</v>
      </c>
      <c r="J202" s="4" t="s">
        <v>226</v>
      </c>
      <c r="K202" s="14"/>
      <c r="L202" s="14">
        <v>88500</v>
      </c>
    </row>
    <row r="203" spans="1:15" x14ac:dyDescent="0.3">
      <c r="A203" s="115">
        <v>46084</v>
      </c>
      <c r="B203" t="s">
        <v>113</v>
      </c>
      <c r="C203" s="11">
        <v>70415</v>
      </c>
      <c r="D203" s="11"/>
      <c r="E203" t="s">
        <v>216</v>
      </c>
      <c r="F203" s="111" t="s">
        <v>108</v>
      </c>
      <c r="J203" s="4" t="s">
        <v>229</v>
      </c>
      <c r="K203" s="14"/>
      <c r="L203" s="14">
        <v>400000</v>
      </c>
    </row>
    <row r="204" spans="1:15" x14ac:dyDescent="0.3">
      <c r="A204" s="115">
        <v>46084</v>
      </c>
      <c r="B204" t="s">
        <v>169</v>
      </c>
      <c r="C204" s="11">
        <v>250000</v>
      </c>
      <c r="D204" s="11"/>
      <c r="E204" t="s">
        <v>394</v>
      </c>
      <c r="F204" s="111" t="s">
        <v>108</v>
      </c>
      <c r="J204" s="4" t="s">
        <v>28</v>
      </c>
      <c r="K204" s="14">
        <v>15797192.493050475</v>
      </c>
      <c r="L204" s="14">
        <v>15772077</v>
      </c>
    </row>
    <row r="205" spans="1:15" x14ac:dyDescent="0.3">
      <c r="A205" s="115">
        <v>46084</v>
      </c>
      <c r="B205" t="s">
        <v>299</v>
      </c>
      <c r="C205" s="11">
        <v>150000</v>
      </c>
      <c r="D205" s="11"/>
      <c r="E205" t="s">
        <v>395</v>
      </c>
      <c r="F205" s="111" t="s">
        <v>108</v>
      </c>
    </row>
    <row r="206" spans="1:15" x14ac:dyDescent="0.3">
      <c r="A206" s="115">
        <v>46084</v>
      </c>
      <c r="B206" t="s">
        <v>222</v>
      </c>
      <c r="C206" s="11">
        <v>31000</v>
      </c>
      <c r="D206" s="11"/>
      <c r="E206" t="s">
        <v>242</v>
      </c>
      <c r="F206" s="111" t="s">
        <v>108</v>
      </c>
    </row>
    <row r="207" spans="1:15" x14ac:dyDescent="0.3">
      <c r="A207" s="115">
        <v>46084</v>
      </c>
      <c r="B207" t="s">
        <v>378</v>
      </c>
      <c r="C207" s="11"/>
      <c r="D207" s="11">
        <v>257000</v>
      </c>
      <c r="E207" t="s">
        <v>396</v>
      </c>
      <c r="F207" s="111" t="s">
        <v>108</v>
      </c>
    </row>
    <row r="208" spans="1:15" x14ac:dyDescent="0.3">
      <c r="A208" s="115">
        <v>46084</v>
      </c>
      <c r="B208" t="s">
        <v>212</v>
      </c>
      <c r="C208" s="11">
        <f>650+760</f>
        <v>1410</v>
      </c>
      <c r="D208" s="11"/>
      <c r="F208" s="111" t="s">
        <v>108</v>
      </c>
    </row>
    <row r="209" spans="1:6" x14ac:dyDescent="0.3">
      <c r="A209" s="115">
        <v>46084</v>
      </c>
      <c r="B209" t="s">
        <v>222</v>
      </c>
      <c r="C209" s="11">
        <v>18500</v>
      </c>
      <c r="D209" s="11"/>
      <c r="E209" t="s">
        <v>242</v>
      </c>
      <c r="F209" s="111" t="s">
        <v>108</v>
      </c>
    </row>
    <row r="210" spans="1:6" x14ac:dyDescent="0.3">
      <c r="A210" s="115">
        <v>46084</v>
      </c>
      <c r="B210" t="s">
        <v>249</v>
      </c>
      <c r="C210" s="11">
        <v>3600</v>
      </c>
      <c r="D210" s="11"/>
      <c r="E210" t="s">
        <v>247</v>
      </c>
      <c r="F210" s="111" t="s">
        <v>108</v>
      </c>
    </row>
    <row r="211" spans="1:6" x14ac:dyDescent="0.3">
      <c r="A211" s="115">
        <v>46084</v>
      </c>
      <c r="B211" t="s">
        <v>54</v>
      </c>
      <c r="C211" s="11">
        <v>5000</v>
      </c>
      <c r="D211" s="11"/>
      <c r="E211" t="s">
        <v>291</v>
      </c>
      <c r="F211" s="111" t="s">
        <v>108</v>
      </c>
    </row>
    <row r="212" spans="1:6" x14ac:dyDescent="0.3">
      <c r="A212" s="115">
        <v>46085</v>
      </c>
      <c r="B212" t="s">
        <v>228</v>
      </c>
      <c r="C212" s="11"/>
      <c r="D212" s="11">
        <v>100000</v>
      </c>
      <c r="E212" t="s">
        <v>366</v>
      </c>
      <c r="F212" s="111" t="s">
        <v>108</v>
      </c>
    </row>
    <row r="213" spans="1:6" x14ac:dyDescent="0.3">
      <c r="A213" s="115">
        <v>46085</v>
      </c>
      <c r="B213" t="s">
        <v>226</v>
      </c>
      <c r="C213" s="11">
        <v>84500</v>
      </c>
      <c r="D213" s="11"/>
      <c r="E213" t="s">
        <v>397</v>
      </c>
      <c r="F213" s="111" t="s">
        <v>108</v>
      </c>
    </row>
    <row r="214" spans="1:6" x14ac:dyDescent="0.3">
      <c r="A214" s="115">
        <v>46085</v>
      </c>
      <c r="B214" t="s">
        <v>222</v>
      </c>
      <c r="C214" s="11">
        <v>2000</v>
      </c>
      <c r="D214" s="11"/>
      <c r="E214" t="s">
        <v>342</v>
      </c>
      <c r="F214" s="111" t="s">
        <v>108</v>
      </c>
    </row>
    <row r="215" spans="1:6" x14ac:dyDescent="0.3">
      <c r="A215" s="115">
        <v>46085</v>
      </c>
      <c r="B215" t="s">
        <v>169</v>
      </c>
      <c r="C215" s="11">
        <v>1000</v>
      </c>
      <c r="D215" s="11"/>
      <c r="E215" t="s">
        <v>342</v>
      </c>
      <c r="F215" s="111" t="s">
        <v>108</v>
      </c>
    </row>
    <row r="216" spans="1:6" x14ac:dyDescent="0.3">
      <c r="A216" s="115">
        <v>46085</v>
      </c>
      <c r="B216" t="s">
        <v>282</v>
      </c>
      <c r="C216" s="11"/>
      <c r="D216" s="11"/>
      <c r="E216" t="s">
        <v>330</v>
      </c>
      <c r="F216" s="111" t="s">
        <v>108</v>
      </c>
    </row>
    <row r="217" spans="1:6" x14ac:dyDescent="0.3">
      <c r="A217" s="115">
        <v>46085</v>
      </c>
      <c r="B217" t="s">
        <v>55</v>
      </c>
      <c r="C217" s="11">
        <v>200000</v>
      </c>
      <c r="D217" s="11"/>
      <c r="E217" t="s">
        <v>398</v>
      </c>
      <c r="F217" s="111" t="s">
        <v>108</v>
      </c>
    </row>
    <row r="218" spans="1:6" x14ac:dyDescent="0.3">
      <c r="A218" s="115">
        <v>46085</v>
      </c>
      <c r="B218" t="s">
        <v>222</v>
      </c>
      <c r="C218" s="11">
        <v>140000</v>
      </c>
      <c r="D218" s="11"/>
      <c r="E218" t="s">
        <v>399</v>
      </c>
      <c r="F218" s="111" t="s">
        <v>108</v>
      </c>
    </row>
    <row r="219" spans="1:6" x14ac:dyDescent="0.3">
      <c r="A219" s="115">
        <v>46085</v>
      </c>
      <c r="B219" t="s">
        <v>55</v>
      </c>
      <c r="C219" s="11">
        <v>3900</v>
      </c>
      <c r="D219" s="11"/>
      <c r="F219" s="111" t="s">
        <v>108</v>
      </c>
    </row>
    <row r="220" spans="1:6" x14ac:dyDescent="0.3">
      <c r="A220" s="115">
        <v>46085</v>
      </c>
      <c r="B220" t="s">
        <v>212</v>
      </c>
      <c r="C220" s="11">
        <v>3720</v>
      </c>
      <c r="D220" s="11"/>
      <c r="E220" t="s">
        <v>254</v>
      </c>
      <c r="F220" s="111" t="s">
        <v>108</v>
      </c>
    </row>
    <row r="221" spans="1:6" x14ac:dyDescent="0.3">
      <c r="A221" s="115">
        <v>46085</v>
      </c>
      <c r="B221" t="s">
        <v>55</v>
      </c>
      <c r="C221" s="96">
        <v>3500</v>
      </c>
      <c r="D221" s="96"/>
      <c r="E221" t="s">
        <v>401</v>
      </c>
      <c r="F221" s="111" t="s">
        <v>108</v>
      </c>
    </row>
    <row r="222" spans="1:6" x14ac:dyDescent="0.3">
      <c r="A222" s="115">
        <v>46085</v>
      </c>
      <c r="B222" t="s">
        <v>55</v>
      </c>
      <c r="C222" s="11">
        <v>1860</v>
      </c>
      <c r="D222" s="11"/>
      <c r="E222" t="s">
        <v>400</v>
      </c>
      <c r="F222" s="111" t="s">
        <v>108</v>
      </c>
    </row>
    <row r="223" spans="1:6" x14ac:dyDescent="0.3">
      <c r="A223" s="115">
        <v>46085</v>
      </c>
      <c r="B223" t="s">
        <v>212</v>
      </c>
      <c r="C223" s="11">
        <v>650</v>
      </c>
      <c r="D223" s="11"/>
      <c r="F223" s="111" t="s">
        <v>108</v>
      </c>
    </row>
    <row r="224" spans="1:6" x14ac:dyDescent="0.3">
      <c r="A224" s="115">
        <v>46085</v>
      </c>
      <c r="B224" t="s">
        <v>249</v>
      </c>
      <c r="C224" s="11">
        <v>3600</v>
      </c>
      <c r="D224" s="11"/>
      <c r="E224" t="s">
        <v>247</v>
      </c>
      <c r="F224" s="111" t="s">
        <v>108</v>
      </c>
    </row>
    <row r="225" spans="1:6" x14ac:dyDescent="0.3">
      <c r="A225" s="115">
        <v>46085</v>
      </c>
      <c r="B225" t="s">
        <v>54</v>
      </c>
      <c r="C225" s="11">
        <v>5110</v>
      </c>
      <c r="D225" s="11"/>
      <c r="E225" t="s">
        <v>267</v>
      </c>
      <c r="F225" s="111" t="s">
        <v>108</v>
      </c>
    </row>
    <row r="226" spans="1:6" x14ac:dyDescent="0.3">
      <c r="A226" s="115">
        <v>46085</v>
      </c>
      <c r="B226" t="s">
        <v>313</v>
      </c>
      <c r="C226" s="11"/>
      <c r="D226" s="11">
        <v>5110</v>
      </c>
      <c r="E226" t="s">
        <v>403</v>
      </c>
      <c r="F226" s="111" t="s">
        <v>108</v>
      </c>
    </row>
    <row r="227" spans="1:6" x14ac:dyDescent="0.3">
      <c r="A227" s="115">
        <v>46086</v>
      </c>
      <c r="B227" t="s">
        <v>358</v>
      </c>
      <c r="C227" s="11">
        <v>25000</v>
      </c>
      <c r="D227" s="11"/>
      <c r="E227" t="s">
        <v>404</v>
      </c>
      <c r="F227" s="111" t="s">
        <v>108</v>
      </c>
    </row>
    <row r="228" spans="1:6" x14ac:dyDescent="0.3">
      <c r="A228" s="115">
        <v>46086</v>
      </c>
      <c r="B228" t="s">
        <v>282</v>
      </c>
      <c r="C228" s="11">
        <v>10000</v>
      </c>
      <c r="D228" s="11"/>
      <c r="E228" t="s">
        <v>405</v>
      </c>
      <c r="F228" s="111" t="s">
        <v>108</v>
      </c>
    </row>
    <row r="229" spans="1:6" x14ac:dyDescent="0.3">
      <c r="A229" s="115">
        <v>46086</v>
      </c>
      <c r="B229" t="s">
        <v>225</v>
      </c>
      <c r="C229" s="11"/>
      <c r="D229" s="11">
        <v>100000</v>
      </c>
      <c r="E229" t="s">
        <v>406</v>
      </c>
      <c r="F229" s="111" t="s">
        <v>108</v>
      </c>
    </row>
    <row r="230" spans="1:6" x14ac:dyDescent="0.3">
      <c r="A230" s="115">
        <v>46086</v>
      </c>
      <c r="B230" t="s">
        <v>226</v>
      </c>
      <c r="C230" s="11">
        <v>4000</v>
      </c>
      <c r="D230" s="11"/>
      <c r="E230" t="s">
        <v>408</v>
      </c>
      <c r="F230" s="111" t="s">
        <v>108</v>
      </c>
    </row>
    <row r="231" spans="1:6" x14ac:dyDescent="0.3">
      <c r="A231" s="115">
        <v>46086</v>
      </c>
      <c r="B231" t="s">
        <v>228</v>
      </c>
      <c r="C231" s="11"/>
      <c r="D231" s="11">
        <v>60000</v>
      </c>
      <c r="F231" s="111" t="s">
        <v>108</v>
      </c>
    </row>
    <row r="232" spans="1:6" x14ac:dyDescent="0.3">
      <c r="A232" s="115">
        <v>46086</v>
      </c>
      <c r="B232" t="s">
        <v>220</v>
      </c>
      <c r="C232" s="11"/>
      <c r="D232" s="11">
        <v>400000</v>
      </c>
      <c r="E232" t="s">
        <v>229</v>
      </c>
      <c r="F232" s="111" t="s">
        <v>108</v>
      </c>
    </row>
    <row r="233" spans="1:6" x14ac:dyDescent="0.3">
      <c r="A233" s="115">
        <v>46086</v>
      </c>
      <c r="B233" t="s">
        <v>229</v>
      </c>
      <c r="C233" s="11">
        <v>400000</v>
      </c>
      <c r="D233" s="11"/>
      <c r="F233" s="111" t="s">
        <v>108</v>
      </c>
    </row>
    <row r="234" spans="1:6" x14ac:dyDescent="0.3">
      <c r="A234" s="115">
        <v>46086</v>
      </c>
      <c r="B234" t="s">
        <v>94</v>
      </c>
      <c r="C234" s="11">
        <v>150077</v>
      </c>
      <c r="D234" s="11"/>
      <c r="E234" t="s">
        <v>409</v>
      </c>
      <c r="F234" s="111" t="s">
        <v>108</v>
      </c>
    </row>
    <row r="235" spans="1:6" x14ac:dyDescent="0.3">
      <c r="A235" s="115">
        <v>46087</v>
      </c>
      <c r="B235" t="s">
        <v>410</v>
      </c>
      <c r="C235" s="11"/>
      <c r="D235" s="11">
        <v>200000</v>
      </c>
      <c r="E235" t="s">
        <v>411</v>
      </c>
      <c r="F235" s="111" t="s">
        <v>108</v>
      </c>
    </row>
    <row r="236" spans="1:6" x14ac:dyDescent="0.3">
      <c r="A236" s="115">
        <v>46087</v>
      </c>
      <c r="B236" t="s">
        <v>222</v>
      </c>
      <c r="C236" s="11">
        <v>201200</v>
      </c>
      <c r="D236" s="11"/>
      <c r="E236" t="s">
        <v>412</v>
      </c>
      <c r="F236" s="111" t="s">
        <v>108</v>
      </c>
    </row>
    <row r="237" spans="1:6" x14ac:dyDescent="0.3">
      <c r="A237" s="115">
        <v>46087</v>
      </c>
      <c r="B237" t="s">
        <v>246</v>
      </c>
      <c r="C237" s="11">
        <v>1500</v>
      </c>
      <c r="D237" s="11"/>
      <c r="E237" t="s">
        <v>413</v>
      </c>
      <c r="F237" s="111" t="s">
        <v>108</v>
      </c>
    </row>
    <row r="238" spans="1:6" x14ac:dyDescent="0.3">
      <c r="A238" s="115">
        <v>46087</v>
      </c>
      <c r="B238" t="s">
        <v>246</v>
      </c>
      <c r="C238" s="11">
        <v>2600</v>
      </c>
      <c r="D238" s="11"/>
      <c r="E238" t="s">
        <v>414</v>
      </c>
      <c r="F238" s="111" t="s">
        <v>108</v>
      </c>
    </row>
    <row r="239" spans="1:6" x14ac:dyDescent="0.3">
      <c r="A239" s="115">
        <v>46087</v>
      </c>
      <c r="B239" t="s">
        <v>212</v>
      </c>
      <c r="C239" s="11">
        <v>760</v>
      </c>
      <c r="D239" s="11"/>
      <c r="F239" s="111" t="s">
        <v>108</v>
      </c>
    </row>
    <row r="240" spans="1:6" x14ac:dyDescent="0.3">
      <c r="A240" s="115">
        <v>46087</v>
      </c>
      <c r="B240" t="s">
        <v>212</v>
      </c>
      <c r="C240" s="11">
        <f>300+200</f>
        <v>500</v>
      </c>
      <c r="D240" s="11"/>
      <c r="F240" s="111" t="s">
        <v>108</v>
      </c>
    </row>
    <row r="241" spans="1:6" x14ac:dyDescent="0.3">
      <c r="A241" s="115">
        <v>46087</v>
      </c>
      <c r="B241" t="s">
        <v>54</v>
      </c>
      <c r="C241" s="11">
        <v>1200</v>
      </c>
      <c r="D241" s="11"/>
      <c r="E241" t="s">
        <v>415</v>
      </c>
      <c r="F241" s="111" t="s">
        <v>108</v>
      </c>
    </row>
    <row r="242" spans="1:6" x14ac:dyDescent="0.3">
      <c r="A242" s="115">
        <v>46087</v>
      </c>
      <c r="C242" s="11"/>
      <c r="D242" s="11"/>
      <c r="F242" s="111"/>
    </row>
    <row r="243" spans="1:6" x14ac:dyDescent="0.3">
      <c r="A243" s="115">
        <v>46087</v>
      </c>
      <c r="C243" s="11"/>
      <c r="D243" s="11"/>
      <c r="F243" s="111"/>
    </row>
    <row r="244" spans="1:6" x14ac:dyDescent="0.3">
      <c r="A244" s="115">
        <v>46087</v>
      </c>
      <c r="C244" s="11"/>
      <c r="D244" s="11"/>
      <c r="F244" s="111"/>
    </row>
    <row r="245" spans="1:6" x14ac:dyDescent="0.3">
      <c r="A245" s="115">
        <v>46087</v>
      </c>
      <c r="C245" s="11"/>
      <c r="D245" s="11"/>
      <c r="F245" s="111"/>
    </row>
    <row r="246" spans="1:6" x14ac:dyDescent="0.3">
      <c r="A246" s="38"/>
      <c r="C246" s="14">
        <f>SUBTOTAL(109,Table14[Debit])</f>
        <v>15772077</v>
      </c>
      <c r="D246" s="14">
        <f>SUBTOTAL(109,Table14[Credit])</f>
        <v>15797192.493050475</v>
      </c>
      <c r="F246" s="54">
        <f>(Table14[[#Totals],[Credit]]-Table14[[#Totals],[Debit]])</f>
        <v>25115.493050474674</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23" zoomScale="107" zoomScaleNormal="210" workbookViewId="0">
      <selection activeCell="B28" sqref="B2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v>483125</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L10" s="127"/>
      <c r="M10" s="127">
        <v>0</v>
      </c>
    </row>
    <row r="11" spans="1:14" x14ac:dyDescent="0.3">
      <c r="A11" s="1"/>
      <c r="K11" s="26">
        <v>46072</v>
      </c>
      <c r="L11" s="127"/>
      <c r="M11" s="127">
        <v>764250</v>
      </c>
    </row>
    <row r="12" spans="1:14" x14ac:dyDescent="0.3">
      <c r="A12" s="1"/>
      <c r="K12" s="26">
        <v>46073</v>
      </c>
      <c r="L12" s="127">
        <v>100000</v>
      </c>
      <c r="M12" s="127">
        <v>0</v>
      </c>
    </row>
    <row r="13" spans="1:14" x14ac:dyDescent="0.3">
      <c r="A13" s="1"/>
      <c r="K13" s="26">
        <v>46075</v>
      </c>
      <c r="L13" s="127"/>
      <c r="M13" s="127">
        <v>0</v>
      </c>
    </row>
    <row r="14" spans="1:14" x14ac:dyDescent="0.3">
      <c r="A14" s="123"/>
      <c r="K14" s="26">
        <v>46076</v>
      </c>
      <c r="L14" s="127">
        <v>7800</v>
      </c>
      <c r="M14" s="127">
        <v>0</v>
      </c>
    </row>
    <row r="15" spans="1:14" x14ac:dyDescent="0.3">
      <c r="A15" s="123"/>
      <c r="K15" s="26">
        <v>46077</v>
      </c>
      <c r="L15" s="127">
        <v>27200</v>
      </c>
      <c r="M15" s="127">
        <v>-100000</v>
      </c>
    </row>
    <row r="16" spans="1:14" x14ac:dyDescent="0.3">
      <c r="A16" s="123"/>
      <c r="K16" s="26">
        <v>46078</v>
      </c>
      <c r="L16" s="127"/>
      <c r="M16" s="127">
        <v>-150000</v>
      </c>
    </row>
    <row r="17" spans="1:13" x14ac:dyDescent="0.3">
      <c r="A17" s="123"/>
      <c r="K17" s="26">
        <v>46079</v>
      </c>
      <c r="L17" s="127"/>
      <c r="M17" s="127">
        <v>-150000</v>
      </c>
    </row>
    <row r="18" spans="1:13" x14ac:dyDescent="0.3">
      <c r="A18" s="123"/>
      <c r="K18" s="4" t="s">
        <v>28</v>
      </c>
      <c r="L18" s="127">
        <v>135000</v>
      </c>
      <c r="M18" s="127">
        <v>364250</v>
      </c>
    </row>
    <row r="19" spans="1:13" x14ac:dyDescent="0.3">
      <c r="A19" s="123"/>
    </row>
    <row r="20" spans="1:13" x14ac:dyDescent="0.3">
      <c r="A20" s="123"/>
    </row>
    <row r="21" spans="1:13" x14ac:dyDescent="0.3">
      <c r="A21" s="123">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3">
        <v>46075</v>
      </c>
      <c r="B22" t="s">
        <v>64</v>
      </c>
      <c r="F22" t="s">
        <v>229</v>
      </c>
      <c r="G22">
        <f>SUMIFS(Table14[Debit], Table14[Date], Table8[[#This Row],[Date]], Table14[Party], Table8[[#This Row],[Party]])</f>
        <v>0</v>
      </c>
      <c r="H22">
        <f>Table8[[#This Row],[Price]]-Table8[[#This Row],[Paid]]</f>
        <v>0</v>
      </c>
    </row>
    <row r="23" spans="1:13" x14ac:dyDescent="0.3">
      <c r="A23" s="123">
        <v>46076</v>
      </c>
      <c r="B23" t="s">
        <v>64</v>
      </c>
      <c r="E23">
        <v>7800</v>
      </c>
      <c r="F23" t="s">
        <v>176</v>
      </c>
      <c r="G23">
        <f>SUMIFS(Table14[Debit], Table14[Date], Table8[[#This Row],[Date]], Table14[Party], Table8[[#This Row],[Party]])</f>
        <v>7800</v>
      </c>
      <c r="H23">
        <f>Table8[[#This Row],[Price]]-Table8[[#This Row],[Paid]]</f>
        <v>0</v>
      </c>
    </row>
    <row r="24" spans="1:13" x14ac:dyDescent="0.3">
      <c r="A24" s="123">
        <v>46077</v>
      </c>
      <c r="B24" t="s">
        <v>315</v>
      </c>
      <c r="E24">
        <v>27200</v>
      </c>
      <c r="F24" t="s">
        <v>176</v>
      </c>
      <c r="G24">
        <f>SUMIFS(Table14[Debit], Table14[Date], Table8[[#This Row],[Date]], Table14[Party], Table8[[#This Row],[Party]])</f>
        <v>27200</v>
      </c>
      <c r="H24">
        <f>Table8[[#This Row],[Price]]-Table8[[#This Row],[Paid]]</f>
        <v>0</v>
      </c>
    </row>
    <row r="25" spans="1:13" x14ac:dyDescent="0.3">
      <c r="A25" s="123">
        <v>46077</v>
      </c>
      <c r="B25" t="s">
        <v>341</v>
      </c>
      <c r="F25" t="s">
        <v>115</v>
      </c>
      <c r="G25">
        <f>SUMIFS(Table14[Debit], Table14[Date], Table8[[#This Row],[Date]], Table14[Party], Table8[[#This Row],[Party]])</f>
        <v>100000</v>
      </c>
      <c r="H25">
        <f>Table8[[#This Row],[Price]]-Table8[[#This Row],[Paid]]</f>
        <v>-100000</v>
      </c>
    </row>
    <row r="26" spans="1:13" x14ac:dyDescent="0.3">
      <c r="A26" s="123">
        <v>46078</v>
      </c>
      <c r="B26" t="s">
        <v>341</v>
      </c>
      <c r="F26" t="s">
        <v>115</v>
      </c>
      <c r="G26">
        <f>SUMIFS(Table14[Debit], Table14[Date], Table8[[#This Row],[Date]], Table14[Party], Table8[[#This Row],[Party]])</f>
        <v>150000</v>
      </c>
      <c r="H26">
        <f>Table8[[#This Row],[Price]]-Table8[[#This Row],[Paid]]</f>
        <v>-150000</v>
      </c>
    </row>
    <row r="27" spans="1:13" x14ac:dyDescent="0.3">
      <c r="A27" s="123">
        <v>46079</v>
      </c>
      <c r="B27" t="s">
        <v>341</v>
      </c>
      <c r="F27" t="s">
        <v>115</v>
      </c>
      <c r="G27">
        <f>SUMIFS(Table14[Debit], Table14[Date], Table8[[#This Row],[Date]], Table14[Party], Table8[[#This Row],[Party]])</f>
        <v>150000</v>
      </c>
      <c r="H27">
        <f>Table8[[#This Row],[Price]]-Table8[[#This Row],[Paid]]</f>
        <v>-150000</v>
      </c>
    </row>
    <row r="28" spans="1:13" x14ac:dyDescent="0.3">
      <c r="A28" s="123">
        <v>46086</v>
      </c>
      <c r="B28" t="s">
        <v>341</v>
      </c>
      <c r="F28" t="s">
        <v>229</v>
      </c>
      <c r="G28">
        <f>SUMIFS(Table14[Debit], Table14[Date], Table8[[#This Row],[Date]], Table14[Party], Table8[[#This Row],[Party]])</f>
        <v>400000</v>
      </c>
      <c r="H28">
        <f>Table8[[#This Row],[Price]]-Table8[[#This Row],[Paid]]</f>
        <v>-400000</v>
      </c>
    </row>
    <row r="29" spans="1:13" x14ac:dyDescent="0.3">
      <c r="E29">
        <f>SUBTOTAL(109,Table8[Price])</f>
        <v>135000</v>
      </c>
      <c r="H29">
        <f>SUBTOTAL(109,Table8[Balance])</f>
        <v>447375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6" zoomScale="104" workbookViewId="0">
      <selection activeCell="A28" sqref="A28"/>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27">
        <v>0</v>
      </c>
      <c r="L5" s="127">
        <v>0</v>
      </c>
      <c r="M5" s="127">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27">
        <v>0</v>
      </c>
      <c r="L6" s="127">
        <v>0</v>
      </c>
      <c r="M6" s="127">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27">
        <v>78000</v>
      </c>
      <c r="L7" s="127">
        <v>78000</v>
      </c>
      <c r="M7" s="12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27">
        <v>120000</v>
      </c>
      <c r="L8" s="127">
        <v>65000</v>
      </c>
      <c r="M8" s="127">
        <v>175000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27">
        <v>0</v>
      </c>
      <c r="L9" s="127">
        <v>0</v>
      </c>
      <c r="M9" s="127">
        <v>0</v>
      </c>
    </row>
    <row r="10" spans="1:13" x14ac:dyDescent="0.3">
      <c r="A10" s="85">
        <v>46073</v>
      </c>
      <c r="B10" s="1" t="s">
        <v>226</v>
      </c>
      <c r="C10" t="s">
        <v>211</v>
      </c>
      <c r="F10">
        <f>260*325</f>
        <v>84500</v>
      </c>
      <c r="H10" t="s">
        <v>290</v>
      </c>
      <c r="J10" s="4" t="s">
        <v>195</v>
      </c>
      <c r="K10" s="127">
        <v>0</v>
      </c>
      <c r="L10" s="127">
        <v>0</v>
      </c>
      <c r="M10" s="127">
        <v>0</v>
      </c>
    </row>
    <row r="11" spans="1:13" x14ac:dyDescent="0.3">
      <c r="A11" s="1"/>
      <c r="B11" s="1"/>
      <c r="J11" s="4" t="s">
        <v>226</v>
      </c>
      <c r="K11" s="127">
        <v>84500</v>
      </c>
      <c r="L11" s="127">
        <v>84500</v>
      </c>
      <c r="M11" s="127">
        <v>-84500</v>
      </c>
    </row>
    <row r="12" spans="1:13" x14ac:dyDescent="0.3">
      <c r="A12" s="1"/>
      <c r="B12" s="1"/>
      <c r="J12" s="4" t="s">
        <v>28</v>
      </c>
      <c r="K12" s="127">
        <v>282500</v>
      </c>
      <c r="L12" s="127">
        <v>227500</v>
      </c>
      <c r="M12" s="127">
        <v>90500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c r="B28" s="1"/>
      <c r="F28">
        <f>Table2[[#This Row],[Quantity]]*200*Table2[[#This Row],[Boxes]]</f>
        <v>0</v>
      </c>
      <c r="G28">
        <f>SUMIFS(Table14[Debit], Table14[Date], Table2[[#This Row],[Date]], Table14[Party], Table2[[#This Row],[Party Name]])</f>
        <v>0</v>
      </c>
      <c r="H28">
        <f>Table2[[#This Row],[Price]]-Table2[[#This Row],[Paid]]</f>
        <v>0</v>
      </c>
    </row>
    <row r="29" spans="1:11" x14ac:dyDescent="0.3">
      <c r="A29" s="1"/>
      <c r="F29">
        <f>SUBTOTAL(109,Table2[Price])</f>
        <v>282500</v>
      </c>
      <c r="G29">
        <f>SUBTOTAL(109,Table2[Paid])</f>
        <v>231500</v>
      </c>
      <c r="H29">
        <f>SUBTOTAL(109,Table2[Balance])</f>
        <v>86500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1274276</v>
      </c>
      <c r="C2" s="32">
        <f>GETPIVOTDATA("Sum of Tiyaar/gaz",$A$3)</f>
        <v>1070824</v>
      </c>
      <c r="D2" s="31">
        <f>((B2*48)+((C2/1.0936)*10))/C2</f>
        <v>66.263906789054104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8037</v>
      </c>
      <c r="D16" s="28">
        <f t="shared" si="1"/>
        <v>92.321416156931107</v>
      </c>
      <c r="E16" s="11">
        <f t="shared" si="2"/>
        <v>15230.5672</v>
      </c>
      <c r="F16" s="11">
        <f t="shared" si="0"/>
        <v>8037</v>
      </c>
      <c r="G16" s="78">
        <f t="shared" si="4"/>
        <v>47.231118221257049</v>
      </c>
      <c r="H16" s="28">
        <f t="shared" si="3"/>
        <v>7349.1221653255307</v>
      </c>
      <c r="I16" s="28">
        <f>((B16*48)+(H16*10))/C16</f>
        <v>92.321416156931107</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27973</v>
      </c>
      <c r="D28" s="28">
        <f t="shared" si="1"/>
        <v>88.882144295741767</v>
      </c>
      <c r="E28" s="11">
        <f t="shared" si="2"/>
        <v>50818.498399999997</v>
      </c>
      <c r="F28" s="11">
        <f t="shared" si="0"/>
        <v>27973</v>
      </c>
      <c r="G28" s="78">
        <f t="shared" si="6"/>
        <v>44.955083521318684</v>
      </c>
      <c r="H28" s="28">
        <f t="shared" si="3"/>
        <v>25578.82223847842</v>
      </c>
      <c r="I28" s="28">
        <f t="shared" si="5"/>
        <v>88.882144295741767</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v>2108</v>
      </c>
      <c r="B30" s="14">
        <v>46392</v>
      </c>
      <c r="C30" s="14">
        <v>48908</v>
      </c>
      <c r="D30" s="28">
        <f t="shared" si="1"/>
        <v>54.674821914564347</v>
      </c>
      <c r="E30" s="11">
        <f t="shared" si="2"/>
        <v>50734.291199999992</v>
      </c>
      <c r="F30" s="11">
        <f t="shared" si="0"/>
        <v>48908</v>
      </c>
      <c r="G30" s="78">
        <f t="shared" si="6"/>
        <v>3.5997175811534561</v>
      </c>
      <c r="H30" s="28">
        <f t="shared" si="3"/>
        <v>44722.019019751286</v>
      </c>
      <c r="I30" s="28">
        <f t="shared" si="5"/>
        <v>54.674821914564347</v>
      </c>
    </row>
    <row r="31" spans="1:9" x14ac:dyDescent="0.3">
      <c r="A31" s="16">
        <v>2114</v>
      </c>
      <c r="B31" s="14">
        <v>22835</v>
      </c>
      <c r="C31" s="14">
        <v>5711</v>
      </c>
      <c r="D31" s="28">
        <f t="shared" si="1"/>
        <v>201.06846769738249</v>
      </c>
      <c r="E31" s="11">
        <f t="shared" si="2"/>
        <v>24972.355999999996</v>
      </c>
      <c r="F31" s="11">
        <f t="shared" si="0"/>
        <v>5711</v>
      </c>
      <c r="G31" s="78">
        <f t="shared" si="6"/>
        <v>77.130712056163219</v>
      </c>
      <c r="H31" s="28">
        <f t="shared" si="3"/>
        <v>5222.2019019751287</v>
      </c>
      <c r="I31" s="28">
        <f t="shared" si="5"/>
        <v>201.06846769738249</v>
      </c>
    </row>
    <row r="32" spans="1:9" x14ac:dyDescent="0.3">
      <c r="A32" s="16">
        <v>2109</v>
      </c>
      <c r="B32" s="14">
        <v>45985</v>
      </c>
      <c r="C32" s="14">
        <v>46245</v>
      </c>
      <c r="D32" s="28">
        <f t="shared" si="1"/>
        <v>56.874244179742085</v>
      </c>
      <c r="E32" s="11">
        <f t="shared" si="2"/>
        <v>50289.195999999996</v>
      </c>
      <c r="F32" s="11">
        <f t="shared" si="0"/>
        <v>46245</v>
      </c>
      <c r="G32" s="78">
        <f t="shared" si="6"/>
        <v>8.0418784185772267</v>
      </c>
      <c r="H32" s="28">
        <f t="shared" si="3"/>
        <v>42286.942209217268</v>
      </c>
      <c r="I32" s="28">
        <f t="shared" si="5"/>
        <v>56.874244179742085</v>
      </c>
    </row>
    <row r="33" spans="1:9" x14ac:dyDescent="0.3">
      <c r="A33" s="16">
        <v>2110</v>
      </c>
      <c r="B33" s="14">
        <v>26023</v>
      </c>
      <c r="C33" s="14">
        <v>28166</v>
      </c>
      <c r="D33" s="28">
        <f t="shared" ref="D33:D37" si="7">I33</f>
        <v>53.492048421675641</v>
      </c>
      <c r="E33" s="11">
        <f t="shared" ref="E33:E37" si="8">B33 * 1.0936</f>
        <v>28458.752799999998</v>
      </c>
      <c r="F33" s="11">
        <f t="shared" ref="F33:F37" si="9">C33</f>
        <v>28166</v>
      </c>
      <c r="G33" s="78">
        <f t="shared" ref="G33:G37" si="10">100- (F33/E33 *100)</f>
        <v>1.0286916016923868</v>
      </c>
      <c r="H33" s="28">
        <f t="shared" ref="H33:H37" si="11">F33/1.0936</f>
        <v>25755.30358449159</v>
      </c>
      <c r="I33" s="28">
        <f t="shared" ref="I33:I37" si="12">((B33*48)+(H33*10))/C33</f>
        <v>53.492048421675641</v>
      </c>
    </row>
    <row r="34" spans="1:9" x14ac:dyDescent="0.3">
      <c r="A34" s="16">
        <v>2106</v>
      </c>
      <c r="B34" s="14"/>
      <c r="C34" s="14">
        <v>2838</v>
      </c>
      <c r="D34" s="28">
        <f t="shared" si="7"/>
        <v>9.1441111923920992</v>
      </c>
      <c r="E34" s="11">
        <f t="shared" si="8"/>
        <v>0</v>
      </c>
      <c r="F34" s="11">
        <f t="shared" si="9"/>
        <v>2838</v>
      </c>
      <c r="G34" s="78" t="e">
        <f t="shared" si="10"/>
        <v>#DIV/0!</v>
      </c>
      <c r="H34" s="28">
        <f t="shared" si="11"/>
        <v>2595.0987564008778</v>
      </c>
      <c r="I34" s="28">
        <f t="shared" si="12"/>
        <v>9.1441111923920992</v>
      </c>
    </row>
    <row r="35" spans="1:9" x14ac:dyDescent="0.3">
      <c r="A35" s="16">
        <v>2119</v>
      </c>
      <c r="B35" s="14">
        <v>25082</v>
      </c>
      <c r="C35" s="14">
        <v>26623</v>
      </c>
      <c r="D35" s="28">
        <f t="shared" si="7"/>
        <v>54.365761645008263</v>
      </c>
      <c r="E35" s="11">
        <f t="shared" si="8"/>
        <v>27429.675199999998</v>
      </c>
      <c r="F35" s="11">
        <f t="shared" si="9"/>
        <v>26623</v>
      </c>
      <c r="G35" s="78">
        <f t="shared" si="10"/>
        <v>2.9408849872199596</v>
      </c>
      <c r="H35" s="28">
        <f t="shared" si="11"/>
        <v>24344.367227505489</v>
      </c>
      <c r="I35" s="28">
        <f t="shared" si="12"/>
        <v>54.365761645008263</v>
      </c>
    </row>
    <row r="36" spans="1:9" x14ac:dyDescent="0.3">
      <c r="A36" s="16">
        <v>2112</v>
      </c>
      <c r="B36" s="14">
        <v>13945</v>
      </c>
      <c r="C36" s="14">
        <v>14730</v>
      </c>
      <c r="D36" s="28">
        <f t="shared" si="7"/>
        <v>54.586066385874794</v>
      </c>
      <c r="E36" s="11">
        <f t="shared" si="8"/>
        <v>15250.251999999999</v>
      </c>
      <c r="F36" s="11">
        <f t="shared" si="9"/>
        <v>14730</v>
      </c>
      <c r="G36" s="78">
        <f t="shared" si="10"/>
        <v>3.411432152071967</v>
      </c>
      <c r="H36" s="28">
        <f t="shared" si="11"/>
        <v>13469.275786393564</v>
      </c>
      <c r="I36" s="28">
        <f t="shared" si="12"/>
        <v>54.586066385874794</v>
      </c>
    </row>
    <row r="37" spans="1:9" x14ac:dyDescent="0.3">
      <c r="A37" s="16">
        <v>2115</v>
      </c>
      <c r="B37" s="14">
        <v>18783</v>
      </c>
      <c r="C37" s="14">
        <v>16742</v>
      </c>
      <c r="D37" s="28">
        <f t="shared" si="7"/>
        <v>62.99574182194651</v>
      </c>
      <c r="E37" s="11">
        <f t="shared" si="8"/>
        <v>20541.088799999998</v>
      </c>
      <c r="F37" s="11">
        <f t="shared" si="9"/>
        <v>16742</v>
      </c>
      <c r="G37" s="78">
        <f t="shared" si="10"/>
        <v>18.495070232109597</v>
      </c>
      <c r="H37" s="28">
        <f t="shared" si="11"/>
        <v>15309.070958302855</v>
      </c>
      <c r="I37" s="28">
        <f t="shared" si="12"/>
        <v>62.99574182194651</v>
      </c>
    </row>
    <row r="38" spans="1:9" x14ac:dyDescent="0.3">
      <c r="A38" s="16">
        <v>1980</v>
      </c>
      <c r="B38" s="14">
        <v>24845</v>
      </c>
      <c r="C38" s="14">
        <v>26443</v>
      </c>
      <c r="D38" s="28">
        <f t="shared" si="1"/>
        <v>54.243381320592377</v>
      </c>
      <c r="E38" s="11">
        <f t="shared" si="2"/>
        <v>27170.491999999998</v>
      </c>
      <c r="F38" s="11">
        <f t="shared" si="0"/>
        <v>26443</v>
      </c>
      <c r="G38" s="78">
        <f t="shared" si="6"/>
        <v>2.6775076432182345</v>
      </c>
      <c r="H38" s="28">
        <f t="shared" si="3"/>
        <v>24179.773226042431</v>
      </c>
      <c r="I38" s="28">
        <f t="shared" si="5"/>
        <v>54.243381320592377</v>
      </c>
    </row>
    <row r="39" spans="1:9" x14ac:dyDescent="0.3">
      <c r="A39" s="16">
        <v>2093</v>
      </c>
      <c r="B39" s="14">
        <v>30363</v>
      </c>
      <c r="C39" s="14">
        <v>32283</v>
      </c>
      <c r="D39" s="28">
        <f t="shared" ref="D39:D44" si="13">I39</f>
        <v>54.289357916674227</v>
      </c>
      <c r="E39" s="11">
        <f t="shared" ref="E39:E44" si="14">B39 * 1.0936</f>
        <v>33204.976799999997</v>
      </c>
      <c r="F39" s="11">
        <f t="shared" ref="F39:F44" si="15">C39</f>
        <v>32283</v>
      </c>
      <c r="G39" s="78">
        <f t="shared" ref="G39:G44" si="16">100- (F39/E39 *100)</f>
        <v>2.7766223284938292</v>
      </c>
      <c r="H39" s="28">
        <f t="shared" ref="H39:H44" si="17">F39/1.0936</f>
        <v>29519.934162399419</v>
      </c>
      <c r="I39" s="28">
        <f t="shared" ref="I39:I44" si="18">((B39*48)+(H39*10))/C39</f>
        <v>54.289357916674227</v>
      </c>
    </row>
    <row r="40" spans="1:9" x14ac:dyDescent="0.3">
      <c r="A40" s="16">
        <v>2121</v>
      </c>
      <c r="B40" s="14">
        <v>52527</v>
      </c>
      <c r="C40" s="14">
        <v>55654</v>
      </c>
      <c r="D40" s="28">
        <f t="shared" si="13"/>
        <v>54.44716218603137</v>
      </c>
      <c r="E40" s="11">
        <f t="shared" si="14"/>
        <v>57443.527199999997</v>
      </c>
      <c r="F40" s="11">
        <f t="shared" si="15"/>
        <v>55654</v>
      </c>
      <c r="G40" s="78">
        <f t="shared" si="16"/>
        <v>3.1152808457764678</v>
      </c>
      <c r="H40" s="28">
        <f t="shared" si="17"/>
        <v>50890.636430138991</v>
      </c>
      <c r="I40" s="28">
        <f t="shared" si="18"/>
        <v>54.44716218603137</v>
      </c>
    </row>
    <row r="41" spans="1:9" x14ac:dyDescent="0.3">
      <c r="A41" s="16">
        <v>2127</v>
      </c>
      <c r="B41" s="14">
        <v>40476</v>
      </c>
      <c r="C41" s="14">
        <v>41559</v>
      </c>
      <c r="D41" s="28">
        <f t="shared" si="13"/>
        <v>55.893263000664682</v>
      </c>
      <c r="E41" s="11">
        <f t="shared" si="14"/>
        <v>44264.553599999999</v>
      </c>
      <c r="F41" s="11">
        <f t="shared" si="15"/>
        <v>41559</v>
      </c>
      <c r="G41" s="78">
        <f t="shared" si="16"/>
        <v>6.112235140670208</v>
      </c>
      <c r="H41" s="28">
        <f t="shared" si="17"/>
        <v>38002.011704462333</v>
      </c>
      <c r="I41" s="28">
        <f t="shared" si="18"/>
        <v>55.893263000664682</v>
      </c>
    </row>
    <row r="42" spans="1:9" x14ac:dyDescent="0.3">
      <c r="A42" s="16">
        <v>2118</v>
      </c>
      <c r="B42" s="14">
        <v>14074</v>
      </c>
      <c r="C42" s="14">
        <v>14324</v>
      </c>
      <c r="D42" s="28">
        <f t="shared" si="13"/>
        <v>56.306356375301903</v>
      </c>
      <c r="E42" s="11">
        <f t="shared" si="14"/>
        <v>15391.326399999998</v>
      </c>
      <c r="F42" s="11">
        <f t="shared" si="15"/>
        <v>14324</v>
      </c>
      <c r="G42" s="78">
        <f t="shared" si="16"/>
        <v>6.9345966180016632</v>
      </c>
      <c r="H42" s="28">
        <f t="shared" si="17"/>
        <v>13098.024871982445</v>
      </c>
      <c r="I42" s="28">
        <f t="shared" si="18"/>
        <v>56.306356375301903</v>
      </c>
    </row>
    <row r="43" spans="1:9" x14ac:dyDescent="0.3">
      <c r="A43" s="16" t="s">
        <v>416</v>
      </c>
      <c r="B43" s="14">
        <v>24035</v>
      </c>
      <c r="C43" s="14">
        <v>25468</v>
      </c>
      <c r="D43" s="28">
        <f t="shared" si="13"/>
        <v>54.443310187209129</v>
      </c>
      <c r="E43" s="11">
        <f t="shared" si="14"/>
        <v>26284.675999999999</v>
      </c>
      <c r="F43" s="11">
        <f t="shared" si="15"/>
        <v>25468</v>
      </c>
      <c r="G43" s="78">
        <f t="shared" si="16"/>
        <v>3.1070422933879769</v>
      </c>
      <c r="H43" s="28">
        <f t="shared" si="17"/>
        <v>23288.2223847842</v>
      </c>
      <c r="I43" s="28">
        <f t="shared" si="18"/>
        <v>54.443310187209129</v>
      </c>
    </row>
    <row r="44" spans="1:9" x14ac:dyDescent="0.3">
      <c r="A44" s="16">
        <v>2111</v>
      </c>
      <c r="B44" s="14">
        <v>12102</v>
      </c>
      <c r="C44" s="14">
        <v>12155</v>
      </c>
      <c r="D44" s="28">
        <f t="shared" si="13"/>
        <v>56.934814606624926</v>
      </c>
      <c r="E44" s="11">
        <f t="shared" si="14"/>
        <v>13234.747199999998</v>
      </c>
      <c r="F44" s="11">
        <f t="shared" si="15"/>
        <v>12155</v>
      </c>
      <c r="G44" s="78">
        <f t="shared" si="16"/>
        <v>8.1584270835184327</v>
      </c>
      <c r="H44" s="28">
        <f t="shared" si="17"/>
        <v>11114.667154352597</v>
      </c>
      <c r="I44" s="28">
        <f t="shared" si="18"/>
        <v>56.934814606624926</v>
      </c>
    </row>
    <row r="45" spans="1:9" x14ac:dyDescent="0.3">
      <c r="A45" s="16">
        <v>1810</v>
      </c>
      <c r="B45" s="14">
        <v>14038</v>
      </c>
      <c r="C45" s="14">
        <v>11418</v>
      </c>
      <c r="D45" s="28">
        <f t="shared" ref="D45:D58" si="19">I45</f>
        <v>68.158299316406811</v>
      </c>
      <c r="E45" s="11">
        <f t="shared" ref="E45:E58" si="20">B45 * 1.0936</f>
        <v>15351.956799999998</v>
      </c>
      <c r="F45" s="11">
        <f t="shared" ref="F45:F58" si="21">C45</f>
        <v>11418</v>
      </c>
      <c r="G45" s="78">
        <f t="shared" ref="G45:G58" si="22">100- (F45/E45 *100)</f>
        <v>25.625116402099309</v>
      </c>
      <c r="H45" s="28">
        <f t="shared" ref="H45:H58" si="23">F45/1.0936</f>
        <v>10440.746159473299</v>
      </c>
      <c r="I45" s="28">
        <f t="shared" ref="I45:I58" si="24">((B45*48)+(H45*10))/C45</f>
        <v>68.158299316406811</v>
      </c>
    </row>
    <row r="46" spans="1:9" x14ac:dyDescent="0.3">
      <c r="A46" s="16">
        <v>1743</v>
      </c>
      <c r="B46" s="14">
        <v>12042</v>
      </c>
      <c r="C46" s="14">
        <v>12864</v>
      </c>
      <c r="D46" s="28">
        <f t="shared" si="19"/>
        <v>54.076947013287622</v>
      </c>
      <c r="E46" s="11">
        <f t="shared" si="20"/>
        <v>13169.131199999998</v>
      </c>
      <c r="F46" s="11">
        <f t="shared" si="21"/>
        <v>12864</v>
      </c>
      <c r="G46" s="78">
        <f t="shared" si="22"/>
        <v>2.3170184529712685</v>
      </c>
      <c r="H46" s="28">
        <f t="shared" si="23"/>
        <v>11762.984637893198</v>
      </c>
      <c r="I46" s="28">
        <f t="shared" si="24"/>
        <v>54.076947013287622</v>
      </c>
    </row>
    <row r="47" spans="1:9" x14ac:dyDescent="0.3">
      <c r="A47" s="16" t="s">
        <v>28</v>
      </c>
      <c r="B47" s="30">
        <v>101030</v>
      </c>
      <c r="C47" s="30">
        <v>1070824</v>
      </c>
      <c r="D47" s="28">
        <f t="shared" si="19"/>
        <v>13.67281058650355</v>
      </c>
      <c r="E47" s="11">
        <f t="shared" si="20"/>
        <v>110486.408</v>
      </c>
      <c r="F47" s="11">
        <f t="shared" si="21"/>
        <v>1070824</v>
      </c>
      <c r="G47" s="78">
        <f t="shared" si="22"/>
        <v>-869.19070805523882</v>
      </c>
      <c r="H47" s="28">
        <f t="shared" si="23"/>
        <v>979173.37234820786</v>
      </c>
      <c r="I47" s="28">
        <f t="shared" si="24"/>
        <v>13.67281058650355</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70415</v>
      </c>
      <c r="H42" s="1">
        <v>46047</v>
      </c>
      <c r="J42">
        <f>SUMIFS(Table14[Debit], Table14[Date], Table15[[#This Row],[Date]], Table14[Party], "Parts")</f>
        <v>0</v>
      </c>
    </row>
    <row r="43" spans="2:10" x14ac:dyDescent="0.3">
      <c r="H43" s="1"/>
      <c r="J43">
        <f>SUM(Table15[Amount])</f>
        <v>651045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5"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18739208.231163137</v>
      </c>
    </row>
    <row r="3" spans="1:3" ht="21" x14ac:dyDescent="0.4">
      <c r="A3" s="102" t="str">
        <f>Billing!R6</f>
        <v>Ejaz Sahab</v>
      </c>
      <c r="B3" s="105">
        <f>Billing!AF6</f>
        <v>6701773</v>
      </c>
      <c r="C3" s="103">
        <f>Billing!AG6</f>
        <v>52214.746891003102</v>
      </c>
    </row>
    <row r="4" spans="1:3" ht="21" x14ac:dyDescent="0.4">
      <c r="A4" s="102" t="str">
        <f>Billing!R7</f>
        <v>Arshad</v>
      </c>
      <c r="B4" s="105">
        <f>Billing!AF7</f>
        <v>8952501</v>
      </c>
      <c r="C4" s="104">
        <f>Billing!AG7</f>
        <v>373713.33796634898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9809871</v>
      </c>
      <c r="C7" s="103">
        <f>Billing!AG10</f>
        <v>6737.4491587430239</v>
      </c>
    </row>
    <row r="8" spans="1:3" ht="21" x14ac:dyDescent="0.4">
      <c r="A8" s="102" t="str">
        <f>Billing!R11</f>
        <v>Raaz Fabrics</v>
      </c>
      <c r="B8" s="105">
        <f>Billing!AF11</f>
        <v>1526321</v>
      </c>
      <c r="C8" s="104">
        <f>Billing!AG11</f>
        <v>332704.23774689133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4830359</v>
      </c>
      <c r="C12" s="103">
        <f>Billing!AG15</f>
        <v>522018.46891002264</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-183826.70811996982</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1445500</v>
      </c>
      <c r="C24" s="103">
        <f>Billing!AG27</f>
        <v>9344.5501097296365</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2150000</v>
      </c>
      <c r="C28" s="103">
        <f>Billing!AG31</f>
        <v>966070.77542062942</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39278</v>
      </c>
      <c r="C32" s="103">
        <f>Billing!AG35</f>
        <v>122261.86832479882</v>
      </c>
    </row>
    <row r="33" spans="1:3" ht="21" x14ac:dyDescent="0.4">
      <c r="A33" s="102" t="str">
        <f>Billing!R36</f>
        <v>Faizan Kamoki</v>
      </c>
      <c r="B33" s="105">
        <f>Billing!AF36</f>
        <v>2026791.4930504756</v>
      </c>
      <c r="C33" s="103">
        <f>Billing!AG36</f>
        <v>679406.38551572803</v>
      </c>
    </row>
    <row r="34" spans="1:3" ht="21" x14ac:dyDescent="0.4">
      <c r="A34" s="102" t="str">
        <f>Billing!R37</f>
        <v>KK fabrics</v>
      </c>
      <c r="B34" s="105">
        <f>Billing!AF37</f>
        <v>257000</v>
      </c>
      <c r="C34" s="103">
        <f>Billing!AG37</f>
        <v>553.03584491589572</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16" priority="1" operator="lessThan">
      <formula>10</formula>
    </cfRule>
  </conditionalFormatting>
  <conditionalFormatting sqref="C2:C41">
    <cfRule type="cellIs" dxfId="15"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2026-03-06T22:57:44Z</dcterms:modified>
  <cp:category/>
  <cp:contentStatus/>
</cp:coreProperties>
</file>