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815" documentId="8_{5FA7CF9A-3CD5-4319-9FC5-E34696581AAD}" xr6:coauthVersionLast="47" xr6:coauthVersionMax="47" xr10:uidLastSave="{DD823426-6D97-4FC1-8CE5-508E156EA6D9}"/>
  <bookViews>
    <workbookView xWindow="-108" yWindow="-108" windowWidth="23256" windowHeight="12456" tabRatio="597" firstSheet="8"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 i="7" l="1"/>
  <c r="H26" i="7" s="1"/>
  <c r="G27" i="7"/>
  <c r="H27" i="7" s="1"/>
  <c r="G28" i="7"/>
  <c r="H28" i="7"/>
  <c r="I95" i="1"/>
  <c r="J95" i="1" a="1"/>
  <c r="J95" i="1" s="1"/>
  <c r="I96" i="1"/>
  <c r="J96" i="1" a="1"/>
  <c r="J96" i="1" s="1"/>
  <c r="I97" i="1"/>
  <c r="J97" i="1" a="1"/>
  <c r="J97" i="1" s="1"/>
  <c r="I98" i="1"/>
  <c r="J98" i="1" s="1" a="1"/>
  <c r="J98" i="1" s="1"/>
  <c r="I99" i="1"/>
  <c r="J99" i="1" a="1"/>
  <c r="J99" i="1" s="1"/>
  <c r="I100" i="1"/>
  <c r="J100" i="1" s="1" a="1"/>
  <c r="J100" i="1" s="1"/>
  <c r="I101" i="1"/>
  <c r="J101" i="1" s="1" a="1"/>
  <c r="J101" i="1" s="1"/>
  <c r="D120" i="17"/>
  <c r="R37" i="9" a="1"/>
  <c r="R37" i="9" s="1"/>
  <c r="S37" i="9" a="1"/>
  <c r="S37" i="9" s="1"/>
  <c r="T37" i="9" a="1"/>
  <c r="T37" i="9" s="1"/>
  <c r="U37" i="9" a="1"/>
  <c r="U37" i="9" s="1"/>
  <c r="V37" i="9" a="1"/>
  <c r="V37" i="9" s="1"/>
  <c r="W37" i="9" a="1"/>
  <c r="W37" i="9" s="1"/>
  <c r="X37" i="9" a="1"/>
  <c r="X37" i="9" s="1"/>
  <c r="Y37" i="9" a="1"/>
  <c r="Y37" i="9" s="1"/>
  <c r="Z37" i="9" a="1"/>
  <c r="Z37" i="9" s="1"/>
  <c r="AA37" i="9" a="1"/>
  <c r="AA37" i="9" s="1"/>
  <c r="AB37" i="9" a="1"/>
  <c r="AB37" i="9" s="1"/>
  <c r="C4" i="8"/>
  <c r="G22" i="15"/>
  <c r="I83" i="1"/>
  <c r="J83" i="1" s="1" a="1"/>
  <c r="J83" i="1" s="1"/>
  <c r="I84" i="1"/>
  <c r="J84" i="1" s="1" a="1"/>
  <c r="J84" i="1" s="1"/>
  <c r="I85" i="1"/>
  <c r="J85" i="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C58" i="17"/>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A35" i="20"/>
  <c r="A36" i="20"/>
  <c r="A37" i="20"/>
  <c r="A38" i="20"/>
  <c r="A39" i="20"/>
  <c r="A40" i="20"/>
  <c r="Q5" i="9" a="1"/>
  <c r="A33" i="20" s="1"/>
  <c r="C6" i="8"/>
  <c r="G8" i="7"/>
  <c r="G6" i="7"/>
  <c r="G7" i="7"/>
  <c r="G9" i="7"/>
  <c r="G14" i="6"/>
  <c r="AD37" i="9" l="1"/>
  <c r="D89" i="17"/>
  <c r="AC37" i="9"/>
  <c r="A34" i="20"/>
  <c r="Q5" i="9"/>
  <c r="A6" i="20"/>
  <c r="A7" i="20"/>
  <c r="A19" i="20"/>
  <c r="A31" i="20"/>
  <c r="A20" i="20"/>
  <c r="A32" i="20"/>
  <c r="A21" i="20"/>
  <c r="A5" i="20"/>
  <c r="A30" i="20"/>
  <c r="A18" i="20"/>
  <c r="A29" i="20"/>
  <c r="A17" i="20"/>
  <c r="A28" i="20"/>
  <c r="A16" i="20"/>
  <c r="A4" i="20"/>
  <c r="A27" i="20"/>
  <c r="A3" i="20"/>
  <c r="A14" i="20"/>
  <c r="A13" i="20"/>
  <c r="A12" i="20"/>
  <c r="A22" i="20"/>
  <c r="A15" i="20"/>
  <c r="A26" i="20"/>
  <c r="A25" i="20"/>
  <c r="A24" i="20"/>
  <c r="A23" i="20"/>
  <c r="A11" i="20"/>
  <c r="A10" i="20"/>
  <c r="A9" i="20"/>
  <c r="A8" i="20"/>
  <c r="A35" i="21"/>
  <c r="A36" i="21"/>
  <c r="A37" i="21"/>
  <c r="A38" i="21"/>
  <c r="G2" i="21" a="1"/>
  <c r="A34" i="21" s="1"/>
  <c r="AE37" i="9" l="1"/>
  <c r="G2" i="2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B32" i="21" l="1"/>
  <c r="B33" i="21"/>
  <c r="B34" i="21"/>
  <c r="B35" i="21"/>
  <c r="B36" i="21"/>
  <c r="B38" i="21"/>
  <c r="B37" i="21"/>
  <c r="I72" i="1" l="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4" i="20"/>
  <c r="C34" i="20"/>
  <c r="B35" i="20"/>
  <c r="C35" i="20"/>
  <c r="B36" i="20"/>
  <c r="C36" i="20"/>
  <c r="B37" i="20"/>
  <c r="B38" i="20"/>
  <c r="B39" i="20"/>
  <c r="C39" i="20"/>
  <c r="B40" i="20"/>
  <c r="C40" i="20"/>
  <c r="D28" i="18"/>
  <c r="C9" i="8"/>
  <c r="H22" i="15"/>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G76" i="2" s="1"/>
  <c r="F76" i="2"/>
  <c r="E77" i="2"/>
  <c r="F77" i="2"/>
  <c r="E78" i="2"/>
  <c r="F78" i="2"/>
  <c r="H78" i="2" s="1"/>
  <c r="I78" i="2" s="1"/>
  <c r="D78" i="2" s="1"/>
  <c r="E79" i="2"/>
  <c r="F79" i="2"/>
  <c r="H79" i="2" s="1"/>
  <c r="I79" i="2" s="1"/>
  <c r="D79" i="2" s="1"/>
  <c r="E80" i="2"/>
  <c r="F80" i="2"/>
  <c r="G80" i="2" s="1"/>
  <c r="H80" i="2"/>
  <c r="I80" i="2" s="1"/>
  <c r="D80" i="2" s="1"/>
  <c r="E81" i="2"/>
  <c r="F81" i="2"/>
  <c r="H81" i="2" s="1"/>
  <c r="I81" i="2" s="1"/>
  <c r="D81" i="2" s="1"/>
  <c r="E82" i="2"/>
  <c r="F82" i="2"/>
  <c r="G82" i="2" s="1"/>
  <c r="H82" i="2"/>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E58" i="2"/>
  <c r="F58" i="2"/>
  <c r="H58" i="2" s="1"/>
  <c r="I58" i="2" s="1"/>
  <c r="D58" i="2" s="1"/>
  <c r="F27" i="2"/>
  <c r="H27" i="2" s="1"/>
  <c r="I27" i="2" s="1"/>
  <c r="D27" i="2" s="1"/>
  <c r="E27" i="2"/>
  <c r="E59" i="2"/>
  <c r="F59" i="2"/>
  <c r="H59" i="2" s="1"/>
  <c r="I59" i="2" s="1"/>
  <c r="D59" i="2" s="1"/>
  <c r="F28" i="2"/>
  <c r="H28" i="2"/>
  <c r="I28" i="2" s="1"/>
  <c r="D28" i="2" s="1"/>
  <c r="E28" i="2"/>
  <c r="G28" i="2" s="1"/>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G72" i="2" s="1"/>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s="1"/>
  <c r="I21" i="2" s="1"/>
  <c r="D21" i="2" s="1"/>
  <c r="E21" i="2"/>
  <c r="E50" i="2"/>
  <c r="F50" i="2"/>
  <c r="G50" i="2" s="1"/>
  <c r="E51" i="2"/>
  <c r="F51" i="2"/>
  <c r="H51" i="2" s="1"/>
  <c r="I51" i="2" s="1"/>
  <c r="D51" i="2" s="1"/>
  <c r="E52" i="2"/>
  <c r="F52" i="2"/>
  <c r="H52" i="2" s="1"/>
  <c r="I52" i="2" s="1"/>
  <c r="D52" i="2" s="1"/>
  <c r="E53" i="2"/>
  <c r="F53" i="2"/>
  <c r="H53" i="2" s="1"/>
  <c r="I53" i="2" s="1"/>
  <c r="D53" i="2" s="1"/>
  <c r="E54" i="2"/>
  <c r="G54" i="2" s="1"/>
  <c r="F54" i="2"/>
  <c r="F24" i="2"/>
  <c r="H24" i="2" s="1"/>
  <c r="I24" i="2" s="1"/>
  <c r="D24" i="2" s="1"/>
  <c r="E24" i="2"/>
  <c r="E55" i="2"/>
  <c r="F55" i="2"/>
  <c r="G55" i="2" s="1"/>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c r="I34" i="2" s="1"/>
  <c r="D34" i="2" s="1"/>
  <c r="F18" i="2"/>
  <c r="E18" i="2"/>
  <c r="E35" i="2"/>
  <c r="G35" i="2" s="1"/>
  <c r="F35" i="2"/>
  <c r="E36" i="2"/>
  <c r="G36" i="2" s="1"/>
  <c r="F36" i="2"/>
  <c r="H36" i="2"/>
  <c r="I36" i="2"/>
  <c r="D36" i="2" s="1"/>
  <c r="F22" i="2"/>
  <c r="H22" i="2" s="1"/>
  <c r="I22" i="2" s="1"/>
  <c r="D22" i="2" s="1"/>
  <c r="E22" i="2"/>
  <c r="F7" i="2"/>
  <c r="H7" i="2" s="1"/>
  <c r="I7" i="2" s="1"/>
  <c r="D7" i="2" s="1"/>
  <c r="E7" i="2"/>
  <c r="E37" i="2"/>
  <c r="F37" i="2"/>
  <c r="H37" i="2" s="1"/>
  <c r="I37" i="2" s="1"/>
  <c r="D37" i="2" s="1"/>
  <c r="E39" i="2"/>
  <c r="G39" i="2" s="1"/>
  <c r="F39" i="2"/>
  <c r="H39" i="2"/>
  <c r="I39" i="2" s="1"/>
  <c r="D39" i="2" s="1"/>
  <c r="E40" i="2"/>
  <c r="F40" i="2"/>
  <c r="E41" i="2"/>
  <c r="F41" i="2"/>
  <c r="H41" i="2" s="1"/>
  <c r="I41" i="2" s="1"/>
  <c r="D41" i="2" s="1"/>
  <c r="E42" i="2"/>
  <c r="F42" i="2"/>
  <c r="H42" i="2"/>
  <c r="I42" i="2" s="1"/>
  <c r="D42" i="2" s="1"/>
  <c r="E43" i="2"/>
  <c r="G43" i="2" s="1"/>
  <c r="F43" i="2"/>
  <c r="H43" i="2"/>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G13" i="2" s="1"/>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F30" i="2"/>
  <c r="H30" i="2" s="1"/>
  <c r="I30" i="2" s="1"/>
  <c r="D30" i="2" s="1"/>
  <c r="F31" i="2"/>
  <c r="H31" i="2" s="1"/>
  <c r="I31" i="2" s="1"/>
  <c r="D31" i="2" s="1"/>
  <c r="E31" i="2"/>
  <c r="G31" i="2" s="1"/>
  <c r="F32" i="2"/>
  <c r="H32" i="2" s="1"/>
  <c r="I32" i="2" s="1"/>
  <c r="D32" i="2" s="1"/>
  <c r="F14" i="2"/>
  <c r="H14" i="2" s="1"/>
  <c r="I14" i="2" s="1"/>
  <c r="D14" i="2" s="1"/>
  <c r="E14" i="2"/>
  <c r="E30" i="2"/>
  <c r="G30" i="2" s="1"/>
  <c r="E32" i="2"/>
  <c r="G32" i="2" s="1"/>
  <c r="N4" i="17"/>
  <c r="F12" i="2"/>
  <c r="H12" i="2" s="1"/>
  <c r="I12" i="2" s="1"/>
  <c r="D12" i="2" s="1"/>
  <c r="E12" i="2"/>
  <c r="F11" i="2"/>
  <c r="H11" i="2" s="1"/>
  <c r="I11" i="2" s="1"/>
  <c r="E11" i="2"/>
  <c r="E17" i="2"/>
  <c r="F17" i="2"/>
  <c r="H17" i="2" s="1"/>
  <c r="I17" i="2" s="1"/>
  <c r="D17" i="2" s="1"/>
  <c r="F9" i="2"/>
  <c r="H9" i="2" s="1"/>
  <c r="I9" i="2" s="1"/>
  <c r="D9" i="2" s="1"/>
  <c r="E9" i="2"/>
  <c r="G9" i="2" s="1"/>
  <c r="E8" i="2"/>
  <c r="F8" i="2"/>
  <c r="G8" i="2" s="1"/>
  <c r="H83" i="1" s="1"/>
  <c r="H8" i="2"/>
  <c r="I8" i="2" s="1"/>
  <c r="D8" i="2" s="1"/>
  <c r="E10" i="2"/>
  <c r="G10" i="2" s="1"/>
  <c r="H91" i="1" s="1"/>
  <c r="E4" i="2"/>
  <c r="C8" i="8"/>
  <c r="F10" i="2"/>
  <c r="H10" i="2"/>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s="1"/>
  <c r="G84" i="2"/>
  <c r="G73" i="2"/>
  <c r="G49" i="2"/>
  <c r="G77" i="2"/>
  <c r="G37" i="2"/>
  <c r="G70" i="2"/>
  <c r="G69" i="2"/>
  <c r="G25" i="2"/>
  <c r="H99" i="1" s="1"/>
  <c r="H77" i="2"/>
  <c r="I77" i="2"/>
  <c r="D77" i="2" s="1"/>
  <c r="G66" i="2"/>
  <c r="G40" i="2"/>
  <c r="H76" i="2"/>
  <c r="I76" i="2"/>
  <c r="D76" i="2" s="1"/>
  <c r="G34" i="2"/>
  <c r="G67" i="2"/>
  <c r="G68" i="2"/>
  <c r="H57" i="2"/>
  <c r="I57" i="2" s="1"/>
  <c r="D57" i="2" s="1"/>
  <c r="G46" i="2"/>
  <c r="G47" i="2"/>
  <c r="G51" i="2"/>
  <c r="G45" i="2"/>
  <c r="G44" i="2"/>
  <c r="G23" i="2"/>
  <c r="H96" i="1" s="1"/>
  <c r="G52" i="2"/>
  <c r="G61" i="2"/>
  <c r="H35" i="2"/>
  <c r="I35" i="2" s="1"/>
  <c r="D35" i="2" s="1"/>
  <c r="H25" i="2"/>
  <c r="I25" i="2" s="1"/>
  <c r="D25" i="2" s="1"/>
  <c r="G56" i="2"/>
  <c r="G63" i="2"/>
  <c r="G38" i="2"/>
  <c r="H40" i="2"/>
  <c r="I40" i="2" s="1"/>
  <c r="D40" i="2" s="1"/>
  <c r="G58" i="2"/>
  <c r="H54" i="2"/>
  <c r="I54" i="2" s="1"/>
  <c r="D54" i="2" s="1"/>
  <c r="H46" i="2"/>
  <c r="I46" i="2" s="1"/>
  <c r="D46" i="2" s="1"/>
  <c r="G33" i="2"/>
  <c r="K6" i="6"/>
  <c r="G123" i="6"/>
  <c r="C16" i="10"/>
  <c r="C2" i="2"/>
  <c r="P56" i="7" l="1"/>
  <c r="G6" i="2"/>
  <c r="G27" i="2"/>
  <c r="H101" i="1" s="1"/>
  <c r="G12" i="2"/>
  <c r="H97" i="1" s="1"/>
  <c r="G24" i="2"/>
  <c r="H98" i="1" s="1"/>
  <c r="G5" i="2"/>
  <c r="H88" i="1" s="1"/>
  <c r="G20" i="2"/>
  <c r="G17" i="2"/>
  <c r="G14" i="2"/>
  <c r="G19" i="2"/>
  <c r="G4" i="2"/>
  <c r="H70" i="1"/>
  <c r="G7" i="2"/>
  <c r="H86" i="1" s="1"/>
  <c r="G18" i="2"/>
  <c r="G21" i="2"/>
  <c r="B84" i="9"/>
  <c r="H80" i="1"/>
  <c r="H81" i="1"/>
  <c r="H90" i="1"/>
  <c r="G62" i="2"/>
  <c r="G42" i="2"/>
  <c r="H82" i="1"/>
  <c r="G81" i="2"/>
  <c r="H18" i="2"/>
  <c r="I18" i="2" s="1"/>
  <c r="D18" i="2" s="1"/>
  <c r="G41" i="2"/>
  <c r="G65" i="2"/>
  <c r="H50" i="2"/>
  <c r="I50" i="2" s="1"/>
  <c r="D50" i="2" s="1"/>
  <c r="H93" i="1"/>
  <c r="H92" i="1"/>
  <c r="H94" i="1"/>
  <c r="H72" i="2"/>
  <c r="I72" i="2" s="1"/>
  <c r="D72" i="2" s="1"/>
  <c r="G48" i="2"/>
  <c r="H84" i="1"/>
  <c r="H87" i="1"/>
  <c r="H89" i="1"/>
  <c r="G59" i="2"/>
  <c r="G15" i="2"/>
  <c r="H77" i="1" s="1"/>
  <c r="G75" i="2"/>
  <c r="G74" i="2"/>
  <c r="O79" i="9"/>
  <c r="O80" i="9"/>
  <c r="P80" i="9" s="1"/>
  <c r="K102" i="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C114" i="9"/>
  <c r="R35" i="9" s="1" a="1"/>
  <c r="R35" i="9" s="1"/>
  <c r="E114" i="9"/>
  <c r="T35" i="9" s="1" a="1"/>
  <c r="T35" i="9" s="1"/>
  <c r="O114" i="9"/>
  <c r="F114" i="9"/>
  <c r="U35" i="9" s="1" a="1"/>
  <c r="U35" i="9" s="1"/>
  <c r="I114" i="9"/>
  <c r="X35" i="9" s="1" a="1"/>
  <c r="X35" i="9" s="1"/>
  <c r="M114" i="9"/>
  <c r="AB35" i="9" s="1" a="1"/>
  <c r="AB35" i="9" s="1"/>
  <c r="J114" i="9"/>
  <c r="Y35" i="9" s="1" a="1"/>
  <c r="Y35" i="9" s="1"/>
  <c r="L114" i="9"/>
  <c r="AA35" i="9" s="1" a="1"/>
  <c r="AA35" i="9" s="1"/>
  <c r="D114" i="9"/>
  <c r="S35" i="9" s="1" a="1"/>
  <c r="S35" i="9" s="1"/>
  <c r="G114" i="9"/>
  <c r="V35" i="9" s="1" a="1"/>
  <c r="V35" i="9" s="1"/>
  <c r="K114" i="9"/>
  <c r="Z35" i="9" s="1" a="1"/>
  <c r="Z35" i="9" s="1"/>
  <c r="H114" i="9"/>
  <c r="W35" i="9" s="1" a="1"/>
  <c r="W35" i="9" s="1"/>
  <c r="J76" i="9" a="1"/>
  <c r="J76" i="9" s="1"/>
  <c r="K76" i="9" a="1"/>
  <c r="K76" i="9" s="1"/>
  <c r="L76" i="9" a="1"/>
  <c r="L76" i="9" s="1"/>
  <c r="M76" i="9" a="1"/>
  <c r="M76" i="9" s="1"/>
  <c r="G76" i="9" a="1"/>
  <c r="G76" i="9" s="1"/>
  <c r="H76" i="9" a="1"/>
  <c r="H76" i="9" s="1"/>
  <c r="I76" i="9" a="1"/>
  <c r="I76"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E29" i="7"/>
  <c r="H25" i="15"/>
  <c r="H24" i="15"/>
  <c r="H71" i="2"/>
  <c r="I71" i="2" s="1"/>
  <c r="D71" i="2" s="1"/>
  <c r="G79" i="2"/>
  <c r="G29" i="2"/>
  <c r="G11" i="2"/>
  <c r="H79" i="1" s="1"/>
  <c r="G60" i="2"/>
  <c r="H71" i="1"/>
  <c r="G53" i="2"/>
  <c r="G22" i="2"/>
  <c r="H95" i="1" s="1"/>
  <c r="G26" i="2"/>
  <c r="H100" i="1" s="1"/>
  <c r="G78" i="2"/>
  <c r="K115" i="9"/>
  <c r="Z36" i="9" s="1" a="1"/>
  <c r="Z36" i="9" s="1"/>
  <c r="L115" i="9"/>
  <c r="AA36" i="9" s="1" a="1"/>
  <c r="AA36" i="9" s="1"/>
  <c r="I115" i="9"/>
  <c r="X36" i="9" s="1" a="1"/>
  <c r="X36" i="9" s="1"/>
  <c r="E115" i="9"/>
  <c r="T36" i="9" s="1" a="1"/>
  <c r="T36" i="9" s="1"/>
  <c r="D115" i="9"/>
  <c r="S36" i="9" s="1" a="1"/>
  <c r="S36" i="9" s="1"/>
  <c r="M115" i="9"/>
  <c r="AB36" i="9" s="1" a="1"/>
  <c r="AB36" i="9" s="1"/>
  <c r="J115" i="9"/>
  <c r="Y36" i="9" s="1" a="1"/>
  <c r="Y36" i="9" s="1"/>
  <c r="F115" i="9"/>
  <c r="U36" i="9" s="1" a="1"/>
  <c r="U36" i="9" s="1"/>
  <c r="H115" i="9"/>
  <c r="W36" i="9" s="1" a="1"/>
  <c r="W36" i="9" s="1"/>
  <c r="C115" i="9"/>
  <c r="R36" i="9" s="1" a="1"/>
  <c r="R36" i="9" s="1"/>
  <c r="G115" i="9"/>
  <c r="V36" i="9" s="1" a="1"/>
  <c r="V36" i="9" s="1"/>
  <c r="B7" i="9"/>
  <c r="C7" i="9" s="1"/>
  <c r="O61" i="9"/>
  <c r="O70" i="9"/>
  <c r="B4" i="9"/>
  <c r="O66" i="9"/>
  <c r="B18" i="9"/>
  <c r="E18" i="9" s="1"/>
  <c r="O51" i="9"/>
  <c r="B5" i="9"/>
  <c r="O69" i="9"/>
  <c r="O78" i="9"/>
  <c r="B15" i="9"/>
  <c r="B14" i="9"/>
  <c r="O60" i="9"/>
  <c r="B3" i="9"/>
  <c r="O53" i="9"/>
  <c r="O57" i="9"/>
  <c r="O73" i="9"/>
  <c r="O67" i="9"/>
  <c r="B16" i="9"/>
  <c r="O56" i="9"/>
  <c r="B17" i="9"/>
  <c r="O50" i="9"/>
  <c r="O58" i="9"/>
  <c r="O76" i="9"/>
  <c r="O72" i="9"/>
  <c r="B12" i="9"/>
  <c r="O52" i="9"/>
  <c r="B49" i="9"/>
  <c r="O63" i="9"/>
  <c r="B10" i="9"/>
  <c r="B9" i="9"/>
  <c r="O68" i="9"/>
  <c r="B6" i="9"/>
  <c r="B13" i="9"/>
  <c r="O62" i="9"/>
  <c r="B8" i="9"/>
  <c r="O59" i="9"/>
  <c r="O64" i="9"/>
  <c r="O77" i="9"/>
  <c r="O54" i="9"/>
  <c r="O71" i="9"/>
  <c r="B11" i="9"/>
  <c r="O55" i="9"/>
  <c r="O75" i="9"/>
  <c r="O74" i="9"/>
  <c r="O65" i="9"/>
  <c r="F26" i="15"/>
  <c r="H9" i="15"/>
  <c r="E65" i="7"/>
  <c r="H21" i="7"/>
  <c r="C131" i="17"/>
  <c r="K4" i="17" s="1"/>
  <c r="I37" i="12"/>
  <c r="E44" i="18"/>
  <c r="D42" i="14"/>
  <c r="C10" i="8" s="1"/>
  <c r="C43" i="12"/>
  <c r="J43" i="14"/>
  <c r="C12" i="8" s="1"/>
  <c r="D44" i="18"/>
  <c r="G26" i="15"/>
  <c r="D2" i="2"/>
  <c r="H78" i="1" l="1"/>
  <c r="H76" i="1"/>
  <c r="H85" i="1"/>
  <c r="H75" i="1"/>
  <c r="H72" i="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AD35" i="9"/>
  <c r="B32" i="20" s="1"/>
  <c r="C18" i="9"/>
  <c r="G49" i="9" a="1"/>
  <c r="G49" i="9" s="1"/>
  <c r="L49" i="9" a="1"/>
  <c r="L49" i="9" s="1"/>
  <c r="J49" i="9" a="1"/>
  <c r="J49" i="9" s="1"/>
  <c r="I49" i="9" a="1"/>
  <c r="I49" i="9" s="1"/>
  <c r="M49" i="9" a="1"/>
  <c r="M49" i="9" s="1"/>
  <c r="K49" i="9" a="1"/>
  <c r="K49" i="9" s="1"/>
  <c r="H49" i="9" a="1"/>
  <c r="H49" i="9" s="1"/>
  <c r="E7" i="9" a="1"/>
  <c r="E7" i="9" s="1"/>
  <c r="H26" i="15"/>
  <c r="H73" i="1"/>
  <c r="H74" i="1"/>
  <c r="AC36" i="9"/>
  <c r="N115" i="9"/>
  <c r="N59" i="9"/>
  <c r="P59" i="9" s="1"/>
  <c r="N67" i="9"/>
  <c r="P6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N69" i="9"/>
  <c r="P69" i="9" s="1"/>
  <c r="N64" i="9"/>
  <c r="P64" i="9" s="1"/>
  <c r="N75" i="9"/>
  <c r="P75" i="9" s="1"/>
  <c r="C4" i="9"/>
  <c r="E4" i="9"/>
  <c r="N52" i="9"/>
  <c r="P52" i="9" s="1"/>
  <c r="N58" i="9"/>
  <c r="P58" i="9" s="1"/>
  <c r="N71" i="9"/>
  <c r="P71" i="9" s="1"/>
  <c r="N62" i="9"/>
  <c r="P62" i="9" s="1"/>
  <c r="AC35" i="9"/>
  <c r="N76" i="9"/>
  <c r="P76" i="9" s="1"/>
  <c r="N51" i="9"/>
  <c r="P51" i="9" s="1"/>
  <c r="E5" i="9"/>
  <c r="C5" i="9"/>
  <c r="N74" i="9"/>
  <c r="P74" i="9" s="1"/>
  <c r="N55" i="9"/>
  <c r="P55" i="9" s="1"/>
  <c r="C10" i="9"/>
  <c r="E10" i="9"/>
  <c r="E15" i="9"/>
  <c r="C15" i="9"/>
  <c r="C14" i="9"/>
  <c r="E14" i="9"/>
  <c r="E6" i="9"/>
  <c r="C6" i="9"/>
  <c r="E8" i="9"/>
  <c r="C8" i="9"/>
  <c r="E13" i="9"/>
  <c r="C13" i="9"/>
  <c r="C49" i="9" a="1"/>
  <c r="C49" i="9" s="1"/>
  <c r="C12" i="19" a="1"/>
  <c r="C12" i="19" s="1"/>
  <c r="O49" i="9"/>
  <c r="E49" i="9" a="1"/>
  <c r="E49" i="9" s="1"/>
  <c r="F49" i="9" a="1"/>
  <c r="F49" i="9" s="1"/>
  <c r="B2" i="9"/>
  <c r="E9" i="9"/>
  <c r="C9" i="9"/>
  <c r="C3" i="9"/>
  <c r="E3" i="9"/>
  <c r="N114" i="9"/>
  <c r="P114" i="9" s="1"/>
  <c r="D49" i="9" a="1"/>
  <c r="D49" i="9" s="1"/>
  <c r="E16" i="9"/>
  <c r="C16" i="9"/>
  <c r="E12" i="9"/>
  <c r="C12" i="9"/>
  <c r="C17" i="9"/>
  <c r="E17" i="9"/>
  <c r="A2" i="20"/>
  <c r="E11" i="9"/>
  <c r="C11" i="9"/>
  <c r="H29" i="7"/>
  <c r="F44" i="18"/>
  <c r="C11" i="8"/>
  <c r="C37" i="20" l="1"/>
  <c r="AE35" i="9"/>
  <c r="C32" i="20" s="1"/>
  <c r="N49" i="9"/>
  <c r="E2" i="9"/>
  <c r="C2" i="9"/>
  <c r="C14" i="8"/>
  <c r="C4" i="10" s="1"/>
  <c r="C15" i="10" s="1"/>
  <c r="C17" i="10" s="1"/>
  <c r="C21" i="9" l="1"/>
  <c r="P49" i="9"/>
  <c r="C23" i="9"/>
  <c r="C3" i="10" s="1"/>
  <c r="C11" i="10" s="1"/>
  <c r="C5" i="10" l="1"/>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0" i="19" s="1" a="1"/>
  <c r="D10" i="1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D8" i="19" s="1" a="1"/>
  <c r="D8" i="1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O115" i="9"/>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D2" i="17"/>
  <c r="J30" i="1" l="1"/>
  <c r="H85" i="9"/>
  <c r="W6" i="9" s="1" a="1"/>
  <c r="W6" i="9" s="1"/>
  <c r="I20" i="1"/>
  <c r="E102" i="9"/>
  <c r="T23" i="9" s="1" a="1"/>
  <c r="T23" i="9" s="1"/>
  <c r="I23" i="1"/>
  <c r="E105" i="9"/>
  <c r="T26" i="9" s="1" a="1"/>
  <c r="T26" i="9" s="1"/>
  <c r="J35" i="1"/>
  <c r="H90" i="9"/>
  <c r="W11" i="9" s="1" a="1"/>
  <c r="W11" i="9" s="1"/>
  <c r="B12" i="21"/>
  <c r="O94" i="9"/>
  <c r="AD15" i="9" s="1"/>
  <c r="B12" i="20" s="1"/>
  <c r="O96" i="9"/>
  <c r="AD17" i="9" s="1"/>
  <c r="B14" i="20" s="1"/>
  <c r="B14" i="21"/>
  <c r="I55" i="1"/>
  <c r="F106" i="9"/>
  <c r="U27" i="9" s="1" a="1"/>
  <c r="U27" i="9" s="1"/>
  <c r="G89" i="9"/>
  <c r="J7" i="1"/>
  <c r="J23" i="1"/>
  <c r="G105" i="9"/>
  <c r="J51" i="1"/>
  <c r="H112" i="9"/>
  <c r="W33" i="9" s="1" a="1"/>
  <c r="W33" i="9" s="1"/>
  <c r="I24" i="1"/>
  <c r="E106" i="9"/>
  <c r="T27" i="9" s="1" a="1"/>
  <c r="T27" i="9" s="1"/>
  <c r="J18" i="1"/>
  <c r="G100" i="9"/>
  <c r="B7" i="21"/>
  <c r="O89" i="9"/>
  <c r="AD10" i="9" s="1"/>
  <c r="B7" i="20" s="1"/>
  <c r="G92" i="9"/>
  <c r="J10" i="1"/>
  <c r="I37" i="1"/>
  <c r="F92" i="9"/>
  <c r="U13" i="9" s="1" a="1"/>
  <c r="U13" i="9" s="1"/>
  <c r="L104" i="9"/>
  <c r="AA25" i="9" s="1" a="1"/>
  <c r="AA25" i="9" s="1"/>
  <c r="J67" i="1"/>
  <c r="I11" i="1"/>
  <c r="E93" i="9"/>
  <c r="T14" i="9" s="1" a="1"/>
  <c r="T14" i="9" s="1"/>
  <c r="I3" i="1"/>
  <c r="E85" i="9"/>
  <c r="T6" i="9" s="1" a="1"/>
  <c r="T6" i="9" s="1"/>
  <c r="H92" i="9"/>
  <c r="W13" i="9" s="1" a="1"/>
  <c r="W13" i="9" s="1"/>
  <c r="J37" i="1"/>
  <c r="I35" i="1"/>
  <c r="F90" i="9"/>
  <c r="U11" i="9" s="1" a="1"/>
  <c r="U11" i="9" s="1"/>
  <c r="I40" i="1"/>
  <c r="F95" i="9"/>
  <c r="U16" i="9" s="1" a="1"/>
  <c r="U16" i="9" s="1"/>
  <c r="I32" i="1"/>
  <c r="F87" i="9"/>
  <c r="U8" i="9" s="1" a="1"/>
  <c r="U8" i="9" s="1"/>
  <c r="O112" i="9"/>
  <c r="AD33" i="9" s="1"/>
  <c r="B30" i="20" s="1"/>
  <c r="B30" i="21"/>
  <c r="B11" i="21"/>
  <c r="O93" i="9"/>
  <c r="AD14" i="9" s="1"/>
  <c r="B11" i="20" s="1"/>
  <c r="I56" i="1"/>
  <c r="F107" i="9"/>
  <c r="U28" i="9" s="1" a="1"/>
  <c r="U28" i="9" s="1"/>
  <c r="J61" i="1"/>
  <c r="J101" i="9"/>
  <c r="Y22" i="9" s="1" a="1"/>
  <c r="Y22" i="9" s="1"/>
  <c r="L103" i="9"/>
  <c r="AA24" i="9" s="1" a="1"/>
  <c r="AA24" i="9" s="1"/>
  <c r="J66" i="1"/>
  <c r="B10" i="21"/>
  <c r="O92" i="9"/>
  <c r="AD13" i="9" s="1"/>
  <c r="B10" i="20" s="1"/>
  <c r="J42" i="1"/>
  <c r="H97" i="9"/>
  <c r="W18" i="9" s="1" a="1"/>
  <c r="W18" i="9" s="1"/>
  <c r="J28" i="1"/>
  <c r="G110" i="9"/>
  <c r="E96" i="9"/>
  <c r="T17" i="9" s="1" a="1"/>
  <c r="T17" i="9" s="1"/>
  <c r="I14" i="1"/>
  <c r="E90" i="9"/>
  <c r="T11" i="9" s="1" a="1"/>
  <c r="T11" i="9" s="1"/>
  <c r="I8" i="1"/>
  <c r="I31" i="1"/>
  <c r="F86" i="9"/>
  <c r="U7" i="9" s="1" a="1"/>
  <c r="U7" i="9" s="1"/>
  <c r="J22" i="1"/>
  <c r="G104" i="9"/>
  <c r="I17" i="1"/>
  <c r="E99" i="9"/>
  <c r="T20" i="9" s="1" a="1"/>
  <c r="T20" i="9" s="1"/>
  <c r="G90" i="9"/>
  <c r="J8" i="1"/>
  <c r="J38" i="1"/>
  <c r="H93" i="9"/>
  <c r="W14" i="9" s="1" a="1"/>
  <c r="W14" i="9" s="1"/>
  <c r="J59" i="1"/>
  <c r="I89" i="9"/>
  <c r="X10" i="9" s="1" a="1"/>
  <c r="X10" i="9" s="1"/>
  <c r="I7" i="1"/>
  <c r="E89" i="9"/>
  <c r="T10" i="9" s="1" a="1"/>
  <c r="T10" i="9" s="1"/>
  <c r="F104" i="9"/>
  <c r="U25" i="9" s="1" a="1"/>
  <c r="U25" i="9" s="1"/>
  <c r="I53" i="1"/>
  <c r="B5" i="21"/>
  <c r="O87" i="9"/>
  <c r="AD8" i="9" s="1"/>
  <c r="B5" i="20" s="1"/>
  <c r="J63" i="1"/>
  <c r="K103" i="9"/>
  <c r="Z24" i="9" s="1" a="1"/>
  <c r="Z24" i="9" s="1"/>
  <c r="J56" i="1"/>
  <c r="H107" i="9"/>
  <c r="W28" i="9" s="1" a="1"/>
  <c r="W28" i="9" s="1"/>
  <c r="H94" i="9"/>
  <c r="W15" i="9" s="1" a="1"/>
  <c r="W15" i="9" s="1"/>
  <c r="J39" i="1"/>
  <c r="J49" i="1"/>
  <c r="H111" i="9"/>
  <c r="W32" i="9" s="1" a="1"/>
  <c r="W32" i="9" s="1"/>
  <c r="E91" i="9"/>
  <c r="T12" i="9" s="1" a="1"/>
  <c r="T12" i="9" s="1"/>
  <c r="I9" i="1"/>
  <c r="H99" i="9"/>
  <c r="W20" i="9" s="1" a="1"/>
  <c r="W20" i="9" s="1"/>
  <c r="J44" i="1"/>
  <c r="E108" i="9"/>
  <c r="T29" i="9" s="1" a="1"/>
  <c r="T29" i="9" s="1"/>
  <c r="I26" i="1"/>
  <c r="J11" i="1"/>
  <c r="G93" i="9"/>
  <c r="B21" i="21"/>
  <c r="O103" i="9"/>
  <c r="AD24" i="9" s="1"/>
  <c r="B21" i="20" s="1"/>
  <c r="J45" i="1"/>
  <c r="H100" i="9"/>
  <c r="W21" i="9" s="1" a="1"/>
  <c r="W21" i="9" s="1"/>
  <c r="J47" i="1"/>
  <c r="H102" i="9"/>
  <c r="W23" i="9" s="1" a="1"/>
  <c r="W23" i="9" s="1"/>
  <c r="AD36" i="9"/>
  <c r="P115" i="9"/>
  <c r="J53" i="1"/>
  <c r="H104" i="9"/>
  <c r="W25" i="9" s="1" a="1"/>
  <c r="W25" i="9" s="1"/>
  <c r="I52" i="1"/>
  <c r="F113" i="9"/>
  <c r="U34" i="9" s="1" a="1"/>
  <c r="U34" i="9" s="1"/>
  <c r="J31" i="1"/>
  <c r="H86" i="9"/>
  <c r="W7" i="9" s="1" a="1"/>
  <c r="W7" i="9" s="1"/>
  <c r="O85" i="9"/>
  <c r="AD6" i="9" s="1"/>
  <c r="B3" i="20" s="1"/>
  <c r="B3" i="21"/>
  <c r="J65" i="1"/>
  <c r="K89" i="9"/>
  <c r="Z10" i="9" s="1" a="1"/>
  <c r="Z10" i="9" s="1"/>
  <c r="F93" i="9"/>
  <c r="U14" i="9" s="1" a="1"/>
  <c r="U14" i="9" s="1"/>
  <c r="I38" i="1"/>
  <c r="J50" i="1"/>
  <c r="H110" i="9"/>
  <c r="W31" i="9" s="1" a="1"/>
  <c r="W31" i="9" s="1"/>
  <c r="J16" i="1"/>
  <c r="G98" i="9"/>
  <c r="B25" i="21"/>
  <c r="O107" i="9"/>
  <c r="AD28" i="9" s="1"/>
  <c r="B25" i="20" s="1"/>
  <c r="B8" i="21"/>
  <c r="O90" i="9"/>
  <c r="AD11" i="9" s="1"/>
  <c r="B8" i="20" s="1"/>
  <c r="N5" i="17"/>
  <c r="N7" i="17" s="1"/>
  <c r="C12" i="10"/>
  <c r="C13" i="10" s="1"/>
  <c r="D131" i="17"/>
  <c r="O101" i="9"/>
  <c r="AD22" i="9" s="1"/>
  <c r="B19" i="20" s="1"/>
  <c r="B19" i="21"/>
  <c r="B26" i="21"/>
  <c r="O108" i="9"/>
  <c r="AD29" i="9" s="1"/>
  <c r="B26" i="20" s="1"/>
  <c r="I57" i="1"/>
  <c r="F108" i="9"/>
  <c r="U29" i="9" s="1" a="1"/>
  <c r="U29" i="9" s="1"/>
  <c r="I13" i="1"/>
  <c r="E95" i="9"/>
  <c r="T16" i="9" s="1" a="1"/>
  <c r="T16" i="9" s="1"/>
  <c r="J55" i="1"/>
  <c r="H106" i="9"/>
  <c r="W27" i="9" s="1" a="1"/>
  <c r="W27" i="9" s="1"/>
  <c r="I50" i="1"/>
  <c r="F110" i="9"/>
  <c r="U31" i="9" s="1" a="1"/>
  <c r="U31" i="9" s="1"/>
  <c r="H109" i="9"/>
  <c r="W30" i="9" s="1" a="1"/>
  <c r="W30" i="9" s="1"/>
  <c r="J58" i="1"/>
  <c r="B20" i="21"/>
  <c r="O102" i="9"/>
  <c r="AD23" i="9" s="1"/>
  <c r="B20" i="20" s="1"/>
  <c r="G107" i="9"/>
  <c r="J25" i="1"/>
  <c r="B24" i="21"/>
  <c r="O106" i="9"/>
  <c r="AD27" i="9" s="1"/>
  <c r="B24" i="20" s="1"/>
  <c r="J26" i="1"/>
  <c r="G108" i="9"/>
  <c r="B23" i="21"/>
  <c r="O105" i="9"/>
  <c r="AD26" i="9" s="1"/>
  <c r="B23" i="20" s="1"/>
  <c r="I15" i="1"/>
  <c r="E97" i="9"/>
  <c r="T18" i="9" s="1" a="1"/>
  <c r="T18" i="9" s="1"/>
  <c r="B4" i="21"/>
  <c r="O86" i="9"/>
  <c r="AD7" i="9" s="1"/>
  <c r="B4" i="20" s="1"/>
  <c r="B18" i="21"/>
  <c r="O100" i="9"/>
  <c r="AD21" i="9" s="1"/>
  <c r="B18" i="20" s="1"/>
  <c r="I5" i="1"/>
  <c r="E87" i="9"/>
  <c r="T8" i="9" s="1" a="1"/>
  <c r="T8" i="9" s="1"/>
  <c r="O98" i="9"/>
  <c r="AD19" i="9" s="1"/>
  <c r="B16" i="20" s="1"/>
  <c r="B16" i="21"/>
  <c r="I34" i="1"/>
  <c r="F89" i="9"/>
  <c r="U10" i="9" s="1" a="1"/>
  <c r="U10" i="9" s="1"/>
  <c r="J60" i="1"/>
  <c r="I100" i="9"/>
  <c r="X21" i="9" s="1" a="1"/>
  <c r="X21" i="9" s="1"/>
  <c r="I30" i="1"/>
  <c r="F85" i="9"/>
  <c r="U6" i="9" s="1" a="1"/>
  <c r="U6" i="9" s="1"/>
  <c r="I41" i="1"/>
  <c r="F96" i="9"/>
  <c r="U17" i="9" s="1" a="1"/>
  <c r="U17" i="9" s="1"/>
  <c r="B17" i="21"/>
  <c r="O99" i="9"/>
  <c r="AD20" i="9" s="1"/>
  <c r="B17" i="20" s="1"/>
  <c r="F109" i="9"/>
  <c r="U30" i="9" s="1" a="1"/>
  <c r="U30" i="9" s="1"/>
  <c r="I58" i="1"/>
  <c r="I46" i="1"/>
  <c r="F101" i="9"/>
  <c r="U22" i="9" s="1" a="1"/>
  <c r="U22" i="9" s="1"/>
  <c r="O109" i="9"/>
  <c r="AD30" i="9" s="1"/>
  <c r="B27" i="20" s="1"/>
  <c r="B27" i="21"/>
  <c r="J52" i="1"/>
  <c r="H113" i="9"/>
  <c r="W34" i="9" s="1" a="1"/>
  <c r="W34" i="9" s="1"/>
  <c r="V32" i="9" a="1"/>
  <c r="V32" i="9" s="1"/>
  <c r="I19" i="1"/>
  <c r="E101" i="9"/>
  <c r="T22" i="9" s="1" a="1"/>
  <c r="T22" i="9" s="1"/>
  <c r="I43" i="1"/>
  <c r="F98" i="9"/>
  <c r="U19" i="9" s="1" a="1"/>
  <c r="U19" i="9" s="1"/>
  <c r="H105" i="9"/>
  <c r="W26" i="9" s="1" a="1"/>
  <c r="W26" i="9" s="1"/>
  <c r="J54" i="1"/>
  <c r="J32" i="1"/>
  <c r="H87" i="9"/>
  <c r="W8" i="9" s="1" a="1"/>
  <c r="W8" i="9" s="1"/>
  <c r="I42" i="1"/>
  <c r="F97" i="9"/>
  <c r="U18" i="9" s="1" a="1"/>
  <c r="U18" i="9" s="1"/>
  <c r="G85" i="9"/>
  <c r="J3" i="1"/>
  <c r="J9" i="1"/>
  <c r="G91" i="9"/>
  <c r="F94" i="9"/>
  <c r="U15" i="9" s="1" a="1"/>
  <c r="U15" i="9" s="1"/>
  <c r="I39" i="1"/>
  <c r="I12" i="1"/>
  <c r="E94" i="9"/>
  <c r="T15" i="9" s="1" a="1"/>
  <c r="T15" i="9" s="1"/>
  <c r="I47" i="1"/>
  <c r="F102" i="9"/>
  <c r="U23" i="9" s="1" a="1"/>
  <c r="U23" i="9" s="1"/>
  <c r="J34" i="1"/>
  <c r="H89" i="9"/>
  <c r="W10" i="9" s="1" a="1"/>
  <c r="W10" i="9" s="1"/>
  <c r="F112" i="9"/>
  <c r="U33" i="9" s="1" a="1"/>
  <c r="U33" i="9" s="1"/>
  <c r="I51" i="1"/>
  <c r="J20" i="1"/>
  <c r="G102" i="9"/>
  <c r="I22" i="1"/>
  <c r="E104" i="9"/>
  <c r="T25" i="9" s="1" a="1"/>
  <c r="T25" i="9" s="1"/>
  <c r="J41" i="1"/>
  <c r="H96" i="9"/>
  <c r="W17" i="9" s="1" a="1"/>
  <c r="W17" i="9" s="1"/>
  <c r="B9" i="21"/>
  <c r="O91" i="9"/>
  <c r="AD12" i="9" s="1"/>
  <c r="B9" i="20" s="1"/>
  <c r="J24" i="1"/>
  <c r="G106" i="9"/>
  <c r="I48" i="1"/>
  <c r="F103" i="9"/>
  <c r="U24" i="9" s="1" a="1"/>
  <c r="U24" i="9" s="1"/>
  <c r="J13" i="1"/>
  <c r="G95" i="9"/>
  <c r="I28" i="1"/>
  <c r="E110" i="9"/>
  <c r="T31" i="9" s="1" a="1"/>
  <c r="T31" i="9" s="1"/>
  <c r="J48" i="1"/>
  <c r="H103" i="9"/>
  <c r="W24" i="9" s="1" a="1"/>
  <c r="W24" i="9" s="1"/>
  <c r="O111" i="9"/>
  <c r="AD32" i="9" s="1"/>
  <c r="B29" i="20" s="1"/>
  <c r="B29" i="21"/>
  <c r="I49" i="1"/>
  <c r="F111" i="9"/>
  <c r="U32" i="9" s="1" a="1"/>
  <c r="U32" i="9" s="1"/>
  <c r="I33" i="1"/>
  <c r="F88" i="9"/>
  <c r="U9" i="9" s="1" a="1"/>
  <c r="U9" i="9" s="1"/>
  <c r="J46" i="1"/>
  <c r="H101" i="9"/>
  <c r="W22" i="9" s="1" a="1"/>
  <c r="W22" i="9" s="1"/>
  <c r="I21" i="1"/>
  <c r="E103" i="9"/>
  <c r="T24" i="9" s="1" a="1"/>
  <c r="T24" i="9" s="1"/>
  <c r="J6" i="1"/>
  <c r="G88" i="9"/>
  <c r="J69" i="1"/>
  <c r="M109" i="9"/>
  <c r="AB30" i="9" s="1" a="1"/>
  <c r="AB30" i="9" s="1"/>
  <c r="I4" i="1"/>
  <c r="E86" i="9"/>
  <c r="T7" i="9" s="1" a="1"/>
  <c r="T7" i="9" s="1"/>
  <c r="E92" i="9"/>
  <c r="T13" i="9" s="1" a="1"/>
  <c r="T13" i="9" s="1"/>
  <c r="I10" i="1"/>
  <c r="I25" i="1"/>
  <c r="E107" i="9"/>
  <c r="T28" i="9" s="1" a="1"/>
  <c r="T28" i="9" s="1"/>
  <c r="I6" i="1"/>
  <c r="E88" i="9"/>
  <c r="T9" i="9" s="1" a="1"/>
  <c r="T9" i="9" s="1"/>
  <c r="B6" i="21"/>
  <c r="O88" i="9"/>
  <c r="AD9" i="9" s="1"/>
  <c r="B6" i="20" s="1"/>
  <c r="K104" i="9"/>
  <c r="Z25" i="9" s="1" a="1"/>
  <c r="Z25" i="9" s="1"/>
  <c r="J64" i="1"/>
  <c r="B28" i="21"/>
  <c r="O110" i="9"/>
  <c r="AD31" i="9" s="1"/>
  <c r="O113" i="9"/>
  <c r="AD34" i="9" s="1"/>
  <c r="B31" i="20" s="1"/>
  <c r="B31" i="21"/>
  <c r="J36" i="1"/>
  <c r="H91" i="9"/>
  <c r="W12" i="9" s="1" a="1"/>
  <c r="W12" i="9" s="1"/>
  <c r="I16" i="1"/>
  <c r="E98" i="9"/>
  <c r="T19" i="9" s="1" a="1"/>
  <c r="T19" i="9" s="1"/>
  <c r="J4" i="1"/>
  <c r="G86" i="9"/>
  <c r="I54" i="1"/>
  <c r="F105" i="9"/>
  <c r="U26" i="9" s="1" a="1"/>
  <c r="U26" i="9" s="1"/>
  <c r="B15" i="21"/>
  <c r="O97" i="9"/>
  <c r="AD18" i="9" s="1"/>
  <c r="B15" i="20" s="1"/>
  <c r="F91" i="9"/>
  <c r="U12" i="9" s="1" a="1"/>
  <c r="U12" i="9" s="1"/>
  <c r="I36" i="1"/>
  <c r="O104" i="9"/>
  <c r="AD25" i="9" s="1"/>
  <c r="B22" i="20" s="1"/>
  <c r="B22" i="21"/>
  <c r="I27" i="1"/>
  <c r="E109" i="9"/>
  <c r="T30" i="9" s="1" a="1"/>
  <c r="T30" i="9" s="1"/>
  <c r="J27" i="1"/>
  <c r="G109" i="9"/>
  <c r="O95" i="9"/>
  <c r="AD16" i="9" s="1"/>
  <c r="B13" i="20" s="1"/>
  <c r="B13" i="21"/>
  <c r="I45" i="1"/>
  <c r="F100" i="9"/>
  <c r="U21" i="9" s="1" a="1"/>
  <c r="U21" i="9" s="1"/>
  <c r="D14" i="19" s="1" a="1"/>
  <c r="D14" i="19" s="1"/>
  <c r="E14" i="19" s="1"/>
  <c r="J5" i="1"/>
  <c r="G87" i="9"/>
  <c r="J62" i="1"/>
  <c r="J88" i="9"/>
  <c r="Y9" i="9" s="1" a="1"/>
  <c r="Y9" i="9" s="1"/>
  <c r="I44" i="1"/>
  <c r="F99" i="9"/>
  <c r="U20" i="9" s="1" a="1"/>
  <c r="U20" i="9" s="1"/>
  <c r="I18" i="1"/>
  <c r="E100" i="9"/>
  <c r="T21" i="9" s="1" a="1"/>
  <c r="T21" i="9" s="1"/>
  <c r="D12" i="19" s="1" a="1"/>
  <c r="D12" i="19" s="1"/>
  <c r="E12" i="19" s="1"/>
  <c r="H108" i="9"/>
  <c r="W29" i="9" s="1" a="1"/>
  <c r="W29" i="9" s="1"/>
  <c r="J57" i="1"/>
  <c r="J40" i="1"/>
  <c r="H95" i="9"/>
  <c r="W16" i="9" s="1" a="1"/>
  <c r="W16" i="9" s="1"/>
  <c r="M84" i="9"/>
  <c r="AB5" i="9" s="1" a="1"/>
  <c r="AB5" i="9" s="1"/>
  <c r="K84" i="9"/>
  <c r="Z5" i="9" s="1" a="1"/>
  <c r="Z5" i="9" s="1"/>
  <c r="D84" i="9"/>
  <c r="S5" i="9" s="1" a="1"/>
  <c r="S5" i="9" s="1"/>
  <c r="I84" i="9"/>
  <c r="X5" i="9" s="1" a="1"/>
  <c r="X5" i="9" s="1"/>
  <c r="J84" i="9"/>
  <c r="Y5" i="9" s="1" a="1"/>
  <c r="Y5" i="9" s="1"/>
  <c r="C84" i="9"/>
  <c r="R5" i="9" s="1" a="1"/>
  <c r="R5" i="9" s="1"/>
  <c r="G113" i="9"/>
  <c r="G112" i="9"/>
  <c r="B33" i="20" l="1"/>
  <c r="AE36" i="9"/>
  <c r="C33" i="20" s="1"/>
  <c r="E16" i="19"/>
  <c r="AC32" i="9"/>
  <c r="AE32" i="9" s="1"/>
  <c r="C29" i="20" s="1"/>
  <c r="N111" i="9"/>
  <c r="J68" i="1"/>
  <c r="L84" i="9"/>
  <c r="AA5" i="9" s="1" a="1"/>
  <c r="AA5" i="9" s="1"/>
  <c r="V30" i="9" a="1"/>
  <c r="V30" i="9" s="1"/>
  <c r="AC30" i="9" s="1"/>
  <c r="AE30" i="9" s="1"/>
  <c r="C27" i="20" s="1"/>
  <c r="N109" i="9"/>
  <c r="P109" i="9" s="1"/>
  <c r="V9" i="9" a="1"/>
  <c r="V9" i="9" s="1"/>
  <c r="V31" i="9" a="1"/>
  <c r="V31" i="9" s="1"/>
  <c r="AC31" i="9" s="1"/>
  <c r="AE31" i="9" s="1"/>
  <c r="N110" i="9"/>
  <c r="P110" i="9" s="1"/>
  <c r="V21" i="9" a="1"/>
  <c r="V21" i="9" s="1"/>
  <c r="AC21" i="9" s="1"/>
  <c r="AE21" i="9" s="1"/>
  <c r="C18" i="20" s="1"/>
  <c r="N100" i="9"/>
  <c r="P100" i="9" s="1"/>
  <c r="V11" i="9" a="1"/>
  <c r="V11" i="9" s="1"/>
  <c r="AC11" i="9" s="1"/>
  <c r="AE11" i="9" s="1"/>
  <c r="C8" i="20" s="1"/>
  <c r="N90" i="9"/>
  <c r="P90" i="9" s="1"/>
  <c r="I29" i="1"/>
  <c r="F84" i="9"/>
  <c r="U5" i="9" s="1" a="1"/>
  <c r="U5" i="9" s="1"/>
  <c r="F131" i="17"/>
  <c r="K5" i="17"/>
  <c r="K6" i="17" s="1"/>
  <c r="J21" i="1"/>
  <c r="G103" i="9"/>
  <c r="V29" i="9" a="1"/>
  <c r="V29" i="9" s="1"/>
  <c r="AC29" i="9" s="1"/>
  <c r="AE29" i="9" s="1"/>
  <c r="C26" i="20" s="1"/>
  <c r="N108" i="9"/>
  <c r="P108" i="9" s="1"/>
  <c r="C19" i="10"/>
  <c r="C21" i="10" s="1"/>
  <c r="P7" i="17"/>
  <c r="V34" i="9" a="1"/>
  <c r="V34" i="9" s="1"/>
  <c r="AC34" i="9" s="1"/>
  <c r="AE34" i="9" s="1"/>
  <c r="C31" i="20" s="1"/>
  <c r="N113" i="9"/>
  <c r="P113" i="9" s="1"/>
  <c r="E84" i="9"/>
  <c r="T5" i="9" s="1" a="1"/>
  <c r="T5" i="9" s="1"/>
  <c r="I2" i="1"/>
  <c r="I102" i="1" s="1" a="1"/>
  <c r="I102" i="1" s="1"/>
  <c r="V26" i="9" a="1"/>
  <c r="V26" i="9" s="1"/>
  <c r="AC26" i="9" s="1"/>
  <c r="AE26" i="9" s="1"/>
  <c r="C23" i="20" s="1"/>
  <c r="N105" i="9"/>
  <c r="P105" i="9" s="1"/>
  <c r="J29" i="1"/>
  <c r="H84" i="9"/>
  <c r="W5" i="9" s="1" a="1"/>
  <c r="W5" i="9" s="1"/>
  <c r="V7" i="9" a="1"/>
  <c r="V7" i="9" s="1"/>
  <c r="AC7" i="9" s="1"/>
  <c r="AE7" i="9" s="1"/>
  <c r="C4" i="20" s="1"/>
  <c r="N86" i="9"/>
  <c r="P86" i="9" s="1"/>
  <c r="J33" i="1"/>
  <c r="H88" i="9"/>
  <c r="W9" i="9" s="1" a="1"/>
  <c r="W9" i="9" s="1"/>
  <c r="N95" i="9"/>
  <c r="P95" i="9" s="1"/>
  <c r="V16" i="9" a="1"/>
  <c r="V16" i="9" s="1"/>
  <c r="AC16" i="9" s="1"/>
  <c r="AE16" i="9" s="1"/>
  <c r="C13" i="20" s="1"/>
  <c r="V23" i="9" a="1"/>
  <c r="V23" i="9" s="1"/>
  <c r="AC23" i="9" s="1"/>
  <c r="AE23" i="9" s="1"/>
  <c r="C20" i="20" s="1"/>
  <c r="N102" i="9"/>
  <c r="P102" i="9" s="1"/>
  <c r="V12" i="9" a="1"/>
  <c r="V12" i="9" s="1"/>
  <c r="AC12" i="9" s="1"/>
  <c r="AE12" i="9" s="1"/>
  <c r="C9" i="20" s="1"/>
  <c r="N91" i="9"/>
  <c r="P91" i="9" s="1"/>
  <c r="J14" i="1"/>
  <c r="G96" i="9"/>
  <c r="B2" i="21"/>
  <c r="O84" i="9"/>
  <c r="AD5" i="9" s="1"/>
  <c r="B2" i="20" s="1"/>
  <c r="J2" i="1"/>
  <c r="G84" i="9"/>
  <c r="V25" i="9" a="1"/>
  <c r="V25" i="9" s="1"/>
  <c r="AC25" i="9" s="1"/>
  <c r="AE25" i="9" s="1"/>
  <c r="C22" i="20" s="1"/>
  <c r="N104" i="9"/>
  <c r="P104" i="9" s="1"/>
  <c r="J12" i="1"/>
  <c r="G94" i="9"/>
  <c r="J19" i="1"/>
  <c r="G101" i="9"/>
  <c r="V8" i="9" a="1"/>
  <c r="V8" i="9" s="1"/>
  <c r="AC8" i="9" s="1"/>
  <c r="AE8" i="9" s="1"/>
  <c r="C5" i="20" s="1"/>
  <c r="N87" i="9"/>
  <c r="P87" i="9" s="1"/>
  <c r="P111" i="9"/>
  <c r="V13" i="9" a="1"/>
  <c r="V13" i="9" s="1"/>
  <c r="AC13" i="9" s="1"/>
  <c r="AE13" i="9" s="1"/>
  <c r="C10" i="20" s="1"/>
  <c r="N92" i="9"/>
  <c r="P92" i="9" s="1"/>
  <c r="V10" i="9" a="1"/>
  <c r="V10" i="9" s="1"/>
  <c r="AC10" i="9" s="1"/>
  <c r="AE10" i="9" s="1"/>
  <c r="C7" i="20" s="1"/>
  <c r="N89" i="9"/>
  <c r="P89" i="9" s="1"/>
  <c r="G99" i="9"/>
  <c r="J17" i="1"/>
  <c r="N112" i="9"/>
  <c r="P112" i="9" s="1"/>
  <c r="V33" i="9" a="1"/>
  <c r="V33" i="9" s="1"/>
  <c r="AC33" i="9" s="1"/>
  <c r="AE33" i="9" s="1"/>
  <c r="C30" i="20" s="1"/>
  <c r="V6" i="9" a="1"/>
  <c r="V6" i="9" s="1"/>
  <c r="AC6" i="9" s="1"/>
  <c r="AE6" i="9" s="1"/>
  <c r="C3" i="20" s="1"/>
  <c r="N85" i="9"/>
  <c r="P85" i="9" s="1"/>
  <c r="V28" i="9" a="1"/>
  <c r="V28" i="9" s="1"/>
  <c r="AC28" i="9" s="1"/>
  <c r="AE28" i="9" s="1"/>
  <c r="C25" i="20" s="1"/>
  <c r="N107" i="9"/>
  <c r="P107" i="9" s="1"/>
  <c r="V19" i="9" a="1"/>
  <c r="V19" i="9" s="1"/>
  <c r="V14" i="9" a="1"/>
  <c r="V14" i="9" s="1"/>
  <c r="AC14" i="9" s="1"/>
  <c r="AE14" i="9" s="1"/>
  <c r="C11" i="20" s="1"/>
  <c r="N93" i="9"/>
  <c r="P93" i="9" s="1"/>
  <c r="J43" i="1"/>
  <c r="H98" i="9"/>
  <c r="W19" i="9" s="1" a="1"/>
  <c r="W19" i="9" s="1"/>
  <c r="J15" i="1"/>
  <c r="G97" i="9"/>
  <c r="B28" i="20"/>
  <c r="E18" i="19" a="1"/>
  <c r="E18" i="19" s="1"/>
  <c r="V27" i="9" a="1"/>
  <c r="V27" i="9" s="1"/>
  <c r="AC27" i="9" s="1"/>
  <c r="AE27" i="9" s="1"/>
  <c r="C24" i="20" s="1"/>
  <c r="N106" i="9"/>
  <c r="P106" i="9" s="1"/>
  <c r="J102" i="1" l="1" a="1"/>
  <c r="J102" i="1" s="1"/>
  <c r="AC19" i="9"/>
  <c r="AE19" i="9" s="1"/>
  <c r="C16" i="20" s="1"/>
  <c r="V20" i="9" a="1"/>
  <c r="V20" i="9" s="1"/>
  <c r="AC20" i="9" s="1"/>
  <c r="AE20" i="9" s="1"/>
  <c r="C17" i="20" s="1"/>
  <c r="N99" i="9"/>
  <c r="P99" i="9" s="1"/>
  <c r="N98" i="9"/>
  <c r="P98" i="9" s="1"/>
  <c r="N84" i="9"/>
  <c r="P84" i="9" s="1"/>
  <c r="V5" i="9" a="1"/>
  <c r="V5" i="9" s="1"/>
  <c r="AC5" i="9" s="1"/>
  <c r="AE5" i="9" s="1"/>
  <c r="C2" i="20" s="1"/>
  <c r="C28" i="20"/>
  <c r="E20" i="19" a="1"/>
  <c r="E20" i="19" s="1"/>
  <c r="V17" i="9" a="1"/>
  <c r="V17" i="9" s="1"/>
  <c r="AC17" i="9" s="1"/>
  <c r="AE17" i="9" s="1"/>
  <c r="C14" i="20" s="1"/>
  <c r="N96" i="9"/>
  <c r="P96" i="9" s="1"/>
  <c r="V24" i="9" a="1"/>
  <c r="V24" i="9" s="1"/>
  <c r="AC24" i="9" s="1"/>
  <c r="AE24" i="9" s="1"/>
  <c r="C21" i="20" s="1"/>
  <c r="N103" i="9"/>
  <c r="P103" i="9" s="1"/>
  <c r="N88" i="9"/>
  <c r="P88" i="9" s="1"/>
  <c r="AC9" i="9"/>
  <c r="AE9" i="9" s="1"/>
  <c r="C6" i="20" s="1"/>
  <c r="N97" i="9"/>
  <c r="P97" i="9" s="1"/>
  <c r="V18" i="9" a="1"/>
  <c r="V18" i="9" s="1"/>
  <c r="AC18" i="9" s="1"/>
  <c r="AE18" i="9" s="1"/>
  <c r="C15" i="20" s="1"/>
  <c r="V22" i="9" a="1"/>
  <c r="V22" i="9" s="1"/>
  <c r="AC22" i="9" s="1"/>
  <c r="AE22" i="9" s="1"/>
  <c r="C19" i="20" s="1"/>
  <c r="N101" i="9"/>
  <c r="P101" i="9" s="1"/>
  <c r="E9" i="8"/>
  <c r="E12" i="8"/>
  <c r="E5" i="8"/>
  <c r="E8" i="8"/>
  <c r="E13" i="8"/>
  <c r="E6" i="8"/>
  <c r="E10" i="8"/>
  <c r="E7" i="8"/>
  <c r="E11" i="8"/>
  <c r="E4" i="8"/>
  <c r="N94" i="9"/>
  <c r="P94" i="9" s="1"/>
  <c r="V15" i="9" a="1"/>
  <c r="V15" i="9" s="1"/>
  <c r="AC15" i="9" s="1"/>
  <c r="AE15" i="9" s="1"/>
  <c r="C12" i="20" s="1"/>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<sst xmlns="http://schemas.openxmlformats.org/spreadsheetml/2006/main" count="1206" uniqueCount="349">
  <si>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</si>
  <si>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</si>
  <si>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</si>
  <si>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</si>
  <si>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</si>
  <si>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</si>
  <si>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</si>
  <si>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</si>
  <si>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</si>
  <si>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</si>
  <si>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</si>
  <si>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</si>
  <si>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</si>
  <si>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</si>
  <si>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</si>
  <si>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</si>
  <si>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</si>
  <si>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</si>
  <si>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</si>
  <si>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</si>
  <si>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</si>
  <si>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</si>
  <si>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</si>
  <si>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</si>
  <si>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</si>
  <si>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</si>
  <si>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</si>
  <si>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</si>
  <si>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</si>
  <si>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</si>
  <si>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</si>
  <si>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</si>
  <si>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</si>
  <si>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</si>
  <si>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</si>
  <si>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</si>
  <si>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</si>
  <si>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</si>
  <si>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</si>
  <si>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</si>
  <si>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</si>
  <si>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</si>
  <si>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</si>
  <si>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</si>
  <si>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</si>
  <si>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</si>
  <si>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</si>
  <si>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</si>
  <si>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</si>
  <si>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</si>
  <si>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</si>
  <si>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</si>
  <si>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</si>
  <si>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</si>
  <si>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</si>
  <si>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</si>
  <si>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</si>
  <si>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</si>
  <si>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</si>
  <si>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</si>
  <si>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</si>
  <si>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</si>
  <si>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</si>
  <si>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</si>
  <si>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</si>
  <si>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</si>
  <si>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</si>
  <si>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</si>
  <si>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</si>
  <si>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</si>
  <si>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</si>
  <si>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</si>
  <si>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</si>
  <si>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</si>
  <si>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</si>
  <si>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</si>
  <si>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</si>
  <si>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</si>
  <si>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</si>
  <si>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</si>
  <si>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</si>
  <si>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</si>
  <si>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</si>
  <si>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</si>
  <si>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</si>
  <si>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</si>
  <si>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</si>
  <si>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</si>
  <si>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</si>
  <si>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</si>
  <si>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</si>
  <si>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</si>
  <si>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</si>
  <si>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</si>
  <si>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</si>
  <si>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</si>
  <si>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</si>
  <si>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</si>
  <si>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</si>
  <si>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</si>
  <si>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</si>
  <si>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</si>
  <si>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</si>
  <si>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</si>
  <si>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</si>
  <si>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</si>
  <si>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</si>
  <si>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</si>
  <si>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</si>
  <si>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</si>
  <si>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</si>
  <si>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</si>
  <si>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</si>
  <si>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</si>
  <si>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</si>
  <si>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</si>
  <si>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</si>
  <si>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</si>
  <si>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</si>
  <si>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</si>
  <si>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</si>
  <si>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</si>
  <si>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</si>
  <si>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</si>
  <si>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</si>
  <si>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</si>
  <si>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</si>
  <si>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</si>
  <si>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</si>
  <si>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</si>
  <si>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</si>
  <si>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</si>
  <si>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</si>
  <si>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</si>
  <si>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</si>
  <si>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</si>
  <si>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</si>
  <si>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</si>
  <si>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</si>
  <si>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</si>
  <si>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</si>
  <si>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</si>
  <si>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</si>
  <si>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</si>
  <si>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</si>
  <si>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</si>
  <si>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</si>
  <si>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</si>
  <si>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</si>
  <si>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</si>
  <si>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</si>
  <si>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</si>
  <si>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</si>
  <si>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</si>
  <si>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</si>
  <si>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</si>
  <si>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</si>
  <si>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</si>
  <si>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</si>
  <si>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</si>
  <si>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</si>
  <si>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</si>
  <si>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</si>
  <si>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</si>
  <si>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</si>
  <si>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</si>
  <si>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</si>
  <si>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</si>
  <si>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</si>
  <si>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</si>
  <si>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</si>
  <si>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</si>
  <si>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</si>
  <si>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</si>
  <si>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</si>
  <si>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</si>
  <si>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</si>
  <si>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</si>
  <si>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</si>
  <si>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</si>
  <si>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</si>
  <si>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</si>
  <si>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</si>
  <si>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</si>
  <si>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</si>
  <si>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</si>
  <si>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</si>
  <si>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</si>
  <si>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</si>
  <si>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</si>
  <si>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</si>
  <si>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</si>
  <si>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</si>
  <si>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</si>
  <si>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</si>
  <si>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</si>
  <si>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</si>
  <si>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</si>
  <si>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</si>
  <si>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</si>
  <si>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</si>
  <si>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</si>
  <si>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</si>
  <si>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</si>
  <si>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</si>
  <si>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</si>
  <si>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</si>
  <si>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</si>
  <si>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</si>
  <si>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</si>
  <si>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</si>
  <si>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</si>
  <si>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</si>
  <si>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</si>
  <si>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</si>
  <si>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</si>
  <si>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</si>
  <si>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</si>
  <si>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</si>
  <si>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</si>
  <si>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</si>
  <si>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</si>
  <si>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Advance salary</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</si>
  <si>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</si>
  <si>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</si>
  <si>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</si>
  <si>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</si>
  <si>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</si>
  <si>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</si>
  <si>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</si>
  <si>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</si>
  <si>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</si>
  <si>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</si>
  <si>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</si>
  <si>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</si>
  <si>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</si>
  <si>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</si>
  <si>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</si>
  <si>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</si>
  <si>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</si>
  <si>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</si>
  <si>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</si>
  <si>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</si>
  <si>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</si>
  <si>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</si>
  <si>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</si>
  <si>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Shoaib Folding</t>
  </si>
  <si>
    <t>Hafiz qureshi</t>
  </si>
  <si>
    <t>misc</t>
  </si>
  <si>
    <t>Mazdoor</t>
  </si>
  <si>
    <t>Hafiz Shawl</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</si>
  <si>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</si>
  <si>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</si>
  <si>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</si>
  <si>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</si>
  <si>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</si>
  <si>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</si>
  <si>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</si>
  <si>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</si>
  <si>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</si>
  <si>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</si>
  <si>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</si>
  <si>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</si>
  <si>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</si>
  <si>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</si>
  <si>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</si>
  <si>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</si>
  <si>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</si>
  <si>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</si>
  <si>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</si>
  <si>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</si>
  <si>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</si>
  <si>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</si>
  <si>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</si>
  <si>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</si>
  <si>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</si>
  <si>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</si>
  <si>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</si>
  <si>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</si>
  <si>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</si>
  <si>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</si>
  <si>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</si>
  <si>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</si>
  <si>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</si>
  <si>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</si>
  <si>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</si>
  <si>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</si>
  <si>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</si>
  <si>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</si>
  <si>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</si>
  <si>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</si>
  <si>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</si>
  <si>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</si>
  <si>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</si>
  <si>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</si>
  <si>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</si>
  <si>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</si>
  <si>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</si>
  <si>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</si>
  <si>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</si>
  <si>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</si>
  <si>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</si>
  <si>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</si>
  <si>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Master Tanveer</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</si>
  <si>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</si>
  <si>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</si>
  <si>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</si>
  <si>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</si>
  <si>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</si>
  <si>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</si>
  <si>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</si>
  <si>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</si>
  <si>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</si>
  <si>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</si>
  <si>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</si>
  <si>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</si>
  <si>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</si>
  <si>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</si>
  <si>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</si>
  <si>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</si>
  <si>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</si>
  <si>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</si>
  <si>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</si>
  <si>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</si>
  <si>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</si>
  <si>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</si>
  <si>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</si>
  <si>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</si>
  <si>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</si>
  <si>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</si>
  <si>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</si>
  <si>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Ghulam abbas chakki</t>
  </si>
  <si>
    <t>Amjad fitter</t>
  </si>
  <si>
    <t>2+1</t>
  </si>
  <si>
    <t>Ashraf Guard</t>
  </si>
  <si>
    <t>50k Jc 150k cash</t>
  </si>
  <si>
    <t>Arshad 150 cash</t>
  </si>
  <si>
    <t>Ashfaq sahab boiler theka</t>
  </si>
  <si>
    <t>Jc</t>
  </si>
  <si>
    <t>TID:960972</t>
  </si>
  <si>
    <t>AVR generator</t>
  </si>
  <si>
    <t>receipt #448</t>
  </si>
  <si>
    <t>reciept #450</t>
  </si>
  <si>
    <t>kluber + pins</t>
  </si>
  <si>
    <t>Reciept #445</t>
  </si>
  <si>
    <t>Shahid qasay</t>
  </si>
  <si>
    <t>reciept #447</t>
  </si>
  <si>
    <t>surf</t>
  </si>
  <si>
    <t>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</si>
</sst>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NumberFormat="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071759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094907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7">
        <d v="2026-02-20T00:00:00"/>
        <m/>
        <d v="2026-02-21T00:00:00"/>
        <d v="2026-02-22T00:00:00"/>
        <d v="2026-02-23T00:00:00"/>
        <d v="2026-02-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4"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180554"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5T00:00:00" count="80">
        <d v="2026-02-19T00:00:00"/>
        <m/>
        <d v="2026-02-20T00:00:00"/>
        <d v="2026-02-22T00:00:00"/>
        <d v="2026-02-23T00:00:00"/>
        <d v="2026-02-24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00000"/>
    </cacheField>
    <cacheField name="Balance" numFmtId="0">
      <sharedItems containsBlank="1" containsMixedTypes="1" containsNumber="1" containsInteger="1" minValue="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18055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33764.63057790784"/>
    </cacheField>
    <cacheField name="Rate" numFmtId="0">
      <sharedItems containsString="0" containsBlank="1" containsNumber="1" minValue="10" maxValue="12"/>
    </cacheField>
    <cacheField name="Total" numFmtId="164">
      <sharedItems containsSemiMixedTypes="0" containsString="0" containsNumber="1" minValue="0" maxValue="1659405.6327724946"/>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412039" createdVersion="8" refreshedVersion="8" minRefreshableVersion="3" recordCount="129" xr:uid="{B5BDFB73-D93A-4A7A-8149-666BC190B09B}">
  <cacheSource type="worksheet">
    <worksheetSource name="Table14"/>
  </cacheSource>
  <cacheFields count="7">
    <cacheField name="Date" numFmtId="14">
      <sharedItems containsNonDate="0" containsDate="1" containsString="0" containsBlank="1" minDate="2025-12-23T00:00:00" maxDate="2026-02-27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s v="Advance salary"/>
        <s v="Arshad"/>
        <s v="amjad wood"/>
        <s v="Malik Zaheer"/>
        <s v="Kaleem ullah"/>
        <s v="salary"/>
        <s v="AS Traders"/>
        <s v="Building Acc"/>
        <s v="Loom ac"/>
        <s v="madina dyes"/>
        <s v="irfan punjabi"/>
        <s v="Faizan Kamoki"/>
        <s v="ibraheem behraam"/>
        <s v="Unicolour"/>
        <s v="Shahid Qasayi"/>
        <m/>
        <s v="rashan" u="1"/>
        <s v="salman Zaffar" u="1"/>
        <s v="ubaidullah" u="1"/>
        <s v="sajad khan" u="1"/>
        <s v="Adjustment" u="1"/>
        <s v="temp" u="1"/>
        <s v="Rehman Ali" u="1"/>
        <s v="Faysal Akraam" u="1"/>
        <s v="Faisal Dyes" u="1"/>
        <s v="Ahmad Shafique" u="1"/>
        <s v="Wazir Dyes" u="1"/>
        <s v="Gauhar Kashif" u="1"/>
        <s v="Amjad Sohail" u="1"/>
        <s v="Azam" u="1"/>
        <s v="Hafiz Shawl" u="1"/>
        <s v="General Dyes" u="1"/>
        <s v="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762018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527777" createdVersion="8" refreshedVersion="8" minRefreshableVersion="3" recordCount="108" xr:uid="{46CBB50D-3613-4E5B-8212-DD0313DCD05A}">
  <cacheSource type="worksheet">
    <worksheetSource name="Table1"/>
  </cacheSource>
  <cacheFields count="14">
    <cacheField name="Date" numFmtId="0">
      <sharedItems containsSemiMixedTypes="0" containsNonDate="0" containsDate="1" containsString="0" minDate="2026-02-19T00:00:00" maxDate="2026-02-27T00:00:00"/>
    </cacheField>
    <cacheField name="Party Name" numFmtId="0">
      <sharedItems containsBlank="1" count="4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m/>
        <s v="Reject" u="1"/>
        <s v="YING" u="1"/>
        <s v="Meow" u="1"/>
        <s v="Umer Sb" u="1"/>
        <s v="-" u="1"/>
        <s v="Sajjad" u="1"/>
        <s v="Haji Ejaz" u="1"/>
      </sharedItems>
    </cacheField>
    <cacheField name="Bill Number" numFmtId="0">
      <sharedItems containsBlank="1" containsMixedTypes="1" containsNumber="1" containsInteger="1" minValue="1509" maxValue="1540"/>
    </cacheField>
    <cacheField name="Quality" numFmtId="0">
      <sharedItems containsBlank="1"/>
    </cacheField>
    <cacheField name="Shipment Number" numFmtId="164">
      <sharedItems containsString="0" containsBlank="1" containsNumber="1" containsInteger="1" minValue="1558" maxValue="17000" count="455">
        <m/>
        <n v="2100"/>
        <n v="2080"/>
        <n v="2058"/>
        <n v="2069"/>
        <n v="1809"/>
        <n v="2060"/>
        <n v="2085"/>
        <n v="2078"/>
        <n v="2040"/>
        <n v="2049"/>
        <n v="2095"/>
        <n v="2082"/>
        <n v="2035"/>
        <n v="2102"/>
        <n v="2089"/>
        <n v="2101"/>
        <n v="2084"/>
        <n v="2103"/>
        <n v="2096"/>
        <n v="2105"/>
        <n v="2104"/>
        <n v="2088"/>
        <n v="1996"/>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1.63324861577163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1"/>
    <x v="10"/>
    <x v="1"/>
    <m/>
    <m/>
    <m/>
    <n v="0"/>
    <m/>
    <n v="0"/>
  </r>
  <r>
    <x v="1"/>
    <x v="10"/>
    <x v="1"/>
    <m/>
    <m/>
    <m/>
    <n v="0"/>
    <m/>
    <n v="0"/>
  </r>
  <r>
    <x v="1"/>
    <x v="10"/>
    <x v="1"/>
    <m/>
    <m/>
    <m/>
    <n v="0"/>
    <m/>
    <n v="0"/>
  </r>
  <r>
    <x v="1"/>
    <x v="10"/>
    <x v="1"/>
    <m/>
    <m/>
    <m/>
    <n v="0"/>
    <m/>
    <n v="0"/>
  </r>
  <r>
    <x v="1"/>
    <x v="10"/>
    <x v="1"/>
    <m/>
    <m/>
    <m/>
    <n v="0"/>
    <m/>
    <n v="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33764.63057790784"/>
    <n v="10"/>
    <n v="1659405.6327724946"/>
  </r>
  <r>
    <x v="1"/>
    <n v="14008.778346744697"/>
    <n v="10"/>
    <n v="168105.34016093635"/>
  </r>
  <r>
    <x v="2"/>
    <n v="42072.970007315293"/>
    <n v="10"/>
    <n v="459427.5786393563"/>
  </r>
  <r>
    <x v="3"/>
    <n v="0"/>
    <n v="10.5"/>
    <n v="0"/>
  </r>
  <r>
    <x v="4"/>
    <n v="0"/>
    <n v="10"/>
    <n v="0"/>
  </r>
  <r>
    <x v="5"/>
    <n v="0"/>
    <n v="10"/>
    <n v="0"/>
  </r>
  <r>
    <x v="6"/>
    <n v="4818.0321872713976"/>
    <n v="10"/>
    <n v="48180.321872713976"/>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d v="2026-01-20T00:00:00"/>
    <x v="0"/>
    <m/>
    <n v="762018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n v="5000"/>
    <m/>
    <s v="Naeem Electric"/>
    <s v="Bank"/>
    <m/>
  </r>
  <r>
    <d v="2026-02-21T00:00:00"/>
    <x v="19"/>
    <m/>
    <n v="200000"/>
    <s v="receipt #442"/>
    <s v="Bank"/>
    <m/>
  </r>
  <r>
    <d v="2026-02-21T00:00:00"/>
    <x v="20"/>
    <n v="40000"/>
    <m/>
    <s v="TID:098913"/>
    <s v="Bank"/>
    <m/>
  </r>
  <r>
    <d v="2026-02-21T00:00:00"/>
    <x v="21"/>
    <n v="150000"/>
    <m/>
    <s v="TID:937951"/>
    <s v="Bank"/>
    <m/>
  </r>
  <r>
    <d v="2026-02-21T00:00:00"/>
    <x v="22"/>
    <n v="151000"/>
    <m/>
    <s v="TID:749401"/>
    <s v="Bank"/>
    <m/>
  </r>
  <r>
    <d v="2026-02-22T00:00:00"/>
    <x v="18"/>
    <n v="5000"/>
    <m/>
    <s v="Khubaib"/>
    <s v="Bank"/>
    <m/>
  </r>
  <r>
    <d v="2026-02-22T00:00:00"/>
    <x v="23"/>
    <n v="40000"/>
    <m/>
    <s v="Khalid Sahab"/>
    <s v="Bank"/>
    <m/>
  </r>
  <r>
    <d v="2026-02-22T00:00:00"/>
    <x v="18"/>
    <n v="1000"/>
    <m/>
    <s v="Nasir operator"/>
    <s v="Bank"/>
    <m/>
  </r>
  <r>
    <d v="2026-02-22T00:00:00"/>
    <x v="18"/>
    <n v="1000"/>
    <m/>
    <s v="Shoaib Folding"/>
    <s v="Bank"/>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d v="2026-02-23T00:00:00"/>
    <x v="18"/>
    <n v="12000"/>
    <m/>
    <s v="Master Tanveer"/>
    <s v="Bank"/>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n v="16630"/>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d v="2026-02-25T00:00:00"/>
    <x v="18"/>
    <n v="1000"/>
    <m/>
    <s v="Ghulam abbas chakki"/>
    <s v="Bank"/>
    <m/>
  </r>
  <r>
    <d v="2026-02-26T00:00:00"/>
    <x v="18"/>
    <n v="10000"/>
    <m/>
    <s v="Naeem Electric"/>
    <s v="Bank"/>
    <m/>
  </r>
  <r>
    <d v="2026-02-26T00:00:00"/>
    <x v="18"/>
    <n v="15000"/>
    <m/>
    <s v="Amjad fitter"/>
    <s v="Bank"/>
    <m/>
  </r>
  <r>
    <d v="2026-02-26T00:00:00"/>
    <x v="25"/>
    <n v="10000"/>
    <m/>
    <s v="2+1"/>
    <s v="Bank"/>
    <m/>
  </r>
  <r>
    <d v="2026-02-26T00:00:00"/>
    <x v="23"/>
    <n v="16000"/>
    <m/>
    <s v="Ashraf Guard"/>
    <s v="Bank"/>
    <m/>
  </r>
  <r>
    <d v="2026-02-26T00:00:00"/>
    <x v="19"/>
    <m/>
    <n v="200000"/>
    <s v="50k Jc 150k cash"/>
    <s v="Bank"/>
    <m/>
  </r>
  <r>
    <d v="2026-02-26T00:00:00"/>
    <x v="1"/>
    <n v="150000"/>
    <m/>
    <s v="Arshad 150 cash"/>
    <s v="Bank"/>
    <m/>
  </r>
  <r>
    <d v="2026-02-26T00:00:00"/>
    <x v="23"/>
    <n v="50000"/>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m/>
    <x v="33"/>
    <m/>
    <m/>
    <m/>
    <m/>
    <m/>
  </r>
  <r>
    <m/>
    <x v="33"/>
    <m/>
    <m/>
    <m/>
    <m/>
    <m/>
  </r>
  <r>
    <m/>
    <x v="33"/>
    <m/>
    <m/>
    <m/>
    <m/>
    <m/>
  </r>
  <r>
    <m/>
    <x v="33"/>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s v="NF"/>
    <m/>
    <m/>
    <m/>
  </r>
  <r>
    <d v="2026-02-25T00:00:00"/>
    <x v="18"/>
    <n v="1535"/>
    <s v="Chamki"/>
    <x v="18"/>
    <n v="2069"/>
    <n v="2212"/>
    <s v="NF"/>
    <m/>
    <m/>
    <m/>
  </r>
  <r>
    <d v="2026-02-25T00:00:00"/>
    <x v="0"/>
    <n v="1536"/>
    <s v="Chamki"/>
    <x v="19"/>
    <n v="100801"/>
    <n v="11908"/>
    <s v="NF"/>
    <m/>
    <m/>
    <m/>
  </r>
  <r>
    <d v="2026-02-25T00:00:00"/>
    <x v="1"/>
    <n v="1537"/>
    <s v="Silky"/>
    <x v="20"/>
    <n v="14584"/>
    <n v="15320"/>
    <s v="NF"/>
    <m/>
    <m/>
    <m/>
  </r>
  <r>
    <d v="2026-02-25T00:00:00"/>
    <x v="2"/>
    <n v="1538"/>
    <s v="Silky"/>
    <x v="21"/>
    <n v="20046"/>
    <n v="21160"/>
    <s v="NF"/>
    <m/>
    <m/>
    <m/>
  </r>
  <r>
    <d v="2026-02-26T00:00:00"/>
    <x v="10"/>
    <n v="1539"/>
    <s v="Chamki"/>
    <x v="22"/>
    <n v="19717"/>
    <n v="21223"/>
    <s v="NF"/>
    <m/>
    <m/>
    <m/>
  </r>
  <r>
    <d v="2026-02-26T00:00:00"/>
    <x v="6"/>
    <n v="1540"/>
    <s v="Chamki"/>
    <x v="23"/>
    <n v="24005"/>
    <n v="5269"/>
    <s v="NF"/>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1">
      <pivotArea field="0" grandRow="1" outline="0" collapsedLevelsAreSubtotals="1" axis="axisRow" fieldPosition="0">
        <references count="1">
          <reference field="4294967294" count="1" selected="0">
            <x v="1"/>
          </reference>
        </references>
      </pivotArea>
    </format>
    <format dxfId="110">
      <pivotArea field="0" grandRow="1" outline="0" collapsedLevelsAreSubtotals="1" axis="axisRow" fieldPosition="0">
        <references count="1">
          <reference field="4294967294" count="1" selected="0">
            <x v="0"/>
          </reference>
        </references>
      </pivotArea>
    </format>
    <format dxfId="109">
      <pivotArea collapsedLevelsAreSubtotals="1" fieldPosition="0">
        <references count="2">
          <reference field="4294967294" count="1" selected="0">
            <x v="1"/>
          </reference>
          <reference field="0" count="0"/>
        </references>
      </pivotArea>
    </format>
    <format dxfId="10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2" firstHeaderRow="0" firstDataRow="1" firstDataCol="1" rowPageCount="1" colPageCount="1"/>
  <pivotFields count="9">
    <pivotField axis="axisRow" numFmtId="14" showAll="0">
      <items count="198">
        <item m="1" x="181"/>
        <item m="1" x="182"/>
        <item m="1" x="183"/>
        <item m="1" x="184"/>
        <item m="1" x="185"/>
        <item m="1" x="186"/>
        <item m="1" x="187"/>
        <item m="1" x="196"/>
        <item m="1" x="177"/>
        <item m="1" x="188"/>
        <item m="1" x="189"/>
        <item m="1" x="190"/>
        <item m="1" x="191"/>
        <item m="1" x="192"/>
        <item m="1" x="193"/>
        <item m="1" x="194"/>
        <item m="1" x="148"/>
        <item m="1" x="149"/>
        <item m="1" x="195"/>
        <item m="1" x="150"/>
        <item m="1" x="147"/>
        <item m="1" x="151"/>
        <item m="1" x="153"/>
        <item m="1" x="154"/>
        <item m="1" x="155"/>
        <item m="1" x="157"/>
        <item m="1" x="158"/>
        <item m="1" x="159"/>
        <item m="1" x="152"/>
        <item m="1" x="156"/>
        <item m="1" x="160"/>
        <item m="1" x="161"/>
        <item m="1" x="162"/>
        <item m="1" x="163"/>
        <item m="1" x="146"/>
        <item m="1" x="164"/>
        <item m="1" x="178"/>
        <item m="1" x="179"/>
        <item m="1" x="180"/>
        <item m="1" x="165"/>
        <item m="1" x="166"/>
        <item m="1" x="167"/>
        <item m="1" x="168"/>
        <item m="1" x="169"/>
        <item m="1" x="170"/>
        <item m="1" x="171"/>
        <item m="1" x="172"/>
        <item m="1" x="173"/>
        <item m="1" x="174"/>
        <item m="1" x="175"/>
        <item m="1" x="176"/>
        <item m="1" x="117"/>
        <item m="1" x="118"/>
        <item m="1" x="119"/>
        <item m="1" x="120"/>
        <item m="1" x="121"/>
        <item m="1" x="122"/>
        <item m="1" x="123"/>
        <item m="1" x="124"/>
        <item m="1" x="126"/>
        <item m="1" x="127"/>
        <item m="1" x="128"/>
        <item m="1" x="125"/>
        <item m="1" x="129"/>
        <item m="1" x="130"/>
        <item m="1" x="131"/>
        <item m="1" x="132"/>
        <item m="1" x="133"/>
        <item m="1" x="134"/>
        <item m="1" x="135"/>
        <item m="1" x="136"/>
        <item m="1" x="137"/>
        <item m="1" x="138"/>
        <item m="1" x="139"/>
        <item m="1" x="140"/>
        <item m="1" x="141"/>
        <item m="1" x="142"/>
        <item m="1" x="143"/>
        <item m="1" x="144"/>
        <item m="1" x="145"/>
        <item m="1" x="63"/>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64"/>
        <item m="1" x="67"/>
        <item m="1" x="65"/>
        <item m="1" x="66"/>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31"/>
        <item m="1" x="32"/>
        <item m="1" x="33"/>
        <item m="1" x="34"/>
        <item m="1" x="35"/>
        <item m="1" x="36"/>
        <item m="1" x="37"/>
        <item m="1" x="38"/>
        <item x="1"/>
        <item m="1" x="39"/>
        <item m="1" x="40"/>
        <item m="1" x="41"/>
        <item m="1" x="42"/>
        <item m="1" x="43"/>
        <item m="1" x="44"/>
        <item m="1" x="62"/>
        <item m="1" x="45"/>
        <item m="1" x="46"/>
        <item m="1" x="30"/>
        <item m="1" x="29"/>
        <item m="1" x="47"/>
        <item m="1" x="48"/>
        <item m="1" x="49"/>
        <item m="1" x="50"/>
        <item m="1" x="51"/>
        <item m="1" x="52"/>
        <item m="1" x="53"/>
        <item m="1" x="54"/>
        <item m="1" x="55"/>
        <item m="1" x="56"/>
        <item m="1" x="57"/>
        <item m="1" x="58"/>
        <item m="1" x="59"/>
        <item m="1" x="60"/>
        <item m="1" x="61"/>
        <item m="1" x="6"/>
        <item m="1" x="7"/>
        <item m="1" x="8"/>
        <item m="1" x="9"/>
        <item m="1" x="10"/>
        <item m="1" x="11"/>
        <item m="1" x="12"/>
        <item m="1" x="13"/>
        <item m="1" x="14"/>
        <item m="1" x="15"/>
        <item m="1" x="16"/>
        <item m="1" x="17"/>
        <item m="1" x="18"/>
        <item m="1" x="19"/>
        <item m="1" x="20"/>
        <item m="1" x="21"/>
        <item m="1" x="22"/>
        <item m="1" x="23"/>
        <item m="1" x="24"/>
        <item m="1" x="25"/>
        <item m="1" x="26"/>
        <item m="1" x="27"/>
        <item m="1" x="28"/>
        <item x="5"/>
        <item x="0"/>
        <item x="2"/>
        <item x="3"/>
        <item x="4"/>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4">
    <i>
      <x v="142"/>
    </i>
    <i r="1">
      <x v="54"/>
    </i>
    <i>
      <x v="192"/>
    </i>
    <i r="1">
      <x v="54"/>
    </i>
    <i>
      <x v="193"/>
    </i>
    <i r="1">
      <x v="20"/>
    </i>
    <i r="1">
      <x v="54"/>
    </i>
    <i>
      <x v="194"/>
    </i>
    <i r="1">
      <x v="54"/>
    </i>
    <i>
      <x v="195"/>
    </i>
    <i r="1">
      <x v="54"/>
    </i>
    <i>
      <x v="19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5">
      <pivotArea dataOnly="0" labelOnly="1" outline="0" fieldPosition="0">
        <references count="1">
          <reference field="1" count="1">
            <x v="1"/>
          </reference>
        </references>
      </pivotArea>
    </format>
    <format dxfId="6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94">
        <item x="18"/>
        <item x="19"/>
        <item m="1" x="62"/>
        <item m="1" x="80"/>
        <item m="1" x="83"/>
        <item x="13"/>
        <item x="21"/>
        <item x="14"/>
        <item x="5"/>
        <item m="1" x="34"/>
        <item x="23"/>
        <item m="1" x="91"/>
        <item m="1" x="57"/>
        <item x="10"/>
        <item m="1" x="41"/>
        <item m="1" x="89"/>
        <item x="2"/>
        <item m="1" x="39"/>
        <item x="3"/>
        <item x="4"/>
        <item x="33"/>
        <item m="1" x="37"/>
        <item m="1" x="92"/>
        <item m="1" x="58"/>
        <item x="15"/>
        <item m="1" x="90"/>
        <item m="1" x="82"/>
        <item x="31"/>
        <item m="1" x="84"/>
        <item m="1" x="85"/>
        <item m="1" x="86"/>
        <item m="1" x="87"/>
        <item m="1" x="36"/>
        <item m="1" x="88"/>
        <item m="1" x="59"/>
        <item m="1" x="51"/>
        <item m="1" x="50"/>
        <item m="1" x="47"/>
        <item m="1" x="79"/>
        <item m="1" x="75"/>
        <item m="1" x="55"/>
        <item x="22"/>
        <item x="17"/>
        <item m="1" x="81"/>
        <item x="1"/>
        <item x="24"/>
        <item m="1" x="70"/>
        <item x="7"/>
        <item x="27"/>
        <item m="1" x="71"/>
        <item m="1" x="72"/>
        <item m="1" x="73"/>
        <item m="1" x="74"/>
        <item m="1" x="76"/>
        <item m="1" x="46"/>
        <item m="1" x="63"/>
        <item m="1" x="77"/>
        <item m="1" x="78"/>
        <item m="1" x="61"/>
        <item m="1" x="49"/>
        <item m="1" x="60"/>
        <item x="8"/>
        <item m="1" x="64"/>
        <item m="1" x="52"/>
        <item m="1" x="69"/>
        <item x="26"/>
        <item x="30"/>
        <item m="1" x="66"/>
        <item x="32"/>
        <item m="1" x="65"/>
        <item x="28"/>
        <item m="1" x="67"/>
        <item x="20"/>
        <item m="1" x="68"/>
        <item x="0"/>
        <item m="1" x="53"/>
        <item m="1" x="35"/>
        <item m="1" x="56"/>
        <item x="12"/>
        <item m="1" x="45"/>
        <item m="1" x="54"/>
        <item m="1" x="40"/>
        <item x="9"/>
        <item m="1" x="38"/>
        <item m="1" x="42"/>
        <item m="1" x="43"/>
        <item m="1" x="44"/>
        <item m="1" x="48"/>
        <item x="25"/>
        <item x="11"/>
        <item x="6"/>
        <item x="16"/>
        <item x="29"/>
        <item t="default"/>
      </items>
    </pivotField>
    <pivotField dataField="1" showAll="0"/>
    <pivotField dataField="1" showAll="0"/>
    <pivotField showAll="0"/>
    <pivotField showAll="0"/>
    <pivotField showAll="0"/>
  </pivotFields>
  <rowFields count="1">
    <field x="1"/>
  </rowFields>
  <rowItems count="35">
    <i>
      <x/>
    </i>
    <i>
      <x v="1"/>
    </i>
    <i>
      <x v="5"/>
    </i>
    <i>
      <x v="6"/>
    </i>
    <i>
      <x v="7"/>
    </i>
    <i>
      <x v="8"/>
    </i>
    <i>
      <x v="10"/>
    </i>
    <i>
      <x v="13"/>
    </i>
    <i>
      <x v="16"/>
    </i>
    <i>
      <x v="18"/>
    </i>
    <i>
      <x v="19"/>
    </i>
    <i>
      <x v="20"/>
    </i>
    <i>
      <x v="24"/>
    </i>
    <i>
      <x v="27"/>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6" firstHeaderRow="0" firstDataRow="1" firstDataCol="1" rowPageCount="1" colPageCount="1"/>
  <pivotFields count="9">
    <pivotField axis="axisRow" showAll="0">
      <items count="81">
        <item m="1" x="75"/>
        <item m="1" x="76"/>
        <item m="1" x="77"/>
        <item m="1" x="78"/>
        <item m="1" x="79"/>
        <item m="1" x="74"/>
        <item m="1" x="62"/>
        <item m="1" x="63"/>
        <item m="1" x="67"/>
        <item m="1" x="68"/>
        <item m="1" x="64"/>
        <item m="1" x="69"/>
        <item m="1" x="70"/>
        <item m="1" x="71"/>
        <item m="1" x="72"/>
        <item m="1" x="73"/>
        <item m="1" x="61"/>
        <item m="1" x="65"/>
        <item m="1" x="66"/>
        <item m="1" x="54"/>
        <item m="1" x="55"/>
        <item m="1" x="56"/>
        <item m="1" x="57"/>
        <item m="1" x="58"/>
        <item m="1" x="59"/>
        <item m="1" x="60"/>
        <item m="1" x="30"/>
        <item m="1" x="46"/>
        <item m="1" x="47"/>
        <item m="1" x="48"/>
        <item m="1" x="49"/>
        <item m="1" x="50"/>
        <item m="1" x="51"/>
        <item m="1" x="52"/>
        <item m="1" x="53"/>
        <item m="1" x="31"/>
        <item m="1" x="32"/>
        <item m="1" x="33"/>
        <item m="1" x="34"/>
        <item m="1" x="35"/>
        <item m="1" x="36"/>
        <item m="1" x="37"/>
        <item m="1" x="39"/>
        <item m="1" x="40"/>
        <item m="1" x="38"/>
        <item m="1" x="41"/>
        <item m="1" x="42"/>
        <item m="1" x="43"/>
        <item m="1" x="44"/>
        <item m="1" x="45"/>
        <item m="1" x="6"/>
        <item m="1" x="17"/>
        <item m="1" x="18"/>
        <item m="1" x="19"/>
        <item m="1" x="20"/>
        <item m="1" x="21"/>
        <item m="1" x="22"/>
        <item m="1" x="23"/>
        <item m="1" x="24"/>
        <item m="1" x="25"/>
        <item m="1" x="26"/>
        <item m="1" x="27"/>
        <item m="1" x="28"/>
        <item m="1" x="29"/>
        <item m="1" x="7"/>
        <item m="1" x="8"/>
        <item m="1" x="9"/>
        <item m="1" x="10"/>
        <item m="1" x="11"/>
        <item x="1"/>
        <item m="1" x="12"/>
        <item m="1" x="13"/>
        <item m="1" x="14"/>
        <item m="1" x="15"/>
        <item m="1" x="16"/>
        <item x="0"/>
        <item x="2"/>
        <item x="3"/>
        <item x="4"/>
        <item x="5"/>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7">
    <i>
      <x v="69"/>
    </i>
    <i>
      <x v="75"/>
    </i>
    <i>
      <x v="76"/>
    </i>
    <i>
      <x v="77"/>
    </i>
    <i>
      <x v="78"/>
    </i>
    <i>
      <x v="7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8" firstHeaderRow="0" firstDataRow="1" firstDataCol="1" rowPageCount="1" colPageCount="1"/>
  <pivotFields count="14">
    <pivotField showAll="0"/>
    <pivotField axis="axisPage" multipleItemSelectionAllowed="1" showAll="0">
      <items count="41">
        <item m="1" x="37"/>
        <item x="2"/>
        <item x="0"/>
        <item x="1"/>
        <item m="1" x="39"/>
        <item m="1" x="35"/>
        <item x="6"/>
        <item m="1" x="38"/>
        <item x="3"/>
        <item x="4"/>
        <item m="1" x="36"/>
        <item m="1" x="34"/>
        <item x="32"/>
        <item x="5"/>
        <item x="10"/>
        <item x="8"/>
        <item x="9"/>
        <item x="7"/>
        <item x="11"/>
        <item m="1" x="33"/>
        <item x="13"/>
        <item x="14"/>
        <item x="15"/>
        <item x="16"/>
        <item x="17"/>
        <item x="18"/>
        <item x="19"/>
        <item x="20"/>
        <item x="21"/>
        <item x="22"/>
        <item x="23"/>
        <item x="24"/>
        <item x="25"/>
        <item x="12"/>
        <item x="27"/>
        <item x="26"/>
        <item x="28"/>
        <item x="29"/>
        <item x="30"/>
        <item x="31"/>
        <item t="default"/>
      </items>
    </pivotField>
    <pivotField showAll="0"/>
    <pivotField showAll="0"/>
    <pivotField axis="axisRow" showAll="0">
      <items count="456">
        <item m="1" x="438"/>
        <item m="1" x="439"/>
        <item m="1" x="437"/>
        <item m="1" x="436"/>
        <item m="1" x="440"/>
        <item m="1" x="442"/>
        <item m="1" x="441"/>
        <item m="1" x="443"/>
        <item m="1" x="444"/>
        <item m="1" x="445"/>
        <item m="1" x="446"/>
        <item m="1" x="447"/>
        <item m="1" x="448"/>
        <item m="1" x="449"/>
        <item m="1" x="374"/>
        <item m="1" x="396"/>
        <item m="1" x="450"/>
        <item m="1" x="451"/>
        <item m="1" x="452"/>
        <item m="1" x="404"/>
        <item m="1" x="403"/>
        <item m="1" x="453"/>
        <item m="1" x="454"/>
        <item m="1" x="413"/>
        <item m="1" x="405"/>
        <item m="1" x="406"/>
        <item m="1" x="407"/>
        <item m="1" x="408"/>
        <item m="1" x="409"/>
        <item m="1" x="410"/>
        <item m="1" x="411"/>
        <item m="1" x="412"/>
        <item m="1" x="414"/>
        <item m="1" x="434"/>
        <item m="1" x="415"/>
        <item m="1" x="435"/>
        <item m="1" x="416"/>
        <item m="1" x="417"/>
        <item m="1" x="418"/>
        <item m="1" x="419"/>
        <item m="1" x="420"/>
        <item m="1" x="351"/>
        <item m="1" x="421"/>
        <item m="1" x="422"/>
        <item m="1" x="423"/>
        <item m="1" x="424"/>
        <item m="1" x="425"/>
        <item m="1" x="426"/>
        <item m="1" x="427"/>
        <item m="1" x="428"/>
        <item m="1" x="429"/>
        <item m="1" x="430"/>
        <item m="1" x="431"/>
        <item m="1" x="432"/>
        <item m="1" x="433"/>
        <item x="0"/>
        <item m="1" x="350"/>
        <item m="1" x="352"/>
        <item m="1" x="353"/>
        <item m="1" x="354"/>
        <item m="1" x="355"/>
        <item m="1" x="356"/>
        <item m="1" x="357"/>
        <item m="1" x="358"/>
        <item m="1" x="359"/>
        <item m="1" x="360"/>
        <item m="1" x="361"/>
        <item m="1" x="362"/>
        <item m="1" x="363"/>
        <item m="1" x="364"/>
        <item m="1" x="88"/>
        <item m="1" x="365"/>
        <item m="1" x="366"/>
        <item m="1" x="367"/>
        <item m="1" x="368"/>
        <item m="1" x="369"/>
        <item m="1" x="370"/>
        <item m="1" x="371"/>
        <item m="1" x="372"/>
        <item m="1" x="373"/>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7"/>
        <item m="1" x="398"/>
        <item m="1" x="399"/>
        <item m="1" x="400"/>
        <item m="1" x="401"/>
        <item m="1" x="402"/>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105"/>
        <item m="1" x="319"/>
        <item m="1" x="320"/>
        <item m="1" x="321"/>
        <item m="1" x="322"/>
        <item m="1" x="323"/>
        <item m="1" x="324"/>
        <item m="1" x="325"/>
        <item m="1" x="326"/>
        <item m="1" x="327"/>
        <item m="1" x="328"/>
        <item m="1" x="329"/>
        <item m="1" x="349"/>
        <item m="1" x="330"/>
        <item m="1" x="331"/>
        <item m="1" x="332"/>
        <item m="1" x="333"/>
        <item m="1" x="334"/>
        <item m="1" x="335"/>
        <item m="1" x="336"/>
        <item m="1" x="337"/>
        <item m="1" x="338"/>
        <item m="1" x="339"/>
        <item m="1" x="340"/>
        <item m="1" x="341"/>
        <item m="1" x="342"/>
        <item m="1" x="343"/>
        <item m="1" x="344"/>
        <item m="1" x="345"/>
        <item m="1" x="346"/>
        <item m="1" x="347"/>
        <item m="1" x="348"/>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145"/>
        <item m="1" x="268"/>
        <item m="1" x="136"/>
        <item m="1" x="137"/>
        <item m="1" x="138"/>
        <item m="1" x="139"/>
        <item m="1" x="140"/>
        <item m="1" x="141"/>
        <item m="1" x="142"/>
        <item m="1" x="143"/>
        <item m="1" x="144"/>
        <item m="1" x="146"/>
        <item m="1" x="147"/>
        <item m="1" x="148"/>
        <item m="1" x="149"/>
        <item m="1" x="150"/>
        <item m="1" x="151"/>
        <item m="1" x="152"/>
        <item m="1" x="153"/>
        <item m="1" x="154"/>
        <item m="1" x="155"/>
        <item m="1" x="156"/>
        <item m="1" x="157"/>
        <item m="1" x="158"/>
        <item m="1" x="159"/>
        <item m="1" x="85"/>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89"/>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86"/>
        <item m="1" x="211"/>
        <item m="1" x="212"/>
        <item m="1" x="83"/>
        <item m="1" x="92"/>
        <item m="1" x="84"/>
        <item m="1" x="87"/>
        <item m="1" x="90"/>
        <item m="1" x="91"/>
        <item m="1" x="93"/>
        <item m="1" x="94"/>
        <item m="1" x="95"/>
        <item m="1" x="96"/>
        <item m="1" x="97"/>
        <item m="1" x="98"/>
        <item m="1" x="99"/>
        <item m="1" x="100"/>
        <item m="1" x="101"/>
        <item m="1" x="102"/>
        <item m="1" x="103"/>
        <item m="1" x="104"/>
        <item m="1" x="106"/>
        <item m="1" x="107"/>
        <item m="1" x="108"/>
        <item m="1" x="63"/>
        <item m="1" x="39"/>
        <item m="1" x="109"/>
        <item m="1" x="110"/>
        <item m="1" x="111"/>
        <item m="1" x="31"/>
        <item m="1" x="112"/>
        <item m="1" x="113"/>
        <item m="1" x="114"/>
        <item m="1" x="115"/>
        <item m="1" x="79"/>
        <item m="1" x="116"/>
        <item m="1" x="117"/>
        <item m="1" x="118"/>
        <item m="1" x="119"/>
        <item m="1" x="120"/>
        <item m="1" x="121"/>
        <item m="1" x="122"/>
        <item m="1" x="123"/>
        <item m="1" x="124"/>
        <item m="1" x="125"/>
        <item m="1" x="126"/>
        <item m="1" x="127"/>
        <item m="1" x="135"/>
        <item m="1" x="128"/>
        <item m="1" x="129"/>
        <item m="1" x="28"/>
        <item m="1" x="29"/>
        <item m="1" x="130"/>
        <item m="1" x="40"/>
        <item m="1" x="131"/>
        <item m="1" x="132"/>
        <item m="1" x="133"/>
        <item m="1" x="134"/>
        <item m="1" x="27"/>
        <item m="1" x="25"/>
        <item m="1" x="24"/>
        <item m="1" x="26"/>
        <item m="1" x="30"/>
        <item x="13"/>
        <item x="9"/>
        <item m="1" x="32"/>
        <item m="1" x="33"/>
        <item m="1" x="34"/>
        <item m="1" x="35"/>
        <item m="1" x="36"/>
        <item m="1" x="37"/>
        <item m="1" x="38"/>
        <item m="1" x="41"/>
        <item m="1" x="42"/>
        <item m="1" x="43"/>
        <item m="1" x="44"/>
        <item m="1" x="45"/>
        <item m="1" x="46"/>
        <item m="1" x="47"/>
        <item m="1" x="48"/>
        <item m="1" x="49"/>
        <item m="1" x="50"/>
        <item m="1" x="51"/>
        <item m="1" x="52"/>
        <item m="1" x="53"/>
        <item m="1" x="54"/>
        <item x="2"/>
        <item m="1" x="55"/>
        <item m="1" x="56"/>
        <item m="1" x="57"/>
        <item x="10"/>
        <item m="1" x="58"/>
        <item m="1" x="59"/>
        <item m="1" x="60"/>
        <item m="1" x="61"/>
        <item m="1" x="62"/>
        <item m="1" x="64"/>
        <item m="1" x="65"/>
        <item m="1" x="66"/>
        <item m="1" x="67"/>
        <item x="8"/>
        <item m="1" x="68"/>
        <item m="1" x="69"/>
        <item m="1" x="70"/>
        <item m="1" x="71"/>
        <item m="1" x="72"/>
        <item m="1" x="73"/>
        <item x="15"/>
        <item m="1" x="74"/>
        <item m="1" x="75"/>
        <item m="1" x="76"/>
        <item x="7"/>
        <item m="1" x="77"/>
        <item m="1" x="78"/>
        <item x="19"/>
        <item m="1" x="80"/>
        <item m="1" x="81"/>
        <item m="1" x="82"/>
        <item x="1"/>
        <item x="3"/>
        <item x="4"/>
        <item x="5"/>
        <item x="6"/>
        <item x="11"/>
        <item x="12"/>
        <item x="14"/>
        <item x="16"/>
        <item x="17"/>
        <item x="18"/>
        <item x="20"/>
        <item x="21"/>
        <item x="22"/>
        <item x="2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5">
    <i>
      <x v="55"/>
    </i>
    <i>
      <x v="385"/>
    </i>
    <i>
      <x v="386"/>
    </i>
    <i>
      <x v="408"/>
    </i>
    <i>
      <x v="412"/>
    </i>
    <i>
      <x v="422"/>
    </i>
    <i>
      <x v="429"/>
    </i>
    <i>
      <x v="433"/>
    </i>
    <i>
      <x v="436"/>
    </i>
    <i>
      <x v="440"/>
    </i>
    <i>
      <x v="441"/>
    </i>
    <i>
      <x v="442"/>
    </i>
    <i>
      <x v="443"/>
    </i>
    <i>
      <x v="444"/>
    </i>
    <i>
      <x v="445"/>
    </i>
    <i>
      <x v="446"/>
    </i>
    <i>
      <x v="447"/>
    </i>
    <i>
      <x v="448"/>
    </i>
    <i>
      <x v="449"/>
    </i>
    <i>
      <x v="450"/>
    </i>
    <i>
      <x v="451"/>
    </i>
    <i>
      <x v="452"/>
    </i>
    <i>
      <x v="453"/>
    </i>
    <i>
      <x v="4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5">
        <i x="5" s="1"/>
        <i x="23" s="1"/>
        <i x="13" s="1"/>
        <i x="9" s="1"/>
        <i x="10" s="1"/>
        <i x="3" s="1"/>
        <i x="6" s="1"/>
        <i x="4" s="1"/>
        <i x="8" s="1"/>
        <i x="2" s="1"/>
        <i x="12" s="1"/>
        <i x="17" s="1"/>
        <i x="7" s="1"/>
        <i x="22" s="1"/>
        <i x="15" s="1"/>
        <i x="11" s="1"/>
        <i x="19" s="1"/>
        <i x="1" s="1"/>
        <i x="16" s="1"/>
        <i x="14" s="1"/>
        <i x="18" s="1"/>
        <i x="21" s="1"/>
        <i x="20" s="1"/>
        <i x="409" s="1" nd="1"/>
        <i x="438" s="1" nd="1"/>
        <i x="439" s="1" nd="1"/>
        <i x="447" s="1" nd="1"/>
        <i x="437" s="1" nd="1"/>
        <i x="436" s="1" nd="1"/>
        <i x="440" s="1" nd="1"/>
        <i x="451" s="1" nd="1"/>
        <i x="443" s="1" nd="1"/>
        <i x="444" s="1" nd="1"/>
        <i x="441" s="1" nd="1"/>
        <i x="442" s="1" nd="1"/>
        <i x="452" s="1" nd="1"/>
        <i x="445" s="1" nd="1"/>
        <i x="446" s="1" nd="1"/>
        <i x="449" s="1" nd="1"/>
        <i x="450" s="1" nd="1"/>
        <i x="448" s="1" nd="1"/>
        <i x="404" s="1" nd="1"/>
        <i x="454" s="1" nd="1"/>
        <i x="403" s="1" nd="1"/>
        <i x="453" s="1" nd="1"/>
        <i x="406" s="1" nd="1"/>
        <i x="367" s="1" nd="1"/>
        <i x="405" s="1" nd="1"/>
        <i x="407" s="1" nd="1"/>
        <i x="413" s="1" nd="1"/>
        <i x="408" s="1" nd="1"/>
        <i x="410" s="1" nd="1"/>
        <i x="426" s="1" nd="1"/>
        <i x="350" s="1" nd="1"/>
        <i x="414" s="1" nd="1"/>
        <i x="355" s="1" nd="1"/>
        <i x="420" s="1" nd="1"/>
        <i x="415" s="1" nd="1"/>
        <i x="418" s="1" nd="1"/>
        <i x="423" s="1" nd="1"/>
        <i x="434" s="1" nd="1"/>
        <i x="416" s="1" nd="1"/>
        <i x="428" s="1" nd="1"/>
        <i x="431" s="1" nd="1"/>
        <i x="422" s="1" nd="1"/>
        <i x="411" s="1" nd="1"/>
        <i x="419" s="1" nd="1"/>
        <i x="412" s="1" nd="1"/>
        <i x="417" s="1" nd="1"/>
        <i x="351" s="1" nd="1"/>
        <i x="421" s="1" nd="1"/>
        <i x="427" s="1" nd="1"/>
        <i x="88" s="1" nd="1"/>
        <i x="424" s="1" nd="1"/>
        <i x="429" s="1" nd="1"/>
        <i x="425" s="1" nd="1"/>
        <i x="391" s="1" nd="1"/>
        <i x="430" s="1" nd="1"/>
        <i x="432" s="1" nd="1"/>
        <i x="353" s="1" nd="1"/>
        <i x="360" s="1" nd="1"/>
        <i x="433" s="1" nd="1"/>
        <i x="357" s="1" nd="1"/>
        <i x="358" s="1" nd="1"/>
        <i x="352" s="1" nd="1"/>
        <i x="356" s="1" nd="1"/>
        <i x="244" s="1" nd="1"/>
        <i x="354" s="1" nd="1"/>
        <i x="363" s="1" nd="1"/>
        <i x="359" s="1" nd="1"/>
        <i x="361" s="1" nd="1"/>
        <i x="364" s="1" nd="1"/>
        <i x="371" s="1" nd="1"/>
        <i x="362" s="1" nd="1"/>
        <i x="370" s="1" nd="1"/>
        <i x="375" s="1" nd="1"/>
        <i x="369" s="1" nd="1"/>
        <i x="372" s="1" nd="1"/>
        <i x="382" s="1" nd="1"/>
        <i x="368" s="1" nd="1"/>
        <i x="365" s="1" nd="1"/>
        <i x="366" s="1" nd="1"/>
        <i x="381" s="1" nd="1"/>
        <i x="240" s="1" nd="1"/>
        <i x="374" s="1" nd="1"/>
        <i x="385" s="1" nd="1"/>
        <i x="380" s="1" nd="1"/>
        <i x="373" s="1" nd="1"/>
        <i x="397" s="1" nd="1"/>
        <i x="378" s="1" nd="1"/>
        <i x="388" s="1" nd="1"/>
        <i x="386" s="1" nd="1"/>
        <i x="376" s="1" nd="1"/>
        <i x="384" s="1" nd="1"/>
        <i x="383" s="1" nd="1"/>
        <i x="379" s="1" nd="1"/>
        <i x="389" s="1" nd="1"/>
        <i x="387" s="1" nd="1"/>
        <i x="390" s="1" nd="1"/>
        <i x="377" s="1" nd="1"/>
        <i x="319" s="1" nd="1"/>
        <i x="392" s="1" nd="1"/>
        <i x="393" s="1" nd="1"/>
        <i x="278" s="1" nd="1"/>
        <i x="280" s="1" nd="1"/>
        <i x="400" s="1" nd="1"/>
        <i x="274" s="1" nd="1"/>
        <i x="320" s="1" nd="1"/>
        <i x="394" s="1" nd="1"/>
        <i x="395" s="1" nd="1"/>
        <i x="277" s="1" nd="1"/>
        <i x="402" s="1" nd="1"/>
        <i x="276" s="1" nd="1"/>
        <i x="291" s="1" nd="1"/>
        <i x="401" s="1" nd="1"/>
        <i x="396" s="1" nd="1"/>
        <i x="295" s="1" nd="1"/>
        <i x="399" s="1" nd="1"/>
        <i x="398" s="1" nd="1"/>
        <i x="316" s="1" nd="1"/>
        <i x="269" s="1" nd="1"/>
        <i x="281" s="1" nd="1"/>
        <i x="317" s="1" nd="1"/>
        <i x="315" s="1" nd="1"/>
        <i x="273" s="1" nd="1"/>
        <i x="275" s="1" nd="1"/>
        <i x="108" s="1" nd="1"/>
        <i x="279" s="1" nd="1"/>
        <i x="270" s="1" nd="1"/>
        <i x="305" s="1" nd="1"/>
        <i x="310" s="1" nd="1"/>
        <i x="271" s="1" nd="1"/>
        <i x="272" s="1" nd="1"/>
        <i x="282" s="1" nd="1"/>
        <i x="285" s="1" nd="1"/>
        <i x="292" s="1" nd="1"/>
        <i x="284" s="1" nd="1"/>
        <i x="287" s="1" nd="1"/>
        <i x="286" s="1" nd="1"/>
        <i x="328" s="1" nd="1"/>
        <i x="283" s="1" nd="1"/>
        <i x="308" s="1" nd="1"/>
        <i x="323" s="1" nd="1"/>
        <i x="288" s="1" nd="1"/>
        <i x="313" s="1" nd="1"/>
        <i x="325" s="1" nd="1"/>
        <i x="297" s="1" nd="1"/>
        <i x="337" s="1" nd="1"/>
        <i x="296" s="1" nd="1"/>
        <i x="293" s="1" nd="1"/>
        <i x="289" s="1" nd="1"/>
        <i x="290" s="1" nd="1"/>
        <i x="309" s="1" nd="1"/>
        <i x="298" s="1" nd="1"/>
        <i x="221" s="1" nd="1"/>
        <i x="299" s="1" nd="1"/>
        <i x="294" s="1" nd="1"/>
        <i x="301" s="1" nd="1"/>
        <i x="302" s="1" nd="1"/>
        <i x="330" s="1" nd="1"/>
        <i x="300" s="1" nd="1"/>
        <i x="318" s="1" nd="1"/>
        <i x="306" s="1" nd="1"/>
        <i x="303" s="1" nd="1"/>
        <i x="307" s="1" nd="1"/>
        <i x="304" s="1" nd="1"/>
        <i x="311" s="1" nd="1"/>
        <i x="103" s="1" nd="1"/>
        <i x="329" s="1" nd="1"/>
        <i x="324" s="1" nd="1"/>
        <i x="343" s="1" nd="1"/>
        <i x="312" s="1" nd="1"/>
        <i x="214" s="1" nd="1"/>
        <i x="322" s="1" nd="1"/>
        <i x="314" s="1" nd="1"/>
        <i x="338" s="1" nd="1"/>
        <i x="321" s="1" nd="1"/>
        <i x="336" s="1" nd="1"/>
        <i x="222" s="1" nd="1"/>
        <i x="327" s="1" nd="1"/>
        <i x="326" s="1" nd="1"/>
        <i x="342" s="1" nd="1"/>
        <i x="339" s="1" nd="1"/>
        <i x="233" s="1" nd="1"/>
        <i x="347" s="1" nd="1"/>
        <i x="331" s="1" nd="1"/>
        <i x="340" s="1" nd="1"/>
        <i x="345" s="1" nd="1"/>
        <i x="224" s="1" nd="1"/>
        <i x="250" s="1" nd="1"/>
        <i x="349" s="1" nd="1"/>
        <i x="346" s="1" nd="1"/>
        <i x="215" s="1" nd="1"/>
        <i x="235" s="1" nd="1"/>
        <i x="341" s="1" nd="1"/>
        <i x="217" s="1" nd="1"/>
        <i x="332" s="1" nd="1"/>
        <i x="335" s="1" nd="1"/>
        <i x="232" s="1" nd="1"/>
        <i x="344" s="1" nd="1"/>
        <i x="333" s="1" nd="1"/>
        <i x="334" s="1" nd="1"/>
        <i x="219" s="1" nd="1"/>
        <i x="237" s="1" nd="1"/>
        <i x="238" s="1" nd="1"/>
        <i x="251" s="1" nd="1"/>
        <i x="348" s="1" nd="1"/>
        <i x="213" s="1" nd="1"/>
        <i x="236" s="1" nd="1"/>
        <i x="229" s="1" nd="1"/>
        <i x="216" s="1" nd="1"/>
        <i x="220" s="1" nd="1"/>
        <i x="226" s="1" nd="1"/>
        <i x="218" s="1" nd="1"/>
        <i x="242" s="1" nd="1"/>
        <i x="246" s="1" nd="1"/>
        <i x="247" s="1" nd="1"/>
        <i x="239" s="1" nd="1"/>
        <i x="223" s="1" nd="1"/>
        <i x="87" s="1" nd="1"/>
        <i x="225" s="1" nd="1"/>
        <i x="227" s="1" nd="1"/>
        <i x="230" s="1" nd="1"/>
        <i x="243" s="1" nd="1"/>
        <i x="228" s="1" nd="1"/>
        <i x="249" s="1" nd="1"/>
        <i x="181" s="1" nd="1"/>
        <i x="160" s="1" nd="1"/>
        <i x="264" s="1" nd="1"/>
        <i x="231" s="1" nd="1"/>
        <i x="252" s="1" nd="1"/>
        <i x="248" s="1" nd="1"/>
        <i x="234" s="1" nd="1"/>
        <i x="256" s="1" nd="1"/>
        <i x="192" s="1" nd="1"/>
        <i x="155" s="1" nd="1"/>
        <i x="241" s="1" nd="1"/>
        <i x="265" s="1" nd="1"/>
        <i x="245" s="1" nd="1"/>
        <i x="268" s="1" nd="1"/>
        <i x="255" s="1" nd="1"/>
        <i x="260" s="1" nd="1"/>
        <i x="137" s="1" nd="1"/>
        <i x="257" s="1" nd="1"/>
        <i x="259" s="1" nd="1"/>
        <i x="177" s="1" nd="1"/>
        <i x="145" s="1" nd="1"/>
        <i x="254" s="1" nd="1"/>
        <i x="142" s="1" nd="1"/>
        <i x="253" s="1" nd="1"/>
        <i x="154" s="1" nd="1"/>
        <i x="138" s="1" nd="1"/>
        <i x="136" s="1" nd="1"/>
        <i x="258" s="1" nd="1"/>
        <i x="152" s="1" nd="1"/>
        <i x="146" s="1" nd="1"/>
        <i x="157" s="1" nd="1"/>
        <i x="174" s="1" nd="1"/>
        <i x="151" s="1" nd="1"/>
        <i x="162" s="1" nd="1"/>
        <i x="156" s="1" nd="1"/>
        <i x="153" s="1" nd="1"/>
        <i x="266" s="1" nd="1"/>
        <i x="210" s="1" nd="1"/>
        <i x="164" s="1" nd="1"/>
        <i x="165" s="1" nd="1"/>
        <i x="262" s="1" nd="1"/>
        <i x="261" s="1" nd="1"/>
        <i x="139" s="1" nd="1"/>
        <i x="141" s="1" nd="1"/>
        <i x="172" s="1" nd="1"/>
        <i x="148" s="1" nd="1"/>
        <i x="267" s="1" nd="1"/>
        <i x="206" s="1" nd="1"/>
        <i x="197" s="1" nd="1"/>
        <i x="185" s="1" nd="1"/>
        <i x="159" s="1" nd="1"/>
        <i x="144" s="1" nd="1"/>
        <i x="175" s="1" nd="1"/>
        <i x="194" s="1" nd="1"/>
        <i x="186" s="1" nd="1"/>
        <i x="182" s="1" nd="1"/>
        <i x="150" s="1" nd="1"/>
        <i x="170" s="1" nd="1"/>
        <i x="169" s="1" nd="1"/>
        <i x="184" s="1" nd="1"/>
        <i x="171" s="1" nd="1"/>
        <i x="263" s="1" nd="1"/>
        <i x="147" s="1" nd="1"/>
        <i x="143" s="1" nd="1"/>
        <i x="173" s="1" nd="1"/>
        <i x="140" s="1" nd="1"/>
        <i x="178" s="1" nd="1"/>
        <i x="179" s="1" nd="1"/>
        <i x="183" s="1" nd="1"/>
        <i x="86" s="1" nd="1"/>
        <i x="163" s="1" nd="1"/>
        <i x="158" s="1" nd="1"/>
        <i x="191" s="1" nd="1"/>
        <i x="190" s="1" nd="1"/>
        <i x="195" s="1" nd="1"/>
        <i x="149" s="1" nd="1"/>
        <i x="193" s="1" nd="1"/>
        <i x="180" s="1" nd="1"/>
        <i x="85" s="1" nd="1"/>
        <i x="161" s="1" nd="1"/>
        <i x="166" s="1" nd="1"/>
        <i x="167" s="1" nd="1"/>
        <i x="176" s="1" nd="1"/>
        <i x="168" s="1" nd="1"/>
        <i x="187" s="1" nd="1"/>
        <i x="104" s="1" nd="1"/>
        <i x="198" s="1" nd="1"/>
        <i x="188" s="1" nd="1"/>
        <i x="204" s="1" nd="1"/>
        <i x="201" s="1" nd="1"/>
        <i x="199" s="1" nd="1"/>
        <i x="98" s="1" nd="1"/>
        <i x="97" s="1" nd="1"/>
        <i x="211" s="1" nd="1"/>
        <i x="84" s="1" nd="1"/>
        <i x="96" s="1" nd="1"/>
        <i x="205" s="1" nd="1"/>
        <i x="212" s="1" nd="1"/>
        <i x="89" s="1" nd="1"/>
        <i x="207" s="1" nd="1"/>
        <i x="208" s="1" nd="1"/>
        <i x="189" s="1" nd="1"/>
        <i x="202" s="1" nd="1"/>
        <i x="209" s="1" nd="1"/>
        <i x="200" s="1" nd="1"/>
        <i x="120" s="1" nd="1"/>
        <i x="203" s="1" nd="1"/>
        <i x="83" s="1" nd="1"/>
        <i x="92" s="1" nd="1"/>
        <i x="91" s="1" nd="1"/>
        <i x="196" s="1" nd="1"/>
        <i x="79" s="1" nd="1"/>
        <i x="72" s="1" nd="1"/>
        <i x="43" s="1" nd="1"/>
        <i x="78" s="1" nd="1"/>
        <i x="95" s="1" nd="1"/>
        <i x="93" s="1" nd="1"/>
        <i x="100" s="1" nd="1"/>
        <i x="101" s="1" nd="1"/>
        <i x="99" s="1" nd="1"/>
        <i x="94" s="1" nd="1"/>
        <i x="90" s="1" nd="1"/>
        <i x="39" s="1" nd="1"/>
        <i x="63" s="1" nd="1"/>
        <i x="117" s="1" nd="1"/>
        <i x="107" s="1" nd="1"/>
        <i x="102" s="1" nd="1"/>
        <i x="121" s="1" nd="1"/>
        <i x="106" s="1" nd="1"/>
        <i x="116" s="1" nd="1"/>
        <i x="118" s="1" nd="1"/>
        <i x="105" s="1" nd="1"/>
        <i x="109" s="1" nd="1"/>
        <i x="119" s="1" nd="1"/>
        <i x="112" s="1" nd="1"/>
        <i x="110" s="1" nd="1"/>
        <i x="111" s="1" nd="1"/>
        <i x="31" s="1" nd="1"/>
        <i x="115" s="1" nd="1"/>
        <i x="113" s="1" nd="1"/>
        <i x="114" s="1" nd="1"/>
        <i x="123" s="1" nd="1"/>
        <i x="122" s="1" nd="1"/>
        <i x="40" s="1" nd="1"/>
        <i x="132" s="1" nd="1"/>
        <i x="131" s="1" nd="1"/>
        <i x="41" s="1" nd="1"/>
        <i x="130" s="1" nd="1"/>
        <i x="135" s="1" nd="1"/>
        <i x="128" s="1" nd="1"/>
        <i x="134" s="1" nd="1"/>
        <i x="32" s="1" nd="1"/>
        <i x="37" s="1" nd="1"/>
        <i x="124" s="1" nd="1"/>
        <i x="25" s="1" nd="1"/>
        <i x="24" s="1" nd="1"/>
        <i x="26" s="1" nd="1"/>
        <i x="29" s="1" nd="1"/>
        <i x="125" s="1" nd="1"/>
        <i x="126" s="1" nd="1"/>
        <i x="127" s="1" nd="1"/>
        <i x="129" s="1" nd="1"/>
        <i x="133" s="1" nd="1"/>
        <i x="36" s="1" nd="1"/>
        <i x="35" s="1" nd="1"/>
        <i x="33" s="1" nd="1"/>
        <i x="50" s="1" nd="1"/>
        <i x="28" s="1" nd="1"/>
        <i x="27" s="1" nd="1"/>
        <i x="30" s="1" nd="1"/>
        <i x="49" s="1" nd="1"/>
        <i x="44" s="1" nd="1"/>
        <i x="45" s="1" nd="1"/>
        <i x="75" s="1" nd="1"/>
        <i x="34" s="1" nd="1"/>
        <i x="57" s="1" nd="1"/>
        <i x="80" s="1" nd="1"/>
        <i x="46" s="1" nd="1"/>
        <i x="48" s="1" nd="1"/>
        <i x="38" s="1" nd="1"/>
        <i x="54" s="1" nd="1"/>
        <i x="58" s="1" nd="1"/>
        <i x="52" s="1" nd="1"/>
        <i x="51" s="1" nd="1"/>
        <i x="47" s="1" nd="1"/>
        <i x="42" s="1" nd="1"/>
        <i x="65" s="1" nd="1"/>
        <i x="66" s="1" nd="1"/>
        <i x="64" s="1" nd="1"/>
        <i x="53" s="1" nd="1"/>
        <i x="76" s="1" nd="1"/>
        <i x="56" s="1" nd="1"/>
        <i x="55" s="1" nd="1"/>
        <i x="62" s="1" nd="1"/>
        <i x="67" s="1" nd="1"/>
        <i x="71" s="1" nd="1"/>
        <i x="82" s="1" nd="1"/>
        <i x="81" s="1" nd="1"/>
        <i x="61" s="1" nd="1"/>
        <i x="60" s="1" nd="1"/>
        <i x="74" s="1" nd="1"/>
        <i x="70" s="1" nd="1"/>
        <i x="59" s="1" nd="1"/>
        <i x="69" s="1" nd="1"/>
        <i x="68" s="1" nd="1"/>
        <i x="73" s="1" nd="1"/>
        <i x="77" s="1" nd="1"/>
        <i x="43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07">
      <calculatedColumnFormula>B49</calculatedColumnFormula>
    </tableColumn>
    <tableColumn id="2" xr3:uid="{7EDCC2ED-0339-42B3-9633-FFEA7A3DD9F3}" name="Tiyaar" dataDxfId="106">
      <calculatedColumnFormula>SUMIFS(ledger!G:G, ledger!B:B, B2, ledger!E:E, "&lt;&gt;*RD*") / 1.0936</calculatedColumnFormula>
    </tableColumn>
    <tableColumn id="3" xr3:uid="{CC1535DD-3FE7-4F55-8040-E7643388A78E}" name="Rate"/>
    <tableColumn id="4" xr3:uid="{059CB70B-ADAD-4985-84AA-0D530BAC5567}" name="Total" dataDxfId="10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4" dataDxfId="103">
  <autoFilter ref="B7:E20" xr:uid="{449E5D32-DF9C-4018-96AB-CA98E118D910}"/>
  <tableColumns count="4">
    <tableColumn id="1" xr3:uid="{F663704C-91DD-4BB9-B7EB-EEB0C5EDED6C}" name="Description" dataDxfId="102"/>
    <tableColumn id="2" xr3:uid="{6D94D495-CD0B-4FD3-9771-81D731982A97}" name="Rate" dataDxfId="101" dataCellStyle="Comma"/>
    <tableColumn id="3" xr3:uid="{2D14CEAD-3602-40E7-A488-3584EBC9141E}" name="gazana" dataDxfId="100" dataCellStyle="Comma"/>
    <tableColumn id="4" xr3:uid="{06FEE63C-6480-4079-8426-51BC26B38B34}" name="sum" dataDxfId="9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98" totalsRowDxfId="97" dataCellStyle="Comma">
      <totalsRowFormula>SUM(Table12[Amount])</totalsRowFormula>
    </tableColumn>
    <tableColumn id="3" xr3:uid="{12F975D1-A51D-47BD-82DF-F0C35A709016}" name="Description"/>
    <tableColumn id="4" xr3:uid="{96712812-B120-49C2-B905-59FC86A743E8}" name="cost per meter" totalsRowFunction="custom" dataDxfId="96" totalsRowDxfId="9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4" dataDxfId="93" headerRowCellStyle="Comma" dataCellStyle="Comma">
  <autoFilter ref="B2:C5" xr:uid="{136E8F7F-D03F-4198-8335-91A003EA9E45}"/>
  <tableColumns count="2">
    <tableColumn id="1" xr3:uid="{279FA697-9952-479A-AC05-0D4992B41374}" name="Column1" dataDxfId="92" dataCellStyle="Comma"/>
    <tableColumn id="2" xr3:uid="{8A64998B-65EF-41CD-BCB0-3DDB7B359C54}" name="Column2" dataDxfId="9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0"/>
    <tableColumn id="2" xr3:uid="{51D27FA2-8DDF-4369-BAF7-7D1FE90E16A0}" name="Column2" dataDxfId="8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88" totalsRowDxfId="8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2" totalsRowCount="1" headerRowDxfId="85" dataDxfId="84" headerRowCellStyle="Comma" dataCellStyle="Comma">
  <autoFilter ref="A1:K101" xr:uid="{11DACEC6-751B-4B1D-817F-5C5BCD38EF6D}"/>
  <tableColumns count="11">
    <tableColumn id="1" xr3:uid="{2FCE3FA8-A48C-4685-8919-AE44C6C71FD9}" name="Date" dataDxfId="83" dataCellStyle="Comma"/>
    <tableColumn id="2" xr3:uid="{5780FD5F-0890-44E6-B59C-8E37A559FE36}" name="Party Name" dataDxfId="82" dataCellStyle="Comma"/>
    <tableColumn id="3" xr3:uid="{5B3ECD85-9174-40AC-BFBD-49CAC97A83D3}" name="Bill Number" dataDxfId="81" dataCellStyle="Comma"/>
    <tableColumn id="4" xr3:uid="{11B50761-04B6-4262-AD4D-7182450037D1}" name="Quality" dataDxfId="80" dataCellStyle="Comma"/>
    <tableColumn id="5" xr3:uid="{2C556969-B713-4967-BD24-466AACCBE5F5}" name="Shipment Number" dataDxfId="79" totalsRowDxfId="78" dataCellStyle="Comma"/>
    <tableColumn id="6" xr3:uid="{F4E1FD2B-9017-4DEB-B772-BF447ECE56F7}" name="Kora/metre" dataDxfId="77" totalsRowDxfId="76" dataCellStyle="Comma"/>
    <tableColumn id="7" xr3:uid="{52ACC1DA-7A76-4A90-B809-3A1AE728E7EA}" name="Tiyaar/gaz" dataDxfId="75" totalsRowDxfId="74" dataCellStyle="Comma"/>
    <tableColumn id="8" xr3:uid="{31A0FF5E-56F0-44D1-9865-73256B964660}" name="shortage %" dataDxfId="73" totalsRowDxfId="72" dataCellStyle="Comma">
      <calculatedColumnFormula>_xlfn.XLOOKUP(Table1[[#This Row],[Shipment Number]], 'pivot '!A:A,'pivot '!G:G, "NF")</calculatedColumnFormula>
    </tableColumn>
    <tableColumn id="9" xr3:uid="{F99075E0-AC8E-094D-BB85-272AD2C6C568}" name="tiyar/meters" totalsRowFunction="custom" dataDxfId="71" totalsRowDxfId="7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69" totalsRowDxfId="6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67" totalsRowDxfId="6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63" headerRowBorderDxfId="62" tableBorderDxfId="61">
  <autoFilter ref="A1:I122" xr:uid="{F8E8C957-ABE7-4E4F-8D4E-7D44E26B334F}"/>
  <tableColumns count="9">
    <tableColumn id="1" xr3:uid="{C2E817D6-AB98-4DDD-8890-736B27F261CD}" name="Date" dataDxfId="60" totalsRowDxfId="59"/>
    <tableColumn id="2" xr3:uid="{CFB51890-CCDC-463C-81C9-3F8BD7469CB9}" name="Party Name"/>
    <tableColumn id="3" xr3:uid="{A113D971-1C9D-4733-99C4-BD0CC4333209}" name="Vehicle Number"/>
    <tableColumn id="4" xr3:uid="{49780304-3DD1-4AE9-98EE-2BC7EB8F3B57}" name="Weight" dataDxfId="58" totalsRowDxfId="57" dataCellStyle="Comma"/>
    <tableColumn id="5" xr3:uid="{FCAF1BC6-1D8C-42AD-8BBC-F924BF2DC7FE}" name="Rate" dataDxfId="56" totalsRowDxfId="55" dataCellStyle="Comma"/>
    <tableColumn id="6" xr3:uid="{8C70A624-4134-410C-9C45-9FDEB51D51BF}" name="Rent" dataDxfId="54" totalsRowDxfId="53" dataCellStyle="Comma"/>
    <tableColumn id="7" xr3:uid="{EBCE10AE-9634-4982-9C95-37ABC8A7078C}" name="Total" totalsRowFunction="sum" dataDxfId="52" totalsRowDxfId="51" dataCellStyle="Comma">
      <calculatedColumnFormula>D2*E2</calculatedColumnFormula>
    </tableColumn>
    <tableColumn id="9" xr3:uid="{D4788559-C94A-44D9-B9AE-E72B214355AC}" name="Paid" totalsRowFunction="sum" dataDxfId="50" totalsRowDxfId="49" dataCellStyle="Comma"/>
    <tableColumn id="8" xr3:uid="{E26F5BF0-1875-4FC6-994D-49F202ED562B}" name="balance" totalsRowFunction="sum" dataDxfId="48" totalsRowDxfId="47"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1" totalsRowCount="1">
  <autoFilter ref="A1:G130" xr:uid="{CB032221-B416-47A8-9A76-693DE76CFD04}"/>
  <tableColumns count="7">
    <tableColumn id="1" xr3:uid="{554B1EED-65B6-4E9A-B646-82727FAC40DE}" name="Date" dataDxfId="133" totalsRowDxfId="132"/>
    <tableColumn id="2" xr3:uid="{32259059-42CF-4947-83DE-115AA430BE2B}" name="Party"/>
    <tableColumn id="3" xr3:uid="{A1320223-D55D-483C-91C3-AB19B95CC9D8}" name="Debit" totalsRowFunction="sum" dataDxfId="131" totalsRowDxfId="130" dataCellStyle="Comma"/>
    <tableColumn id="4" xr3:uid="{E9745767-9FF0-4B1C-9052-FF335D1D7588}" name="Credit" totalsRowFunction="sum" dataDxfId="129" totalsRowDxfId="128" dataCellStyle="Comma"/>
    <tableColumn id="5" xr3:uid="{5C88A48E-2467-4E6D-B626-2442B7FD0BE4}" name="Description"/>
    <tableColumn id="6" xr3:uid="{63CA4666-144E-4BE6-8B7C-7CB992BD3041}" name="Mode" totalsRowFunction="custom" dataDxfId="127" totalsRowDxfId="12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42" headerRowBorderDxfId="41">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37" headerRowBorderDxfId="36">
  <autoFilter ref="A4:H25"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6">
      <calculatedColumnFormula>G2</calculatedColumnFormula>
    </tableColumn>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L19" zoomScaleNormal="100" workbookViewId="0">
      <selection activeCell="AC44" sqref="AC4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1.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233764.63057790784</v>
      </c>
      <c r="D2">
        <v>10</v>
      </c>
      <c r="E2" s="14">
        <f>(SUMIFS(ledger!G:G, ledger!B:B, B2, ledger!E:E, "&lt;&gt;*RD*",ledger!D:D, "Silky") / 1.0936)*12 + (SUMIFS(ledger!G:G, ledger!B:B, B2, ledger!E:E, "&lt;&gt;*RD*",ledger!D:D, "Chamki") / 1.0936)*10</f>
        <v>1659405.6327724946</v>
      </c>
      <c r="I2" t="s">
        <v>21</v>
      </c>
      <c r="Q2" t="s">
        <v>1</v>
      </c>
    </row>
    <row r="3" spans="2:33" x14ac:dyDescent="0.3">
      <c r="B3" t="str">
        <f t="shared" si="0"/>
        <v>Ejaz Sahab</v>
      </c>
      <c r="C3" s="18">
        <f>SUMIFS(ledger!G:G, ledger!B:B, B3, ledger!E:E, "&lt;&gt;*RD*") / 1.0936</f>
        <v>14008.778346744697</v>
      </c>
      <c r="D3">
        <v>10</v>
      </c>
      <c r="E3" s="14">
        <f>(SUMIFS(ledger!G:G, ledger!B:B, B3, ledger!E:E, "&lt;&gt;*RD*",ledger!D:D, "Silky") / 1.0936)*12 + (SUMIFS(ledger!G:G, ledger!B:B, B3, ledger!E:E, "&lt;&gt;*RD*",ledger!D:D, "Chamki") / 1.0936)*10</f>
        <v>168105.34016093635</v>
      </c>
      <c r="I3" t="s">
        <v>22</v>
      </c>
    </row>
    <row r="4" spans="2:33" x14ac:dyDescent="0.3">
      <c r="B4" t="str">
        <f t="shared" si="0"/>
        <v>Arshad</v>
      </c>
      <c r="C4" s="18">
        <f>SUMIFS(ledger!G:G, ledger!B:B, B4, ledger!E:E, "&lt;&gt;*RD*") / 1.0936</f>
        <v>42072.970007315293</v>
      </c>
      <c r="D4">
        <v>10</v>
      </c>
      <c r="E4" s="14">
        <f>(SUMIFS(ledger!G:G, ledger!B:B, B4, ledger!E:E, "&lt;&gt;*RD*",ledger!D:D, "Silky") / 1.0936)*12 + (SUMIFS(ledger!G:G, ledger!B:B, B4, ledger!E:E, "&lt;&gt;*RD*",ledger!D:D, "Chamki") / 1.0936)*10</f>
        <v>459427.5786393563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6">_xlfn.UNIQUE(Table1[Party Name])</f>
        <v>BSC</v>
      </c>
      <c r="R5" s="22" cm="1">
        <f t="array" ref="R5">_xlfn.BYROW(B49,_xlfn.LAMBDA(_xlpm.party,SUMIFS(ledger!G:G,ledger!B:B,_xlpm.party,ledger!E:E,"&lt;&gt;*RD*")))+_xlfn.IFNA(C84,0)</f>
        <v>3908411.8824</v>
      </c>
      <c r="S5" s="22" cm="1">
        <f t="array" ref="S5">_xlfn.BYROW(B49, _xlfn.LAMBDA(_xlpm.party, SUMIFS(ledger!G:G, ledger!B:B, _xlpm.party, ledger!E:E, "&lt;&gt;*RD*") / 1.0936 ))+_xlfn.IFNA(D84,0)</f>
        <v>3573895.2838332118</v>
      </c>
      <c r="T5" s="22" cm="1">
        <f t="array" ref="T5">(_xlfn.BYROW(B49,_xlfn.LAMBDA(_xlpm.party,SUMIFS(ledger!G:G,ledger!B:B,_xlpm.party,ledger!E:E,"&lt;&gt;*RD*",ledger!D:D,"Chamki")+SUMIFS(ledger!G:G, ledger!B:B, _xlpm.party, ledger!E:E, "&lt;&gt;*RD*", ledger!D:D, "Crinkle")))/1.0936)+_xlfn.IFNA(E84,0)</f>
        <v>2932869.3145574252</v>
      </c>
      <c r="U5" s="70" cm="1">
        <f t="array" ref="U5">(_xlfn.BYROW(B49,_xlfn.LAMBDA(_xlpm.party,SUMIFS(ledger!G:G,ledger!B:B,_xlpm.party,ledger!E:E,"&lt;&gt;*RD*",ledger!D:D,"Silky")))/1.0936)+_xlfn.IFNA(F84,0)</f>
        <v>566845.28163862473</v>
      </c>
      <c r="V5" s="22" cm="1">
        <f t="array" ref="V5">(_xlfn.BYROW(B49,_xlfn.LAMBDA(_xlpm.party,
(SUMIFS(ledger!J:J,ledger!B:B,_xlpm.party,ledger!E:E,"&lt;&gt;*RD*",ledger!D:D,"Chamki",ledger!C:C,"&lt;&gt;January Closing CF")+
SUMIFS(ledger!J:J,ledger!B:B,_xlpm.party,ledger!E:E,"&lt;&gt;*RD*",ledger!D:D,"Crinkle",ledger!C:C,"&lt;&gt;January Closing CF")
)+_xlfn.IFNA(G84,0))))</f>
        <v>29328693.145574257</v>
      </c>
      <c r="W5" s="70" cm="1">
        <f t="array" ref="W5">_xlfn.BYROW(B49, _xlfn.LAMBDA(_xlpm.party,
   SUMIFS(ledger!J:J, ledger!B:B, _xlpm.party, ledger!E:E, "&lt;&gt;*RD*", ledger!D:D, "Silky", ledger!C:C, "&lt;&gt;January Closing CF")
)) + _xlfn.IFNA(H84, 0)</f>
        <v>7280632.7724945145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37425313.482077554</v>
      </c>
      <c r="AD5" s="22">
        <f>(SUMIF(Table14[Party],#REF!,Table14[Credit]))+_xlfn.IFNA(O84,0)</f>
        <v>19750734</v>
      </c>
      <c r="AE5" s="33">
        <f>AC5-AD5</f>
        <v>17674579.482077554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595799</v>
      </c>
      <c r="S6" s="22" cm="1">
        <f t="array" ref="S6">_xlfn.BYROW(B50, _xlfn.LAMBDA(_xlpm.party, SUMIFS(ledger!G:G, ledger!B:B, _xlpm.party, ledger!E:E, "&lt;&gt;*RD*") / 1.0936 ))+_xlfn.IFNA(D85,0)</f>
        <v>544805.2304316021</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396659.65618141921</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5097431.4191660583</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6578887.1616678871</v>
      </c>
      <c r="AD6" s="22">
        <f>(SUMIF(Table14[Party],Q6,Table14[Credit]))+_xlfn.IFNA(O85,0)</f>
        <v>6396773</v>
      </c>
      <c r="AE6" s="33">
        <f t="shared" ref="AE6:AE36" si="2">AC6-AD6</f>
        <v>182114.16166788712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940604</v>
      </c>
      <c r="S7" s="22" cm="1">
        <f t="array" ref="S7">_xlfn.BYROW(B51, _xlfn.LAMBDA(_xlpm.party, SUMIFS(ledger!G:G, ledger!B:B, _xlpm.party, ledger!E:E, "&lt;&gt;*RD*") / 1.0936 ))+_xlfn.IFNA(D86,0)</f>
        <v>860098.75640087796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165525.78639356254</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2137040.9656181419</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9082770.6656912956</v>
      </c>
      <c r="AD7" s="22">
        <f>(SUMIF(Table14[Party],Q7,Table14[Credit]))+_xlfn.IFNA(O86,0)</f>
        <v>8892501</v>
      </c>
      <c r="AE7" s="33">
        <f t="shared" si="2"/>
        <v>190269.66569129564</v>
      </c>
      <c r="AF7" s="21">
        <v>10</v>
      </c>
      <c r="AG7" s="21">
        <v>13</v>
      </c>
    </row>
    <row r="8" spans="2:33" x14ac:dyDescent="0.3">
      <c r="B8" t="str">
        <f t="shared" si="0"/>
        <v>Raaz Fabrics</v>
      </c>
      <c r="C8" s="18">
        <f>SUMIFS(ledger!G:G, ledger!B:B, B8, ledger!E:E, "&lt;&gt;*RD*") / 1.0936</f>
        <v>4818.0321872713976</v>
      </c>
      <c r="D8">
        <v>10</v>
      </c>
      <c r="E8" s="14">
        <f>(SUMIFS(ledger!G:G, ledger!B:B, B8, ledger!E:E, "&lt;&gt;*RD*",ledger!D:D, "Silky") / 1.0936)*12 + (SUMIFS(ledger!G:G, ledger!B:B, B8, ledger!E:E, "&lt;&gt;*RD*",ledger!D:D, "chamki") / 1.0936)*10 +(SUMIFS(ledger!G:G, ledger!B:B, B8, ledger!E:E, "&lt;&gt;*RD*",ledger!D:D, "Crinkle") / 1.0936)*10</f>
        <v>48180.321872713976</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183130</v>
      </c>
      <c r="S11" s="22" cm="1">
        <f t="array" ref="S11">_xlfn.BYROW(B55, _xlfn.LAMBDA(_xlpm.party, SUMIFS(ledger!G:G, ledger!B:B, _xlpm.party, ledger!E:E, "&lt;&gt;*RD*") / 1.0936 ))+_xlfn.IFNA(D90,0)</f>
        <v>167456.10826627654</v>
      </c>
      <c r="T11" s="22" cm="1">
        <f t="array" ref="T11">(_xlfn.BYROW(B55,_xlfn.LAMBDA(_xlpm.party,SUMIFS(ledger!G:G,ledger!B:B,_xlpm.party,ledger!E:E,"&lt;&gt;*RD*",ledger!D:D,"Chamki")+SUMIFS(ledger!G:G, ledger!B:B, _xlpm.party, ledger!E:E, "&lt;&gt;*RD*", ledger!D:D, "Crinkle")))/1.0936)+_xlfn.IFNA(E90,0)</f>
        <v>167456.10826627654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1674561.0826627654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1674561.0826627654</v>
      </c>
      <c r="AD11" s="22">
        <f>(SUMIF(Table14[Party],Q11,Table14[Credit]))+_xlfn.IFNA(O90,0)</f>
        <v>1526321</v>
      </c>
      <c r="AE11" s="33">
        <f t="shared" si="2"/>
        <v>148240.0826627654</v>
      </c>
      <c r="AF11" s="21">
        <v>10</v>
      </c>
      <c r="AG11" s="21">
        <v>13</v>
      </c>
    </row>
    <row r="12" spans="2:33"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529682</v>
      </c>
      <c r="S15" s="22" cm="1">
        <f t="array" ref="S15">_xlfn.BYROW(B59, _xlfn.LAMBDA(_xlpm.party, SUMIFS(ledger!G:G, ledger!B:B, _xlpm.party, ledger!E:E, "&lt;&gt;*RD*") / 1.0936 ))+_xlfn.IFNA(D94,0)</f>
        <v>484347.11046086327</v>
      </c>
      <c r="T15" s="22" cm="1">
        <f t="array" ref="T15">(_xlfn.BYROW(B59,_xlfn.LAMBDA(_xlpm.party,SUMIFS(ledger!G:G,ledger!B:B,_xlpm.party,ledger!E:E,"&lt;&gt;*RD*",ledger!D:D,"Chamki")+SUMIFS(ledger!G:G, ledger!B:B, _xlpm.party, ledger!E:E, "&lt;&gt;*RD*", ledger!D:D, "Crinkle")))/1.0936)+_xlfn.IFNA(E94,0)</f>
        <v>484347.11046086327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4843471.1046086326</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4843471.1046086326</v>
      </c>
      <c r="AD15" s="22">
        <f>(SUMIF(Table14[Party],Q15,Table14[Credit]))+_xlfn.IFNA(O94,0)</f>
        <v>4638359</v>
      </c>
      <c r="AE15" s="33">
        <f t="shared" si="2"/>
        <v>205112.10460863262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4495950.9875640087</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4535229.5171909286</v>
      </c>
      <c r="D23" t="s">
        <v>32</v>
      </c>
      <c r="I23" t="s">
        <v>193</v>
      </c>
      <c r="O23" s="21"/>
      <c r="Q23" t="str">
        <v>Amjad sohail</v>
      </c>
      <c r="R23" s="22" cm="1">
        <f t="array" ref="R23">_xlfn.BYROW(B67,_xlfn.LAMBDA(_xlpm.party,SUMIFS(ledger!G:G,ledger!B:B,_xlpm.party,ledger!E:E,"&lt;&gt;*RD*")))+_xlfn.IFNA(C102,0)</f>
        <v>447742</v>
      </c>
      <c r="S23" s="22" cm="1">
        <f t="array" ref="S23">_xlfn.BYROW(B67, _xlfn.LAMBDA(_xlpm.party, SUMIFS(ledger!G:G, ledger!B:B, _xlpm.party, ledger!E:E, "&lt;&gt;*RD*") / 1.0936 ))+_xlfn.IFNA(D102,0)</f>
        <v>409420.2633504023</v>
      </c>
      <c r="T23" s="22" cm="1">
        <f t="array" ref="T23">(_xlfn.BYROW(B67,_xlfn.LAMBDA(_xlpm.party,SUMIFS(ledger!G:G,ledger!B:B,_xlpm.party,ledger!E:E,"&lt;&gt;*RD*",ledger!D:D,"Chamki")+SUMIFS(ledger!G:G, ledger!B:B, _xlpm.party, ledger!E:E, "&lt;&gt;*RD*", ledger!D:D, "Crinkle")))/1.0936)+_xlfn.IFNA(E102,0)</f>
        <v>362820.04389173369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3628200.4389173379</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4234003.2918800302</v>
      </c>
      <c r="AD23" s="22">
        <f>(SUMIF(Table14[Party],Q23,Table14[Credit]))+_xlfn.IFNA(O102,0)</f>
        <v>4417830</v>
      </c>
      <c r="AE23" s="33">
        <f t="shared" si="2"/>
        <v>-183826.70811996982</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3645477</v>
      </c>
      <c r="AE25" s="33">
        <f t="shared" si="2"/>
        <v>11419.488661302254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1445500</v>
      </c>
      <c r="AE27" s="33">
        <f t="shared" si="2"/>
        <v>9344.5501097296365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1800000</v>
      </c>
      <c r="AE31" s="33">
        <f t="shared" si="2"/>
        <v>289305.96196049778</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Q36" t="str">
        <v>Faizan Kamoki</v>
      </c>
      <c r="R36" s="22" cm="1">
        <f t="array" ref="R36">_xlfn.BYROW(B80,_xlfn.LAMBDA(_xlpm.party,SUMIFS(ledger!G:G,ledger!B:B,_xlpm.party,ledger!E:E,"&lt;&gt;*RD*")))+_xlfn.IFNA(C115,0)</f>
        <v>86706</v>
      </c>
      <c r="S36" s="22" cm="1">
        <f t="array" ref="S36">_xlfn.BYROW(B80, _xlfn.LAMBDA(_xlpm.party, SUMIFS(ledger!G:G, ledger!B:B, _xlpm.party, ledger!E:E, "&lt;&gt;*RD*") / 1.0936 ))+_xlfn.IFNA(D115,0)</f>
        <v>79284.930504754942</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70423.372348207762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915503.84052670095</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3">V36+W36+X36+Y36+Z36+AA36+AB36</f>
        <v>1012980.9802487199</v>
      </c>
      <c r="AD36" s="22">
        <f>(SUMIF(Table14[Party],Q36,Table14[Credit]))+_xlfn.IFNA(O115,0)</f>
        <v>1012980.4930504755</v>
      </c>
      <c r="AE36" s="33">
        <f t="shared" si="2"/>
        <v>0.48719824443105608</v>
      </c>
    </row>
    <row r="37" spans="2:33" x14ac:dyDescent="0.3">
      <c r="R37" s="22" cm="1">
        <f t="array" ref="R37">_xlfn.BYROW(A82,_xlfn.LAMBDA(_xlpm.party,SUMIFS(ledger!G:G,ledger!B:B,_xlpm.party,ledger!E:E,"&lt;&gt;*RD*")))+_xlfn.IFNA(C116,0)</f>
        <v>0</v>
      </c>
      <c r="S37" s="22" cm="1">
        <f t="array" ref="S37">_xlfn.BYROW(A82, _xlfn.LAMBDA(_xlpm.party, SUMIFS(ledger!G:G, ledger!B:B, _xlpm.party, ledger!E:E, "&lt;&gt;*RD*") / 1.0936 ))+_xlfn.IFNA(D116,0)</f>
        <v>0</v>
      </c>
      <c r="T37" s="22" cm="1">
        <f t="array" ref="T37">(_xlfn.BYROW(A82,_xlfn.LAMBDA(_xlpm.party,SUMIFS(ledger!G:G,ledger!B:B,_xlpm.party,ledger!E:E,"&lt;&gt;*RD*",ledger!D:D,"Chamki")+SUMIFS(ledger!G:G, ledger!B:B, _xlpm.party, ledger!E:E, "&lt;&gt;*RD*", ledger!D:D, "Crinkle")))/1.0936)+_xlfn.IFNA(E116,0)</f>
        <v>0</v>
      </c>
      <c r="U37" s="70" cm="1">
        <f t="array" ref="U37">(_xlfn.BYROW(A82,_xlfn.LAMBDA(_xlpm.party,SUMIFS(ledger!G:G,ledger!B:B,_xlpm.party,ledger!E:E,"&lt;&gt;*RD*",ledger!D:D,"Silky")))/1.0936)+_xlfn.IFNA(F116,0)</f>
        <v>0</v>
      </c>
      <c r="V37" s="22" cm="1">
        <f t="array" ref="V37">(_xlfn.BYROW(A82,_xlfn.LAMBDA(_xlpm.party,
(SUMIFS(ledger!J:J,ledger!B:B,_xlpm.party,ledger!E:E,"&lt;&gt;*RD*",ledger!D:D,"Chamki",ledger!C:C,"&lt;&gt;January Closing CF")+
SUMIFS(ledger!J:J,ledger!B:B,_xlpm.party,ledger!E:E,"&lt;&gt;*RD*",ledger!D:D,"Crinkle",ledger!C:C,"&lt;&gt;January Closing CF")
)+_xlfn.IFNA(G116,0))))</f>
        <v>0</v>
      </c>
      <c r="W37" s="70" cm="1">
        <f t="array" ref="W37">_xlfn.BYROW(A82, _xlfn.LAMBDA(_xlpm.party,
   SUMIFS(ledger!J:J, ledger!B:B, _xlpm.party, ledger!E:E, "&lt;&gt;*RD*", ledger!D:D, "Silky", ledger!C:C, "&lt;&gt;January Closing CF")
)) + _xlfn.IFNA(H116, 0)</f>
        <v>0</v>
      </c>
      <c r="X37" s="70" cm="1">
        <f t="array" ref="X37">_xlfn.BYROW(A82, _xlfn.LAMBDA(_xlpm.party,
   SUMIFS(ledger!J:J, ledger!B:B, _xlpm.party, ledger!E:E, "&lt;&gt;*RD*", ledger!D:D, "Slub", ledger!C:C, "&lt;&gt;January Closing CF")
))+ _xlfn.IFNA(I116, 0)</f>
        <v>0</v>
      </c>
      <c r="Y37" s="70" cm="1">
        <f t="array" ref="Y37">_xlfn.BYROW(A82, _xlfn.LAMBDA(_xlpm.party,
   SUMIFS(ledger!J:J, ledger!B:B, _xlpm.party, ledger!E:E, "&lt;&gt;*RD*", ledger!D:D, "Satin", ledger!C:C, "&lt;&gt;January Closing CF")
))+ _xlfn.IFNA(J116, 0)</f>
        <v>0</v>
      </c>
      <c r="Z37" s="70" cm="1">
        <f t="array" ref="Z37">_xlfn.BYROW(A82, _xlfn.LAMBDA(_xlpm.party,
   SUMIFS(ledger!J:J, ledger!B:B, _xlpm.party, ledger!E:E, "&lt;&gt;*RD*", ledger!D:D, "Black-Chamki", ledger!C:C, "&lt;&gt;January Closing CF")
))+ _xlfn.IFNA(K116, 0)</f>
        <v>0</v>
      </c>
      <c r="AA37" s="70" cm="1">
        <f t="array" ref="AA37">_xlfn.BYROW(A82, _xlfn.LAMBDA(_xlpm.party,
   SUMIFS(ledger!J:J, ledger!B:B, _xlpm.party, ledger!E:E, "&lt;&gt;*RD*", ledger!D:D, "Kataan", ledger!C:C, "&lt;&gt;January Closing CF")
))+ _xlfn.IFNA(L116, 0)</f>
        <v>0</v>
      </c>
      <c r="AB37" s="70" cm="1">
        <f t="array" ref="AB37">_xlfn.BYROW(A82, _xlfn.LAMBDA(_xlpm.party,
   SUMIFS(ledger!J:J, ledger!B:B, _xlpm.party, ledger!E:E, "&lt;&gt;*RD*", ledger!D:D, "Munaar", ledger!C:C, "&lt;&gt;January Closing CF")
))+ _xlfn.IFNA(M116, 0)</f>
        <v>0</v>
      </c>
      <c r="AC37" s="39">
        <f t="shared" ref="AC37" si="4">V37+W37+X37+Y37+Z37+AA37+AB37</f>
        <v>0</v>
      </c>
      <c r="AD37" s="22">
        <f>(SUMIF(Table14[Party],Q37,Table14[Credit]))+_xlfn.IFNA(O116,0)</f>
        <v>0</v>
      </c>
      <c r="AE37" s="33">
        <f t="shared" ref="AE37" si="5">AC37-AD37</f>
        <v>0</v>
      </c>
    </row>
    <row r="38" spans="2:33" x14ac:dyDescent="0.3">
      <c r="R38" s="22"/>
      <c r="S38" s="22"/>
      <c r="T38" s="22"/>
      <c r="U38" s="70"/>
      <c r="V38" s="22"/>
      <c r="W38" s="70"/>
      <c r="X38" s="70"/>
      <c r="Y38" s="70"/>
      <c r="Z38" s="70"/>
      <c r="AA38" s="70"/>
      <c r="AB38" s="70"/>
      <c r="AC38" s="39"/>
      <c r="AD38" s="22"/>
      <c r="AE38" s="33"/>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0">_xlfn.UNIQUE(Table1[Party Name])</f>
        <v>BSC</v>
      </c>
      <c r="C49" s="22" cm="1">
        <f t="array" ref="C49:C80">_xlfn.BYROW(_xlfn.ANCHORARRAY(B49),_xlfn.LAMBDA(_xlpm.party,SUMIFS(ledger!G:G,ledger!B:B,_xlpm.party,ledger!E:E,"&lt;&gt;*RD*")))</f>
        <v>255645</v>
      </c>
      <c r="D49" s="22" cm="1">
        <f t="array" ref="D49:D80">_xlfn.BYROW(_xlfn.ANCHORARRAY(B49), _xlfn.LAMBDA(_xlpm.party, SUMIFS(ledger!G:G, ledger!B:B, _xlpm.party, ledger!E:E, "&lt;&gt;*RD*") / 1.0936 ))</f>
        <v>233764.63057790784</v>
      </c>
      <c r="E49" s="63" cm="1">
        <f t="array" ref="E49:E80">(_xlfn.BYROW(_xlfn.ANCHORARRAY(B49),_xlfn.LAMBDA(_xlpm.party,SUMIFS(ledger!G:G,ledger!B:B,_xlpm.party,ledger!E:E,"&lt;&gt;*RD*",ledger!D:D,"Chamki")+SUMIFS(ledger!G:G, ledger!B:B, _xlpm.party, ledger!E:E, "&lt;&gt;*RD*", ledger!D:D, "Crinkle")))/1.0936)</f>
        <v>165285.29626920263</v>
      </c>
      <c r="F49" s="63" cm="1">
        <f t="array" ref="F49:F80">(_xlfn.BYROW(_xlfn.ANCHORARRAY(B49),_xlfn.LAMBDA(_xlpm.party,SUMIFS(ledger!G:G,ledger!B:B,_xlpm.party,ledger!E:E,"&lt;&gt;*RD*",ledger!D:D,"Silky")))/1.0936)</f>
        <v>5813.8258961228976</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75579.736649597675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 t="shared" ref="N49:N79" si="6">SUM(G49:M49)</f>
        <v>2417753.2918800293</v>
      </c>
      <c r="O49" s="22">
        <f>(SUMIF(Table14[Party],B49,Table14[Credit]))</f>
        <v>0</v>
      </c>
      <c r="P49" s="37">
        <f t="shared" ref="P49:P80" si="7">N49-O49</f>
        <v>2417753.2918800293</v>
      </c>
      <c r="Q49" s="21">
        <v>10</v>
      </c>
      <c r="R49" s="21">
        <v>12</v>
      </c>
    </row>
    <row r="50" spans="1:23" x14ac:dyDescent="0.3">
      <c r="B50" s="24" t="str">
        <v>Ejaz Sahab</v>
      </c>
      <c r="C50" s="22">
        <v>15320</v>
      </c>
      <c r="D50" s="22">
        <v>14008.778346744697</v>
      </c>
      <c r="E50" s="63">
        <v>0</v>
      </c>
      <c r="F50" s="63">
        <v>14008.778346744697</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182114.11850768107</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si="6"/>
        <v>182114.11850768107</v>
      </c>
      <c r="O50" s="22">
        <f>(SUMIF(Table14[Party],B50,Table14[Credit]))</f>
        <v>329454</v>
      </c>
      <c r="P50" s="37">
        <f t="shared" si="7"/>
        <v>-147339.88149231893</v>
      </c>
      <c r="Q50" s="21">
        <v>10</v>
      </c>
      <c r="R50" s="21">
        <v>12</v>
      </c>
    </row>
    <row r="51" spans="1:23" x14ac:dyDescent="0.3">
      <c r="B51" s="24" t="str">
        <v>Arshad</v>
      </c>
      <c r="C51" s="22">
        <v>46011</v>
      </c>
      <c r="D51" s="22">
        <v>42072.970007315293</v>
      </c>
      <c r="E51" s="63">
        <v>22724.030724213608</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6"/>
        <v>478776.51792245801</v>
      </c>
      <c r="O51" s="22">
        <f>(SUMIF(Table14[Party],B51,Table14[Credit]))</f>
        <v>400000</v>
      </c>
      <c r="P51" s="37">
        <f t="shared" si="7"/>
        <v>78776.517922458006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6"/>
        <v>0</v>
      </c>
      <c r="O52" s="22">
        <f>(SUMIF(Table14[Party],B52,Table14[Credit]))</f>
        <v>0</v>
      </c>
      <c r="P52" s="37">
        <f t="shared" si="7"/>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6"/>
        <v>0</v>
      </c>
      <c r="O53" s="22">
        <f>(SUMIF(Table14[Party],B53,Table14[Credit]))</f>
        <v>0</v>
      </c>
      <c r="P53" s="37">
        <f t="shared" si="7"/>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6"/>
        <v>0</v>
      </c>
      <c r="O54" s="22">
        <f>(SUMIF(Table14[Party],B54,Table14[Credit]))</f>
        <v>0</v>
      </c>
      <c r="P54" s="37">
        <f t="shared" si="7"/>
        <v>0</v>
      </c>
      <c r="Q54" s="21">
        <v>10</v>
      </c>
      <c r="R54" s="21">
        <v>12</v>
      </c>
    </row>
    <row r="55" spans="1:23" x14ac:dyDescent="0.3">
      <c r="B55" s="24" t="str">
        <v>Raaz Fabrics</v>
      </c>
      <c r="C55" s="22">
        <v>5269</v>
      </c>
      <c r="D55" s="22">
        <v>4818.0321872713976</v>
      </c>
      <c r="E55" s="63">
        <v>4818.0321872713976</v>
      </c>
      <c r="F55" s="63">
        <v>0</v>
      </c>
      <c r="G55" s="22" cm="1">
        <f t="array" ref="G55">(_xlfn.BYROW(B55,_xlfn.LAMBDA(_xlpm.party,
(SUMIFS(ledger!J:J,ledger!B:B,_xlpm.party,ledger!E:E,"&lt;&gt;*RD*",ledger!D:D,"Chamki",ledger!C:C,"&lt;&gt;January Closing CF")+
SUMIFS(ledger!J:J,ledger!B:B,_xlpm.party,ledger!E:E,"&lt;&gt;*RD*",ledger!D:D,"Crinkle",ledger!C:C,"&lt;&gt;January Closing CF")
))))</f>
        <v>48180.321872713976</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6"/>
        <v>48180.321872713976</v>
      </c>
      <c r="O55" s="22">
        <f>(SUMIF(Table14[Party],B55,Table14[Credit]))</f>
        <v>0</v>
      </c>
      <c r="P55" s="37">
        <f t="shared" si="7"/>
        <v>48180.321872713976</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6"/>
        <v>0</v>
      </c>
      <c r="O56" s="22">
        <f>(SUMIF(Table14[Party],B56,Table14[Credit]))</f>
        <v>0</v>
      </c>
      <c r="P56" s="37">
        <f t="shared" si="7"/>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6"/>
        <v>0</v>
      </c>
      <c r="O57" s="22">
        <f>(SUMIF(Table14[Party],B57,Table14[Credit]))</f>
        <v>0</v>
      </c>
      <c r="P57" s="37">
        <f t="shared" si="7"/>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6"/>
        <v>0</v>
      </c>
      <c r="O58" s="22">
        <f>(SUMIF(Table14[Party],B58,Table14[Credit]))</f>
        <v>0</v>
      </c>
      <c r="P58" s="37">
        <f t="shared" si="7"/>
        <v>0</v>
      </c>
      <c r="Q58" s="21">
        <v>12</v>
      </c>
      <c r="R58" s="21">
        <v>12</v>
      </c>
      <c r="U58" s="4" t="s">
        <v>21</v>
      </c>
      <c r="V58" s="5">
        <v>233764.63057790784</v>
      </c>
      <c r="W58" s="18">
        <v>1659405.6327724946</v>
      </c>
    </row>
    <row r="59" spans="1:23"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6"/>
        <v>686311.26554498915</v>
      </c>
      <c r="O59" s="22">
        <f>(SUMIF(Table14[Party],B59,Table14[Credit]))</f>
        <v>492180</v>
      </c>
      <c r="P59" s="37">
        <f t="shared" si="7"/>
        <v>194131.26554498915</v>
      </c>
      <c r="Q59" s="21">
        <v>10</v>
      </c>
      <c r="R59" s="21">
        <v>12</v>
      </c>
      <c r="U59" s="4" t="s">
        <v>22</v>
      </c>
      <c r="V59" s="5">
        <v>14008.778346744697</v>
      </c>
      <c r="W59" s="18">
        <v>168105.34016093635</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6"/>
        <v>0</v>
      </c>
      <c r="O60" s="22">
        <f>(SUMIF(Table14[Party],B60,Table14[Credit]))</f>
        <v>0</v>
      </c>
      <c r="P60" s="37">
        <f t="shared" si="7"/>
        <v>0</v>
      </c>
      <c r="Q60" s="21">
        <v>10</v>
      </c>
      <c r="R60" s="21">
        <v>12</v>
      </c>
      <c r="U60" s="4" t="s">
        <v>9</v>
      </c>
      <c r="V60" s="5">
        <v>42072.970007315293</v>
      </c>
      <c r="W60" s="18">
        <v>459427.5786393563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6"/>
        <v>0</v>
      </c>
      <c r="O61" s="22">
        <f>(SUMIF(Table14[Party],B61,Table14[Credit]))</f>
        <v>0</v>
      </c>
      <c r="P61" s="37">
        <f t="shared" si="7"/>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6"/>
        <v>0</v>
      </c>
      <c r="O62" s="22">
        <f>(SUMIF(Table14[Party],B62,Table14[Credit]))</f>
        <v>0</v>
      </c>
      <c r="P62" s="37">
        <f t="shared" si="7"/>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6"/>
        <v>0</v>
      </c>
      <c r="O63" s="22">
        <f>(SUMIF(Table14[Party],B63,Table14[Credit]))</f>
        <v>0</v>
      </c>
      <c r="P63" s="37">
        <f t="shared" si="7"/>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6"/>
        <v>0</v>
      </c>
      <c r="O64" s="22">
        <f>(SUMIF(Table14[Party],B64,Table14[Credit]))</f>
        <v>0</v>
      </c>
      <c r="P64" s="37">
        <f t="shared" si="7"/>
        <v>0</v>
      </c>
      <c r="Q64" s="21">
        <v>10</v>
      </c>
      <c r="R64" s="21">
        <v>12</v>
      </c>
      <c r="U64" s="4" t="s">
        <v>26</v>
      </c>
      <c r="V64" s="5">
        <v>4818.0321872713976</v>
      </c>
      <c r="W64" s="18">
        <v>48180.321872713976</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6"/>
        <v>662588.69787856634</v>
      </c>
      <c r="O65" s="22">
        <f>(SUMIF(Table14[Party],B65,Table14[Credit]))</f>
        <v>704000</v>
      </c>
      <c r="P65" s="37">
        <f t="shared" si="7"/>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6"/>
        <v>0</v>
      </c>
      <c r="O66" s="22">
        <f>(SUMIF(Table14[Party],B66,Table14[Credit]))</f>
        <v>0</v>
      </c>
      <c r="P66" s="37">
        <f t="shared" si="7"/>
        <v>0</v>
      </c>
      <c r="Q66" s="21">
        <v>10</v>
      </c>
      <c r="R66" s="21">
        <v>12</v>
      </c>
      <c r="U66" s="4" t="s">
        <v>35</v>
      </c>
      <c r="V66" s="5">
        <v>0</v>
      </c>
      <c r="W66" s="18">
        <v>0</v>
      </c>
    </row>
    <row r="67" spans="2:23"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6"/>
        <v>20226.773957571328</v>
      </c>
      <c r="O67" s="22">
        <f>(SUMIF(Table14[Party],B67,Table14[Credit]))</f>
        <v>0</v>
      </c>
      <c r="P67" s="37">
        <f t="shared" si="7"/>
        <v>20226.773957571328</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6"/>
        <v>0</v>
      </c>
      <c r="O68" s="22">
        <f>(SUMIF(Table14[Party],B68,Table14[Credit]))</f>
        <v>0</v>
      </c>
      <c r="P68" s="37">
        <f t="shared" si="7"/>
        <v>0</v>
      </c>
      <c r="Q68" s="21">
        <v>10</v>
      </c>
      <c r="R68" s="21">
        <v>12</v>
      </c>
      <c r="U68" s="4" t="s">
        <v>27</v>
      </c>
      <c r="V68" s="5">
        <v>68631.126554498915</v>
      </c>
      <c r="W68" s="18">
        <v>686311.26554498915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6"/>
        <v>0</v>
      </c>
      <c r="O69" s="22">
        <f>(SUMIF(Table14[Party],B69,Table14[Credit]))</f>
        <v>20340</v>
      </c>
      <c r="P69" s="37">
        <f t="shared" si="7"/>
        <v>-20340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6"/>
        <v>0</v>
      </c>
      <c r="O70" s="22">
        <f>(SUMIF(Table14[Party],B70,Table14[Credit]))</f>
        <v>0</v>
      </c>
      <c r="P70" s="37">
        <f t="shared" si="7"/>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6"/>
        <v>0</v>
      </c>
      <c r="O71" s="22">
        <f>(SUMIF(Table14[Party],B71,Table14[Credit]))</f>
        <v>30000</v>
      </c>
      <c r="P71" s="37">
        <f t="shared" si="7"/>
        <v>-30000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6"/>
        <v>0</v>
      </c>
      <c r="O72" s="22">
        <f>(SUMIF(Table14[Party],B72,Table14[Credit]))</f>
        <v>0</v>
      </c>
      <c r="P72" s="37">
        <f t="shared" si="7"/>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6"/>
        <v>0</v>
      </c>
      <c r="O73" s="22">
        <f>(SUMIF(Table14[Party],B73,Table14[Credit]))</f>
        <v>0</v>
      </c>
      <c r="P73" s="37">
        <f t="shared" si="7"/>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6"/>
        <v>0</v>
      </c>
      <c r="O74" s="22">
        <f>(SUMIF(Table14[Party],B74,Table14[Credit]))</f>
        <v>0</v>
      </c>
      <c r="P74" s="37">
        <f t="shared" si="7"/>
        <v>0</v>
      </c>
      <c r="U74" s="4" t="s">
        <v>219</v>
      </c>
      <c r="V74" s="5">
        <v>0</v>
      </c>
      <c r="W74" s="18">
        <v>0</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6"/>
        <v>0</v>
      </c>
      <c r="O75" s="22">
        <f>(SUMIF(Table14[Party],B75,Table14[Credit]))</f>
        <v>500000</v>
      </c>
      <c r="P75" s="37">
        <f t="shared" si="7"/>
        <v>-500000</v>
      </c>
      <c r="U75" s="4" t="s">
        <v>28</v>
      </c>
      <c r="V75" s="14">
        <v>414263.89904901246</v>
      </c>
      <c r="W75" s="14">
        <v>3633050.4754937822</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si="6"/>
        <v>0</v>
      </c>
      <c r="O76" s="22">
        <f>SUMIF(Table14[Party], B76, Table14[Credit])</f>
        <v>0</v>
      </c>
      <c r="P76" s="37">
        <f t="shared" si="7"/>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si="7"/>
        <v>0.52962692026630975</v>
      </c>
    </row>
    <row r="80" spans="2:23" x14ac:dyDescent="0.3">
      <c r="B80" t="str">
        <v>Faizan Kamoki</v>
      </c>
      <c r="C80">
        <v>86706</v>
      </c>
      <c r="D80">
        <v>79284.930504754942</v>
      </c>
      <c r="E80">
        <v>0</v>
      </c>
      <c r="F80">
        <v>70423.372348207762</v>
      </c>
      <c r="O80" s="22">
        <f>SUMIF(Table14[Party], B80, Table14[Credit])</f>
        <v>1012980.4930504755</v>
      </c>
      <c r="P80" s="37">
        <f t="shared" si="7"/>
        <v>-1012980.4930504755</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5">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8">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9">G86+H86+I86+J86+K86+L86+M86</f>
        <v>8603994.1477688365</v>
      </c>
      <c r="O86" s="22">
        <f>_xlfn.XLOOKUP($B51,[1]Billing!$Q$5:$Q$40,[1]Billing!$AD$5:$AD$40)</f>
        <v>8492501</v>
      </c>
      <c r="P86" s="37">
        <f t="shared" si="8"/>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9"/>
        <v>1354241.9972933433</v>
      </c>
      <c r="O87" s="22">
        <f>_xlfn.XLOOKUP($B52,[1]Billing!$Q$5:$Q$40,[1]Billing!$AD$5:$AD$40)</f>
        <v>1353710</v>
      </c>
      <c r="P87" s="37">
        <f t="shared" si="8"/>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9"/>
        <v>11478764.23847842</v>
      </c>
      <c r="O88" s="22">
        <f>_xlfn.XLOOKUP($B53,[1]Billing!$Q$5:$Q$40,[1]Billing!$AD$5:$AD$40)</f>
        <v>11478764</v>
      </c>
      <c r="P88" s="37">
        <f t="shared" si="8"/>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9"/>
        <v>9816608.449158743</v>
      </c>
      <c r="O89" s="22">
        <f>_xlfn.XLOOKUP($B54,[1]Billing!$Q$5:$Q$40,[1]Billing!$AD$5:$AD$40)</f>
        <v>9609871</v>
      </c>
      <c r="P89" s="37">
        <f t="shared" si="8"/>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9"/>
        <v>1626380.7607900514</v>
      </c>
      <c r="O90" s="22">
        <f>_xlfn.XLOOKUP($B55,[1]Billing!$Q$5:$Q$40,[1]Billing!$AD$5:$AD$40)</f>
        <v>1526321</v>
      </c>
      <c r="P90" s="37">
        <f t="shared" si="8"/>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9"/>
        <v>7403071.5069495253</v>
      </c>
      <c r="O91" s="22">
        <f>_xlfn.XLOOKUP($B56,[1]Billing!$Q$5:$Q$40,[1]Billing!$AD$5:$AD$40)</f>
        <v>7402540</v>
      </c>
      <c r="P91" s="37">
        <f t="shared" si="8"/>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9"/>
        <v>1909464.1550841257</v>
      </c>
      <c r="O92" s="22">
        <f>_xlfn.XLOOKUP($B57,[1]Billing!$Q$5:$Q$40,[1]Billing!$AD$5:$AD$40)</f>
        <v>1908190</v>
      </c>
      <c r="P92" s="37">
        <f t="shared" si="8"/>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9"/>
        <v>255724.21360643749</v>
      </c>
      <c r="O93" s="22">
        <f>_xlfn.XLOOKUP($B58,[1]Billing!$Q$5:$Q$40,[1]Billing!$AD$5:$AD$40)</f>
        <v>130000</v>
      </c>
      <c r="P93" s="37">
        <f t="shared" si="8"/>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9"/>
        <v>4157159.8390636435</v>
      </c>
      <c r="O94" s="22">
        <f>_xlfn.XLOOKUP($B59,[1]Billing!$Q$5:$Q$40,[1]Billing!$AD$5:$AD$40)</f>
        <v>4146179</v>
      </c>
      <c r="P94" s="37">
        <f t="shared" si="8"/>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9"/>
        <v>6637699.3416239955</v>
      </c>
      <c r="O95" s="22">
        <f>_xlfn.XLOOKUP($B60,[1]Billing!$Q$5:$Q$40,[1]Billing!$AD$5:$AD$40)</f>
        <v>6545761</v>
      </c>
      <c r="P95" s="37">
        <f t="shared" si="8"/>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9"/>
        <v>1214045.3547915143</v>
      </c>
      <c r="O96" s="22">
        <f>_xlfn.XLOOKUP($B61,[1]Billing!$Q$5:$Q$40,[1]Billing!$AD$5:$AD$40)</f>
        <v>1214045</v>
      </c>
      <c r="P96" s="37">
        <f t="shared" si="8"/>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9"/>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9"/>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9"/>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9"/>
        <v>6091484.0892465264</v>
      </c>
      <c r="O100" s="22">
        <f>_xlfn.XLOOKUP($B65,[1]Billing!$Q$5:$Q$40,[1]Billing!$AD$5:$AD$40)</f>
        <v>6024187</v>
      </c>
      <c r="P100" s="37">
        <f t="shared" si="8"/>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9"/>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9"/>
        <v>4213776.5179224582</v>
      </c>
      <c r="O102" s="22">
        <f>_xlfn.XLOOKUP($B67,[1]Billing!$Q$5:$Q$40,[1]Billing!$AD$5:$AD$40)</f>
        <v>4417830</v>
      </c>
      <c r="P102" s="37">
        <f t="shared" si="8"/>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9"/>
        <v>3269779.6269202633</v>
      </c>
      <c r="O103" s="22">
        <f>_xlfn.XLOOKUP($B68,[1]Billing!$Q$5:$Q$40,[1]Billing!$AD$5:$AD$40)</f>
        <v>3296025</v>
      </c>
      <c r="P103" s="37">
        <f t="shared" si="8"/>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9"/>
        <v>3656896.4886613023</v>
      </c>
      <c r="O104" s="22">
        <f>_xlfn.XLOOKUP($B69,[1]Billing!$Q$5:$Q$40,[1]Billing!$AD$5:$AD$40)</f>
        <v>3625137</v>
      </c>
      <c r="P104" s="37">
        <f t="shared" si="8"/>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9"/>
        <v>424323.335771763</v>
      </c>
      <c r="O105" s="22">
        <f>_xlfn.XLOOKUP($B70,[1]Billing!$Q$5:$Q$40,[1]Billing!$AD$5:$AD$40)</f>
        <v>424323</v>
      </c>
      <c r="P105" s="37">
        <f t="shared" si="8"/>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9"/>
        <v>1454844.5501097296</v>
      </c>
      <c r="O106" s="22">
        <f>_xlfn.XLOOKUP($B71,[1]Billing!$Q$5:$Q$40,[1]Billing!$AD$5:$AD$40)</f>
        <v>1415500</v>
      </c>
      <c r="P106" s="37">
        <f t="shared" si="8"/>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9"/>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9"/>
        <v>385138.07607900514</v>
      </c>
      <c r="O108" s="22">
        <f>_xlfn.XLOOKUP($B73,[1]Billing!$Q$5:$Q$40,[1]Billing!$AD$5:$AD$40)</f>
        <v>250000</v>
      </c>
      <c r="P108" s="37">
        <f t="shared" si="8"/>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9"/>
        <v>151504.2062911485</v>
      </c>
      <c r="O109" s="22">
        <f>_xlfn.XLOOKUP($B74,[1]Billing!$Q$5:$Q$40,[1]Billing!$AD$5:$AD$40)</f>
        <v>0</v>
      </c>
      <c r="P109" s="37">
        <f t="shared" si="8"/>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9"/>
        <v>2089305.9619604978</v>
      </c>
      <c r="O110" s="22">
        <f>_xlfn.XLOOKUP($B75,[1]Billing!$Q$5:$Q$40,[1]Billing!$AD$5:$AD$40)</f>
        <v>1300000</v>
      </c>
      <c r="P110" s="37">
        <f t="shared" si="8"/>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595924.46964155091</v>
      </c>
      <c r="O111" s="22">
        <f>_xlfn.XLOOKUP($B76,[1]Billing!$Q$5:$Q$40,[1]Billing!$AD$5:$AD$40)</f>
        <v>550000</v>
      </c>
      <c r="P111" s="37">
        <f t="shared" si="8"/>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636460.3145574251</v>
      </c>
      <c r="O112" s="22">
        <f>_xlfn.XLOOKUP($B77,[1]Billing!$Q$5:$Q$40,[1]Billing!$AD$5:$AD$40)</f>
        <v>636000</v>
      </c>
      <c r="P112" s="37">
        <f t="shared" si="8"/>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15855.888807607902</v>
      </c>
      <c r="O113" s="22">
        <f>_xlfn.XLOOKUP($B78,[1]Billing!$Q$5:$Q$40,[1]Billing!$AD$5:$AD$40)</f>
        <v>15855</v>
      </c>
      <c r="P113" s="37">
        <f t="shared" si="8"/>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9"/>
        <v>#N/A</v>
      </c>
      <c r="O114" s="22" t="e">
        <f>_xlfn.XLOOKUP($B79,[1]Billing!$Q$5:$Q$40,[1]Billing!$AD$5:$AD$40)</f>
        <v>#N/A</v>
      </c>
      <c r="P114" s="37" t="e">
        <f t="shared" si="8"/>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9"/>
        <v>#N/A</v>
      </c>
      <c r="O115" s="22" t="e">
        <f>_xlfn.XLOOKUP($B80,[1]Billing!$Q$5:$Q$40,[1]Billing!$AD$5:$AD$40)</f>
        <v>#N/A</v>
      </c>
      <c r="P115" s="37" t="e">
        <f t="shared" si="8"/>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5"/>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5">_xlfn.UNIQUE(Table1[Party Name])</f>
        <v>BSC</v>
      </c>
    </row>
    <row r="5" spans="2:10" x14ac:dyDescent="0.3">
      <c r="J5" t="str">
        <v>Ejaz Sahab</v>
      </c>
    </row>
    <row r="6" spans="2:10" ht="21" x14ac:dyDescent="0.4">
      <c r="B6" s="64" t="s">
        <v>229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1800000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289305.96196049778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2567210</v>
      </c>
      <c r="D4" t="s">
        <v>189</v>
      </c>
      <c r="E4" s="43">
        <f ca="1">Table12[[#This Row],[Amount]]/Table1[[#Totals],[tiyar/meters]]</f>
        <v>5.1432429002202005</v>
      </c>
    </row>
    <row r="5" spans="1:5" x14ac:dyDescent="0.3">
      <c r="B5" t="s">
        <v>48</v>
      </c>
      <c r="C5" s="11">
        <f>SUM(Table8[Price])+(301660)</f>
        <v>436660</v>
      </c>
      <c r="E5" s="43">
        <f ca="1">Table12[[#This Row],[Amount]]/Table1[[#Totals],[tiyar/meters]]</f>
        <v>0.87482069827172415</v>
      </c>
    </row>
    <row r="6" spans="1:5" x14ac:dyDescent="0.3">
      <c r="B6" t="s">
        <v>49</v>
      </c>
      <c r="C6" s="11">
        <f>SUM(Table2[Price])</f>
        <v>138000</v>
      </c>
      <c r="D6" t="s">
        <v>188</v>
      </c>
      <c r="E6" s="43">
        <f ca="1">Table12[[#This Row],[Amount]]/Table1[[#Totals],[tiyar/meters]]</f>
        <v>0.27647427371753291</v>
      </c>
    </row>
    <row r="7" spans="1:5" x14ac:dyDescent="0.3">
      <c r="B7" t="s">
        <v>50</v>
      </c>
      <c r="C7" s="11">
        <f>SUMIFS(Table14[Debit], Table14[Party],Table12[[#This Row],[Type]])</f>
        <v>820</v>
      </c>
      <c r="E7" s="43">
        <f ca="1">Table12[[#This Row],[Amount]]/Table1[[#Totals],[tiyar/meters]]</f>
        <v>1.6428181481766449E-3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172630</v>
      </c>
      <c r="E9" s="43">
        <f ca="1">Table12[[#This Row],[Amount]]/Table1[[#Totals],[tiyar/meters]]</f>
        <v>0.34585328892650513</v>
      </c>
    </row>
    <row r="10" spans="1:5" x14ac:dyDescent="0.3">
      <c r="B10" t="s">
        <v>53</v>
      </c>
      <c r="C10" s="11">
        <f>Table5[[#Totals],[Amount]]</f>
        <v>0</v>
      </c>
      <c r="E10" s="43">
        <f ca="1">Table12[[#This Row],[Amount]]/Table1[[#Totals],[tiyar/meters]]</f>
        <v>0</v>
      </c>
    </row>
    <row r="11" spans="1:5" x14ac:dyDescent="0.3">
      <c r="B11" t="s">
        <v>54</v>
      </c>
      <c r="C11" s="11">
        <f>Table13[[#Totals],[Debit]]</f>
        <v>45528</v>
      </c>
      <c r="E11" s="43">
        <f ca="1">Table12[[#This Row],[Amount]]/Table1[[#Totals],[tiyar/meters]]</f>
        <v>9.1212469085593037E-2</v>
      </c>
    </row>
    <row r="12" spans="1:5" x14ac:dyDescent="0.3">
      <c r="B12" t="s">
        <v>55</v>
      </c>
      <c r="C12" s="11">
        <f>Table15[[#Totals],[Amount]]</f>
        <v>374150</v>
      </c>
      <c r="E12" s="43">
        <f ca="1">Table12[[#This Row],[Amount]]/Table1[[#Totals],[tiyar/meters]]</f>
        <v>0.74958586602474597</v>
      </c>
    </row>
    <row r="13" spans="1:5" x14ac:dyDescent="0.3">
      <c r="C13" s="11"/>
      <c r="E13" s="43">
        <f ca="1">Table12[[#This Row],[Amount]]/Table1[[#Totals],[tiyar/meters]]</f>
        <v>0</v>
      </c>
    </row>
    <row r="14" spans="1:5" x14ac:dyDescent="0.3">
      <c r="C14" s="14">
        <f>SUM(Table12[Amount])</f>
        <v>3734998</v>
      </c>
      <c r="E14" s="43">
        <f ca="1">SUM(Table12[cost per meter])</f>
        <v>7.4828323143944768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21" sqref="C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4535229.5171909286</v>
      </c>
    </row>
    <row r="4" spans="1:3" x14ac:dyDescent="0.3">
      <c r="B4" s="11" t="s">
        <v>44</v>
      </c>
      <c r="C4" s="11">
        <f>Table12[[#Totals],[Amount]]</f>
        <v>3734998</v>
      </c>
    </row>
    <row r="5" spans="1:3" x14ac:dyDescent="0.3">
      <c r="A5" s="6"/>
      <c r="B5" s="15" t="s">
        <v>68</v>
      </c>
      <c r="C5" s="15">
        <f>C3-C4</f>
        <v>800231.51719092857</v>
      </c>
    </row>
    <row r="10" spans="1:3" ht="15" thickBot="1" x14ac:dyDescent="0.35">
      <c r="B10" t="s">
        <v>66</v>
      </c>
      <c r="C10" s="14" t="s">
        <v>67</v>
      </c>
    </row>
    <row r="11" spans="1:3" x14ac:dyDescent="0.3">
      <c r="B11" s="56" t="s">
        <v>0</v>
      </c>
      <c r="C11" s="57">
        <f>C3</f>
        <v>4535229.5171909286</v>
      </c>
    </row>
    <row r="12" spans="1:3" x14ac:dyDescent="0.3">
      <c r="B12" s="58" t="s">
        <v>69</v>
      </c>
      <c r="C12" s="59">
        <f>SUM(Table14[Credit])</f>
        <v>13098361.493050475</v>
      </c>
    </row>
    <row r="13" spans="1:3" ht="15" thickBot="1" x14ac:dyDescent="0.35">
      <c r="B13" s="74" t="s">
        <v>93</v>
      </c>
      <c r="C13" s="73">
        <f>(C11-C12)</f>
        <v>-8563131.9758595452</v>
      </c>
    </row>
    <row r="14" spans="1:3" ht="15" thickBot="1" x14ac:dyDescent="0.35">
      <c r="B14" s="58"/>
      <c r="C14" s="59"/>
    </row>
    <row r="15" spans="1:3" x14ac:dyDescent="0.3">
      <c r="B15" s="56" t="s">
        <v>44</v>
      </c>
      <c r="C15" s="57">
        <f>C4</f>
        <v>3734998</v>
      </c>
    </row>
    <row r="16" spans="1:3" x14ac:dyDescent="0.3">
      <c r="B16" s="58" t="s">
        <v>70</v>
      </c>
      <c r="C16" s="59">
        <f>SUM(Table14[Debit])</f>
        <v>12872219</v>
      </c>
    </row>
    <row r="17" spans="2:6" ht="15" thickBot="1" x14ac:dyDescent="0.35">
      <c r="B17" s="74" t="s">
        <v>71</v>
      </c>
      <c r="C17" s="73">
        <f>C15-C16</f>
        <v>-9137221</v>
      </c>
    </row>
    <row r="18" spans="2:6" ht="15" thickBot="1" x14ac:dyDescent="0.35">
      <c r="B18" s="58"/>
      <c r="C18" s="59"/>
    </row>
    <row r="19" spans="2:6" ht="15" thickBot="1" x14ac:dyDescent="0.35">
      <c r="B19" s="75" t="s">
        <v>72</v>
      </c>
      <c r="C19" s="76">
        <f>Table18[[#Totals],[amount]]</f>
        <v>226142.49305047467</v>
      </c>
    </row>
    <row r="20" spans="2:6" ht="15" thickBot="1" x14ac:dyDescent="0.35">
      <c r="B20" s="71"/>
      <c r="C20" s="72"/>
    </row>
    <row r="21" spans="2:6" ht="15" thickBot="1" x14ac:dyDescent="0.35">
      <c r="B21" s="60" t="s">
        <v>73</v>
      </c>
      <c r="C21" s="61">
        <f>(C13-C17)+C19</f>
        <v>800231.5171909295</v>
      </c>
      <c r="E21" s="79" t="s">
        <v>74</v>
      </c>
      <c r="F21" s="80">
        <f>C5*0.05</f>
        <v>40011.575859546429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45528</v>
      </c>
      <c r="E44">
        <f>SUBTOTAL(109,Table13[Credit])</f>
        <v>0</v>
      </c>
      <c r="F44">
        <f>Table13[[#Totals],[Debit]]-Table13[[#Totals],[Credit]]</f>
        <v>45528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107" zoomScaleNormal="107" workbookViewId="0">
      <selection activeCell="E111" sqref="E11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292</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3">_xlfn.UNIQUE(Table1[Party Name])</f>
        <v>BSC</v>
      </c>
    </row>
    <row r="3" spans="1:28" x14ac:dyDescent="0.3">
      <c r="A3" s="107">
        <v>46072</v>
      </c>
      <c r="B3" s="81" t="s">
        <v>22</v>
      </c>
      <c r="C3" s="108" t="s">
        <v>292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292</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292</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292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292</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292</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292</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292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292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292</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292</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292</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292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292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292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292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292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292</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292</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292</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292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292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292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292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292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229</v>
      </c>
      <c r="C28" s="108" t="s">
        <v>292</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292</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292</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292</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292</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292</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292</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46072</v>
      </c>
      <c r="B35" s="81" t="s">
        <v>26</v>
      </c>
      <c r="C35" s="108" t="s">
        <v>292</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292</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292</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292</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292</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292</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292</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292</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292</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292</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292</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292</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292</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292</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228</v>
      </c>
      <c r="C49" s="108" t="s">
        <v>292</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229</v>
      </c>
      <c r="C50" s="108" t="s">
        <v>292</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245</v>
      </c>
      <c r="C51" s="108" t="s">
        <v>292</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250</v>
      </c>
      <c r="C52" s="108" t="s">
        <v>292</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292</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292</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292</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292</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292</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292</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292</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292</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292</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292</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292</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292</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292</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292</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292</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292</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292</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233</v>
      </c>
      <c r="C76" s="118">
        <v>1515</v>
      </c>
      <c r="D76" s="118" t="s">
        <v>234</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234</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318</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318</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318</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318</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5269</v>
      </c>
      <c r="H101" s="119">
        <f>_xlfn.XLOOKUP(Table1[[#This Row],[Shipment Number]], 'pivot '!A:A,'pivot '!G:G, "NF")</f>
        <v>79.929047334841087</v>
      </c>
      <c r="I101" s="120">
        <f>Table1[[#This Row],[Tiyaar/gaz]]/1.0936</f>
        <v>4818.0321872713976</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48180.321872713976</v>
      </c>
      <c r="K101" s="118"/>
      <c r="M101"/>
      <c r="P101"/>
      <c r="Q101"/>
      <c r="R101"/>
    </row>
    <row r="102" spans="1:18" x14ac:dyDescent="0.3">
      <c r="A102"/>
      <c r="B102"/>
      <c r="C102"/>
      <c r="D102"/>
      <c r="E102" s="14"/>
      <c r="F102" s="14"/>
      <c r="G102" s="14"/>
      <c r="H102" s="43"/>
      <c r="I102" s="94" cm="1">
        <f t="array" aca="1" ref="I102" ca="1">SUMPRODUCT( SUBTOTAL(109, OFFSET(Table1[tiyar/meters], ROW(Table1[tiyar/meters])-MIN(ROW(Table1[tiyar/meters])), 0, 1)), --(Table1[Bill Number]&lt;&gt;"January Closing CF") )</f>
        <v>499142.28237015376</v>
      </c>
      <c r="J102" s="43" cm="1">
        <f t="array" aca="1" ref="J102" ca="1">SUMPRODUCT( SUBTOTAL(109, OFFSET(Table1[billing], ROW(Table1[billing])-MIN(ROW(Table1[billing])), 0, 1)), --(Table1[Bill Number]&lt;&gt;"January Closing CF") )</f>
        <v>5548210.4974396499</v>
      </c>
      <c r="K102" s="14">
        <f>SUMIFS(Table1[billing], Table1[Bill Number], "&lt;&gt;January Closing CF")</f>
        <v>5548210.4974396499</v>
      </c>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02">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231</v>
      </c>
      <c r="D1" t="s">
        <v>232</v>
      </c>
      <c r="E1" t="s">
        <v>78</v>
      </c>
    </row>
    <row r="2" spans="1:5" x14ac:dyDescent="0.3">
      <c r="A2" s="1">
        <v>46046</v>
      </c>
      <c r="B2" t="s">
        <v>233</v>
      </c>
      <c r="C2">
        <v>2069</v>
      </c>
      <c r="D2">
        <v>3875</v>
      </c>
      <c r="E2" t="s">
        <v>234</v>
      </c>
    </row>
    <row r="3" spans="1:5" x14ac:dyDescent="0.3">
      <c r="A3" s="1">
        <v>46048</v>
      </c>
      <c r="B3" t="s">
        <v>235</v>
      </c>
      <c r="C3">
        <v>2070</v>
      </c>
      <c r="D3">
        <v>60945</v>
      </c>
      <c r="E3" t="s">
        <v>236</v>
      </c>
    </row>
    <row r="4" spans="1:5" x14ac:dyDescent="0.3">
      <c r="A4" s="1">
        <v>46048</v>
      </c>
      <c r="C4">
        <v>2071</v>
      </c>
    </row>
    <row r="5" spans="1:5" x14ac:dyDescent="0.3">
      <c r="A5" s="1">
        <v>46048</v>
      </c>
      <c r="B5" t="s">
        <v>235</v>
      </c>
      <c r="C5">
        <v>2072</v>
      </c>
      <c r="D5">
        <v>15104</v>
      </c>
      <c r="E5" t="s">
        <v>236</v>
      </c>
    </row>
    <row r="6" spans="1:5" x14ac:dyDescent="0.3">
      <c r="A6" s="1">
        <v>46049</v>
      </c>
      <c r="B6" t="s">
        <v>9</v>
      </c>
      <c r="C6">
        <v>2073</v>
      </c>
      <c r="D6">
        <v>20111</v>
      </c>
      <c r="E6" t="s">
        <v>236</v>
      </c>
    </row>
    <row r="7" spans="1:5" x14ac:dyDescent="0.3">
      <c r="A7" s="1">
        <v>46049</v>
      </c>
      <c r="B7" t="s">
        <v>237</v>
      </c>
      <c r="C7">
        <v>2074</v>
      </c>
      <c r="D7">
        <v>1519</v>
      </c>
      <c r="E7" t="s">
        <v>236</v>
      </c>
    </row>
    <row r="8" spans="1:5" x14ac:dyDescent="0.3">
      <c r="A8" s="1">
        <v>46049</v>
      </c>
      <c r="B8" t="s">
        <v>237</v>
      </c>
      <c r="C8">
        <v>2075</v>
      </c>
      <c r="D8">
        <v>1519</v>
      </c>
      <c r="E8" t="s">
        <v>236</v>
      </c>
    </row>
    <row r="9" spans="1:5" x14ac:dyDescent="0.3">
      <c r="A9" s="1">
        <v>46053</v>
      </c>
      <c r="B9" t="s">
        <v>238</v>
      </c>
      <c r="C9">
        <v>2076</v>
      </c>
      <c r="D9">
        <v>50784</v>
      </c>
      <c r="E9" t="s">
        <v>86</v>
      </c>
    </row>
    <row r="10" spans="1:5" x14ac:dyDescent="0.3">
      <c r="A10" s="1">
        <v>46053</v>
      </c>
      <c r="B10" t="s">
        <v>239</v>
      </c>
      <c r="C10">
        <v>2077</v>
      </c>
      <c r="D10">
        <v>62470</v>
      </c>
      <c r="E10" t="s">
        <v>86</v>
      </c>
    </row>
    <row r="11" spans="1:5" x14ac:dyDescent="0.3">
      <c r="A11" s="1">
        <v>46053</v>
      </c>
      <c r="B11" t="s">
        <v>9</v>
      </c>
      <c r="C11">
        <v>2078</v>
      </c>
      <c r="D11">
        <v>25072</v>
      </c>
      <c r="E11" t="s">
        <v>236</v>
      </c>
    </row>
    <row r="12" spans="1:5" x14ac:dyDescent="0.3">
      <c r="A12" s="1">
        <v>46053</v>
      </c>
      <c r="B12" t="s">
        <v>21</v>
      </c>
      <c r="C12">
        <v>2079</v>
      </c>
      <c r="D12">
        <v>7968</v>
      </c>
      <c r="E12" t="s">
        <v>240</v>
      </c>
    </row>
    <row r="13" spans="1:5" x14ac:dyDescent="0.3">
      <c r="A13" s="1">
        <v>46056</v>
      </c>
      <c r="B13" t="s">
        <v>21</v>
      </c>
      <c r="C13">
        <v>2080</v>
      </c>
      <c r="D13">
        <v>53024</v>
      </c>
      <c r="E13" t="s">
        <v>241</v>
      </c>
    </row>
    <row r="14" spans="1:5" x14ac:dyDescent="0.3">
      <c r="A14" s="1">
        <v>46056</v>
      </c>
      <c r="B14" t="s">
        <v>21</v>
      </c>
      <c r="C14">
        <v>2081</v>
      </c>
      <c r="D14">
        <v>68014</v>
      </c>
      <c r="E14" t="s">
        <v>241</v>
      </c>
    </row>
    <row r="15" spans="1:5" x14ac:dyDescent="0.3">
      <c r="A15" s="1">
        <v>46056</v>
      </c>
      <c r="B15" t="s">
        <v>21</v>
      </c>
      <c r="C15">
        <v>2082</v>
      </c>
      <c r="D15">
        <v>83635</v>
      </c>
      <c r="E15" t="s">
        <v>241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236</v>
      </c>
    </row>
    <row r="19" spans="1:5" x14ac:dyDescent="0.3">
      <c r="A19" s="1">
        <v>46057</v>
      </c>
      <c r="B19" t="s">
        <v>237</v>
      </c>
      <c r="C19">
        <v>2086</v>
      </c>
      <c r="D19" t="s">
        <v>242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B2" zoomScale="145" zoomScaleNormal="90"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225</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1757210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260</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225</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46076</v>
      </c>
      <c r="B22" t="s">
        <v>169</v>
      </c>
      <c r="D22" s="11">
        <v>228</v>
      </c>
      <c r="E22" s="11">
        <v>830</v>
      </c>
      <c r="F22" s="11"/>
      <c r="G22" s="11">
        <f t="shared" si="2"/>
        <v>189240</v>
      </c>
      <c r="H22" s="11"/>
      <c r="I22" s="11">
        <f>(D22*E22)-Table3[[#This Row],[Paid]]</f>
        <v>189240</v>
      </c>
      <c r="L22" s="26" t="s">
        <v>28</v>
      </c>
      <c r="M22" s="14">
        <v>2345</v>
      </c>
      <c r="N22" s="14">
        <v>1757210</v>
      </c>
      <c r="O22" s="14">
        <v>0</v>
      </c>
      <c r="P22" s="14">
        <v>5804736</v>
      </c>
    </row>
    <row r="23" spans="1:16" x14ac:dyDescent="0.3">
      <c r="A23" s="1">
        <v>46072</v>
      </c>
      <c r="B23" t="s">
        <v>169</v>
      </c>
      <c r="D23" s="11">
        <v>300</v>
      </c>
      <c r="E23" s="11">
        <v>580</v>
      </c>
      <c r="F23" s="11"/>
      <c r="G23" s="11">
        <f t="shared" si="2"/>
        <v>174000</v>
      </c>
      <c r="H23" s="11"/>
      <c r="I23" s="11">
        <f>(D23*E23)-Table3[[#This Row],[Paid]]</f>
        <v>174000</v>
      </c>
    </row>
    <row r="24" spans="1:16" x14ac:dyDescent="0.3">
      <c r="A24" s="1"/>
      <c r="D24" s="11"/>
      <c r="E24" s="11"/>
      <c r="F24" s="11"/>
      <c r="G24" s="11">
        <f t="shared" si="2"/>
        <v>0</v>
      </c>
      <c r="H24" s="11"/>
      <c r="I24" s="11">
        <f>(D24*E24)-Table3[[#This Row],[Paid]]</f>
        <v>0</v>
      </c>
    </row>
    <row r="25" spans="1:16" x14ac:dyDescent="0.3">
      <c r="A25" s="1"/>
      <c r="D25" s="11"/>
      <c r="E25" s="11"/>
      <c r="F25" s="11"/>
      <c r="G25" s="11">
        <f t="shared" si="2"/>
        <v>0</v>
      </c>
      <c r="H25" s="11"/>
      <c r="I25" s="11">
        <f>(D25*E25)-Table3[[#This Row],[Paid]]</f>
        <v>0</v>
      </c>
    </row>
    <row r="26" spans="1:16" x14ac:dyDescent="0.3">
      <c r="A26" s="1"/>
      <c r="D26" s="11"/>
      <c r="E26" s="11"/>
      <c r="F26" s="11"/>
      <c r="G26" s="11">
        <f t="shared" si="2"/>
        <v>0</v>
      </c>
      <c r="H26" s="11"/>
      <c r="I26" s="11">
        <f>(D26*E26)-Table3[[#This Row],[Paid]]</f>
        <v>0</v>
      </c>
    </row>
    <row r="27" spans="1:16" x14ac:dyDescent="0.3">
      <c r="A27" s="1"/>
      <c r="D27" s="11"/>
      <c r="E27" s="11"/>
      <c r="F27" s="11"/>
      <c r="G27" s="11">
        <f t="shared" si="2"/>
        <v>0</v>
      </c>
      <c r="H27" s="11"/>
      <c r="I27" s="11">
        <f>(D27*E27)-Table3[[#This Row],[Paid]]</f>
        <v>0</v>
      </c>
    </row>
    <row r="28" spans="1:16" x14ac:dyDescent="0.3">
      <c r="A28" s="1"/>
      <c r="D28" s="11"/>
      <c r="E28" s="11"/>
      <c r="F28" s="11"/>
      <c r="G28" s="11">
        <f t="shared" si="2"/>
        <v>0</v>
      </c>
      <c r="H28" s="11"/>
      <c r="I28" s="11">
        <f>(D28*E28)-Table3[[#This Row],[Paid]]</f>
        <v>0</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1757210</v>
      </c>
      <c r="H123" s="14">
        <f>SUBTOTAL(109,Table3[Paid])</f>
        <v>0</v>
      </c>
      <c r="I123" s="14">
        <f>SUBTOTAL(109,Table3[balance])</f>
        <v>5804736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98" zoomScale="72" workbookViewId="0">
      <selection activeCell="G127" sqref="G12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224</v>
      </c>
      <c r="F4" s="88" t="s">
        <v>108</v>
      </c>
      <c r="J4" s="45" t="s">
        <v>70</v>
      </c>
      <c r="K4" s="46">
        <f>Table14[[#Totals],[Debit]]</f>
        <v>12872219</v>
      </c>
      <c r="M4" s="45" t="s">
        <v>107</v>
      </c>
      <c r="N4" s="51">
        <f>SUMIFS(Table14[Withdrawal],Table14[Party],"Cash",Table14[Mode],"Transfer")</f>
        <v>0</v>
      </c>
    </row>
    <row r="5" spans="1:16" x14ac:dyDescent="0.3">
      <c r="A5" s="115">
        <v>46042</v>
      </c>
      <c r="B5" s="81" t="s">
        <v>221</v>
      </c>
      <c r="C5" s="11">
        <v>783072</v>
      </c>
      <c r="D5" s="87"/>
      <c r="E5" s="81" t="s">
        <v>224</v>
      </c>
      <c r="F5" s="88" t="s">
        <v>108</v>
      </c>
      <c r="J5" s="45" t="s">
        <v>69</v>
      </c>
      <c r="K5" s="46">
        <f>Table14[[#Totals],[Credit]]</f>
        <v>13098361.493050475</v>
      </c>
      <c r="M5" s="45" t="s">
        <v>108</v>
      </c>
      <c r="N5" s="46">
        <f>(SUMIFS(Table14[Credit],Table14[Mode],"Bank")-SUMIFS(Table14[Debit],Table14[Mode],"Bank")-SUMIFS(Table14[Withdrawal],Table14[Mode],"Transfer"))</f>
        <v>837058.49305047467</v>
      </c>
      <c r="O5">
        <v>360000</v>
      </c>
    </row>
    <row r="6" spans="1:16" x14ac:dyDescent="0.3">
      <c r="A6" s="115">
        <v>46014</v>
      </c>
      <c r="B6" s="81" t="s">
        <v>212</v>
      </c>
      <c r="C6" s="11"/>
      <c r="D6" s="11">
        <v>658663</v>
      </c>
      <c r="E6" s="81" t="s">
        <v>224</v>
      </c>
      <c r="F6" s="88" t="s">
        <v>108</v>
      </c>
      <c r="J6" s="52" t="s">
        <v>43</v>
      </c>
      <c r="K6" s="53">
        <f>(K5-K4)</f>
        <v>226142.49305047467</v>
      </c>
      <c r="M6" s="45" t="s">
        <v>109</v>
      </c>
      <c r="N6" s="46">
        <f>((SUMIFS(Table14[Credit],Table14[Mode],"Cash")-SUMIFS(Table14[Debit],Table14[Mode],"Cash"))+SUMIFS(Table14[Withdrawal],Table14[Party],"Cash",Table14[Mode],"Transfer"))</f>
        <v>-610916</v>
      </c>
      <c r="O6">
        <v>50000</v>
      </c>
    </row>
    <row r="7" spans="1:16" x14ac:dyDescent="0.3">
      <c r="A7" s="115">
        <v>46073</v>
      </c>
      <c r="B7" t="s">
        <v>226</v>
      </c>
      <c r="C7" s="11"/>
      <c r="D7" s="11">
        <v>200000</v>
      </c>
      <c r="E7" t="s">
        <v>256</v>
      </c>
      <c r="F7" s="111" t="s">
        <v>108</v>
      </c>
      <c r="M7" s="48" t="s">
        <v>5</v>
      </c>
      <c r="N7" s="49">
        <f>SUM(N5:N6)</f>
        <v>226142.49305047467</v>
      </c>
      <c r="O7" s="90">
        <f>SUM(O5,O6)</f>
        <v>410000</v>
      </c>
      <c r="P7" s="14">
        <f>Table18[[#Totals],[amount]]-Table18[[#Totals],[Actual]]</f>
        <v>-183857.50694952533</v>
      </c>
    </row>
    <row r="8" spans="1:16" x14ac:dyDescent="0.3">
      <c r="A8" s="38">
        <v>46073</v>
      </c>
      <c r="B8" t="s">
        <v>55</v>
      </c>
      <c r="C8" s="11">
        <v>8315</v>
      </c>
      <c r="D8" s="11"/>
      <c r="E8" t="s">
        <v>252</v>
      </c>
      <c r="F8" s="111" t="s">
        <v>108</v>
      </c>
    </row>
    <row r="9" spans="1:16" x14ac:dyDescent="0.3">
      <c r="A9" s="115">
        <v>46073</v>
      </c>
      <c r="B9" t="s">
        <v>55</v>
      </c>
      <c r="C9" s="11">
        <v>1100</v>
      </c>
      <c r="D9" s="11"/>
      <c r="E9" t="s">
        <v>257</v>
      </c>
      <c r="F9" s="111" t="s">
        <v>108</v>
      </c>
    </row>
    <row r="10" spans="1:16" x14ac:dyDescent="0.3">
      <c r="A10" s="38">
        <v>46073</v>
      </c>
      <c r="B10" t="s">
        <v>55</v>
      </c>
      <c r="C10" s="11">
        <v>240</v>
      </c>
      <c r="D10" s="11"/>
      <c r="F10" s="111" t="s">
        <v>108</v>
      </c>
    </row>
    <row r="11" spans="1:16" x14ac:dyDescent="0.3">
      <c r="A11" s="115">
        <v>46073</v>
      </c>
      <c r="B11" t="s">
        <v>55</v>
      </c>
      <c r="C11" s="11">
        <v>4550</v>
      </c>
      <c r="D11" s="11"/>
      <c r="E11" t="s">
        <v>258</v>
      </c>
      <c r="F11" s="111" t="s">
        <v>108</v>
      </c>
    </row>
    <row r="12" spans="1:16" x14ac:dyDescent="0.3">
      <c r="A12" s="38">
        <v>46073</v>
      </c>
      <c r="B12" t="s">
        <v>55</v>
      </c>
      <c r="C12" s="11">
        <v>10750</v>
      </c>
      <c r="D12" s="11"/>
      <c r="E12" t="s">
        <v>259</v>
      </c>
      <c r="F12" s="111" t="s">
        <v>108</v>
      </c>
    </row>
    <row r="13" spans="1:16" x14ac:dyDescent="0.3">
      <c r="A13" s="115">
        <v>46073</v>
      </c>
      <c r="B13" t="s">
        <v>260</v>
      </c>
      <c r="C13" s="11">
        <v>64290</v>
      </c>
      <c r="D13" s="11"/>
      <c r="E13" t="s">
        <v>243</v>
      </c>
      <c r="F13" s="111" t="s">
        <v>108</v>
      </c>
    </row>
    <row r="14" spans="1:16" x14ac:dyDescent="0.3">
      <c r="A14" s="38">
        <v>46073</v>
      </c>
      <c r="B14" t="s">
        <v>220</v>
      </c>
      <c r="C14" s="11"/>
      <c r="D14" s="11">
        <v>947000</v>
      </c>
      <c r="E14" t="s">
        <v>261</v>
      </c>
      <c r="F14" s="111" t="s">
        <v>108</v>
      </c>
    </row>
    <row r="15" spans="1:16" x14ac:dyDescent="0.3">
      <c r="A15" s="115">
        <v>46073</v>
      </c>
      <c r="B15" t="s">
        <v>175</v>
      </c>
      <c r="C15" s="11"/>
      <c r="D15" s="11">
        <v>694000</v>
      </c>
      <c r="E15" t="s">
        <v>262</v>
      </c>
      <c r="F15" s="111" t="s">
        <v>108</v>
      </c>
    </row>
    <row r="16" spans="1:16" x14ac:dyDescent="0.3">
      <c r="A16" s="38">
        <v>46073</v>
      </c>
      <c r="B16" t="s">
        <v>55</v>
      </c>
      <c r="C16" s="11">
        <v>2850</v>
      </c>
      <c r="D16" s="11"/>
      <c r="E16" t="s">
        <v>263</v>
      </c>
      <c r="F16" s="111" t="s">
        <v>108</v>
      </c>
    </row>
    <row r="17" spans="1:6" x14ac:dyDescent="0.3">
      <c r="A17" s="115">
        <v>46073</v>
      </c>
      <c r="B17" t="s">
        <v>220</v>
      </c>
      <c r="C17" s="11"/>
      <c r="D17" s="11">
        <v>450000</v>
      </c>
      <c r="E17" t="s">
        <v>264</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265</v>
      </c>
      <c r="F20" s="111" t="s">
        <v>108</v>
      </c>
    </row>
    <row r="21" spans="1:6" x14ac:dyDescent="0.3">
      <c r="A21" s="115">
        <v>46073</v>
      </c>
      <c r="B21" t="s">
        <v>220</v>
      </c>
      <c r="C21" s="11"/>
      <c r="D21" s="11">
        <v>130000</v>
      </c>
      <c r="E21" t="s">
        <v>266</v>
      </c>
      <c r="F21" s="111" t="s">
        <v>108</v>
      </c>
    </row>
    <row r="22" spans="1:6" x14ac:dyDescent="0.3">
      <c r="A22" s="38">
        <v>46073</v>
      </c>
      <c r="B22" t="s">
        <v>229</v>
      </c>
      <c r="C22" s="11"/>
      <c r="D22" s="11">
        <v>100000</v>
      </c>
      <c r="F22" s="111" t="s">
        <v>108</v>
      </c>
    </row>
    <row r="23" spans="1:6" x14ac:dyDescent="0.3">
      <c r="A23" s="115">
        <v>46073</v>
      </c>
      <c r="B23" t="s">
        <v>220</v>
      </c>
      <c r="C23" s="11">
        <v>100000</v>
      </c>
      <c r="D23" s="11"/>
      <c r="E23" t="s">
        <v>267</v>
      </c>
      <c r="F23" s="111" t="s">
        <v>108</v>
      </c>
    </row>
    <row r="24" spans="1:6" x14ac:dyDescent="0.3">
      <c r="A24" s="38">
        <v>46073</v>
      </c>
      <c r="B24" t="s">
        <v>54</v>
      </c>
      <c r="C24" s="11">
        <v>6600</v>
      </c>
      <c r="D24" s="11"/>
      <c r="F24" s="111" t="s">
        <v>108</v>
      </c>
    </row>
    <row r="25" spans="1:6" x14ac:dyDescent="0.3">
      <c r="A25" s="115">
        <v>46073</v>
      </c>
      <c r="B25" t="s">
        <v>226</v>
      </c>
      <c r="C25" s="11"/>
      <c r="D25" s="11">
        <v>100000</v>
      </c>
      <c r="E25" t="s">
        <v>268</v>
      </c>
      <c r="F25" s="111" t="s">
        <v>108</v>
      </c>
    </row>
    <row r="26" spans="1:6" x14ac:dyDescent="0.3">
      <c r="A26" s="38">
        <v>46073</v>
      </c>
      <c r="B26" t="s">
        <v>255</v>
      </c>
      <c r="C26" s="11">
        <v>100000</v>
      </c>
      <c r="D26" s="11"/>
      <c r="E26" t="s">
        <v>269</v>
      </c>
      <c r="F26" s="111" t="s">
        <v>108</v>
      </c>
    </row>
    <row r="27" spans="1:6" x14ac:dyDescent="0.3">
      <c r="A27" s="115">
        <v>46073</v>
      </c>
      <c r="B27" t="s">
        <v>212</v>
      </c>
      <c r="C27" s="11">
        <v>800</v>
      </c>
      <c r="D27" s="11"/>
      <c r="F27" s="111" t="s">
        <v>108</v>
      </c>
    </row>
    <row r="28" spans="1:6" x14ac:dyDescent="0.3">
      <c r="A28" s="38">
        <v>46073</v>
      </c>
      <c r="B28" t="s">
        <v>223</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270</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271</v>
      </c>
      <c r="F32" s="111" t="s">
        <v>108</v>
      </c>
    </row>
    <row r="33" spans="1:6" x14ac:dyDescent="0.3">
      <c r="A33" s="115">
        <v>46074</v>
      </c>
      <c r="B33" t="s">
        <v>55</v>
      </c>
      <c r="C33" s="11">
        <v>800</v>
      </c>
      <c r="D33" s="11"/>
      <c r="F33" s="111" t="s">
        <v>108</v>
      </c>
    </row>
    <row r="34" spans="1:6" x14ac:dyDescent="0.3">
      <c r="A34" s="38">
        <v>46074</v>
      </c>
      <c r="B34" t="s">
        <v>229</v>
      </c>
      <c r="C34" s="11"/>
      <c r="D34" s="11">
        <v>100000</v>
      </c>
      <c r="E34" t="s">
        <v>272</v>
      </c>
      <c r="F34" s="111" t="s">
        <v>108</v>
      </c>
    </row>
    <row r="35" spans="1:6" x14ac:dyDescent="0.3">
      <c r="A35" s="115">
        <v>46074</v>
      </c>
      <c r="B35" t="s">
        <v>248</v>
      </c>
      <c r="C35" s="11">
        <v>820</v>
      </c>
      <c r="D35" s="11"/>
      <c r="E35" t="s">
        <v>273</v>
      </c>
      <c r="F35" s="111" t="s">
        <v>108</v>
      </c>
    </row>
    <row r="36" spans="1:6" x14ac:dyDescent="0.3">
      <c r="A36" s="38">
        <v>46074</v>
      </c>
      <c r="B36" t="s">
        <v>247</v>
      </c>
      <c r="C36" s="11"/>
      <c r="D36" s="11">
        <v>350000</v>
      </c>
      <c r="F36" s="111" t="s">
        <v>108</v>
      </c>
    </row>
    <row r="37" spans="1:6" x14ac:dyDescent="0.3">
      <c r="A37" s="115">
        <v>46074</v>
      </c>
      <c r="B37" t="s">
        <v>55</v>
      </c>
      <c r="C37" s="11">
        <v>125000</v>
      </c>
      <c r="D37" s="11"/>
      <c r="E37" t="s">
        <v>274</v>
      </c>
      <c r="F37" s="111" t="s">
        <v>108</v>
      </c>
    </row>
    <row r="38" spans="1:6" x14ac:dyDescent="0.3">
      <c r="A38" s="38">
        <v>46074</v>
      </c>
      <c r="B38" t="s">
        <v>233</v>
      </c>
      <c r="C38" s="11"/>
      <c r="D38" s="11">
        <v>39278</v>
      </c>
      <c r="E38" t="s">
        <v>234</v>
      </c>
      <c r="F38" s="111" t="s">
        <v>108</v>
      </c>
    </row>
    <row r="39" spans="1:6" x14ac:dyDescent="0.3">
      <c r="A39" s="115">
        <v>46074</v>
      </c>
      <c r="B39" t="s">
        <v>55</v>
      </c>
      <c r="C39" s="11">
        <v>950</v>
      </c>
      <c r="D39" s="11"/>
      <c r="E39" t="s">
        <v>263</v>
      </c>
      <c r="F39" s="111" t="s">
        <v>108</v>
      </c>
    </row>
    <row r="40" spans="1:6" x14ac:dyDescent="0.3">
      <c r="A40" s="38">
        <v>46074</v>
      </c>
      <c r="B40" t="s">
        <v>226</v>
      </c>
      <c r="C40" s="11"/>
      <c r="D40" s="11">
        <v>29454</v>
      </c>
      <c r="E40" t="s">
        <v>275</v>
      </c>
      <c r="F40" s="111" t="s">
        <v>108</v>
      </c>
    </row>
    <row r="41" spans="1:6" x14ac:dyDescent="0.3">
      <c r="A41" s="115">
        <v>46074</v>
      </c>
      <c r="B41" t="s">
        <v>276</v>
      </c>
      <c r="C41" s="11">
        <v>100000</v>
      </c>
      <c r="D41" s="11"/>
      <c r="E41" t="s">
        <v>277</v>
      </c>
      <c r="F41" s="111" t="s">
        <v>108</v>
      </c>
    </row>
    <row r="42" spans="1:6" x14ac:dyDescent="0.3">
      <c r="A42" s="38">
        <v>46074</v>
      </c>
      <c r="B42" t="s">
        <v>222</v>
      </c>
      <c r="C42" s="96">
        <v>5000</v>
      </c>
      <c r="D42" s="96"/>
      <c r="E42" t="s">
        <v>278</v>
      </c>
      <c r="F42" s="111" t="s">
        <v>108</v>
      </c>
    </row>
    <row r="43" spans="1:6" x14ac:dyDescent="0.3">
      <c r="A43" s="115">
        <v>46074</v>
      </c>
      <c r="B43" t="s">
        <v>9</v>
      </c>
      <c r="C43" s="11"/>
      <c r="D43" s="11">
        <v>200000</v>
      </c>
      <c r="E43" t="s">
        <v>279</v>
      </c>
      <c r="F43" s="111" t="s">
        <v>108</v>
      </c>
    </row>
    <row r="44" spans="1:6" x14ac:dyDescent="0.3">
      <c r="A44" s="38">
        <v>46074</v>
      </c>
      <c r="B44" t="s">
        <v>280</v>
      </c>
      <c r="C44" s="11">
        <v>40000</v>
      </c>
      <c r="D44" s="11"/>
      <c r="E44" t="s">
        <v>281</v>
      </c>
      <c r="F44" s="111" t="s">
        <v>108</v>
      </c>
    </row>
    <row r="45" spans="1:6" x14ac:dyDescent="0.3">
      <c r="A45" s="115">
        <v>46074</v>
      </c>
      <c r="B45" t="s">
        <v>94</v>
      </c>
      <c r="C45" s="11">
        <v>150000</v>
      </c>
      <c r="D45" s="11"/>
      <c r="E45" t="s">
        <v>282</v>
      </c>
      <c r="F45" s="111" t="s">
        <v>108</v>
      </c>
    </row>
    <row r="46" spans="1:6" x14ac:dyDescent="0.3">
      <c r="A46" s="38">
        <v>46074</v>
      </c>
      <c r="B46" t="s">
        <v>169</v>
      </c>
      <c r="C46" s="11">
        <v>151000</v>
      </c>
      <c r="D46" s="11"/>
      <c r="E46" t="s">
        <v>283</v>
      </c>
      <c r="F46" s="111" t="s">
        <v>108</v>
      </c>
    </row>
    <row r="47" spans="1:6" x14ac:dyDescent="0.3">
      <c r="A47" s="115">
        <v>46075</v>
      </c>
      <c r="B47" t="s">
        <v>222</v>
      </c>
      <c r="C47" s="11">
        <v>5000</v>
      </c>
      <c r="D47" s="11"/>
      <c r="E47" t="s">
        <v>284</v>
      </c>
      <c r="F47" s="111" t="s">
        <v>108</v>
      </c>
    </row>
    <row r="48" spans="1:6" x14ac:dyDescent="0.3">
      <c r="A48" s="38">
        <v>46075</v>
      </c>
      <c r="B48" t="s">
        <v>285</v>
      </c>
      <c r="C48" s="11">
        <v>40000</v>
      </c>
      <c r="D48" s="11"/>
      <c r="E48" t="s">
        <v>286</v>
      </c>
      <c r="F48" s="111" t="s">
        <v>108</v>
      </c>
    </row>
    <row r="49" spans="1:6" x14ac:dyDescent="0.3">
      <c r="A49" s="115">
        <v>46075</v>
      </c>
      <c r="B49" t="s">
        <v>222</v>
      </c>
      <c r="C49" s="11">
        <v>1000</v>
      </c>
      <c r="D49" s="11"/>
      <c r="E49" t="s">
        <v>253</v>
      </c>
      <c r="F49" s="111" t="s">
        <v>108</v>
      </c>
    </row>
    <row r="50" spans="1:6" x14ac:dyDescent="0.3">
      <c r="A50" s="38">
        <v>46075</v>
      </c>
      <c r="B50" t="s">
        <v>222</v>
      </c>
      <c r="C50" s="11">
        <v>1000</v>
      </c>
      <c r="D50" s="11"/>
      <c r="E50" t="s">
        <v>246</v>
      </c>
      <c r="F50" s="111" t="s">
        <v>108</v>
      </c>
    </row>
    <row r="51" spans="1:6" x14ac:dyDescent="0.3">
      <c r="A51" s="115">
        <v>46075</v>
      </c>
      <c r="B51" t="s">
        <v>55</v>
      </c>
      <c r="C51" s="11">
        <v>2000</v>
      </c>
      <c r="D51" s="11"/>
      <c r="E51" t="s">
        <v>287</v>
      </c>
      <c r="F51" s="111" t="s">
        <v>108</v>
      </c>
    </row>
    <row r="52" spans="1:6" x14ac:dyDescent="0.3">
      <c r="A52" s="38">
        <v>46075</v>
      </c>
      <c r="B52" t="s">
        <v>55</v>
      </c>
      <c r="C52" s="11">
        <v>8000</v>
      </c>
      <c r="D52" s="11"/>
      <c r="E52" t="s">
        <v>288</v>
      </c>
      <c r="F52" s="111" t="s">
        <v>108</v>
      </c>
    </row>
    <row r="53" spans="1:6" x14ac:dyDescent="0.3">
      <c r="A53" s="115">
        <v>46075</v>
      </c>
      <c r="B53" t="s">
        <v>220</v>
      </c>
      <c r="C53" s="11"/>
      <c r="D53" s="11">
        <v>6000</v>
      </c>
      <c r="E53" t="s">
        <v>288</v>
      </c>
      <c r="F53" s="111" t="s">
        <v>108</v>
      </c>
    </row>
    <row r="54" spans="1:6" x14ac:dyDescent="0.3">
      <c r="A54" s="38">
        <v>46075</v>
      </c>
      <c r="B54" t="s">
        <v>54</v>
      </c>
      <c r="C54" s="11">
        <v>6000</v>
      </c>
      <c r="D54" s="11"/>
      <c r="E54" t="s">
        <v>289</v>
      </c>
      <c r="F54" s="111" t="s">
        <v>108</v>
      </c>
    </row>
    <row r="55" spans="1:6" x14ac:dyDescent="0.3">
      <c r="A55" s="115">
        <v>46074</v>
      </c>
      <c r="B55" t="s">
        <v>165</v>
      </c>
      <c r="C55" s="11">
        <v>2500</v>
      </c>
      <c r="D55" s="11"/>
      <c r="E55" t="s">
        <v>290</v>
      </c>
      <c r="F55" s="111" t="s">
        <v>108</v>
      </c>
    </row>
    <row r="56" spans="1:6" x14ac:dyDescent="0.3">
      <c r="A56" s="38">
        <v>46074</v>
      </c>
      <c r="B56" t="s">
        <v>212</v>
      </c>
      <c r="C56" s="11"/>
      <c r="D56" s="11">
        <v>5000</v>
      </c>
      <c r="E56" t="s">
        <v>291</v>
      </c>
      <c r="F56" s="111" t="s">
        <v>108</v>
      </c>
    </row>
    <row r="57" spans="1:6" x14ac:dyDescent="0.3">
      <c r="A57" s="115">
        <v>46074</v>
      </c>
      <c r="B57" t="s">
        <v>251</v>
      </c>
      <c r="C57" s="11">
        <v>7200</v>
      </c>
      <c r="D57" s="11"/>
      <c r="E57" t="s">
        <v>249</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291</v>
      </c>
      <c r="F59" s="111" t="s">
        <v>108</v>
      </c>
    </row>
    <row r="60" spans="1:6" x14ac:dyDescent="0.3">
      <c r="A60" s="38">
        <v>46076</v>
      </c>
      <c r="B60" t="s">
        <v>251</v>
      </c>
      <c r="C60" s="96">
        <v>5000</v>
      </c>
      <c r="D60" s="96"/>
      <c r="E60" t="s">
        <v>249</v>
      </c>
      <c r="F60" s="111" t="s">
        <v>108</v>
      </c>
    </row>
    <row r="61" spans="1:6" x14ac:dyDescent="0.3">
      <c r="A61" s="38">
        <v>46076</v>
      </c>
      <c r="B61" t="s">
        <v>54</v>
      </c>
      <c r="C61" s="11">
        <v>5000</v>
      </c>
      <c r="D61" s="11"/>
      <c r="E61" t="s">
        <v>295</v>
      </c>
      <c r="F61" s="111" t="s">
        <v>108</v>
      </c>
    </row>
    <row r="62" spans="1:6" x14ac:dyDescent="0.3">
      <c r="A62" s="38">
        <v>46076</v>
      </c>
      <c r="B62" t="s">
        <v>220</v>
      </c>
      <c r="C62" s="11"/>
      <c r="D62" s="11"/>
      <c r="E62" t="s">
        <v>297</v>
      </c>
      <c r="F62" s="111" t="s">
        <v>108</v>
      </c>
    </row>
    <row r="63" spans="1:6" x14ac:dyDescent="0.3">
      <c r="A63" s="38">
        <v>46076</v>
      </c>
      <c r="B63" t="s">
        <v>55</v>
      </c>
      <c r="C63" s="11">
        <v>1470</v>
      </c>
      <c r="D63" s="11"/>
      <c r="E63" t="s">
        <v>296</v>
      </c>
      <c r="F63" s="111" t="s">
        <v>108</v>
      </c>
    </row>
    <row r="64" spans="1:6" x14ac:dyDescent="0.3">
      <c r="A64" s="38">
        <v>46076</v>
      </c>
      <c r="B64" t="s">
        <v>94</v>
      </c>
      <c r="C64" s="11">
        <v>28500</v>
      </c>
      <c r="D64" s="11"/>
      <c r="E64" t="s">
        <v>243</v>
      </c>
      <c r="F64" s="111" t="s">
        <v>108</v>
      </c>
    </row>
    <row r="65" spans="1:6" x14ac:dyDescent="0.3">
      <c r="A65" s="38">
        <v>46076</v>
      </c>
      <c r="B65" t="s">
        <v>212</v>
      </c>
      <c r="C65" s="11">
        <v>150</v>
      </c>
      <c r="D65" s="11"/>
      <c r="E65" t="s">
        <v>298</v>
      </c>
      <c r="F65" s="111" t="s">
        <v>108</v>
      </c>
    </row>
    <row r="66" spans="1:6" x14ac:dyDescent="0.3">
      <c r="A66" s="38">
        <v>46076</v>
      </c>
      <c r="B66" t="s">
        <v>299</v>
      </c>
      <c r="C66" s="11">
        <v>10000</v>
      </c>
      <c r="D66" s="11"/>
      <c r="E66" t="s">
        <v>300</v>
      </c>
      <c r="F66" s="111" t="s">
        <v>108</v>
      </c>
    </row>
    <row r="67" spans="1:6" x14ac:dyDescent="0.3">
      <c r="A67" s="38">
        <v>46076</v>
      </c>
      <c r="B67" t="s">
        <v>55</v>
      </c>
      <c r="C67" s="11">
        <v>27000</v>
      </c>
      <c r="D67" s="11"/>
      <c r="E67" t="s">
        <v>301</v>
      </c>
      <c r="F67" s="111" t="s">
        <v>108</v>
      </c>
    </row>
    <row r="68" spans="1:6" x14ac:dyDescent="0.3">
      <c r="A68" s="38">
        <v>46076</v>
      </c>
      <c r="B68" t="s">
        <v>176</v>
      </c>
      <c r="C68" s="11">
        <v>7800</v>
      </c>
      <c r="D68" s="11"/>
      <c r="E68" t="s">
        <v>302</v>
      </c>
      <c r="F68" s="111" t="s">
        <v>108</v>
      </c>
    </row>
    <row r="69" spans="1:6" x14ac:dyDescent="0.3">
      <c r="A69" s="38">
        <v>46076</v>
      </c>
      <c r="B69" t="s">
        <v>222</v>
      </c>
      <c r="C69" s="11">
        <v>12000</v>
      </c>
      <c r="D69" s="11"/>
      <c r="E69" t="s">
        <v>303</v>
      </c>
      <c r="F69" s="111" t="s">
        <v>108</v>
      </c>
    </row>
    <row r="70" spans="1:6" x14ac:dyDescent="0.3">
      <c r="A70" s="38">
        <v>46076</v>
      </c>
      <c r="B70" t="s">
        <v>220</v>
      </c>
      <c r="C70" s="11"/>
      <c r="D70" s="11"/>
      <c r="F70" s="111" t="s">
        <v>108</v>
      </c>
    </row>
    <row r="71" spans="1:6" x14ac:dyDescent="0.3">
      <c r="A71" s="38">
        <v>46076</v>
      </c>
      <c r="B71" t="s">
        <v>304</v>
      </c>
      <c r="C71" s="11">
        <v>101000</v>
      </c>
      <c r="D71" s="11"/>
      <c r="E71" t="s">
        <v>305</v>
      </c>
      <c r="F71" s="111" t="s">
        <v>108</v>
      </c>
    </row>
    <row r="72" spans="1:6" x14ac:dyDescent="0.3">
      <c r="A72" s="38">
        <v>46077</v>
      </c>
      <c r="B72" t="s">
        <v>247</v>
      </c>
      <c r="C72" s="11"/>
      <c r="D72" s="11">
        <v>142180</v>
      </c>
      <c r="F72" s="111" t="s">
        <v>108</v>
      </c>
    </row>
    <row r="73" spans="1:6" x14ac:dyDescent="0.3">
      <c r="A73" s="38">
        <v>46077</v>
      </c>
      <c r="B73" t="s">
        <v>229</v>
      </c>
      <c r="C73" s="11"/>
      <c r="D73" s="11">
        <v>110000</v>
      </c>
      <c r="F73" s="111" t="s">
        <v>108</v>
      </c>
    </row>
    <row r="74" spans="1:6" x14ac:dyDescent="0.3">
      <c r="A74" s="38">
        <v>46077</v>
      </c>
      <c r="B74" t="s">
        <v>54</v>
      </c>
      <c r="C74" s="11">
        <v>1000</v>
      </c>
      <c r="D74" s="11"/>
      <c r="E74" t="s">
        <v>306</v>
      </c>
      <c r="F74" s="111" t="s">
        <v>108</v>
      </c>
    </row>
    <row r="75" spans="1:6" x14ac:dyDescent="0.3">
      <c r="A75" s="38">
        <v>46077</v>
      </c>
      <c r="B75" t="s">
        <v>251</v>
      </c>
      <c r="C75" s="11">
        <v>6175</v>
      </c>
      <c r="D75" s="11"/>
      <c r="E75" t="s">
        <v>249</v>
      </c>
      <c r="F75" s="111" t="s">
        <v>108</v>
      </c>
    </row>
    <row r="76" spans="1:6" x14ac:dyDescent="0.3">
      <c r="A76" s="38">
        <v>46077</v>
      </c>
      <c r="B76" t="s">
        <v>55</v>
      </c>
      <c r="C76" s="11">
        <v>9500</v>
      </c>
      <c r="D76" s="11"/>
      <c r="E76" t="s">
        <v>307</v>
      </c>
      <c r="F76" s="111" t="s">
        <v>108</v>
      </c>
    </row>
    <row r="77" spans="1:6" x14ac:dyDescent="0.3">
      <c r="A77" s="38">
        <v>46077</v>
      </c>
      <c r="B77" t="s">
        <v>176</v>
      </c>
      <c r="C77" s="11">
        <v>27200</v>
      </c>
      <c r="D77" s="11"/>
      <c r="E77" t="s">
        <v>308</v>
      </c>
      <c r="F77" s="111" t="s">
        <v>108</v>
      </c>
    </row>
    <row r="78" spans="1:6" x14ac:dyDescent="0.3">
      <c r="A78" s="38">
        <v>46077</v>
      </c>
      <c r="B78" t="s">
        <v>318</v>
      </c>
      <c r="C78" s="11"/>
      <c r="D78" s="11">
        <v>500000</v>
      </c>
      <c r="E78" t="s">
        <v>309</v>
      </c>
      <c r="F78" s="111" t="s">
        <v>108</v>
      </c>
    </row>
    <row r="79" spans="1:6" x14ac:dyDescent="0.3">
      <c r="A79" s="38">
        <v>46077</v>
      </c>
      <c r="B79" t="s">
        <v>54</v>
      </c>
      <c r="C79" s="11">
        <v>300</v>
      </c>
      <c r="D79" s="11"/>
      <c r="E79" t="s">
        <v>310</v>
      </c>
      <c r="F79" s="111" t="s">
        <v>108</v>
      </c>
    </row>
    <row r="80" spans="1:6" x14ac:dyDescent="0.3">
      <c r="A80" s="38">
        <v>46077</v>
      </c>
      <c r="B80" t="s">
        <v>55</v>
      </c>
      <c r="C80" s="11">
        <v>900</v>
      </c>
      <c r="D80" s="11"/>
      <c r="E80" t="s">
        <v>311</v>
      </c>
      <c r="F80" s="111" t="s">
        <v>108</v>
      </c>
    </row>
    <row r="81" spans="1:6" x14ac:dyDescent="0.3">
      <c r="A81" s="38">
        <v>46077</v>
      </c>
      <c r="B81" t="s">
        <v>223</v>
      </c>
      <c r="C81" s="11">
        <v>150000</v>
      </c>
      <c r="D81" s="11"/>
      <c r="E81" t="s">
        <v>312</v>
      </c>
      <c r="F81" s="111" t="s">
        <v>108</v>
      </c>
    </row>
    <row r="82" spans="1:6" x14ac:dyDescent="0.3">
      <c r="A82" s="38">
        <v>46077</v>
      </c>
      <c r="B82" t="s">
        <v>94</v>
      </c>
      <c r="C82" s="11">
        <v>150000</v>
      </c>
      <c r="D82" s="11"/>
      <c r="E82" t="s">
        <v>313</v>
      </c>
      <c r="F82" s="111" t="s">
        <v>108</v>
      </c>
    </row>
    <row r="83" spans="1:6" x14ac:dyDescent="0.3">
      <c r="A83" s="38">
        <v>46077</v>
      </c>
      <c r="B83" t="s">
        <v>169</v>
      </c>
      <c r="C83" s="11">
        <v>201500</v>
      </c>
      <c r="D83" s="11"/>
      <c r="E83" t="s">
        <v>314</v>
      </c>
      <c r="F83" s="111" t="s">
        <v>108</v>
      </c>
    </row>
    <row r="84" spans="1:6" x14ac:dyDescent="0.3">
      <c r="A84" s="38">
        <v>46077</v>
      </c>
      <c r="B84" t="s">
        <v>54</v>
      </c>
      <c r="C84" s="11">
        <v>2200</v>
      </c>
      <c r="D84" s="11"/>
      <c r="E84" t="s">
        <v>290</v>
      </c>
      <c r="F84" s="111" t="s">
        <v>108</v>
      </c>
    </row>
    <row r="85" spans="1:6" x14ac:dyDescent="0.3">
      <c r="A85" s="38">
        <v>46077</v>
      </c>
      <c r="B85" t="s">
        <v>55</v>
      </c>
      <c r="C85" s="11">
        <v>8315</v>
      </c>
      <c r="D85" s="11"/>
      <c r="E85" t="s">
        <v>252</v>
      </c>
      <c r="F85" s="111" t="s">
        <v>108</v>
      </c>
    </row>
    <row r="86" spans="1:6" x14ac:dyDescent="0.3">
      <c r="A86" s="38">
        <v>46077</v>
      </c>
      <c r="B86" t="s">
        <v>55</v>
      </c>
      <c r="C86" s="11">
        <v>20000</v>
      </c>
      <c r="D86" s="11"/>
      <c r="E86" t="s">
        <v>315</v>
      </c>
      <c r="F86" s="111" t="s">
        <v>108</v>
      </c>
    </row>
    <row r="87" spans="1:6" x14ac:dyDescent="0.3">
      <c r="A87" s="38">
        <v>46077</v>
      </c>
      <c r="B87" t="s">
        <v>220</v>
      </c>
      <c r="C87" s="11"/>
      <c r="D87" s="11">
        <v>45000</v>
      </c>
      <c r="E87" t="s">
        <v>316</v>
      </c>
      <c r="F87" s="111" t="s">
        <v>108</v>
      </c>
    </row>
    <row r="88" spans="1:6" x14ac:dyDescent="0.3">
      <c r="A88" s="38">
        <v>46077</v>
      </c>
      <c r="B88" t="s">
        <v>220</v>
      </c>
      <c r="C88" s="11"/>
      <c r="D88" s="11">
        <v>19700</v>
      </c>
      <c r="E88" t="s">
        <v>317</v>
      </c>
      <c r="F88" s="111" t="s">
        <v>108</v>
      </c>
    </row>
    <row r="89" spans="1:6" x14ac:dyDescent="0.3">
      <c r="A89" s="38">
        <v>46077</v>
      </c>
      <c r="B89" t="s">
        <v>318</v>
      </c>
      <c r="C89" s="11"/>
      <c r="D89" s="11">
        <f>SUM(ledger!I90,ledger!I92:I94)*0.1</f>
        <v>7928.4930504754948</v>
      </c>
      <c r="E89" t="s">
        <v>319</v>
      </c>
      <c r="F89" s="111" t="s">
        <v>108</v>
      </c>
    </row>
    <row r="90" spans="1:6" x14ac:dyDescent="0.3">
      <c r="A90" s="38">
        <v>46077</v>
      </c>
      <c r="B90" t="s">
        <v>54</v>
      </c>
      <c r="C90" s="11">
        <v>7928</v>
      </c>
      <c r="D90" s="11"/>
      <c r="E90" t="s">
        <v>270</v>
      </c>
      <c r="F90" s="111" t="s">
        <v>108</v>
      </c>
    </row>
    <row r="91" spans="1:6" x14ac:dyDescent="0.3">
      <c r="A91" s="38">
        <v>46078</v>
      </c>
      <c r="B91" t="s">
        <v>260</v>
      </c>
      <c r="C91" s="11">
        <v>21200</v>
      </c>
      <c r="D91" s="11"/>
      <c r="E91" t="s">
        <v>321</v>
      </c>
      <c r="F91" s="111" t="s">
        <v>108</v>
      </c>
    </row>
    <row r="92" spans="1:6" x14ac:dyDescent="0.3">
      <c r="A92" s="38">
        <v>46078</v>
      </c>
      <c r="B92" t="s">
        <v>260</v>
      </c>
      <c r="C92" s="11">
        <v>34000</v>
      </c>
      <c r="D92" s="11"/>
      <c r="E92" t="s">
        <v>109</v>
      </c>
      <c r="F92" s="111" t="s">
        <v>108</v>
      </c>
    </row>
    <row r="93" spans="1:6" x14ac:dyDescent="0.3">
      <c r="A93" s="38">
        <v>46078</v>
      </c>
      <c r="B93" t="s">
        <v>318</v>
      </c>
      <c r="C93" s="11"/>
      <c r="D93" s="11">
        <v>505052</v>
      </c>
      <c r="E93" t="s">
        <v>322</v>
      </c>
      <c r="F93" s="111" t="s">
        <v>108</v>
      </c>
    </row>
    <row r="94" spans="1:6" x14ac:dyDescent="0.3">
      <c r="A94" s="38">
        <v>46078</v>
      </c>
      <c r="B94" t="s">
        <v>304</v>
      </c>
      <c r="C94" s="11">
        <v>100000</v>
      </c>
      <c r="D94" s="11"/>
      <c r="E94" t="s">
        <v>323</v>
      </c>
      <c r="F94" s="111" t="s">
        <v>108</v>
      </c>
    </row>
    <row r="95" spans="1:6" x14ac:dyDescent="0.3">
      <c r="A95" s="38">
        <v>46078</v>
      </c>
      <c r="B95" t="s">
        <v>285</v>
      </c>
      <c r="C95" s="11">
        <v>16630</v>
      </c>
      <c r="D95" s="11"/>
      <c r="E95" t="s">
        <v>324</v>
      </c>
      <c r="F95" s="111" t="s">
        <v>108</v>
      </c>
    </row>
    <row r="96" spans="1:6" x14ac:dyDescent="0.3">
      <c r="A96" s="38">
        <v>46078</v>
      </c>
      <c r="B96" t="s">
        <v>55</v>
      </c>
      <c r="C96" s="11">
        <v>2810</v>
      </c>
      <c r="D96" s="11"/>
      <c r="E96" t="s">
        <v>325</v>
      </c>
      <c r="F96" s="111" t="s">
        <v>108</v>
      </c>
    </row>
    <row r="97" spans="1:13" x14ac:dyDescent="0.3">
      <c r="A97" s="38">
        <v>46078</v>
      </c>
      <c r="B97" t="s">
        <v>280</v>
      </c>
      <c r="C97" s="11">
        <v>50000</v>
      </c>
      <c r="D97" s="11"/>
      <c r="E97" t="s">
        <v>326</v>
      </c>
      <c r="F97" s="111" t="s">
        <v>108</v>
      </c>
    </row>
    <row r="98" spans="1:13" x14ac:dyDescent="0.3">
      <c r="A98" s="38">
        <v>46078</v>
      </c>
      <c r="B98" t="s">
        <v>55</v>
      </c>
      <c r="C98" s="96">
        <v>51500</v>
      </c>
      <c r="D98" s="96"/>
      <c r="E98" t="s">
        <v>327</v>
      </c>
      <c r="F98" s="111" t="s">
        <v>108</v>
      </c>
    </row>
    <row r="99" spans="1:13" x14ac:dyDescent="0.3">
      <c r="A99" s="38">
        <v>46078</v>
      </c>
      <c r="B99" t="s">
        <v>192</v>
      </c>
      <c r="C99" s="11"/>
      <c r="D99" s="11">
        <v>30000</v>
      </c>
      <c r="E99" t="s">
        <v>328</v>
      </c>
      <c r="F99" s="111" t="s">
        <v>108</v>
      </c>
    </row>
    <row r="100" spans="1:13" x14ac:dyDescent="0.3">
      <c r="A100" s="38">
        <v>46078</v>
      </c>
      <c r="B100" t="s">
        <v>54</v>
      </c>
      <c r="C100" s="11">
        <v>1500</v>
      </c>
      <c r="D100" s="11"/>
      <c r="E100" t="s">
        <v>329</v>
      </c>
      <c r="F100" s="111" t="s">
        <v>108</v>
      </c>
    </row>
    <row r="101" spans="1:13" x14ac:dyDescent="0.3">
      <c r="A101" s="38">
        <v>46078</v>
      </c>
      <c r="B101" t="s">
        <v>54</v>
      </c>
      <c r="C101" s="11">
        <v>5000</v>
      </c>
      <c r="D101" s="11"/>
      <c r="E101" t="s">
        <v>295</v>
      </c>
      <c r="F101" s="111" t="s">
        <v>108</v>
      </c>
    </row>
    <row r="102" spans="1:13" x14ac:dyDescent="0.3">
      <c r="A102" s="38">
        <v>46078</v>
      </c>
      <c r="B102" t="s">
        <v>221</v>
      </c>
      <c r="C102" s="11">
        <v>2000</v>
      </c>
      <c r="D102" s="11"/>
      <c r="E102" t="s">
        <v>330</v>
      </c>
      <c r="F102" s="111" t="s">
        <v>108</v>
      </c>
    </row>
    <row r="103" spans="1:13" x14ac:dyDescent="0.3">
      <c r="A103" s="38">
        <v>46078</v>
      </c>
      <c r="B103" t="s">
        <v>222</v>
      </c>
      <c r="C103" s="11">
        <v>1000</v>
      </c>
      <c r="D103" s="11"/>
      <c r="E103" t="s">
        <v>331</v>
      </c>
      <c r="F103" s="111" t="s">
        <v>108</v>
      </c>
    </row>
    <row r="104" spans="1:13" x14ac:dyDescent="0.3">
      <c r="A104" s="38">
        <v>46079</v>
      </c>
      <c r="B104" t="s">
        <v>222</v>
      </c>
      <c r="C104" s="11">
        <v>10000</v>
      </c>
      <c r="D104" s="11"/>
      <c r="E104" t="s">
        <v>278</v>
      </c>
      <c r="F104" s="111" t="s">
        <v>108</v>
      </c>
    </row>
    <row r="105" spans="1:13" x14ac:dyDescent="0.3">
      <c r="A105" s="38">
        <v>46079</v>
      </c>
      <c r="B105" t="s">
        <v>222</v>
      </c>
      <c r="C105" s="11">
        <v>15000</v>
      </c>
      <c r="D105" s="11"/>
      <c r="E105" t="s">
        <v>332</v>
      </c>
      <c r="F105" s="111" t="s">
        <v>108</v>
      </c>
      <c r="I105">
        <v>15400</v>
      </c>
      <c r="K105">
        <v>4300</v>
      </c>
      <c r="L105">
        <v>4300</v>
      </c>
      <c r="M105">
        <v>4300</v>
      </c>
    </row>
    <row r="106" spans="1:13" x14ac:dyDescent="0.3">
      <c r="A106" s="38">
        <v>46079</v>
      </c>
      <c r="B106" t="s">
        <v>251</v>
      </c>
      <c r="C106" s="11">
        <v>10000</v>
      </c>
      <c r="D106" s="11"/>
      <c r="E106" t="s">
        <v>333</v>
      </c>
      <c r="F106" s="111" t="s">
        <v>108</v>
      </c>
      <c r="I106">
        <v>4300</v>
      </c>
      <c r="K106">
        <v>1200</v>
      </c>
      <c r="L106">
        <v>1200</v>
      </c>
      <c r="M106">
        <v>1200</v>
      </c>
    </row>
    <row r="107" spans="1:13" x14ac:dyDescent="0.3">
      <c r="A107" s="38">
        <v>46079</v>
      </c>
      <c r="B107" t="s">
        <v>285</v>
      </c>
      <c r="C107" s="11">
        <v>16000</v>
      </c>
      <c r="D107" s="11"/>
      <c r="E107" t="s">
        <v>334</v>
      </c>
      <c r="F107" s="111" t="s">
        <v>108</v>
      </c>
      <c r="I107">
        <v>13400</v>
      </c>
      <c r="K107">
        <v>22700</v>
      </c>
      <c r="L107">
        <v>22700</v>
      </c>
      <c r="M107">
        <v>22700</v>
      </c>
    </row>
    <row r="108" spans="1:13" x14ac:dyDescent="0.3">
      <c r="A108" s="38">
        <v>46079</v>
      </c>
      <c r="B108" t="s">
        <v>9</v>
      </c>
      <c r="C108" s="11"/>
      <c r="D108" s="11">
        <v>200000</v>
      </c>
      <c r="E108" t="s">
        <v>335</v>
      </c>
      <c r="F108" s="111" t="s">
        <v>108</v>
      </c>
      <c r="I108">
        <v>14900</v>
      </c>
      <c r="K108">
        <v>15000</v>
      </c>
      <c r="L108">
        <v>15000</v>
      </c>
      <c r="M108">
        <v>15000</v>
      </c>
    </row>
    <row r="109" spans="1:13" x14ac:dyDescent="0.3">
      <c r="A109" s="38">
        <v>46079</v>
      </c>
      <c r="B109" t="s">
        <v>220</v>
      </c>
      <c r="C109" s="11">
        <v>150000</v>
      </c>
      <c r="D109" s="11"/>
      <c r="E109" t="s">
        <v>336</v>
      </c>
      <c r="F109" s="111" t="s">
        <v>108</v>
      </c>
      <c r="I109">
        <v>15000</v>
      </c>
      <c r="K109">
        <v>15150</v>
      </c>
      <c r="L109">
        <v>15150</v>
      </c>
      <c r="M109">
        <v>15150</v>
      </c>
    </row>
    <row r="110" spans="1:13" x14ac:dyDescent="0.3">
      <c r="A110" s="38">
        <v>46079</v>
      </c>
      <c r="B110" t="s">
        <v>285</v>
      </c>
      <c r="C110" s="11">
        <v>50000</v>
      </c>
      <c r="D110" s="11"/>
      <c r="E110" t="s">
        <v>337</v>
      </c>
      <c r="F110" s="111" t="s">
        <v>108</v>
      </c>
      <c r="I110">
        <v>11650</v>
      </c>
      <c r="K110">
        <v>22400</v>
      </c>
      <c r="L110">
        <v>22400</v>
      </c>
      <c r="M110">
        <v>22400</v>
      </c>
    </row>
    <row r="111" spans="1:13" x14ac:dyDescent="0.3">
      <c r="A111" s="38">
        <v>46079</v>
      </c>
      <c r="B111" t="s">
        <v>280</v>
      </c>
      <c r="C111" s="11">
        <v>50000</v>
      </c>
      <c r="D111" s="11"/>
      <c r="E111" t="s">
        <v>338</v>
      </c>
      <c r="F111" s="111" t="s">
        <v>108</v>
      </c>
      <c r="I111">
        <v>22700</v>
      </c>
      <c r="K111">
        <v>25000</v>
      </c>
      <c r="L111">
        <v>25000</v>
      </c>
      <c r="M111">
        <v>25000</v>
      </c>
    </row>
    <row r="112" spans="1:13" x14ac:dyDescent="0.3">
      <c r="A112" s="38">
        <v>46079</v>
      </c>
      <c r="B112" t="s">
        <v>223</v>
      </c>
      <c r="C112" s="11">
        <v>100295</v>
      </c>
      <c r="D112" s="11"/>
      <c r="E112" t="s">
        <v>339</v>
      </c>
      <c r="F112" s="111" t="s">
        <v>108</v>
      </c>
      <c r="I112">
        <v>17000</v>
      </c>
      <c r="K112">
        <v>20880</v>
      </c>
      <c r="L112">
        <v>20880</v>
      </c>
      <c r="M112">
        <v>20880</v>
      </c>
    </row>
    <row r="113" spans="1:13" x14ac:dyDescent="0.3">
      <c r="A113" s="38">
        <v>46079</v>
      </c>
      <c r="B113" t="s">
        <v>55</v>
      </c>
      <c r="C113" s="11">
        <v>15000</v>
      </c>
      <c r="D113" s="11"/>
      <c r="E113" t="s">
        <v>340</v>
      </c>
      <c r="F113" s="111" t="s">
        <v>108</v>
      </c>
      <c r="I113">
        <v>15000</v>
      </c>
      <c r="K113">
        <v>20000</v>
      </c>
      <c r="L113">
        <v>20000</v>
      </c>
      <c r="M113">
        <v>20000</v>
      </c>
    </row>
    <row r="114" spans="1:13" x14ac:dyDescent="0.3">
      <c r="A114" s="38">
        <v>46079</v>
      </c>
      <c r="B114" t="s">
        <v>229</v>
      </c>
      <c r="C114" s="11"/>
      <c r="D114" s="11">
        <v>115000</v>
      </c>
      <c r="F114" s="111" t="s">
        <v>108</v>
      </c>
      <c r="I114">
        <v>1200</v>
      </c>
      <c r="K114">
        <v>150000</v>
      </c>
      <c r="L114">
        <v>150000</v>
      </c>
      <c r="M114">
        <v>150000</v>
      </c>
    </row>
    <row r="115" spans="1:13" x14ac:dyDescent="0.3">
      <c r="A115" s="38">
        <v>46077</v>
      </c>
      <c r="B115" t="s">
        <v>115</v>
      </c>
      <c r="C115" s="11">
        <v>100000</v>
      </c>
      <c r="D115" s="11"/>
      <c r="E115" t="s">
        <v>341</v>
      </c>
      <c r="F115" s="111" t="s">
        <v>108</v>
      </c>
      <c r="I115">
        <v>25600</v>
      </c>
      <c r="K115">
        <v>45200</v>
      </c>
      <c r="L115">
        <v>45200</v>
      </c>
      <c r="M115">
        <v>45200</v>
      </c>
    </row>
    <row r="116" spans="1:13" x14ac:dyDescent="0.3">
      <c r="A116" s="38">
        <v>46078</v>
      </c>
      <c r="B116" t="s">
        <v>115</v>
      </c>
      <c r="C116" s="11">
        <v>150000</v>
      </c>
      <c r="D116" s="11"/>
      <c r="E116" t="s">
        <v>342</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301</v>
      </c>
      <c r="F119" s="111" t="s">
        <v>108</v>
      </c>
      <c r="I119">
        <v>5200</v>
      </c>
      <c r="K119">
        <v>21600</v>
      </c>
      <c r="L119">
        <v>21600</v>
      </c>
      <c r="M119">
        <v>21600</v>
      </c>
    </row>
    <row r="120" spans="1:13" x14ac:dyDescent="0.3">
      <c r="A120" s="115">
        <v>46078</v>
      </c>
      <c r="B120" t="s">
        <v>220</v>
      </c>
      <c r="C120" s="11"/>
      <c r="D120" s="11">
        <f>25000+19500</f>
        <v>44500</v>
      </c>
      <c r="E120" t="s">
        <v>343</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344</v>
      </c>
      <c r="F122" s="111" t="s">
        <v>108</v>
      </c>
      <c r="I122">
        <v>21700</v>
      </c>
      <c r="K122">
        <v>35000</v>
      </c>
      <c r="L122">
        <v>35000</v>
      </c>
      <c r="M122">
        <v>35000</v>
      </c>
    </row>
    <row r="123" spans="1:13" x14ac:dyDescent="0.3">
      <c r="A123" s="115">
        <v>46078</v>
      </c>
      <c r="B123" t="s">
        <v>220</v>
      </c>
      <c r="C123" s="11">
        <v>20340</v>
      </c>
      <c r="D123" s="11"/>
      <c r="E123" t="s">
        <v>345</v>
      </c>
      <c r="F123" s="111" t="s">
        <v>108</v>
      </c>
      <c r="I123">
        <v>6000</v>
      </c>
      <c r="K123">
        <v>80000</v>
      </c>
      <c r="L123">
        <v>80000</v>
      </c>
      <c r="M123">
        <v>80000</v>
      </c>
    </row>
    <row r="124" spans="1:13" x14ac:dyDescent="0.3">
      <c r="A124" s="115">
        <v>46078</v>
      </c>
      <c r="B124" t="s">
        <v>229</v>
      </c>
      <c r="C124" s="11"/>
      <c r="D124" s="11">
        <v>75000</v>
      </c>
      <c r="E124" t="s">
        <v>346</v>
      </c>
      <c r="F124" s="111" t="s">
        <v>108</v>
      </c>
      <c r="I124">
        <v>45000</v>
      </c>
      <c r="K124">
        <v>9500</v>
      </c>
      <c r="L124">
        <v>9500</v>
      </c>
      <c r="M124">
        <v>9500</v>
      </c>
    </row>
    <row r="125" spans="1:13" x14ac:dyDescent="0.3">
      <c r="A125" s="115">
        <v>46078</v>
      </c>
      <c r="B125" t="s">
        <v>220</v>
      </c>
      <c r="C125" s="11">
        <v>75000</v>
      </c>
      <c r="D125" s="11"/>
      <c r="E125" t="s">
        <v>267</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347</v>
      </c>
      <c r="F127" s="111" t="s">
        <v>108</v>
      </c>
      <c r="I127">
        <v>8400</v>
      </c>
      <c r="K127">
        <v>17000</v>
      </c>
      <c r="L127">
        <v>17000</v>
      </c>
      <c r="M127">
        <v>17000</v>
      </c>
    </row>
    <row r="128" spans="1:13" x14ac:dyDescent="0.3">
      <c r="A128" s="115"/>
      <c r="C128" s="11"/>
      <c r="D128" s="11"/>
      <c r="F128" s="111"/>
      <c r="I128">
        <v>45200</v>
      </c>
      <c r="K128">
        <v>25600</v>
      </c>
      <c r="L128">
        <v>25600</v>
      </c>
      <c r="M128">
        <v>25600</v>
      </c>
    </row>
    <row r="129" spans="1:13" x14ac:dyDescent="0.3">
      <c r="A129" s="115"/>
      <c r="C129" s="11"/>
      <c r="D129" s="11"/>
      <c r="F129" s="111"/>
      <c r="I129">
        <v>34000</v>
      </c>
      <c r="K129">
        <v>14900</v>
      </c>
      <c r="L129">
        <v>14900</v>
      </c>
      <c r="M129">
        <v>14900</v>
      </c>
    </row>
    <row r="130" spans="1:13" x14ac:dyDescent="0.3">
      <c r="A130" s="38"/>
      <c r="C130" s="96"/>
      <c r="D130" s="96"/>
      <c r="F130" s="111"/>
      <c r="I130">
        <v>22400</v>
      </c>
      <c r="K130">
        <v>11650</v>
      </c>
      <c r="L130">
        <v>11650</v>
      </c>
      <c r="M130">
        <v>11650</v>
      </c>
    </row>
    <row r="131" spans="1:13" x14ac:dyDescent="0.3">
      <c r="A131" s="38"/>
      <c r="C131" s="14">
        <f>SUBTOTAL(109,Table14[Debit])</f>
        <v>12872219</v>
      </c>
      <c r="D131" s="14">
        <f>SUBTOTAL(109,Table14[Credit])</f>
        <v>13098361.493050475</v>
      </c>
      <c r="F131" s="54">
        <f>(Table14[[#Totals],[Credit]]-Table14[[#Totals],[Debit]])</f>
        <v>226142.49305047467</v>
      </c>
      <c r="I131">
        <v>5700</v>
      </c>
      <c r="K131">
        <v>15300</v>
      </c>
      <c r="L131">
        <v>15400</v>
      </c>
      <c r="M131">
        <v>15400</v>
      </c>
    </row>
    <row r="132" spans="1:13" x14ac:dyDescent="0.3">
      <c r="I132">
        <v>80000</v>
      </c>
      <c r="K132">
        <v>15000</v>
      </c>
      <c r="L132">
        <v>16300</v>
      </c>
      <c r="M132">
        <v>16300</v>
      </c>
    </row>
    <row r="133" spans="1:13" x14ac:dyDescent="0.3">
      <c r="I133">
        <v>2500</v>
      </c>
      <c r="K133">
        <v>6000</v>
      </c>
      <c r="L133">
        <v>15300</v>
      </c>
      <c r="M133">
        <v>15300</v>
      </c>
    </row>
    <row r="134" spans="1:13" x14ac:dyDescent="0.3">
      <c r="I134">
        <v>9500</v>
      </c>
      <c r="K134">
        <v>16550</v>
      </c>
      <c r="L134">
        <v>15000</v>
      </c>
      <c r="M134">
        <v>15000</v>
      </c>
    </row>
    <row r="135" spans="1:13" x14ac:dyDescent="0.3">
      <c r="I135">
        <v>20880</v>
      </c>
      <c r="K135">
        <v>13400</v>
      </c>
      <c r="L135">
        <v>6000</v>
      </c>
      <c r="M135">
        <v>6000</v>
      </c>
    </row>
    <row r="136" spans="1:13" x14ac:dyDescent="0.3">
      <c r="I136">
        <v>150000</v>
      </c>
      <c r="K136">
        <v>11650</v>
      </c>
      <c r="L136">
        <v>16550</v>
      </c>
      <c r="M136">
        <v>16550</v>
      </c>
    </row>
    <row r="137" spans="1:13" x14ac:dyDescent="0.3">
      <c r="K137">
        <v>2500</v>
      </c>
      <c r="L137">
        <v>13400</v>
      </c>
      <c r="M137">
        <v>13400</v>
      </c>
    </row>
    <row r="138" spans="1:13" x14ac:dyDescent="0.3">
      <c r="K138">
        <v>5700</v>
      </c>
      <c r="L138">
        <v>11650</v>
      </c>
      <c r="M138">
        <v>11650</v>
      </c>
    </row>
    <row r="139" spans="1:13" x14ac:dyDescent="0.3">
      <c r="L139">
        <v>2500</v>
      </c>
      <c r="M139">
        <v>2500</v>
      </c>
    </row>
    <row r="140" spans="1:13" x14ac:dyDescent="0.3">
      <c r="L140">
        <v>5700</v>
      </c>
      <c r="M140">
        <v>5700</v>
      </c>
    </row>
    <row r="141" spans="1:13" x14ac:dyDescent="0.3">
      <c r="L141">
        <v>5000</v>
      </c>
      <c r="M141">
        <v>5000</v>
      </c>
    </row>
    <row r="163" spans="10:12" x14ac:dyDescent="0.3">
      <c r="J163" s="3" t="s">
        <v>6</v>
      </c>
      <c r="K163" t="s">
        <v>118</v>
      </c>
      <c r="L163" t="s">
        <v>119</v>
      </c>
    </row>
    <row r="164" spans="10:12" x14ac:dyDescent="0.3">
      <c r="J164" s="4" t="s">
        <v>222</v>
      </c>
      <c r="K164" s="14"/>
      <c r="L164" s="14">
        <v>50000</v>
      </c>
    </row>
    <row r="165" spans="10:12" x14ac:dyDescent="0.3">
      <c r="J165" s="4" t="s">
        <v>9</v>
      </c>
      <c r="K165" s="14">
        <v>400000</v>
      </c>
      <c r="L165" s="14"/>
    </row>
    <row r="166" spans="10:12" x14ac:dyDescent="0.3">
      <c r="J166" s="4" t="s">
        <v>117</v>
      </c>
      <c r="K166" s="14"/>
      <c r="L166" s="14">
        <v>78000</v>
      </c>
    </row>
    <row r="167" spans="10:12" x14ac:dyDescent="0.3">
      <c r="J167" s="4" t="s">
        <v>94</v>
      </c>
      <c r="K167" s="14"/>
      <c r="L167" s="14">
        <v>328500</v>
      </c>
    </row>
    <row r="168" spans="10:12" x14ac:dyDescent="0.3">
      <c r="J168" s="4" t="s">
        <v>248</v>
      </c>
      <c r="K168" s="14"/>
      <c r="L168" s="14">
        <v>820</v>
      </c>
    </row>
    <row r="169" spans="10:12" x14ac:dyDescent="0.3">
      <c r="J169" s="4" t="s">
        <v>55</v>
      </c>
      <c r="K169" s="14"/>
      <c r="L169" s="14">
        <v>374150</v>
      </c>
    </row>
    <row r="170" spans="10:12" x14ac:dyDescent="0.3">
      <c r="J170" s="4" t="s">
        <v>285</v>
      </c>
      <c r="K170" s="14"/>
      <c r="L170" s="14">
        <v>122630</v>
      </c>
    </row>
    <row r="171" spans="10:12" x14ac:dyDescent="0.3">
      <c r="J171" s="4" t="s">
        <v>54</v>
      </c>
      <c r="K171" s="14"/>
      <c r="L171" s="14">
        <v>45528</v>
      </c>
    </row>
    <row r="172" spans="10:12" x14ac:dyDescent="0.3">
      <c r="J172" s="4" t="s">
        <v>221</v>
      </c>
      <c r="K172" s="14"/>
      <c r="L172" s="14">
        <v>785072</v>
      </c>
    </row>
    <row r="173" spans="10:12" x14ac:dyDescent="0.3">
      <c r="J173" s="4" t="s">
        <v>212</v>
      </c>
      <c r="K173" s="14">
        <v>668663</v>
      </c>
      <c r="L173" s="14">
        <v>5280</v>
      </c>
    </row>
    <row r="174" spans="10:12" x14ac:dyDescent="0.3">
      <c r="J174" s="4" t="s">
        <v>226</v>
      </c>
      <c r="K174" s="14">
        <v>329454</v>
      </c>
      <c r="L174" s="14"/>
    </row>
    <row r="175" spans="10:12" x14ac:dyDescent="0.3">
      <c r="J175" s="4" t="s">
        <v>103</v>
      </c>
      <c r="K175" s="14"/>
      <c r="L175" s="14"/>
    </row>
    <row r="176" spans="10:12" x14ac:dyDescent="0.3">
      <c r="J176" s="4" t="s">
        <v>247</v>
      </c>
      <c r="K176" s="14">
        <v>492180</v>
      </c>
      <c r="L176" s="14"/>
    </row>
    <row r="177" spans="10:12" x14ac:dyDescent="0.3">
      <c r="J177" s="4" t="s">
        <v>115</v>
      </c>
      <c r="K177" s="14"/>
      <c r="L177" s="14">
        <v>250000</v>
      </c>
    </row>
    <row r="178" spans="10:12" x14ac:dyDescent="0.3">
      <c r="J178" s="4" t="s">
        <v>169</v>
      </c>
      <c r="K178" s="14"/>
      <c r="L178" s="14">
        <v>352500</v>
      </c>
    </row>
    <row r="179" spans="10:12" x14ac:dyDescent="0.3">
      <c r="J179" s="4" t="s">
        <v>276</v>
      </c>
      <c r="K179" s="14"/>
      <c r="L179" s="14">
        <v>100000</v>
      </c>
    </row>
    <row r="180" spans="10:12" x14ac:dyDescent="0.3">
      <c r="J180" s="4" t="s">
        <v>220</v>
      </c>
      <c r="K180" s="14">
        <v>1892200</v>
      </c>
      <c r="L180" s="14">
        <v>7170648</v>
      </c>
    </row>
    <row r="181" spans="10:12" x14ac:dyDescent="0.3">
      <c r="J181" s="4" t="s">
        <v>165</v>
      </c>
      <c r="K181" s="14"/>
      <c r="L181" s="14">
        <v>2500</v>
      </c>
    </row>
    <row r="182" spans="10:12" x14ac:dyDescent="0.3">
      <c r="J182" s="4" t="s">
        <v>175</v>
      </c>
      <c r="K182" s="14">
        <v>704000</v>
      </c>
      <c r="L182" s="14"/>
    </row>
    <row r="183" spans="10:12" x14ac:dyDescent="0.3">
      <c r="J183" s="4" t="s">
        <v>176</v>
      </c>
      <c r="K183" s="14"/>
      <c r="L183" s="14">
        <v>35000</v>
      </c>
    </row>
    <row r="184" spans="10:12" x14ac:dyDescent="0.3">
      <c r="J184" s="4" t="s">
        <v>51</v>
      </c>
      <c r="K184" s="14"/>
      <c r="L184" s="14">
        <v>2222081</v>
      </c>
    </row>
    <row r="185" spans="10:12" x14ac:dyDescent="0.3">
      <c r="J185" s="4" t="s">
        <v>299</v>
      </c>
      <c r="K185" s="14"/>
      <c r="L185" s="14">
        <v>10000</v>
      </c>
    </row>
    <row r="186" spans="10:12" x14ac:dyDescent="0.3">
      <c r="J186" s="4" t="s">
        <v>192</v>
      </c>
      <c r="K186" s="14">
        <v>30000</v>
      </c>
      <c r="L186" s="14"/>
    </row>
    <row r="187" spans="10:12" x14ac:dyDescent="0.3">
      <c r="J187" s="4" t="s">
        <v>190</v>
      </c>
      <c r="K187" s="14">
        <v>20340</v>
      </c>
      <c r="L187" s="14"/>
    </row>
    <row r="188" spans="10:12" x14ac:dyDescent="0.3">
      <c r="J188" s="4" t="s">
        <v>304</v>
      </c>
      <c r="K188" s="14"/>
      <c r="L188" s="14">
        <v>201000</v>
      </c>
    </row>
    <row r="189" spans="10:12" x14ac:dyDescent="0.3">
      <c r="J189" s="4" t="s">
        <v>280</v>
      </c>
      <c r="K189" s="14"/>
      <c r="L189" s="14">
        <v>140000</v>
      </c>
    </row>
    <row r="190" spans="10:12" x14ac:dyDescent="0.3">
      <c r="J190" s="4" t="s">
        <v>211</v>
      </c>
      <c r="K190" s="14">
        <v>7009266</v>
      </c>
      <c r="L190" s="14"/>
    </row>
    <row r="191" spans="10:12" x14ac:dyDescent="0.3">
      <c r="J191" s="4" t="s">
        <v>223</v>
      </c>
      <c r="K191" s="14"/>
      <c r="L191" s="14">
        <v>350345</v>
      </c>
    </row>
    <row r="192" spans="10:12" x14ac:dyDescent="0.3">
      <c r="J192" s="4" t="s">
        <v>229</v>
      </c>
      <c r="K192" s="14">
        <v>500000</v>
      </c>
      <c r="L192" s="14"/>
    </row>
    <row r="193" spans="10:12" x14ac:dyDescent="0.3">
      <c r="J193" s="4" t="s">
        <v>251</v>
      </c>
      <c r="K193" s="14"/>
      <c r="L193" s="14">
        <v>28375</v>
      </c>
    </row>
    <row r="194" spans="10:12" x14ac:dyDescent="0.3">
      <c r="J194" s="4" t="s">
        <v>255</v>
      </c>
      <c r="K194" s="14"/>
      <c r="L194" s="14">
        <v>100000</v>
      </c>
    </row>
    <row r="195" spans="10:12" x14ac:dyDescent="0.3">
      <c r="J195" s="4" t="s">
        <v>260</v>
      </c>
      <c r="K195" s="14"/>
      <c r="L195" s="14">
        <v>119490</v>
      </c>
    </row>
    <row r="196" spans="10:12" x14ac:dyDescent="0.3">
      <c r="J196" s="4" t="s">
        <v>233</v>
      </c>
      <c r="K196" s="14">
        <v>39278</v>
      </c>
      <c r="L196" s="14"/>
    </row>
    <row r="197" spans="10:12" x14ac:dyDescent="0.3">
      <c r="J197" s="4" t="s">
        <v>318</v>
      </c>
      <c r="K197" s="14">
        <v>1012980.4930504755</v>
      </c>
      <c r="L197" s="14"/>
    </row>
    <row r="198" spans="10:12" x14ac:dyDescent="0.3">
      <c r="J198" s="4" t="s">
        <v>28</v>
      </c>
      <c r="K198" s="14">
        <v>13098361.493050475</v>
      </c>
      <c r="L198" s="14">
        <v>12871919</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abSelected="1" topLeftCell="A6" zoomScale="107" zoomScaleNormal="210" workbookViewId="0">
      <selection activeCell="B27" sqref="B2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230</v>
      </c>
      <c r="G6" s="82">
        <f>SUMIFS(Table14[Debit], Table14[Date], Table8[[#This Row],[Date]], Table14[Party], Table8[[#This Row],[Party]])</f>
        <v>0</v>
      </c>
      <c r="H6" t="s">
        <v>293</v>
      </c>
      <c r="I6" s="82" t="s">
        <v>186</v>
      </c>
    </row>
    <row r="7" spans="1:14" x14ac:dyDescent="0.3">
      <c r="A7" s="95">
        <v>46072</v>
      </c>
      <c r="B7" s="82" t="s">
        <v>64</v>
      </c>
      <c r="F7" t="s">
        <v>254</v>
      </c>
      <c r="G7" s="82">
        <f>SUMIFS(Table14[Debit], Table14[Date], Table8[[#This Row],[Date]], Table14[Party], Table8[[#This Row],[Party]])</f>
        <v>0</v>
      </c>
      <c r="H7">
        <v>0</v>
      </c>
      <c r="I7" s="82" t="s">
        <v>186</v>
      </c>
      <c r="K7" s="3" t="s">
        <v>110</v>
      </c>
      <c r="L7" t="s">
        <v>87</v>
      </c>
    </row>
    <row r="8" spans="1:14" x14ac:dyDescent="0.3">
      <c r="A8" s="85">
        <v>46072</v>
      </c>
      <c r="B8" s="82" t="s">
        <v>64</v>
      </c>
      <c r="F8" t="s">
        <v>255</v>
      </c>
      <c r="G8" s="82">
        <f>SUMIFS(Table14[Debit], Table14[Date], Table8[[#This Row],[Date]], Table14[Party], Table8[[#This Row],[Party]])</f>
        <v>0</v>
      </c>
      <c r="H8">
        <v>0</v>
      </c>
      <c r="I8" s="82" t="s">
        <v>186</v>
      </c>
    </row>
    <row r="9" spans="1:14" x14ac:dyDescent="0.3">
      <c r="A9" s="95">
        <v>46072</v>
      </c>
      <c r="B9" s="82" t="s">
        <v>64</v>
      </c>
      <c r="F9" t="s">
        <v>244</v>
      </c>
      <c r="G9" s="82">
        <f>SUMIFS(Table14[Debit], Table14[Date], Table8[[#This Row],[Date]], Table14[Party], Table8[[#This Row],[Party]])</f>
        <v>0</v>
      </c>
      <c r="H9">
        <v>0</v>
      </c>
      <c r="I9" s="82" t="s">
        <v>186</v>
      </c>
      <c r="K9" s="3" t="s">
        <v>6</v>
      </c>
      <c r="L9" t="s">
        <v>127</v>
      </c>
      <c r="M9" t="s">
        <v>128</v>
      </c>
    </row>
    <row r="10" spans="1:14" x14ac:dyDescent="0.3">
      <c r="A10" s="1"/>
      <c r="K10" s="4" t="s">
        <v>103</v>
      </c>
      <c r="M10">
        <v>0</v>
      </c>
    </row>
    <row r="11" spans="1:14" x14ac:dyDescent="0.3">
      <c r="A11" s="1"/>
      <c r="K11" s="26">
        <v>46072</v>
      </c>
      <c r="M11">
        <v>764250</v>
      </c>
    </row>
    <row r="12" spans="1:14" x14ac:dyDescent="0.3">
      <c r="A12" s="1"/>
      <c r="K12" s="26">
        <v>46073</v>
      </c>
      <c r="L12">
        <v>100000</v>
      </c>
      <c r="M12">
        <v>0</v>
      </c>
    </row>
    <row r="13" spans="1:14" x14ac:dyDescent="0.3">
      <c r="A13" s="1"/>
      <c r="K13" s="26">
        <v>46075</v>
      </c>
      <c r="M13">
        <v>0</v>
      </c>
    </row>
    <row r="14" spans="1:14" x14ac:dyDescent="0.3">
      <c r="A14" s="123"/>
      <c r="K14" s="26">
        <v>46076</v>
      </c>
      <c r="L14">
        <v>7800</v>
      </c>
      <c r="M14">
        <v>0</v>
      </c>
    </row>
    <row r="15" spans="1:14" x14ac:dyDescent="0.3">
      <c r="A15" s="123"/>
      <c r="K15" s="26">
        <v>46077</v>
      </c>
      <c r="L15">
        <v>27200</v>
      </c>
      <c r="M15">
        <v>0</v>
      </c>
    </row>
    <row r="16" spans="1:14" x14ac:dyDescent="0.3">
      <c r="A16" s="123"/>
      <c r="K16" s="4" t="s">
        <v>28</v>
      </c>
      <c r="L16">
        <v>135000</v>
      </c>
      <c r="M16">
        <v>764250</v>
      </c>
    </row>
    <row r="17" spans="1:12" x14ac:dyDescent="0.3">
      <c r="A17" s="123"/>
    </row>
    <row r="18" spans="1:12" x14ac:dyDescent="0.3">
      <c r="A18" s="123"/>
    </row>
    <row r="19" spans="1:12" x14ac:dyDescent="0.3">
      <c r="A19" s="123"/>
    </row>
    <row r="20" spans="1:12" x14ac:dyDescent="0.3">
      <c r="A20" s="123"/>
    </row>
    <row r="21" spans="1:12" x14ac:dyDescent="0.3">
      <c r="A21" s="123">
        <v>46073</v>
      </c>
      <c r="B21" t="s">
        <v>64</v>
      </c>
      <c r="E21">
        <f>SUMIFS(Table14[Debit], Table14[Date], Table8[[#This Row],[Date]], Table14[Party], Table8[[#This Row],[Party]])</f>
        <v>100000</v>
      </c>
      <c r="F21" t="s">
        <v>255</v>
      </c>
      <c r="G21">
        <f>SUMIFS(Table14[Debit], Table14[Date], Table8[[#This Row],[Date]], Table14[Party], Table8[[#This Row],[Party]])</f>
        <v>100000</v>
      </c>
      <c r="H21">
        <f>Table8[[#This Row],[Price]]-Table8[[#This Row],[Paid]]</f>
        <v>0</v>
      </c>
    </row>
    <row r="22" spans="1:12" x14ac:dyDescent="0.3">
      <c r="A22" s="123">
        <v>46075</v>
      </c>
      <c r="B22" t="s">
        <v>64</v>
      </c>
      <c r="F22" t="s">
        <v>230</v>
      </c>
      <c r="G22">
        <f>SUMIFS(Table14[Debit], Table14[Date], Table8[[#This Row],[Date]], Table14[Party], Table8[[#This Row],[Party]])</f>
        <v>0</v>
      </c>
      <c r="H22">
        <f>Table8[[#This Row],[Price]]-Table8[[#This Row],[Paid]]</f>
        <v>0</v>
      </c>
    </row>
    <row r="23" spans="1:12" x14ac:dyDescent="0.3">
      <c r="A23" s="123">
        <v>46076</v>
      </c>
      <c r="B23" t="s">
        <v>64</v>
      </c>
      <c r="E23">
        <v>7800</v>
      </c>
      <c r="F23" t="s">
        <v>176</v>
      </c>
      <c r="G23">
        <f>SUMIFS(Table14[Debit], Table14[Date], Table8[[#This Row],[Date]], Table14[Party], Table8[[#This Row],[Party]])</f>
        <v>7800</v>
      </c>
      <c r="H23">
        <f>Table8[[#This Row],[Price]]-Table8[[#This Row],[Paid]]</f>
        <v>0</v>
      </c>
    </row>
    <row r="24" spans="1:12" x14ac:dyDescent="0.3">
      <c r="A24" s="123">
        <v>46077</v>
      </c>
      <c r="B24" t="s">
        <v>320</v>
      </c>
      <c r="E24">
        <v>27200</v>
      </c>
      <c r="F24" t="s">
        <v>176</v>
      </c>
      <c r="G24">
        <f>SUMIFS(Table14[Debit], Table14[Date], Table8[[#This Row],[Date]], Table14[Party], Table8[[#This Row],[Party]])</f>
        <v>27200</v>
      </c>
      <c r="H24">
        <f>Table8[[#This Row],[Price]]-Table8[[#This Row],[Paid]]</f>
        <v>0</v>
      </c>
    </row>
    <row r="25" spans="1:12" x14ac:dyDescent="0.3">
      <c r="A25" s="123">
        <v>46077</v>
      </c>
      <c r="B25" t="s">
        <v>348</v>
      </c>
      <c r="F25" t="s">
        <v>115</v>
      </c>
      <c r="G25">
        <f>SUMIFS(Table14[Debit], Table14[Date], Table8[[#This Row],[Date]], Table14[Party], Table8[[#This Row],[Party]])</f>
        <v>100000</v>
      </c>
      <c r="H25">
        <f>Table8[[#This Row],[Price]]-Table8[[#This Row],[Paid]]</f>
        <v>-100000</v>
      </c>
    </row>
    <row r="26" spans="1:12" x14ac:dyDescent="0.3">
      <c r="A26" s="123">
        <v>46078</v>
      </c>
      <c r="B26" t="s">
        <v>348</v>
      </c>
      <c r="D26" s="127"/>
      <c r="F26" t="s">
        <v>115</v>
      </c>
      <c r="G26" s="127">
        <f>SUMIFS(Table14[Debit], Table14[Date], Table8[[#This Row],[Date]], Table14[Party], Table8[[#This Row],[Party]])</f>
        <v>150000</v>
      </c>
      <c r="H26" s="127">
        <f>Table8[[#This Row],[Price]]-Table8[[#This Row],[Paid]]</f>
        <v>-150000</v>
      </c>
    </row>
    <row r="27" spans="1:12" x14ac:dyDescent="0.3">
      <c r="D27" s="127"/>
      <c r="G27" s="127">
        <f>SUMIFS(Table14[Debit], Table14[Date], Table8[[#This Row],[Date]], Table14[Party], Table8[[#This Row],[Party]])</f>
        <v>0</v>
      </c>
      <c r="H27" s="127">
        <f>Table8[[#This Row],[Price]]-Table8[[#This Row],[Paid]]</f>
        <v>0</v>
      </c>
    </row>
    <row r="28" spans="1:12" x14ac:dyDescent="0.3">
      <c r="D28" s="127"/>
      <c r="G28" s="127">
        <f>SUMIFS(Table14[Debit], Table14[Date], Table8[[#This Row],[Date]], Table14[Party], Table8[[#This Row],[Party]])</f>
        <v>0</v>
      </c>
      <c r="H28" s="127">
        <f>Table8[[#This Row],[Price]]-Table8[[#This Row],[Paid]]</f>
        <v>0</v>
      </c>
    </row>
    <row r="29" spans="1:12" x14ac:dyDescent="0.3">
      <c r="E29">
        <f>SUBTOTAL(109,Table8[Price])</f>
        <v>135000</v>
      </c>
      <c r="H29">
        <f>SUBTOTAL(109,Table8[Balance])</f>
        <v>514250</v>
      </c>
    </row>
    <row r="32" spans="1:12"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G23" sqref="G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60000</v>
      </c>
      <c r="L8">
        <v>2500</v>
      </c>
      <c r="M8">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227</v>
      </c>
      <c r="C10" t="s">
        <v>211</v>
      </c>
      <c r="H10" t="s">
        <v>294</v>
      </c>
      <c r="J10" s="4" t="s">
        <v>195</v>
      </c>
      <c r="K10">
        <v>0</v>
      </c>
      <c r="L10">
        <v>0</v>
      </c>
      <c r="M10">
        <v>0</v>
      </c>
    </row>
    <row r="11" spans="1:13" x14ac:dyDescent="0.3">
      <c r="A11" s="1"/>
      <c r="B11" s="1"/>
      <c r="J11" s="4" t="s">
        <v>227</v>
      </c>
      <c r="M11">
        <v>0</v>
      </c>
    </row>
    <row r="12" spans="1:13" x14ac:dyDescent="0.3">
      <c r="A12" s="1"/>
      <c r="B12" s="1"/>
      <c r="J12" s="4" t="s">
        <v>28</v>
      </c>
      <c r="K12">
        <v>138000</v>
      </c>
      <c r="L12">
        <v>80500</v>
      </c>
      <c r="M12">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753968</v>
      </c>
      <c r="C2" s="32">
        <f>GETPIVOTDATA("Sum of Tiyaar/gaz",$A$3)</f>
        <v>545862</v>
      </c>
      <c r="D2" s="31">
        <f>((B2*48)+((C2/1.0936)*10))/C2</f>
        <v>75.443769347750049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5269</v>
      </c>
      <c r="D27" s="28">
        <f t="shared" si="1"/>
        <v>227.82697321554639</v>
      </c>
      <c r="E27" s="11">
        <f t="shared" si="2"/>
        <v>26251.867999999999</v>
      </c>
      <c r="F27" s="11">
        <f t="shared" si="0"/>
        <v>5269</v>
      </c>
      <c r="G27" s="78">
        <f t="shared" si="6"/>
        <v>79.929047334841087</v>
      </c>
      <c r="H27" s="28">
        <f t="shared" si="3"/>
        <v>4818.0321872713976</v>
      </c>
      <c r="I27" s="28">
        <f t="shared" si="5"/>
        <v>227.82697321554639</v>
      </c>
    </row>
    <row r="28" spans="1:9" x14ac:dyDescent="0.3">
      <c r="A28" s="16" t="s">
        <v>28</v>
      </c>
      <c r="B28" s="30">
        <v>101030</v>
      </c>
      <c r="C28" s="30">
        <v>545862</v>
      </c>
      <c r="D28" s="28">
        <f t="shared" si="1"/>
        <v>18.028114841666092</v>
      </c>
      <c r="E28" s="11">
        <f t="shared" si="2"/>
        <v>110486.408</v>
      </c>
      <c r="F28" s="11">
        <f t="shared" si="0"/>
        <v>545862</v>
      </c>
      <c r="G28" s="78">
        <f t="shared" si="6"/>
        <v>-394.05353100084494</v>
      </c>
      <c r="H28" s="28">
        <f t="shared" si="3"/>
        <v>499142.28237015364</v>
      </c>
      <c r="I28" s="28">
        <f t="shared" si="5"/>
        <v>18.028114841666092</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374150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I30" sqref="I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17674579.482077554</v>
      </c>
    </row>
    <row r="3" spans="1:3" ht="21" x14ac:dyDescent="0.4">
      <c r="A3" s="102" t="str">
        <f>Billing!Q6</f>
        <v>Ejaz Sahab</v>
      </c>
      <c r="B3" s="105">
        <f>Billing!AD6</f>
        <v>6396773</v>
      </c>
      <c r="C3" s="103">
        <f>Billing!AE6</f>
        <v>182114.16166788712</v>
      </c>
    </row>
    <row r="4" spans="1:3" ht="21" x14ac:dyDescent="0.4">
      <c r="A4" s="102" t="str">
        <f>Billing!Q7</f>
        <v>Arshad</v>
      </c>
      <c r="B4" s="105">
        <f>Billing!AD7</f>
        <v>8892501</v>
      </c>
      <c r="C4" s="104">
        <f>Billing!AE7</f>
        <v>190269.66569129564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148240.0826627654</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4638359</v>
      </c>
      <c r="C12" s="103">
        <f>Billing!AE15</f>
        <v>205112.10460863262</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-183826.70811996982</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3645477</v>
      </c>
      <c r="C22" s="103">
        <f>Billing!AE25</f>
        <v>11419.488661302254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1445500</v>
      </c>
      <c r="C24" s="103">
        <f>Billing!AE27</f>
        <v>9344.5501097296365</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1800000</v>
      </c>
      <c r="C28" s="103">
        <f>Billing!AE31</f>
        <v>289305.96196049778</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1012980.4930504755</v>
      </c>
      <c r="C33" s="103">
        <f>Billing!AE36</f>
        <v>0.48719824443105608</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3">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f t="shared" si="0"/>
        <v>0</v>
      </c>
      <c r="B34" s="10" t="e">
        <f>_xlfn.XLOOKUP($A34,[1]Billing!$Q$5:$Q$40,[1]Billing!$AD$5:$AD$40)</f>
        <v>#N/A</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2026-02-26T22:51:12Z</dcterms:modified>
  <cp:category/>
  <cp:contentStatus/>
</cp:coreProperties>
</file>