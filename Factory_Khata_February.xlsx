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531" documentId="8_{5FA7CF9A-3CD5-4319-9FC5-E34696581AAD}" xr6:coauthVersionLast="47" xr6:coauthVersionMax="47" xr10:uidLastSave="{E268B8AB-D9CA-4486-B0F0-9FFBBAE966A9}"/>
  <bookViews>
    <workbookView xWindow="-108" yWindow="-108" windowWidth="23256" windowHeight="12456" tabRatio="597" firstSheet="9" activeTab="1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78" r:id="rId21"/>
    <pivotCache cacheId="182" r:id="rId22"/>
    <pivotCache cacheId="188" r:id="rId23"/>
    <pivotCache cacheId="193" r:id="rId24"/>
    <pivotCache cacheId="197" r:id="rId25"/>
    <pivotCache cacheId="201"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8" i="14" l="1"/>
  <c r="I3" i="6"/>
  <c r="I261" i="1"/>
  <c r="J261" i="1" a="1"/>
  <c r="J261" i="1"/>
  <c r="I262" i="1"/>
  <c r="J262" i="1" s="1" a="1"/>
  <c r="J262" i="1" s="1"/>
  <c r="I263" i="1"/>
  <c r="J263" i="1" a="1"/>
  <c r="J263" i="1"/>
  <c r="I264" i="1"/>
  <c r="J264" i="1" s="1" a="1"/>
  <c r="J264" i="1" s="1"/>
  <c r="I265" i="1"/>
  <c r="J265" i="1" a="1"/>
  <c r="J265" i="1"/>
  <c r="E120" i="2"/>
  <c r="F120" i="2"/>
  <c r="H120" i="2" s="1"/>
  <c r="I120" i="2" s="1"/>
  <c r="D120" i="2" s="1"/>
  <c r="E121" i="2"/>
  <c r="G121" i="2" s="1"/>
  <c r="F121" i="2"/>
  <c r="H121" i="2" s="1"/>
  <c r="I121" i="2" s="1"/>
  <c r="D121" i="2" s="1"/>
  <c r="E122" i="2"/>
  <c r="F122" i="2"/>
  <c r="G122" i="2" s="1"/>
  <c r="H122" i="2"/>
  <c r="I122" i="2"/>
  <c r="D122" i="2" s="1"/>
  <c r="E123" i="2"/>
  <c r="G123" i="2" s="1"/>
  <c r="F123" i="2"/>
  <c r="H123" i="2"/>
  <c r="I123" i="2"/>
  <c r="D123" i="2" s="1"/>
  <c r="E124" i="2"/>
  <c r="F124" i="2"/>
  <c r="G124" i="2" s="1"/>
  <c r="H124" i="2"/>
  <c r="I124" i="2"/>
  <c r="D124" i="2" s="1"/>
  <c r="E125" i="2"/>
  <c r="G125" i="2" s="1"/>
  <c r="F125" i="2"/>
  <c r="H125" i="2"/>
  <c r="I125" i="2"/>
  <c r="D125" i="2" s="1"/>
  <c r="E126" i="2"/>
  <c r="F126" i="2"/>
  <c r="G126" i="2" s="1"/>
  <c r="H126" i="2"/>
  <c r="I126" i="2"/>
  <c r="D126" i="2" s="1"/>
  <c r="E127" i="2"/>
  <c r="G127" i="2" s="1"/>
  <c r="F127" i="2"/>
  <c r="H127" i="2"/>
  <c r="I127" i="2"/>
  <c r="D127" i="2" s="1"/>
  <c r="E128" i="2"/>
  <c r="F128" i="2"/>
  <c r="G128" i="2" s="1"/>
  <c r="H128" i="2"/>
  <c r="I128" i="2"/>
  <c r="D128" i="2" s="1"/>
  <c r="C890" i="17"/>
  <c r="C883" i="17"/>
  <c r="F54" i="15"/>
  <c r="G53" i="15"/>
  <c r="H53" i="15" s="1"/>
  <c r="G54" i="15"/>
  <c r="H54" i="15" s="1"/>
  <c r="J77" i="14"/>
  <c r="J78" i="14"/>
  <c r="J79" i="14"/>
  <c r="J80" i="14"/>
  <c r="J81" i="14"/>
  <c r="J82" i="14"/>
  <c r="J83" i="14"/>
  <c r="J84" i="14"/>
  <c r="J85" i="14"/>
  <c r="J86" i="14"/>
  <c r="J87" i="14"/>
  <c r="D76" i="14"/>
  <c r="D77" i="14"/>
  <c r="D78" i="14"/>
  <c r="D79" i="14"/>
  <c r="D80" i="14"/>
  <c r="D81" i="14"/>
  <c r="D82" i="14"/>
  <c r="D83" i="14"/>
  <c r="D84" i="14"/>
  <c r="D85" i="14"/>
  <c r="I259" i="1"/>
  <c r="J259" i="1" a="1"/>
  <c r="J259" i="1" s="1"/>
  <c r="I260" i="1"/>
  <c r="J260" i="1" a="1"/>
  <c r="J260" i="1" s="1"/>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87" i="9" a="1"/>
  <c r="G87" i="9" s="1"/>
  <c r="H87" i="9" a="1"/>
  <c r="H87" i="9" s="1"/>
  <c r="I87" i="9" a="1"/>
  <c r="I87" i="9" s="1"/>
  <c r="J87" i="9" a="1"/>
  <c r="J87" i="9" s="1"/>
  <c r="K87" i="9" a="1"/>
  <c r="K87" i="9" s="1"/>
  <c r="L87" i="9" a="1"/>
  <c r="L87" i="9" s="1"/>
  <c r="M87" i="9" a="1"/>
  <c r="M87" i="9" s="1"/>
  <c r="N87" i="9" a="1"/>
  <c r="N87" i="9" s="1"/>
  <c r="P87" i="9"/>
  <c r="G88" i="9" a="1"/>
  <c r="G88" i="9" s="1"/>
  <c r="H88" i="9" a="1"/>
  <c r="H88" i="9" s="1"/>
  <c r="I88" i="9" a="1"/>
  <c r="I88" i="9" s="1"/>
  <c r="J88" i="9" a="1"/>
  <c r="J88" i="9" s="1"/>
  <c r="K88" i="9" a="1"/>
  <c r="K88" i="9" s="1"/>
  <c r="L88" i="9" a="1"/>
  <c r="L88" i="9" s="1"/>
  <c r="M88" i="9" a="1"/>
  <c r="M88" i="9" s="1"/>
  <c r="N88" i="9" a="1"/>
  <c r="N88" i="9" s="1"/>
  <c r="P88" i="9"/>
  <c r="G89" i="9" a="1"/>
  <c r="G89" i="9" s="1"/>
  <c r="H89" i="9" a="1"/>
  <c r="H89" i="9" s="1"/>
  <c r="I89" i="9" a="1"/>
  <c r="I89" i="9" s="1"/>
  <c r="J89" i="9" a="1"/>
  <c r="J89" i="9" s="1"/>
  <c r="K89" i="9" a="1"/>
  <c r="K89" i="9" s="1"/>
  <c r="L89" i="9" a="1"/>
  <c r="L89" i="9" s="1"/>
  <c r="M89" i="9" a="1"/>
  <c r="M89" i="9" s="1"/>
  <c r="N89" i="9" a="1"/>
  <c r="N89" i="9" s="1"/>
  <c r="P89" i="9"/>
  <c r="G86" i="9" a="1"/>
  <c r="G86" i="9" s="1"/>
  <c r="H86" i="9" a="1"/>
  <c r="H86" i="9" s="1"/>
  <c r="I86" i="9" a="1"/>
  <c r="I86" i="9" s="1"/>
  <c r="J86" i="9" a="1"/>
  <c r="J86" i="9" s="1"/>
  <c r="K86" i="9" a="1"/>
  <c r="K86" i="9" s="1"/>
  <c r="L86" i="9" a="1"/>
  <c r="L86" i="9" s="1"/>
  <c r="M86" i="9" a="1"/>
  <c r="M86" i="9" s="1"/>
  <c r="N86" i="9" a="1"/>
  <c r="N86" i="9" s="1"/>
  <c r="P86" i="9"/>
  <c r="I253" i="1"/>
  <c r="J253" i="1" s="1" a="1"/>
  <c r="J253" i="1" s="1"/>
  <c r="I254" i="1"/>
  <c r="J254" i="1" s="1" a="1"/>
  <c r="J254" i="1" s="1"/>
  <c r="I255" i="1"/>
  <c r="J255" i="1" s="1" a="1"/>
  <c r="J255" i="1" s="1"/>
  <c r="I256" i="1"/>
  <c r="J256" i="1" s="1" a="1"/>
  <c r="J256" i="1" s="1"/>
  <c r="I257" i="1"/>
  <c r="J257" i="1" a="1"/>
  <c r="J257" i="1" s="1"/>
  <c r="I258" i="1"/>
  <c r="J258" i="1" s="1" a="1"/>
  <c r="J258" i="1" s="1"/>
  <c r="I197" i="1"/>
  <c r="I242" i="1"/>
  <c r="J242" i="1" s="1" a="1"/>
  <c r="J242" i="1" s="1"/>
  <c r="I243" i="1"/>
  <c r="J243" i="1" a="1"/>
  <c r="J243" i="1" s="1"/>
  <c r="I244" i="1"/>
  <c r="J244" i="1" s="1" a="1"/>
  <c r="J244" i="1" s="1"/>
  <c r="I245" i="1"/>
  <c r="J245" i="1" s="1" a="1"/>
  <c r="J245" i="1" s="1"/>
  <c r="I246" i="1"/>
  <c r="J246" i="1" s="1" a="1"/>
  <c r="J246" i="1" s="1"/>
  <c r="I247" i="1"/>
  <c r="J247" i="1" s="1" a="1"/>
  <c r="J247" i="1" s="1"/>
  <c r="I248" i="1"/>
  <c r="J248" i="1" s="1" a="1"/>
  <c r="J248" i="1" s="1"/>
  <c r="I249" i="1"/>
  <c r="J249" i="1" s="1" a="1"/>
  <c r="J249" i="1" s="1"/>
  <c r="I250" i="1"/>
  <c r="J250" i="1" s="1" a="1"/>
  <c r="J250" i="1" s="1"/>
  <c r="I251" i="1"/>
  <c r="J251" i="1" s="1" a="1"/>
  <c r="J251" i="1" s="1"/>
  <c r="I252" i="1"/>
  <c r="J252" i="1" s="1" a="1"/>
  <c r="J252" i="1" s="1"/>
  <c r="G52" i="15"/>
  <c r="H52" i="15" s="1"/>
  <c r="C794" i="17"/>
  <c r="C99" i="23"/>
  <c r="C101" i="23"/>
  <c r="C102" i="23"/>
  <c r="C103" i="23"/>
  <c r="C104" i="23"/>
  <c r="C105" i="23"/>
  <c r="C106" i="23"/>
  <c r="C107" i="23"/>
  <c r="C108" i="23"/>
  <c r="C100" i="23"/>
  <c r="C109" i="23"/>
  <c r="C110" i="23"/>
  <c r="C111" i="23"/>
  <c r="C112" i="23"/>
  <c r="B114" i="23"/>
  <c r="I236" i="1"/>
  <c r="J236" i="1" s="1" a="1"/>
  <c r="J236" i="1" s="1"/>
  <c r="I237" i="1"/>
  <c r="J237" i="1" a="1"/>
  <c r="J237" i="1" s="1"/>
  <c r="I238" i="1"/>
  <c r="J238" i="1" s="1" a="1"/>
  <c r="J238" i="1" s="1"/>
  <c r="I239" i="1"/>
  <c r="J239" i="1" s="1" a="1"/>
  <c r="J239" i="1" s="1"/>
  <c r="I240" i="1"/>
  <c r="J240" i="1" s="1" a="1"/>
  <c r="J240" i="1" s="1"/>
  <c r="I241" i="1"/>
  <c r="J241" i="1" s="1" a="1"/>
  <c r="J241" i="1" s="1"/>
  <c r="F51" i="15"/>
  <c r="G51" i="15"/>
  <c r="H51" i="15" s="1"/>
  <c r="G50" i="15"/>
  <c r="H50" i="15" s="1"/>
  <c r="F49" i="15"/>
  <c r="G49" i="15"/>
  <c r="H49" i="15" s="1"/>
  <c r="D75"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I231" i="1"/>
  <c r="J231" i="1" s="1" a="1"/>
  <c r="J231" i="1" s="1"/>
  <c r="I232" i="1"/>
  <c r="J232" i="1" s="1" a="1"/>
  <c r="J232" i="1" s="1"/>
  <c r="I233" i="1"/>
  <c r="J233" i="1" s="1" a="1"/>
  <c r="J233" i="1" s="1"/>
  <c r="I234" i="1"/>
  <c r="J234" i="1" s="1" a="1"/>
  <c r="J234" i="1" s="1"/>
  <c r="I235" i="1"/>
  <c r="J235" i="1" s="1" a="1"/>
  <c r="J235" i="1" s="1"/>
  <c r="G48" i="15"/>
  <c r="C751" i="17"/>
  <c r="D72" i="14"/>
  <c r="D73" i="14"/>
  <c r="D74" i="14"/>
  <c r="D75" i="14"/>
  <c r="J71" i="14"/>
  <c r="J72" i="14"/>
  <c r="J73" i="14"/>
  <c r="J74" i="14"/>
  <c r="J75" i="14"/>
  <c r="J76" i="14"/>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229" i="1"/>
  <c r="J229" i="1" s="1" a="1"/>
  <c r="J229" i="1" s="1"/>
  <c r="I230" i="1"/>
  <c r="J230" i="1" s="1" a="1"/>
  <c r="J230" i="1" s="1"/>
  <c r="G79" i="6"/>
  <c r="G80" i="6"/>
  <c r="G81" i="6"/>
  <c r="I70" i="6"/>
  <c r="I71" i="6"/>
  <c r="I72" i="6"/>
  <c r="I73" i="6"/>
  <c r="I74" i="6"/>
  <c r="I75" i="6"/>
  <c r="I76" i="6"/>
  <c r="I77" i="6"/>
  <c r="I78" i="6"/>
  <c r="I79" i="6"/>
  <c r="I80" i="6"/>
  <c r="G74" i="6"/>
  <c r="G75" i="6"/>
  <c r="G76" i="6"/>
  <c r="G77" i="6"/>
  <c r="G78" i="6"/>
  <c r="G70" i="6"/>
  <c r="G71" i="6"/>
  <c r="G72" i="6"/>
  <c r="G73" i="6"/>
  <c r="C750" i="17"/>
  <c r="K714" i="17"/>
  <c r="C733" i="17"/>
  <c r="G46" i="15" s="1"/>
  <c r="H46" i="15" s="1"/>
  <c r="I214" i="1"/>
  <c r="J214" i="1" s="1" a="1"/>
  <c r="J214" i="1" s="1"/>
  <c r="I215" i="1"/>
  <c r="J215" i="1" s="1" a="1"/>
  <c r="J215" i="1" s="1"/>
  <c r="I216" i="1"/>
  <c r="J216" i="1" s="1" a="1"/>
  <c r="J216" i="1" s="1"/>
  <c r="I217" i="1"/>
  <c r="J217" i="1" s="1" a="1"/>
  <c r="J217" i="1" s="1"/>
  <c r="B49" i="9" a="1"/>
  <c r="I85" i="9" s="1" a="1"/>
  <c r="I85" i="9" s="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7"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s="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s="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s="1" a="1"/>
  <c r="J194" i="1" s="1"/>
  <c r="I195" i="1"/>
  <c r="J195" i="1" s="1" a="1"/>
  <c r="J195" i="1" s="1"/>
  <c r="I77" i="1"/>
  <c r="J77" i="1" s="1" a="1"/>
  <c r="J77" i="1" s="1"/>
  <c r="I127" i="1"/>
  <c r="J127" i="1" s="1" a="1"/>
  <c r="J127" i="1" s="1"/>
  <c r="I130" i="1"/>
  <c r="J130" i="1" s="1" a="1"/>
  <c r="J130" i="1" s="1"/>
  <c r="I131" i="1"/>
  <c r="J131" i="1" s="1" a="1"/>
  <c r="J131" i="1" s="1"/>
  <c r="I132" i="1"/>
  <c r="J132" i="1" s="1" a="1"/>
  <c r="J132" i="1" s="1"/>
  <c r="I133" i="1"/>
  <c r="J133" i="1" s="1" a="1"/>
  <c r="J133" i="1" s="1"/>
  <c r="I137" i="1"/>
  <c r="J137" i="1" s="1" a="1"/>
  <c r="J137" i="1" s="1"/>
  <c r="I138" i="1"/>
  <c r="J138" i="1" s="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s="1" a="1"/>
  <c r="J76" i="1" s="1"/>
  <c r="I78" i="1"/>
  <c r="J78" i="1" s="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s="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s="1" a="1"/>
  <c r="J153" i="1" s="1"/>
  <c r="I154" i="1"/>
  <c r="J154" i="1" s="1" a="1"/>
  <c r="J154" i="1" s="1"/>
  <c r="I155" i="1"/>
  <c r="J155" i="1" s="1" a="1"/>
  <c r="J155" i="1" s="1"/>
  <c r="I160" i="1"/>
  <c r="J160" i="1" s="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s="1" a="1"/>
  <c r="J189" i="1" s="1"/>
  <c r="I191" i="1"/>
  <c r="J191" i="1" s="1" a="1"/>
  <c r="J191" i="1" s="1"/>
  <c r="I196" i="1"/>
  <c r="J196" i="1" s="1" a="1"/>
  <c r="J196" i="1" s="1"/>
  <c r="J197" i="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G33" i="15"/>
  <c r="H33" i="15" s="1"/>
  <c r="G34" i="15"/>
  <c r="G35" i="15"/>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H10" i="15" s="1"/>
  <c r="F23" i="15"/>
  <c r="F25" i="15"/>
  <c r="F29" i="15"/>
  <c r="G28" i="15"/>
  <c r="G29" i="15"/>
  <c r="C204" i="17"/>
  <c r="G27" i="15"/>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5" i="20"/>
  <c r="R5" i="9" a="1"/>
  <c r="A34" i="20" s="1"/>
  <c r="G14" i="6"/>
  <c r="G2" i="21" a="1"/>
  <c r="G23" i="15"/>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E101" i="2"/>
  <c r="F101" i="2"/>
  <c r="H101" i="2" s="1"/>
  <c r="I101" i="2" s="1"/>
  <c r="D101" i="2" s="1"/>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G109" i="2" s="1"/>
  <c r="H239" i="1" s="1"/>
  <c r="E110" i="2"/>
  <c r="F110" i="2"/>
  <c r="E111" i="2"/>
  <c r="F111" i="2"/>
  <c r="E112" i="2"/>
  <c r="F112" i="2"/>
  <c r="G112" i="2" s="1"/>
  <c r="H242" i="1" s="1"/>
  <c r="E113" i="2"/>
  <c r="F113" i="2"/>
  <c r="G113" i="2" s="1"/>
  <c r="H265" i="1" s="1"/>
  <c r="E114" i="2"/>
  <c r="F114" i="2"/>
  <c r="H114" i="2" s="1"/>
  <c r="I114" i="2" s="1"/>
  <c r="D114" i="2" s="1"/>
  <c r="E115" i="2"/>
  <c r="F115" i="2"/>
  <c r="H115" i="2" s="1"/>
  <c r="I115" i="2" s="1"/>
  <c r="D115" i="2" s="1"/>
  <c r="E116" i="2"/>
  <c r="F116" i="2"/>
  <c r="H116" i="2" s="1"/>
  <c r="I116" i="2" s="1"/>
  <c r="D116" i="2" s="1"/>
  <c r="E117" i="2"/>
  <c r="F117" i="2"/>
  <c r="H117" i="2" s="1"/>
  <c r="I117" i="2" s="1"/>
  <c r="D117" i="2" s="1"/>
  <c r="G117" i="2"/>
  <c r="E118" i="2"/>
  <c r="F118" i="2"/>
  <c r="H118" i="2" s="1"/>
  <c r="I118" i="2" s="1"/>
  <c r="D118" i="2" s="1"/>
  <c r="E119" i="2"/>
  <c r="F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E27" i="2"/>
  <c r="E59" i="2"/>
  <c r="F59" i="2"/>
  <c r="H59" i="2" s="1"/>
  <c r="I59" i="2" s="1"/>
  <c r="D59" i="2" s="1"/>
  <c r="F28" i="2"/>
  <c r="H28" i="2" s="1"/>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s="1"/>
  <c r="I47" i="2" s="1"/>
  <c r="D47" i="2" s="1"/>
  <c r="E48" i="2"/>
  <c r="F48" i="2"/>
  <c r="F20" i="2"/>
  <c r="H20" i="2" s="1"/>
  <c r="I20" i="2" s="1"/>
  <c r="D20" i="2" s="1"/>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F18" i="2"/>
  <c r="H18" i="2" s="1"/>
  <c r="I18" i="2" s="1"/>
  <c r="D18" i="2" s="1"/>
  <c r="E18" i="2"/>
  <c r="E35" i="2"/>
  <c r="F35" i="2"/>
  <c r="H35" i="2" s="1"/>
  <c r="I35" i="2" s="1"/>
  <c r="D35" i="2" s="1"/>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H4" i="2" s="1"/>
  <c r="I4" i="2" s="1"/>
  <c r="D4" i="2" s="1"/>
  <c r="N3" i="7"/>
  <c r="N5" i="7"/>
  <c r="E6" i="11"/>
  <c r="D6" i="11"/>
  <c r="F3" i="2"/>
  <c r="J15" i="14"/>
  <c r="B2" i="2"/>
  <c r="H127" i="6"/>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P56" i="7"/>
  <c r="E76" i="7"/>
  <c r="C2" i="2"/>
  <c r="G120" i="2" l="1"/>
  <c r="H263" i="1" s="1"/>
  <c r="H63" i="1"/>
  <c r="H57" i="1"/>
  <c r="H42" i="1"/>
  <c r="H50" i="1"/>
  <c r="H59" i="1"/>
  <c r="H9" i="1"/>
  <c r="H45" i="1"/>
  <c r="H6" i="1"/>
  <c r="H44" i="1"/>
  <c r="H69" i="1"/>
  <c r="H30" i="1"/>
  <c r="H7" i="1"/>
  <c r="H65" i="1"/>
  <c r="H55" i="1"/>
  <c r="H35" i="1"/>
  <c r="H25" i="1"/>
  <c r="H49" i="1"/>
  <c r="H58" i="1"/>
  <c r="H14" i="1"/>
  <c r="H13" i="1"/>
  <c r="H28" i="1"/>
  <c r="H37" i="1"/>
  <c r="H43" i="1"/>
  <c r="H46" i="1"/>
  <c r="H4" i="1"/>
  <c r="H62" i="1"/>
  <c r="H27" i="1"/>
  <c r="H33" i="1"/>
  <c r="H66" i="1"/>
  <c r="G111" i="2"/>
  <c r="H241" i="1" s="1"/>
  <c r="G119" i="2"/>
  <c r="H261" i="1" s="1"/>
  <c r="G4" i="2"/>
  <c r="G6" i="2"/>
  <c r="H88" i="1" s="1"/>
  <c r="G50" i="2"/>
  <c r="H137" i="1" s="1"/>
  <c r="H113" i="2"/>
  <c r="I113" i="2" s="1"/>
  <c r="D113" i="2" s="1"/>
  <c r="G118" i="2"/>
  <c r="H260" i="1" s="1"/>
  <c r="H264" i="1"/>
  <c r="G17" i="2"/>
  <c r="H76" i="1" s="1"/>
  <c r="G116" i="2"/>
  <c r="H255" i="1" s="1"/>
  <c r="H119" i="2"/>
  <c r="I119" i="2" s="1"/>
  <c r="D119" i="2" s="1"/>
  <c r="G115" i="2"/>
  <c r="H68" i="1" s="1"/>
  <c r="H85" i="9" a="1"/>
  <c r="H85" i="9" s="1"/>
  <c r="P84" i="9"/>
  <c r="P85" i="9"/>
  <c r="L84" i="9" a="1"/>
  <c r="L84" i="9" s="1"/>
  <c r="N84" i="9" a="1"/>
  <c r="N84" i="9" s="1"/>
  <c r="N85" i="9" a="1"/>
  <c r="N85" i="9" s="1"/>
  <c r="M85" i="9" a="1"/>
  <c r="M85" i="9" s="1"/>
  <c r="K84" i="9" a="1"/>
  <c r="K84" i="9" s="1"/>
  <c r="L85" i="9" a="1"/>
  <c r="L85" i="9" s="1"/>
  <c r="J84" i="9" a="1"/>
  <c r="J84" i="9" s="1"/>
  <c r="K85" i="9" a="1"/>
  <c r="K85" i="9" s="1"/>
  <c r="I84" i="9" a="1"/>
  <c r="I84" i="9" s="1"/>
  <c r="G85" i="9" a="1"/>
  <c r="G85" i="9" s="1"/>
  <c r="M84" i="9" a="1"/>
  <c r="M84" i="9" s="1"/>
  <c r="J85" i="9" a="1"/>
  <c r="J85" i="9" s="1"/>
  <c r="H84" i="9" a="1"/>
  <c r="H84" i="9" s="1"/>
  <c r="G84" i="9" a="1"/>
  <c r="G84" i="9" s="1"/>
  <c r="O89" i="9"/>
  <c r="Q89" i="9" s="1"/>
  <c r="O88" i="9"/>
  <c r="Q88" i="9" s="1"/>
  <c r="O87" i="9"/>
  <c r="Q87" i="9" s="1"/>
  <c r="O86" i="9"/>
  <c r="Q86" i="9" s="1"/>
  <c r="G80" i="2"/>
  <c r="H197" i="1" s="1"/>
  <c r="H258" i="1"/>
  <c r="G94" i="2"/>
  <c r="H214" i="1" s="1"/>
  <c r="G59" i="2"/>
  <c r="H157" i="1" s="1"/>
  <c r="H257" i="1"/>
  <c r="H256" i="1"/>
  <c r="G35" i="2"/>
  <c r="H111" i="1" s="1"/>
  <c r="G8" i="2"/>
  <c r="H75" i="1" s="1"/>
  <c r="G57" i="2"/>
  <c r="H167" i="1" s="1"/>
  <c r="G46" i="2"/>
  <c r="H128" i="1" s="1"/>
  <c r="G43" i="2"/>
  <c r="H125" i="1" s="1"/>
  <c r="G48" i="2"/>
  <c r="H132" i="1" s="1"/>
  <c r="G89" i="2"/>
  <c r="H209" i="1" s="1"/>
  <c r="G98" i="2"/>
  <c r="H219" i="1" s="1"/>
  <c r="G34" i="2"/>
  <c r="H110" i="1" s="1"/>
  <c r="G85" i="2"/>
  <c r="H204" i="1" s="1"/>
  <c r="G71" i="2"/>
  <c r="H183" i="1" s="1"/>
  <c r="G28" i="2"/>
  <c r="H100" i="1" s="1"/>
  <c r="G75" i="2"/>
  <c r="H190" i="1" s="1"/>
  <c r="H88" i="2"/>
  <c r="I88" i="2" s="1"/>
  <c r="D88" i="2" s="1"/>
  <c r="G24" i="2"/>
  <c r="G69" i="2"/>
  <c r="H179" i="1" s="1"/>
  <c r="G33" i="2"/>
  <c r="H135" i="1" s="1"/>
  <c r="G21" i="2"/>
  <c r="H163" i="1" s="1"/>
  <c r="H34" i="1"/>
  <c r="H5" i="1"/>
  <c r="H19" i="1"/>
  <c r="G70" i="2"/>
  <c r="H182" i="1" s="1"/>
  <c r="H32" i="1"/>
  <c r="H10" i="1"/>
  <c r="G81" i="2"/>
  <c r="H200" i="1" s="1"/>
  <c r="H61" i="1"/>
  <c r="H24" i="1"/>
  <c r="H38" i="1"/>
  <c r="H17" i="1"/>
  <c r="H31" i="1"/>
  <c r="H244" i="1"/>
  <c r="G42" i="2"/>
  <c r="H124" i="1" s="1"/>
  <c r="H71" i="2"/>
  <c r="I71" i="2" s="1"/>
  <c r="D71" i="2" s="1"/>
  <c r="H56" i="1"/>
  <c r="H36" i="1"/>
  <c r="H60" i="1"/>
  <c r="H40" i="1"/>
  <c r="H47" i="1"/>
  <c r="G54" i="2"/>
  <c r="H199" i="1" s="1"/>
  <c r="G27" i="2"/>
  <c r="H99" i="1" s="1"/>
  <c r="H67" i="1"/>
  <c r="H8" i="1"/>
  <c r="H53" i="1"/>
  <c r="G22" i="2"/>
  <c r="H90" i="1" s="1"/>
  <c r="G56" i="2"/>
  <c r="H148" i="1" s="1"/>
  <c r="H12" i="1"/>
  <c r="H18" i="1"/>
  <c r="H3" i="1"/>
  <c r="H11" i="1"/>
  <c r="H26" i="1"/>
  <c r="H29" i="1"/>
  <c r="H52" i="1"/>
  <c r="G61" i="2"/>
  <c r="H165" i="1" s="1"/>
  <c r="G91" i="2"/>
  <c r="H210" i="1" s="1"/>
  <c r="H20" i="1"/>
  <c r="H54" i="1"/>
  <c r="H15" i="1"/>
  <c r="H48" i="1"/>
  <c r="H2" i="1"/>
  <c r="H16" i="1"/>
  <c r="H51" i="1"/>
  <c r="G114" i="2"/>
  <c r="H245" i="1" s="1"/>
  <c r="G83" i="2"/>
  <c r="H202" i="1" s="1"/>
  <c r="H64" i="1"/>
  <c r="G55" i="2"/>
  <c r="H147" i="1" s="1"/>
  <c r="H21" i="1"/>
  <c r="H41" i="1"/>
  <c r="H23" i="1"/>
  <c r="H22" i="1"/>
  <c r="H39" i="1"/>
  <c r="G66" i="2"/>
  <c r="H176" i="1" s="1"/>
  <c r="G44" i="2"/>
  <c r="H126" i="1" s="1"/>
  <c r="G78" i="2"/>
  <c r="H195" i="1" s="1"/>
  <c r="H66" i="2"/>
  <c r="I66" i="2" s="1"/>
  <c r="D66" i="2" s="1"/>
  <c r="G87" i="2"/>
  <c r="H207" i="1" s="1"/>
  <c r="H22" i="2"/>
  <c r="I22" i="2" s="1"/>
  <c r="D22" i="2" s="1"/>
  <c r="G53" i="2"/>
  <c r="H144" i="1" s="1"/>
  <c r="G13" i="2"/>
  <c r="H79" i="1" s="1"/>
  <c r="G108" i="2"/>
  <c r="H235" i="1" s="1"/>
  <c r="G97" i="2"/>
  <c r="H218" i="1" s="1"/>
  <c r="H111" i="2"/>
  <c r="I111" i="2" s="1"/>
  <c r="D111" i="2" s="1"/>
  <c r="G32" i="2"/>
  <c r="H106" i="1" s="1"/>
  <c r="G64" i="2"/>
  <c r="H173" i="1" s="1"/>
  <c r="G26" i="2"/>
  <c r="H98" i="1" s="1"/>
  <c r="G18" i="2"/>
  <c r="H133" i="1" s="1"/>
  <c r="G92" i="2"/>
  <c r="H230" i="1" s="1"/>
  <c r="H85" i="2"/>
  <c r="I85" i="2" s="1"/>
  <c r="D85" i="2" s="1"/>
  <c r="G29" i="2"/>
  <c r="H101" i="1" s="1"/>
  <c r="H75" i="2"/>
  <c r="I75" i="2" s="1"/>
  <c r="D75" i="2" s="1"/>
  <c r="G9" i="2"/>
  <c r="G76" i="2"/>
  <c r="H192" i="1" s="1"/>
  <c r="G96" i="2"/>
  <c r="H216" i="1" s="1"/>
  <c r="G110" i="2"/>
  <c r="H243" i="1" s="1"/>
  <c r="W42" i="9" a="1"/>
  <c r="W42" i="9" s="1"/>
  <c r="X42" i="9" a="1"/>
  <c r="X42" i="9" s="1"/>
  <c r="AB42" i="9" a="1"/>
  <c r="AB42" i="9" s="1"/>
  <c r="Y42" i="9" a="1"/>
  <c r="Y42" i="9" s="1"/>
  <c r="Z42" i="9" a="1"/>
  <c r="Z42" i="9" s="1"/>
  <c r="AA42" i="9" a="1"/>
  <c r="AA42" i="9" s="1"/>
  <c r="AC42" i="9" a="1"/>
  <c r="AC42" i="9" s="1"/>
  <c r="T42" i="9" a="1"/>
  <c r="T42" i="9" s="1"/>
  <c r="U42" i="9" a="1"/>
  <c r="U42" i="9" s="1"/>
  <c r="AD42" i="9" a="1"/>
  <c r="AD42" i="9" s="1"/>
  <c r="V42" i="9" a="1"/>
  <c r="V42" i="9" s="1"/>
  <c r="AF42" i="9"/>
  <c r="B34" i="20" s="1"/>
  <c r="S42" i="9" a="1"/>
  <c r="S42" i="9" s="1"/>
  <c r="H9" i="15"/>
  <c r="H28" i="15"/>
  <c r="J30" i="15"/>
  <c r="K30" i="15"/>
  <c r="C114" i="23"/>
  <c r="C116" i="23" s="1"/>
  <c r="H50" i="2"/>
  <c r="I50" i="2" s="1"/>
  <c r="D50" i="2" s="1"/>
  <c r="H48" i="2"/>
  <c r="I48" i="2" s="1"/>
  <c r="D48" i="2" s="1"/>
  <c r="H109" i="2"/>
  <c r="I109" i="2" s="1"/>
  <c r="D109" i="2" s="1"/>
  <c r="G105" i="2"/>
  <c r="G100" i="2"/>
  <c r="H221" i="1" s="1"/>
  <c r="G95" i="2"/>
  <c r="H227" i="1" s="1"/>
  <c r="G39" i="2"/>
  <c r="H161" i="1" s="1"/>
  <c r="G62" i="2"/>
  <c r="H166" i="1" s="1"/>
  <c r="C93" i="23"/>
  <c r="G63" i="2"/>
  <c r="H169" i="1" s="1"/>
  <c r="C22" i="23"/>
  <c r="G38" i="2"/>
  <c r="H116" i="1" s="1"/>
  <c r="G47" i="2"/>
  <c r="H131" i="1" s="1"/>
  <c r="G60" i="2"/>
  <c r="H164" i="1" s="1"/>
  <c r="G103" i="2"/>
  <c r="H225" i="1" s="1"/>
  <c r="G93" i="2"/>
  <c r="H213" i="1" s="1"/>
  <c r="G41" i="2"/>
  <c r="H120" i="1" s="1"/>
  <c r="G49" i="2"/>
  <c r="H136" i="1" s="1"/>
  <c r="G107" i="2"/>
  <c r="H234" i="1" s="1"/>
  <c r="H112" i="2"/>
  <c r="I112" i="2" s="1"/>
  <c r="D112" i="2" s="1"/>
  <c r="H110" i="2"/>
  <c r="I110" i="2" s="1"/>
  <c r="D110" i="2" s="1"/>
  <c r="G106" i="2"/>
  <c r="H233" i="1" s="1"/>
  <c r="G11" i="2"/>
  <c r="H91" i="1" s="1"/>
  <c r="G31" i="2"/>
  <c r="H103" i="1" s="1"/>
  <c r="G40" i="2"/>
  <c r="H119" i="1" s="1"/>
  <c r="G45" i="2"/>
  <c r="H130" i="1" s="1"/>
  <c r="G101" i="2"/>
  <c r="H222" i="1" s="1"/>
  <c r="A34" i="21"/>
  <c r="B34" i="21" s="1"/>
  <c r="A38" i="21"/>
  <c r="B38" i="21" s="1"/>
  <c r="A10" i="20"/>
  <c r="A33" i="20"/>
  <c r="E117" i="9"/>
  <c r="U24" i="9" s="1" a="1"/>
  <c r="U24" i="9" s="1"/>
  <c r="T41" i="9" a="1"/>
  <c r="T41" i="9" s="1"/>
  <c r="U41" i="9" a="1"/>
  <c r="U41" i="9" s="1"/>
  <c r="V41" i="9" a="1"/>
  <c r="V41" i="9" s="1"/>
  <c r="AF41" i="9"/>
  <c r="B33" i="20" s="1"/>
  <c r="S41" i="9" a="1"/>
  <c r="S41" i="9" s="1"/>
  <c r="AD41" i="9" a="1"/>
  <c r="AD41" i="9" s="1"/>
  <c r="AC41" i="9" a="1"/>
  <c r="AC41" i="9" s="1"/>
  <c r="AB41" i="9" a="1"/>
  <c r="AB41" i="9" s="1"/>
  <c r="AA41" i="9" a="1"/>
  <c r="AA41" i="9" s="1"/>
  <c r="Z41" i="9" a="1"/>
  <c r="Z41" i="9" s="1"/>
  <c r="Y41" i="9" a="1"/>
  <c r="Y41" i="9" s="1"/>
  <c r="X41" i="9" a="1"/>
  <c r="X41" i="9" s="1"/>
  <c r="W41" i="9" a="1"/>
  <c r="W41" i="9" s="1"/>
  <c r="AC40" i="9" a="1"/>
  <c r="AC40" i="9" s="1"/>
  <c r="T40" i="9" a="1"/>
  <c r="T40" i="9" s="1"/>
  <c r="S40" i="9" a="1"/>
  <c r="S40" i="9" s="1"/>
  <c r="AB40" i="9" a="1"/>
  <c r="AB40" i="9" s="1"/>
  <c r="AA40" i="9" a="1"/>
  <c r="AA40" i="9" s="1"/>
  <c r="Z40" i="9" a="1"/>
  <c r="Z40" i="9" s="1"/>
  <c r="Y40" i="9" a="1"/>
  <c r="Y40" i="9" s="1"/>
  <c r="AD39" i="9" a="1"/>
  <c r="AD39" i="9" s="1"/>
  <c r="X40" i="9" a="1"/>
  <c r="X40" i="9" s="1"/>
  <c r="W40" i="9" a="1"/>
  <c r="W40" i="9" s="1"/>
  <c r="AF40" i="9"/>
  <c r="B10" i="20" s="1"/>
  <c r="V40" i="9" a="1"/>
  <c r="V40" i="9" s="1"/>
  <c r="AD40" i="9" a="1"/>
  <c r="AD40" i="9" s="1"/>
  <c r="U40" i="9" a="1"/>
  <c r="U40" i="9" s="1"/>
  <c r="H40" i="15"/>
  <c r="H23" i="15"/>
  <c r="H29" i="15"/>
  <c r="H35" i="15"/>
  <c r="H25" i="15"/>
  <c r="H27" i="15"/>
  <c r="F55" i="15"/>
  <c r="H30" i="15"/>
  <c r="H47" i="15"/>
  <c r="C6" i="8"/>
  <c r="H34" i="15"/>
  <c r="I127" i="6"/>
  <c r="C92" i="23"/>
  <c r="C69" i="23"/>
  <c r="C46" i="23"/>
  <c r="C48" i="23" s="1"/>
  <c r="C21" i="23"/>
  <c r="H140" i="1"/>
  <c r="H105" i="1"/>
  <c r="G12" i="2"/>
  <c r="H168" i="1" s="1"/>
  <c r="G7" i="2"/>
  <c r="H81" i="1" s="1"/>
  <c r="G58" i="2"/>
  <c r="H154" i="1" s="1"/>
  <c r="G74" i="2"/>
  <c r="H191" i="1" s="1"/>
  <c r="G102" i="2"/>
  <c r="H223" i="1" s="1"/>
  <c r="G14" i="2"/>
  <c r="H97" i="1" s="1"/>
  <c r="G73" i="2"/>
  <c r="H188" i="1" s="1"/>
  <c r="G77" i="2"/>
  <c r="H27" i="2"/>
  <c r="I27" i="2" s="1"/>
  <c r="D27" i="2" s="1"/>
  <c r="G84" i="2"/>
  <c r="G52" i="2"/>
  <c r="H155" i="1" s="1"/>
  <c r="G68" i="2"/>
  <c r="H178" i="1" s="1"/>
  <c r="G82" i="2"/>
  <c r="H201" i="1" s="1"/>
  <c r="H34" i="2"/>
  <c r="I34" i="2" s="1"/>
  <c r="D34" i="2" s="1"/>
  <c r="G65" i="2"/>
  <c r="H174" i="1" s="1"/>
  <c r="G72" i="2"/>
  <c r="H184" i="1" s="1"/>
  <c r="H62" i="2"/>
  <c r="I62" i="2" s="1"/>
  <c r="D62" i="2" s="1"/>
  <c r="G104" i="2"/>
  <c r="H228" i="1" s="1"/>
  <c r="G90" i="2"/>
  <c r="H205" i="1" s="1"/>
  <c r="G86" i="2"/>
  <c r="H206" i="1" s="1"/>
  <c r="G23" i="2"/>
  <c r="G19" i="2"/>
  <c r="H78" i="1" s="1"/>
  <c r="G25" i="2"/>
  <c r="H96" i="1" s="1"/>
  <c r="G10" i="2"/>
  <c r="H80" i="1" s="1"/>
  <c r="G37" i="2"/>
  <c r="H115" i="1" s="1"/>
  <c r="G99" i="2"/>
  <c r="H220" i="1" s="1"/>
  <c r="A37" i="21"/>
  <c r="B37" i="21" s="1"/>
  <c r="H48" i="15"/>
  <c r="H32" i="15"/>
  <c r="D84" i="17"/>
  <c r="D899" i="17" s="1"/>
  <c r="G30" i="2"/>
  <c r="G51" i="2"/>
  <c r="H138" i="1" s="1"/>
  <c r="G15" i="2"/>
  <c r="G67" i="2"/>
  <c r="G36" i="2"/>
  <c r="H61" i="2"/>
  <c r="I61" i="2" s="1"/>
  <c r="D61" i="2" s="1"/>
  <c r="H100" i="2"/>
  <c r="I100" i="2" s="1"/>
  <c r="D100" i="2" s="1"/>
  <c r="G20" i="2"/>
  <c r="H68" i="2"/>
  <c r="I68" i="2" s="1"/>
  <c r="D68" i="2" s="1"/>
  <c r="G16" i="2"/>
  <c r="H104" i="2"/>
  <c r="H102" i="2"/>
  <c r="I102" i="2" s="1"/>
  <c r="D102" i="2" s="1"/>
  <c r="H86" i="2"/>
  <c r="I86" i="2" s="1"/>
  <c r="D86" i="2" s="1"/>
  <c r="G79" i="2"/>
  <c r="H196" i="1" s="1"/>
  <c r="G5" i="2"/>
  <c r="H139" i="1" s="1"/>
  <c r="I266" i="1" a="1"/>
  <c r="I266" i="1" s="1"/>
  <c r="E4" i="8" s="1"/>
  <c r="J121" i="9"/>
  <c r="Z28" i="9" s="1" a="1"/>
  <c r="Z28" i="9" s="1"/>
  <c r="K103" i="9"/>
  <c r="AA10" i="9" s="1" a="1"/>
  <c r="AA10" i="9" s="1"/>
  <c r="P59" i="9"/>
  <c r="L52" i="9" a="1"/>
  <c r="L52" i="9" s="1"/>
  <c r="D128" i="9"/>
  <c r="T35" i="9" s="1" a="1"/>
  <c r="T35" i="9" s="1"/>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B16" i="20" s="1"/>
  <c r="A38" i="20"/>
  <c r="A14" i="20"/>
  <c r="A39" i="20"/>
  <c r="E121" i="9"/>
  <c r="U28" i="9" s="1" a="1"/>
  <c r="U28" i="9" s="1"/>
  <c r="H117" i="9"/>
  <c r="X24" i="9" s="1" a="1"/>
  <c r="X24" i="9" s="1"/>
  <c r="I118" i="9"/>
  <c r="Y25" i="9" s="1" a="1"/>
  <c r="Y25" i="9" s="1"/>
  <c r="D127" i="9"/>
  <c r="T34" i="9" s="1" a="1"/>
  <c r="T34" i="9" s="1"/>
  <c r="L64" i="9" a="1"/>
  <c r="L64" i="9" s="1"/>
  <c r="H118" i="9"/>
  <c r="X25" i="9" s="1" a="1"/>
  <c r="X25" i="9" s="1"/>
  <c r="K56" i="9" a="1"/>
  <c r="K56" i="9" s="1"/>
  <c r="AD13" i="9" a="1"/>
  <c r="AD13" i="9" s="1"/>
  <c r="K102" i="9"/>
  <c r="AA9" i="9" s="1" a="1"/>
  <c r="AA9" i="9" s="1"/>
  <c r="C102" i="9"/>
  <c r="S9" i="9" s="1" a="1"/>
  <c r="S9" i="9" s="1"/>
  <c r="K101" i="9"/>
  <c r="AA8" i="9" s="1" a="1"/>
  <c r="AA8" i="9" s="1"/>
  <c r="H109" i="9"/>
  <c r="P123" i="9"/>
  <c r="AF30" i="9" s="1"/>
  <c r="B17" i="20" s="1"/>
  <c r="A24" i="20"/>
  <c r="A22" i="20"/>
  <c r="M103" i="9"/>
  <c r="AC10" i="9" s="1" a="1"/>
  <c r="AC10" i="9" s="1"/>
  <c r="P103" i="9"/>
  <c r="AF10" i="9" s="1"/>
  <c r="B26" i="20" s="1"/>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V28" i="9" s="1" a="1"/>
  <c r="V28" i="9" s="1"/>
  <c r="AD36" i="9" a="1"/>
  <c r="AD36" i="9" s="1"/>
  <c r="A13" i="21"/>
  <c r="B13" i="21" s="1"/>
  <c r="H106" i="9"/>
  <c r="X13" i="9" s="1" a="1"/>
  <c r="X13" i="9" s="1"/>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19" i="20" s="1"/>
  <c r="L79" i="9" a="1"/>
  <c r="L79" i="9" s="1"/>
  <c r="P72" i="9"/>
  <c r="J118" i="9"/>
  <c r="Z25" i="9" s="1" a="1"/>
  <c r="Z25" i="9" s="1"/>
  <c r="AD6" i="9" a="1"/>
  <c r="AD6" i="9" s="1"/>
  <c r="H121" i="9"/>
  <c r="X28" i="9" s="1" a="1"/>
  <c r="X28" i="9" s="1"/>
  <c r="P100" i="9"/>
  <c r="AF7" i="9" s="1"/>
  <c r="B28"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20" i="20"/>
  <c r="B11" i="9"/>
  <c r="E11" i="9" s="1"/>
  <c r="G99" i="9"/>
  <c r="W6" i="9" s="1" a="1"/>
  <c r="W6" i="9" s="1"/>
  <c r="F109" i="9"/>
  <c r="V16" i="9" s="1" a="1"/>
  <c r="V16" i="9" s="1"/>
  <c r="F128" i="9"/>
  <c r="V35" i="9" s="1" a="1"/>
  <c r="V35" i="9" s="1"/>
  <c r="M66" i="9" a="1"/>
  <c r="M66" i="9" s="1"/>
  <c r="J101" i="9"/>
  <c r="Z8" i="9" s="1" a="1"/>
  <c r="Z8" i="9" s="1"/>
  <c r="D118" i="9"/>
  <c r="T25" i="9" s="1" a="1"/>
  <c r="T25" i="9" s="1"/>
  <c r="P74" i="9"/>
  <c r="L111" i="9"/>
  <c r="AB18" i="9" s="1" a="1"/>
  <c r="AB18" i="9" s="1"/>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X8" i="9" s="1" a="1"/>
  <c r="X8" i="9" s="1"/>
  <c r="A25"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W31" i="9" s="1" a="1"/>
  <c r="W31" i="9" s="1"/>
  <c r="M59" i="9" a="1"/>
  <c r="M59" i="9" s="1"/>
  <c r="A8" i="21"/>
  <c r="B8" i="21" s="1"/>
  <c r="M117" i="9"/>
  <c r="AC24" i="9" s="1" a="1"/>
  <c r="AC24" i="9" s="1"/>
  <c r="E128" i="9"/>
  <c r="U35" i="9" s="1" a="1"/>
  <c r="U35" i="9" s="1"/>
  <c r="D131" i="9"/>
  <c r="T38" i="9" s="1" a="1"/>
  <c r="T38"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1"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AC33" i="9" s="1" a="1"/>
  <c r="AC33" i="9" s="1"/>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AB15" i="9" s="1" a="1"/>
  <c r="AB15" i="9" s="1"/>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31"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W35" i="9" s="1" a="1"/>
  <c r="W35" i="9" s="1"/>
  <c r="M61" i="9" a="1"/>
  <c r="M61" i="9" s="1"/>
  <c r="K71" i="9" a="1"/>
  <c r="K71" i="9" s="1"/>
  <c r="M130" i="9"/>
  <c r="AC37" i="9" s="1" a="1"/>
  <c r="AC37" i="9" s="1"/>
  <c r="N72" i="9" a="1"/>
  <c r="N72" i="9" s="1"/>
  <c r="N68" i="9" a="1"/>
  <c r="N68" i="9" s="1"/>
  <c r="H107" i="9"/>
  <c r="X14" i="9" s="1" a="1"/>
  <c r="X14" i="9" s="1"/>
  <c r="H120" i="9"/>
  <c r="X27" i="9" s="1" a="1"/>
  <c r="X27" i="9" s="1"/>
  <c r="G50" i="9" a="1"/>
  <c r="G50" i="9" s="1"/>
  <c r="L132" i="9"/>
  <c r="AB39" i="9" s="1" a="1"/>
  <c r="AB39" i="9" s="1"/>
  <c r="E104" i="9"/>
  <c r="U11" i="9" s="1" a="1"/>
  <c r="U11" i="9" s="1"/>
  <c r="H66" i="9" a="1"/>
  <c r="H66" i="9" s="1"/>
  <c r="L102" i="9"/>
  <c r="AB9" i="9" s="1" a="1"/>
  <c r="AB9" i="9" s="1"/>
  <c r="P119" i="9"/>
  <c r="AF26" i="9" s="1"/>
  <c r="B31" i="20"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13" i="20"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2" i="20" s="1"/>
  <c r="J104" i="9"/>
  <c r="Z11" i="9" s="1" a="1"/>
  <c r="Z11" i="9" s="1"/>
  <c r="AD31" i="9" a="1"/>
  <c r="AD31" i="9" s="1"/>
  <c r="K121" i="9"/>
  <c r="AA28" i="9" s="1" a="1"/>
  <c r="AA28" i="9" s="1"/>
  <c r="B3" i="9"/>
  <c r="B10" i="9"/>
  <c r="P62" i="9"/>
  <c r="C101" i="9"/>
  <c r="S8" i="9" s="1" a="1"/>
  <c r="S8" i="9" s="1"/>
  <c r="C103" i="9"/>
  <c r="S10" i="9" s="1" a="1"/>
  <c r="S10" i="9" s="1"/>
  <c r="P104" i="9"/>
  <c r="AF11" i="9" s="1"/>
  <c r="B11" i="20" s="1"/>
  <c r="P109" i="9"/>
  <c r="AF16" i="9" s="1"/>
  <c r="B14" i="20" s="1"/>
  <c r="C112" i="9"/>
  <c r="S19" i="9" s="1" a="1"/>
  <c r="S19" i="9" s="1"/>
  <c r="L110" i="9"/>
  <c r="AB17" i="9" s="1" a="1"/>
  <c r="AB17" i="9" s="1"/>
  <c r="L61" i="9" a="1"/>
  <c r="L61" i="9" s="1"/>
  <c r="I80" i="9" a="1"/>
  <c r="I80" i="9" s="1"/>
  <c r="I128" i="9"/>
  <c r="Y35" i="9" s="1" a="1"/>
  <c r="Y35" i="9" s="1"/>
  <c r="H61" i="9" a="1"/>
  <c r="H61" i="9" s="1"/>
  <c r="M73" i="9" a="1"/>
  <c r="M73" i="9" s="1"/>
  <c r="P116" i="9"/>
  <c r="AF23" i="9" s="1"/>
  <c r="B8"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8" i="20" s="1"/>
  <c r="C105" i="9"/>
  <c r="S12" i="9" s="1" a="1"/>
  <c r="S12" i="9" s="1"/>
  <c r="H52" i="9" a="1"/>
  <c r="H52" i="9" s="1"/>
  <c r="I75" i="9" a="1"/>
  <c r="I75" i="9" s="1"/>
  <c r="J66" i="9" a="1"/>
  <c r="J66" i="9" s="1"/>
  <c r="I77" i="9" a="1"/>
  <c r="I77" i="9" s="1"/>
  <c r="J65" i="9" a="1"/>
  <c r="J65" i="9" s="1"/>
  <c r="H81" i="9" a="1"/>
  <c r="H81" i="9" s="1"/>
  <c r="J70" i="9" a="1"/>
  <c r="J70" i="9" s="1"/>
  <c r="L129" i="9"/>
  <c r="AB36" i="9" s="1" a="1"/>
  <c r="AB36" i="9" s="1"/>
  <c r="G125" i="9"/>
  <c r="W32" i="9" s="1" a="1"/>
  <c r="W32" i="9" s="1"/>
  <c r="AD28" i="9" a="1"/>
  <c r="AD28" i="9" s="1"/>
  <c r="G122" i="9"/>
  <c r="W29" i="9" s="1" a="1"/>
  <c r="W29" i="9" s="1"/>
  <c r="AD10" i="9" a="1"/>
  <c r="AD10" i="9" s="1"/>
  <c r="C122" i="9"/>
  <c r="S29" i="9" s="1" a="1"/>
  <c r="S29" i="9" s="1"/>
  <c r="P131" i="9"/>
  <c r="AF38" i="9" s="1"/>
  <c r="B3" i="20" s="1"/>
  <c r="E100" i="9"/>
  <c r="U7" i="9" s="1" a="1"/>
  <c r="U7" i="9" s="1"/>
  <c r="C99" i="9"/>
  <c r="S6" i="9" s="1" a="1"/>
  <c r="S6" i="9" s="1"/>
  <c r="P115" i="9"/>
  <c r="AF22" i="9" s="1"/>
  <c r="B25" i="20" s="1"/>
  <c r="H115" i="9"/>
  <c r="X22" i="9" s="1" a="1"/>
  <c r="X22" i="9" s="1"/>
  <c r="AD14" i="9" a="1"/>
  <c r="AD14" i="9" s="1"/>
  <c r="P126" i="9"/>
  <c r="AF33" i="9" s="1"/>
  <c r="B24" i="20"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AF39" i="9" s="1"/>
  <c r="B4" i="20" s="1"/>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1" i="20" s="1"/>
  <c r="L114" i="9"/>
  <c r="AB21" i="9" s="1" a="1"/>
  <c r="AB21" i="9" s="1"/>
  <c r="K115" i="9"/>
  <c r="AA22" i="9" s="1" a="1"/>
  <c r="AA22" i="9" s="1"/>
  <c r="P122" i="9"/>
  <c r="AF29" i="9" s="1"/>
  <c r="B27" i="20" s="1"/>
  <c r="H132" i="9"/>
  <c r="X39" i="9" s="1" a="1"/>
  <c r="X39" i="9" s="1"/>
  <c r="M118" i="9"/>
  <c r="AC25" i="9" s="1" a="1"/>
  <c r="AC25" i="9" s="1"/>
  <c r="K60" i="9" a="1"/>
  <c r="K60" i="9" s="1"/>
  <c r="B6" i="9"/>
  <c r="C6" i="9" s="1"/>
  <c r="I71" i="9" a="1"/>
  <c r="I71" i="9" s="1"/>
  <c r="K53" i="9" a="1"/>
  <c r="K53" i="9" s="1"/>
  <c r="J105" i="9"/>
  <c r="Z12" i="9" s="1" a="1"/>
  <c r="Z12" i="9" s="1"/>
  <c r="E108" i="9"/>
  <c r="U15" i="9" s="1" a="1"/>
  <c r="U15" i="9" s="1"/>
  <c r="P121" i="9"/>
  <c r="AF28" i="9" s="1"/>
  <c r="B29"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5" i="20" s="1"/>
  <c r="P68" i="9"/>
  <c r="K81" i="9" a="1"/>
  <c r="K81" i="9" s="1"/>
  <c r="K68" i="9" a="1"/>
  <c r="K68" i="9" s="1"/>
  <c r="D132" i="9"/>
  <c r="T39" i="9" s="1" a="1"/>
  <c r="T39" i="9" s="1"/>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W39" i="9" s="1" a="1"/>
  <c r="W39" i="9" s="1"/>
  <c r="E126" i="9"/>
  <c r="U33" i="9" s="1" a="1"/>
  <c r="U33" i="9" s="1"/>
  <c r="P99" i="9"/>
  <c r="AF6" i="9" s="1"/>
  <c r="B9"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2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S39" i="9" s="1" a="1"/>
  <c r="S39" i="9" s="1"/>
  <c r="D107" i="9"/>
  <c r="T14" i="9" s="1" a="1"/>
  <c r="T14" i="9" s="1"/>
  <c r="M104" i="9"/>
  <c r="AC11" i="9" s="1" a="1"/>
  <c r="AC11" i="9" s="1"/>
  <c r="AD15" i="9" a="1"/>
  <c r="AD15" i="9" s="1"/>
  <c r="K83" i="9" a="1"/>
  <c r="K83" i="9" s="1"/>
  <c r="P101" i="9"/>
  <c r="AF8" i="9" s="1"/>
  <c r="B22"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Y39" i="9" s="1" a="1"/>
  <c r="Y39" i="9" s="1"/>
  <c r="P110" i="9"/>
  <c r="AF17" i="9" s="1"/>
  <c r="B30"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2" i="20" s="1"/>
  <c r="J124" i="9"/>
  <c r="Z31" i="9" s="1" a="1"/>
  <c r="Z31" i="9" s="1"/>
  <c r="H112" i="9"/>
  <c r="X19" i="9" s="1" a="1"/>
  <c r="X19" i="9" s="1"/>
  <c r="G83" i="9" a="1"/>
  <c r="G83" i="9" s="1"/>
  <c r="J132" i="9"/>
  <c r="Z39" i="9" s="1" a="1"/>
  <c r="Z39" i="9" s="1"/>
  <c r="F132" i="9"/>
  <c r="V39" i="9" s="1" a="1"/>
  <c r="V39" i="9" s="1"/>
  <c r="D116" i="9"/>
  <c r="T23" i="9" s="1" a="1"/>
  <c r="T23" i="9" s="1"/>
  <c r="P128" i="9"/>
  <c r="AF35" i="9" s="1"/>
  <c r="B39" i="20" s="1"/>
  <c r="D122" i="9"/>
  <c r="T29" i="9" s="1" a="1"/>
  <c r="T29" i="9" s="1"/>
  <c r="P105" i="9"/>
  <c r="AF12" i="9" s="1"/>
  <c r="B23"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U39" i="9" s="1" a="1"/>
  <c r="U39" i="9" s="1"/>
  <c r="A19" i="20"/>
  <c r="A9" i="20"/>
  <c r="A7" i="20"/>
  <c r="A26" i="20"/>
  <c r="A4" i="20"/>
  <c r="A18" i="20"/>
  <c r="A17" i="20"/>
  <c r="A8" i="20"/>
  <c r="A16" i="20"/>
  <c r="A21" i="20"/>
  <c r="R5" i="9"/>
  <c r="A23" i="20"/>
  <c r="A29" i="20"/>
  <c r="K132" i="9"/>
  <c r="AA39" i="9" s="1" a="1"/>
  <c r="AA39" i="9" s="1"/>
  <c r="A27" i="21"/>
  <c r="B27" i="21" s="1"/>
  <c r="A18" i="21"/>
  <c r="B18" i="21" s="1"/>
  <c r="A12" i="21"/>
  <c r="B12" i="21" s="1"/>
  <c r="A14" i="21"/>
  <c r="B14" i="21" s="1"/>
  <c r="A6" i="21"/>
  <c r="B6" i="21" s="1"/>
  <c r="M132" i="9"/>
  <c r="AC39" i="9" s="1" a="1"/>
  <c r="AC39" i="9" s="1"/>
  <c r="N83" i="9" a="1"/>
  <c r="N83" i="9" s="1"/>
  <c r="A35" i="21"/>
  <c r="B35" i="21" s="1"/>
  <c r="G82" i="9" a="1"/>
  <c r="G82" i="9" s="1"/>
  <c r="A29" i="21"/>
  <c r="B29" i="21" s="1"/>
  <c r="A15" i="21"/>
  <c r="B15" i="21" s="1"/>
  <c r="A22" i="21"/>
  <c r="B22" i="21" s="1"/>
  <c r="P50" i="9"/>
  <c r="J82" i="9" a="1"/>
  <c r="J82" i="9" s="1"/>
  <c r="G69" i="9" a="1"/>
  <c r="G69" i="9" s="1"/>
  <c r="A25" i="21"/>
  <c r="B25" i="21" s="1"/>
  <c r="A10" i="21"/>
  <c r="B10" i="21" s="1"/>
  <c r="A23" i="21"/>
  <c r="B23" i="21" s="1"/>
  <c r="H51" i="9" a="1"/>
  <c r="H51" i="9" s="1"/>
  <c r="G67" i="9" a="1"/>
  <c r="G67" i="9" s="1"/>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6" i="20"/>
  <c r="M120" i="9"/>
  <c r="AC27" i="9" s="1" a="1"/>
  <c r="AC27" i="9" s="1"/>
  <c r="F126" i="9"/>
  <c r="V33" i="9" s="1" a="1"/>
  <c r="V33" i="9" s="1"/>
  <c r="G120" i="9"/>
  <c r="W27" i="9" s="1" a="1"/>
  <c r="W27" i="9" s="1"/>
  <c r="A30"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28" i="20"/>
  <c r="A3" i="20"/>
  <c r="G108" i="9"/>
  <c r="W15" i="9" s="1" a="1"/>
  <c r="W15" i="9" s="1"/>
  <c r="K51" i="9" a="1"/>
  <c r="K51" i="9" s="1"/>
  <c r="H50" i="9" a="1"/>
  <c r="H50" i="9" s="1"/>
  <c r="N54" i="9" a="1"/>
  <c r="N54" i="9" s="1"/>
  <c r="I51" i="9" a="1"/>
  <c r="I51" i="9" s="1"/>
  <c r="A15" i="20"/>
  <c r="A5" i="20"/>
  <c r="A37" i="20"/>
  <c r="N64" i="9" a="1"/>
  <c r="N64" i="9" s="1"/>
  <c r="P113" i="9"/>
  <c r="AF20" i="9" s="1"/>
  <c r="B37" i="20" s="1"/>
  <c r="L54" i="9" a="1"/>
  <c r="L54" i="9" s="1"/>
  <c r="G75" i="9" a="1"/>
  <c r="G75" i="9" s="1"/>
  <c r="A32" i="20"/>
  <c r="J54" i="9" a="1"/>
  <c r="J54" i="9" s="1"/>
  <c r="A12" i="20"/>
  <c r="A36" i="20"/>
  <c r="I54" i="9" a="1"/>
  <c r="I54" i="9" s="1"/>
  <c r="A40" i="20"/>
  <c r="A27" i="20"/>
  <c r="A13" i="20"/>
  <c r="B49" i="9"/>
  <c r="L49" i="9" s="1" a="1"/>
  <c r="L49" i="9" s="1"/>
  <c r="H80" i="9" a="1"/>
  <c r="H80" i="9" s="1"/>
  <c r="H57" i="9" a="1"/>
  <c r="H57" i="9" s="1"/>
  <c r="G79" i="9" a="1"/>
  <c r="G79" i="9" s="1"/>
  <c r="L80" i="9" a="1"/>
  <c r="L80" i="9" s="1"/>
  <c r="G81" i="9" a="1"/>
  <c r="G81" i="9" s="1"/>
  <c r="G55" i="9" a="1"/>
  <c r="G55" i="9" s="1"/>
  <c r="H71" i="9" a="1"/>
  <c r="H71" i="9" s="1"/>
  <c r="H65" i="9" a="1"/>
  <c r="H65" i="9" s="1"/>
  <c r="G59" i="9" a="1"/>
  <c r="G59" i="9" s="1"/>
  <c r="AD34" i="9" a="1"/>
  <c r="AD34" i="9" s="1"/>
  <c r="G51" i="9" a="1"/>
  <c r="G51" i="9" s="1"/>
  <c r="J266" i="1" a="1"/>
  <c r="J266" i="1" s="1"/>
  <c r="N78" i="9" a="1"/>
  <c r="N78" i="9" s="1"/>
  <c r="K266" i="1"/>
  <c r="G54" i="9" a="1"/>
  <c r="G54" i="9" s="1"/>
  <c r="L59" i="9" a="1"/>
  <c r="L59" i="9" s="1"/>
  <c r="H99" i="9"/>
  <c r="G131" i="9"/>
  <c r="K6" i="6"/>
  <c r="C4" i="8" s="1"/>
  <c r="G127" i="6"/>
  <c r="C7" i="8"/>
  <c r="C16" i="10"/>
  <c r="C899" i="17"/>
  <c r="K4" i="17" s="1"/>
  <c r="E42" i="7"/>
  <c r="H10" i="7"/>
  <c r="H42" i="7" s="1"/>
  <c r="E93" i="18"/>
  <c r="I37" i="12"/>
  <c r="G42" i="7"/>
  <c r="J89" i="14"/>
  <c r="C12" i="8" s="1"/>
  <c r="C43" i="12"/>
  <c r="D93" i="18"/>
  <c r="D86" i="14"/>
  <c r="C10" i="8" s="1"/>
  <c r="G55" i="15"/>
  <c r="D2" i="2"/>
  <c r="H262" i="1" l="1"/>
  <c r="H249" i="1"/>
  <c r="H127" i="1"/>
  <c r="H86" i="1"/>
  <c r="H251" i="1"/>
  <c r="H187" i="1"/>
  <c r="H72" i="1"/>
  <c r="H107" i="1"/>
  <c r="H85" i="1"/>
  <c r="H123" i="1"/>
  <c r="H109" i="1"/>
  <c r="H118" i="1"/>
  <c r="H254" i="1"/>
  <c r="H146" i="1"/>
  <c r="H170" i="1"/>
  <c r="H198" i="1"/>
  <c r="H159" i="1"/>
  <c r="H122" i="1"/>
  <c r="H253" i="1"/>
  <c r="H259" i="1"/>
  <c r="H172" i="1"/>
  <c r="O84" i="9"/>
  <c r="Q84" i="9" s="1"/>
  <c r="O85" i="9"/>
  <c r="Q85" i="9" s="1"/>
  <c r="H143" i="1"/>
  <c r="H129" i="1"/>
  <c r="H160" i="1"/>
  <c r="H153" i="1"/>
  <c r="H156" i="1"/>
  <c r="H152" i="1"/>
  <c r="H193" i="1"/>
  <c r="H104" i="1"/>
  <c r="H180" i="1"/>
  <c r="H217" i="1"/>
  <c r="H145" i="1"/>
  <c r="H224" i="1"/>
  <c r="H141" i="1"/>
  <c r="H117" i="1"/>
  <c r="H226" i="1"/>
  <c r="H212" i="1"/>
  <c r="H149" i="1"/>
  <c r="H211" i="1"/>
  <c r="H181" i="1"/>
  <c r="H175" i="1"/>
  <c r="H162" i="1"/>
  <c r="H150" i="1"/>
  <c r="H189" i="1"/>
  <c r="H158" i="1"/>
  <c r="H240" i="1"/>
  <c r="H252" i="1"/>
  <c r="H246" i="1"/>
  <c r="H250" i="1"/>
  <c r="H247" i="1"/>
  <c r="H248" i="1"/>
  <c r="H77" i="1"/>
  <c r="H171" i="1"/>
  <c r="H142" i="1"/>
  <c r="H82" i="1"/>
  <c r="H83" i="1"/>
  <c r="AE42" i="9"/>
  <c r="AG42" i="9" s="1"/>
  <c r="C34" i="20" s="1"/>
  <c r="C12" i="9"/>
  <c r="C11" i="9"/>
  <c r="E18" i="9"/>
  <c r="H203" i="1"/>
  <c r="H236" i="1"/>
  <c r="H194" i="1"/>
  <c r="H238" i="1"/>
  <c r="C23" i="23"/>
  <c r="I104" i="2"/>
  <c r="D104" i="2" s="1"/>
  <c r="C70" i="23"/>
  <c r="C71" i="23" s="1"/>
  <c r="H215" i="1"/>
  <c r="H237" i="1"/>
  <c r="C94" i="23"/>
  <c r="H232" i="1"/>
  <c r="H231" i="1"/>
  <c r="H229" i="1"/>
  <c r="AE41" i="9"/>
  <c r="AG41" i="9" s="1"/>
  <c r="C33" i="20" s="1"/>
  <c r="AE40" i="9"/>
  <c r="AG40" i="9" s="1"/>
  <c r="C10" i="20" s="1"/>
  <c r="D14" i="19" a="1"/>
  <c r="D14" i="19" s="1"/>
  <c r="E14" i="19" s="1"/>
  <c r="AE39" i="9"/>
  <c r="AG39" i="9" s="1"/>
  <c r="C4" i="20" s="1"/>
  <c r="P80" i="9"/>
  <c r="H55" i="15"/>
  <c r="AF36" i="9"/>
  <c r="B7" i="20" s="1"/>
  <c r="C12" i="10"/>
  <c r="N5" i="17"/>
  <c r="N7" i="17" s="1"/>
  <c r="C19" i="10" s="1"/>
  <c r="H92" i="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13" i="20" s="1"/>
  <c r="O132" i="9"/>
  <c r="Q132" i="9" s="1"/>
  <c r="O53" i="9"/>
  <c r="Q53" i="9" s="1"/>
  <c r="O116" i="9"/>
  <c r="Q116" i="9" s="1"/>
  <c r="A2" i="20"/>
  <c r="O110" i="9"/>
  <c r="Q110" i="9" s="1"/>
  <c r="E14" i="9"/>
  <c r="O102" i="9"/>
  <c r="Q102" i="9" s="1"/>
  <c r="AE9" i="9"/>
  <c r="AG9" i="9" s="1"/>
  <c r="C32" i="20" s="1"/>
  <c r="O109" i="9"/>
  <c r="Q109" i="9" s="1"/>
  <c r="O124" i="9"/>
  <c r="Q124" i="9" s="1"/>
  <c r="AE14" i="9"/>
  <c r="AG14" i="9" s="1"/>
  <c r="C12" i="20" s="1"/>
  <c r="AE17" i="9"/>
  <c r="AG17" i="9" s="1"/>
  <c r="C30" i="20" s="1"/>
  <c r="O82" i="9"/>
  <c r="Q82" i="9" s="1"/>
  <c r="O63" i="9"/>
  <c r="Q63" i="9" s="1"/>
  <c r="O52" i="9"/>
  <c r="Q52" i="9" s="1"/>
  <c r="O68" i="9"/>
  <c r="Q68" i="9" s="1"/>
  <c r="O77" i="9"/>
  <c r="Q77" i="9" s="1"/>
  <c r="AE28" i="9"/>
  <c r="AG28" i="9" s="1"/>
  <c r="C29" i="20" s="1"/>
  <c r="O58" i="9"/>
  <c r="Q58" i="9" s="1"/>
  <c r="O56" i="9"/>
  <c r="Q56" i="9" s="1"/>
  <c r="O76" i="9"/>
  <c r="Q76" i="9" s="1"/>
  <c r="O71" i="9"/>
  <c r="Q71" i="9" s="1"/>
  <c r="AE11" i="9"/>
  <c r="AG11" i="9" s="1"/>
  <c r="C11" i="20" s="1"/>
  <c r="O75" i="9"/>
  <c r="Q75" i="9" s="1"/>
  <c r="O66" i="9"/>
  <c r="Q66" i="9" s="1"/>
  <c r="AE8" i="9"/>
  <c r="AG8" i="9" s="1"/>
  <c r="C22" i="20" s="1"/>
  <c r="O70" i="9"/>
  <c r="Q70" i="9" s="1"/>
  <c r="O78" i="9"/>
  <c r="Q78" i="9" s="1"/>
  <c r="AE23" i="9"/>
  <c r="AG23" i="9" s="1"/>
  <c r="C8" i="20" s="1"/>
  <c r="O57" i="9"/>
  <c r="Q57" i="9" s="1"/>
  <c r="O50" i="9"/>
  <c r="Q50" i="9" s="1"/>
  <c r="O74" i="9"/>
  <c r="Q74" i="9" s="1"/>
  <c r="O130" i="9"/>
  <c r="Q130" i="9" s="1"/>
  <c r="O72" i="9"/>
  <c r="Q72" i="9" s="1"/>
  <c r="O108" i="9"/>
  <c r="Q108" i="9" s="1"/>
  <c r="C5" i="9"/>
  <c r="X16" i="9" a="1"/>
  <c r="X16" i="9" s="1"/>
  <c r="AE16" i="9" s="1"/>
  <c r="AG16" i="9" s="1"/>
  <c r="C14" i="20" s="1"/>
  <c r="O83" i="9"/>
  <c r="Q83" i="9" s="1"/>
  <c r="O69" i="9"/>
  <c r="Q69" i="9" s="1"/>
  <c r="O62" i="9"/>
  <c r="Q62" i="9" s="1"/>
  <c r="AE12" i="9"/>
  <c r="AG12" i="9" s="1"/>
  <c r="C23" i="20" s="1"/>
  <c r="O60" i="9"/>
  <c r="Q60" i="9" s="1"/>
  <c r="O55" i="9"/>
  <c r="Q55" i="9" s="1"/>
  <c r="AE37" i="9"/>
  <c r="AG37" i="9" s="1"/>
  <c r="C21" i="20" s="1"/>
  <c r="O119" i="9"/>
  <c r="Q119" i="9" s="1"/>
  <c r="O121" i="9"/>
  <c r="Q121" i="9" s="1"/>
  <c r="O73" i="9"/>
  <c r="Q73" i="9" s="1"/>
  <c r="O113" i="9"/>
  <c r="O104" i="9"/>
  <c r="Q104" i="9" s="1"/>
  <c r="O61" i="9"/>
  <c r="Q61" i="9" s="1"/>
  <c r="O81" i="9"/>
  <c r="Q81" i="9" s="1"/>
  <c r="O117" i="9"/>
  <c r="Q117" i="9" s="1"/>
  <c r="O67" i="9"/>
  <c r="Q67" i="9" s="1"/>
  <c r="AE22" i="9"/>
  <c r="AG22" i="9" s="1"/>
  <c r="C25" i="20" s="1"/>
  <c r="O127" i="9"/>
  <c r="Q127" i="9" s="1"/>
  <c r="O131" i="9"/>
  <c r="Q131" i="9" s="1"/>
  <c r="O101" i="9"/>
  <c r="Q101" i="9" s="1"/>
  <c r="AE32" i="9"/>
  <c r="AG32" i="9" s="1"/>
  <c r="C15" i="20" s="1"/>
  <c r="O79" i="9"/>
  <c r="Q79" i="9" s="1"/>
  <c r="O107" i="9"/>
  <c r="Q107" i="9" s="1"/>
  <c r="AE35" i="9"/>
  <c r="AG35" i="9" s="1"/>
  <c r="C39" i="20" s="1"/>
  <c r="O103" i="9"/>
  <c r="Q103" i="9" s="1"/>
  <c r="AE24" i="9"/>
  <c r="AG24" i="9" s="1"/>
  <c r="C40" i="20" s="1"/>
  <c r="AE33" i="9"/>
  <c r="AG33" i="9" s="1"/>
  <c r="C24" i="20" s="1"/>
  <c r="O106" i="9"/>
  <c r="Q106" i="9" s="1"/>
  <c r="C10" i="9"/>
  <c r="E10" i="9"/>
  <c r="AE31" i="9"/>
  <c r="AG31" i="9" s="1"/>
  <c r="C36" i="20" s="1"/>
  <c r="O120" i="9"/>
  <c r="Q120" i="9" s="1"/>
  <c r="O115" i="9"/>
  <c r="Q115" i="9" s="1"/>
  <c r="AE29" i="9"/>
  <c r="AG29" i="9" s="1"/>
  <c r="C27" i="20" s="1"/>
  <c r="AB20" i="9" a="1"/>
  <c r="AB20" i="9" s="1"/>
  <c r="AE20" i="9" s="1"/>
  <c r="AG20" i="9" s="1"/>
  <c r="C37" i="20" s="1"/>
  <c r="E3" i="9"/>
  <c r="C3" i="9"/>
  <c r="D8" i="19" a="1"/>
  <c r="D8" i="19" s="1"/>
  <c r="O65" i="9"/>
  <c r="Q65" i="9" s="1"/>
  <c r="O128" i="9"/>
  <c r="Q128" i="9" s="1"/>
  <c r="AE7" i="9"/>
  <c r="AG7" i="9" s="1"/>
  <c r="C28"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31" i="20" s="1"/>
  <c r="E17" i="9"/>
  <c r="C17" i="9"/>
  <c r="E7" i="9" a="1"/>
  <c r="E7" i="9" s="1"/>
  <c r="C7" i="9"/>
  <c r="E9" i="9"/>
  <c r="C9" i="9"/>
  <c r="O123" i="9"/>
  <c r="Q123" i="9" s="1"/>
  <c r="AE13" i="9"/>
  <c r="AG13" i="9" s="1"/>
  <c r="C20" i="20" s="1"/>
  <c r="C15" i="9"/>
  <c r="E15" i="9"/>
  <c r="AE30" i="9"/>
  <c r="AG30" i="9" s="1"/>
  <c r="C17" i="20" s="1"/>
  <c r="AE10" i="9"/>
  <c r="AG10" i="9" s="1"/>
  <c r="C26" i="20" s="1"/>
  <c r="AE27" i="9"/>
  <c r="AG27" i="9" s="1"/>
  <c r="C19" i="20" s="1"/>
  <c r="AE21" i="9"/>
  <c r="AG21" i="9" s="1"/>
  <c r="C16" i="20" s="1"/>
  <c r="O51" i="9"/>
  <c r="Q51" i="9" s="1"/>
  <c r="AE36" i="9"/>
  <c r="O64" i="9"/>
  <c r="Q64" i="9" s="1"/>
  <c r="G49" i="9" a="1"/>
  <c r="G49" i="9" s="1"/>
  <c r="AE18" i="9"/>
  <c r="AG18" i="9" s="1"/>
  <c r="C18"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9" i="20" s="1"/>
  <c r="Q113" i="9"/>
  <c r="AE15" i="9"/>
  <c r="AG15" i="9" s="1"/>
  <c r="C6" i="20" s="1"/>
  <c r="O80" i="9"/>
  <c r="W38" i="9" a="1"/>
  <c r="W38" i="9" s="1"/>
  <c r="AE38" i="9" s="1"/>
  <c r="AG38" i="9" s="1"/>
  <c r="C3" i="20" s="1"/>
  <c r="F93" i="18"/>
  <c r="C11" i="8"/>
  <c r="C14" i="8" s="1"/>
  <c r="C4" i="10" s="1"/>
  <c r="K5" i="17"/>
  <c r="K6" i="17" s="1"/>
  <c r="F899" i="17"/>
  <c r="Q80" i="9" l="1"/>
  <c r="AG36" i="9"/>
  <c r="C7" i="20" s="1"/>
  <c r="P7" i="17"/>
  <c r="E20" i="19"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<sst xmlns="http://schemas.openxmlformats.org/spreadsheetml/2006/main" count="4104" uniqueCount="792">
  <si>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</si>
  <si>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</si>
  <si>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</si>
  <si>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</si>
  <si>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</si>
  <si>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</si>
  <si>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</si>
  <si>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</si>
  <si>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</si>
  <si>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</si>
  <si>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</si>
  <si>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</si>
  <si>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</si>
  <si>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</si>
  <si>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</si>
  <si>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</si>
  <si>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</si>
  <si>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</si>
  <si>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</si>
  <si>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</si>
  <si>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</si>
  <si>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</si>
  <si>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</si>
  <si>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</si>
  <si>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</si>
  <si>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</si>
  <si>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</si>
  <si>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</si>
  <si>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</si>
  <si>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</si>
  <si>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</si>
  <si>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</si>
  <si>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</si>
  <si>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</si>
  <si>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</si>
  <si>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</si>
  <si>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</si>
  <si>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</si>
  <si>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</si>
  <si>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</si>
  <si>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</si>
  <si>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</si>
  <si>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</si>
  <si>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</si>
  <si>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</si>
  <si>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</si>
  <si>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</si>
  <si>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</si>
  <si>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</si>
  <si>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</si>
  <si>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</si>
  <si>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</si>
  <si>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</si>
  <si>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</si>
  <si>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</si>
  <si>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</si>
  <si>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</si>
  <si>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</si>
  <si>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</si>
  <si>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</si>
  <si>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</si>
  <si>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</si>
  <si>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</si>
  <si>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</si>
  <si>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</si>
  <si>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</si>
  <si>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</si>
  <si>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</si>
  <si>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</si>
  <si>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</si>
  <si>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</si>
  <si>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</si>
  <si>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</si>
  <si>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</si>
  <si>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</si>
  <si>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</si>
  <si>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</si>
  <si>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</si>
  <si>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</si>
  <si>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</si>
  <si>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</si>
  <si>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</si>
  <si>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</si>
  <si>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</si>
  <si>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</si>
  <si>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</si>
  <si>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</si>
  <si>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</si>
  <si>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</si>
  <si>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</si>
  <si>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</si>
  <si>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</si>
  <si>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</si>
  <si>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</si>
  <si>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</si>
  <si>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</si>
  <si>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</si>
  <si>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</si>
  <si>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</si>
  <si>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</si>
  <si>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</si>
  <si>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</si>
  <si>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</si>
  <si>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</si>
  <si>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</si>
  <si>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</si>
  <si>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</si>
  <si>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</si>
  <si>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</si>
  <si>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</si>
  <si>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</si>
  <si>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</si>
  <si>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</si>
  <si>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</si>
  <si>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</si>
  <si>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</si>
  <si>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</si>
  <si>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</si>
  <si>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</si>
  <si>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</si>
  <si>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</si>
  <si>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</si>
  <si>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</si>
  <si>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</si>
  <si>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</si>
  <si>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</si>
  <si>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</si>
  <si>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</si>
  <si>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</si>
  <si>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</si>
  <si>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</si>
  <si>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</si>
  <si>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</si>
  <si>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</si>
  <si>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</si>
  <si>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</si>
  <si>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</si>
  <si>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</si>
  <si>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</si>
  <si>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</si>
  <si>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</si>
  <si>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</si>
  <si>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</si>
  <si>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</si>
  <si>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</si>
  <si>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</si>
  <si>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</si>
  <si>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</si>
  <si>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</si>
  <si>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</si>
  <si>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</si>
  <si>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</si>
  <si>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</si>
  <si>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</si>
  <si>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</si>
  <si>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</si>
  <si>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</si>
  <si>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</si>
  <si>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</si>
  <si>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</si>
  <si>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</si>
  <si>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</si>
  <si>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</si>
  <si>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</si>
  <si>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</si>
  <si>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</si>
  <si>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</si>
  <si>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</si>
  <si>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</si>
  <si>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</si>
  <si>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</si>
  <si>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</si>
  <si>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</si>
  <si>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</si>
  <si>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</si>
  <si>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</si>
  <si>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</si>
  <si>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</si>
  <si>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</si>
  <si>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</si>
  <si>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</si>
  <si>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</si>
  <si>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</si>
  <si>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</si>
  <si>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</si>
  <si>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</si>
  <si>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</si>
  <si>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</si>
  <si>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</si>
  <si>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</si>
  <si>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</si>
  <si>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</si>
  <si>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</si>
  <si>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</si>
  <si>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</si>
  <si>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</si>
  <si>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</si>
  <si>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</si>
  <si>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</si>
  <si>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</si>
  <si>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</si>
  <si>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</si>
  <si>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</si>
  <si>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</si>
  <si>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</si>
  <si>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</si>
  <si>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</si>
  <si>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</si>
  <si>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</si>
  <si>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</si>
  <si>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</si>
  <si>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</si>
  <si>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</si>
  <si>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</si>
  <si>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</si>
  <si>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</si>
  <si>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</si>
  <si>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</si>
  <si>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</si>
  <si>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</si>
  <si>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</si>
  <si>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</si>
  <si>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</si>
  <si>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</si>
  <si>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</si>
  <si>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</si>
  <si>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</si>
  <si>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</si>
  <si>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</si>
  <si>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</si>
  <si>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</si>
  <si>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</si>
  <si>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</si>
  <si>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</si>
  <si>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</si>
  <si>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</si>
  <si>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</si>
  <si>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</si>
  <si>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</si>
  <si>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</si>
  <si>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</si>
  <si>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</si>
  <si>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</si>
  <si>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</si>
  <si>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</si>
  <si>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</si>
  <si>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</si>
  <si>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</si>
  <si>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</si>
  <si>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</si>
  <si>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</si>
  <si>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</si>
  <si>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</si>
  <si>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</si>
  <si>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</si>
  <si>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</si>
  <si>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</si>
  <si>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</si>
  <si>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</si>
  <si>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</si>
  <si>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</si>
  <si>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</si>
  <si>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</si>
  <si>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</si>
  <si>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</si>
  <si>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</si>
  <si>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</si>
  <si>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</si>
  <si>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</si>
  <si>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</si>
  <si>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</si>
  <si>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</si>
  <si>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</si>
  <si>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</si>
  <si>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</si>
  <si>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</si>
  <si>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</si>
  <si>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</si>
  <si>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</si>
  <si>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</si>
  <si>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</si>
  <si>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</si>
  <si>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</si>
  <si>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</si>
  <si>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</si>
  <si>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</si>
  <si>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</si>
  <si>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</si>
  <si>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</si>
  <si>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</si>
  <si>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</si>
  <si>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</si>
  <si>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</si>
  <si>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</si>
  <si>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</si>
  <si>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</si>
  <si>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</si>
  <si>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</si>
  <si>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</si>
  <si>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</si>
  <si>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</si>
  <si>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</si>
  <si>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</si>
  <si>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</si>
  <si>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</si>
  <si>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</si>
  <si>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</si>
  <si>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</si>
  <si>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</si>
  <si>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</si>
  <si>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</si>
  <si>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</si>
  <si>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</si>
  <si>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</si>
  <si>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</si>
  <si>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</si>
  <si>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</si>
  <si>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</si>
  <si>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</si>
  <si>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</si>
  <si>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</si>
  <si>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</si>
  <si>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</si>
  <si>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</si>
  <si>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</si>
  <si>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</si>
  <si>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</si>
  <si>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</si>
  <si>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</si>
  <si>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</si>
  <si>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</si>
  <si>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</si>
  <si>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</si>
  <si>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</si>
  <si>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</si>
  <si>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</si>
  <si>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</si>
  <si>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</si>
  <si>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</si>
  <si>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</si>
  <si>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</si>
  <si>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</si>
  <si>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</si>
  <si>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</si>
  <si>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</si>
  <si>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</si>
  <si>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</si>
  <si>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</si>
  <si>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</si>
  <si>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</si>
  <si>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</si>
  <si>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</si>
  <si>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</si>
  <si>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</si>
  <si>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</si>
  <si>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</si>
  <si>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</si>
  <si>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</si>
  <si>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</si>
  <si>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</si>
  <si>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</si>
  <si>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</si>
  <si>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</si>
  <si>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</si>
  <si>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</si>
  <si>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</si>
  <si>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</si>
  <si>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</si>
  <si>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</si>
  <si>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</si>
  <si>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</si>
  <si>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</si>
  <si>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</si>
  <si>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</si>
  <si>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</si>
  <si>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</si>
  <si>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</si>
  <si>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</si>
  <si>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</si>
  <si>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</si>
  <si>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</si>
  <si>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</si>
  <si>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</si>
  <si>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</si>
  <si>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</si>
  <si>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</si>
  <si>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</si>
  <si>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</si>
  <si>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</si>
  <si>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</si>
  <si>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</si>
  <si>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</si>
  <si>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</si>
  <si>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</si>
  <si>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</si>
  <si>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</si>
  <si>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</si>
  <si>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</si>
  <si>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</si>
  <si>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</si>
  <si>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</si>
  <si>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</si>
  <si>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</si>
  <si>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</si>
  <si>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</si>
  <si>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</si>
  <si>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</si>
  <si>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</si>
  <si>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</si>
  <si>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</si>
  <si>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</si>
  <si>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</si>
  <si>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</si>
  <si>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</si>
  <si>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</si>
  <si>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</si>
  <si>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</si>
  <si>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</si>
  <si>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</si>
  <si>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</si>
  <si>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</si>
  <si>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</si>
  <si>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</si>
  <si>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</si>
  <si>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</si>
  <si>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</si>
  <si>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</si>
  <si>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</si>
  <si>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</si>
  <si>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</si>
  <si>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</si>
  <si>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</si>
  <si>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</si>
  <si>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</si>
  <si>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</si>
  <si>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</si>
  <si>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</si>
  <si>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</si>
  <si>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</si>
  <si>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</si>
  <si>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</si>
  <si>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</si>
  <si>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</si>
  <si>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</si>
  <si>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</si>
  <si>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</si>
  <si>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</si>
  <si>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</si>
  <si>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</si>
  <si>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</si>
  <si>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</si>
  <si>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</si>
  <si>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</si>
  <si>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</si>
  <si>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</si>
  <si>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</si>
  <si>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</si>
  <si>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</si>
  <si>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</si>
  <si>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</si>
  <si>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</si>
  <si>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</si>
  <si>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</si>
  <si>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</si>
  <si>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</si>
  <si>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</si>
  <si>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</si>
  <si>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</si>
  <si>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</si>
  <si>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</si>
  <si>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</si>
  <si>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</si>
  <si>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</si>
  <si>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</si>
  <si>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</si>
  <si>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</si>
  <si>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</si>
  <si>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</si>
  <si>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</si>
  <si>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</si>
  <si>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</si>
  <si>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</si>
  <si>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</si>
  <si>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</si>
  <si>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</si>
  <si>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</si>
  <si>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</si>
  <si>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</si>
  <si>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</si>
  <si>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</si>
  <si>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</si>
  <si>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</si>
  <si>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</si>
  <si>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</si>
  <si>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</si>
  <si>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</si>
  <si>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</si>
  <si>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</si>
  <si>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</si>
  <si>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</si>
  <si>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</si>
  <si>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</si>
  <si>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</si>
  <si>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</si>
  <si>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</si>
  <si>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</si>
  <si>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</si>
  <si>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</si>
  <si>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</si>
  <si>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</si>
  <si>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</si>
  <si>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</si>
  <si>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</si>
  <si>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</si>
  <si>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</si>
  <si>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</si>
  <si>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</si>
  <si>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</si>
  <si>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</si>
  <si>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</si>
  <si>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</si>
  <si>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</si>
  <si>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</si>
  <si>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</si>
  <si>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</si>
  <si>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</si>
  <si>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</si>
  <si>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</si>
  <si>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</si>
  <si>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</si>
  <si>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</si>
  <si>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</si>
  <si>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</si>
  <si>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</si>
  <si>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</si>
  <si>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</si>
  <si>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</si>
  <si>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</si>
  <si>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</si>
  <si>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</si>
  <si>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</si>
  <si>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</si>
  <si>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</si>
  <si>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</si>
  <si>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</si>
  <si>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</si>
  <si>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</si>
  <si>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</si>
  <si>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</si>
  <si>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</si>
  <si>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</si>
  <si>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</si>
  <si>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</si>
  <si>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</si>
  <si>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</si>
  <si>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</si>
  <si>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</si>
  <si>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</si>
  <si>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</si>
  <si>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</si>
  <si>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</si>
  <si>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</si>
  <si>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</si>
  <si>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</si>
  <si>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</si>
  <si>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</si>
  <si>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</si>
  <si>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</si>
  <si>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</si>
  <si>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</si>
  <si>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</si>
  <si>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</si>
  <si>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</si>
  <si>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</si>
  <si>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</si>
  <si>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</si>
  <si>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</si>
  <si>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</si>
  <si>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</si>
  <si>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</si>
  <si>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</si>
  <si>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</si>
  <si>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</si>
  <si>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</si>
  <si>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</si>
  <si>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</si>
  <si>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</si>
  <si>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</si>
  <si>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</si>
  <si>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</si>
  <si>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</si>
  <si>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</si>
  <si>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</si>
  <si>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</si>
  <si>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</si>
  <si>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</si>
  <si>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</si>
  <si>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</si>
  <si>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</si>
  <si>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</si>
  <si>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</si>
  <si>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</si>
  <si>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</si>
  <si>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</si>
  <si>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</si>
  <si>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</si>
  <si>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</si>
  <si>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</si>
  <si>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</si>
  <si>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</si>
  <si>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</si>
  <si>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</si>
  <si>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</si>
  <si>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</si>
  <si>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</si>
  <si>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</si>
  <si>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</si>
  <si>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</si>
  <si>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</si>
  <si>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</si>
  <si>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</si>
  <si>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</si>
  <si>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</si>
  <si>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</si>
  <si>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</si>
  <si>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</si>
  <si>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</si>
  <si>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</si>
  <si>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</si>
  <si>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</si>
  <si>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</si>
  <si>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</si>
  <si>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</si>
  <si>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</si>
  <si>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</si>
  <si>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</si>
  <si>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</si>
  <si>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</si>
  <si>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</si>
  <si>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</si>
  <si>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</si>
  <si>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</si>
  <si>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</si>
  <si>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</si>
  <si>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</si>
  <si>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</si>
  <si>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</si>
  <si>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</si>
  <si>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</si>
  <si>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</si>
  <si>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</si>
  <si>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</si>
  <si>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</si>
  <si>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</si>
  <si>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</si>
  <si>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</si>
  <si>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</si>
  <si>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</si>
  <si>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</si>
  <si>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</si>
  <si>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</si>
  <si>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</si>
  <si>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</si>
  <si>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</si>
  <si>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</si>
  <si>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</si>
  <si>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</si>
  <si>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</si>
  <si>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</si>
  <si>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</si>
  <si>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</si>
  <si>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</si>
  <si>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</si>
  <si>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</si>
  <si>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</si>
  <si>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</si>
  <si>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</si>
  <si>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</si>
  <si>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</si>
  <si>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</si>
  <si>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</si>
  <si>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</si>
  <si>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</si>
  <si>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</si>
  <si>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</si>
  <si>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</si>
  <si>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</si>
  <si>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</si>
  <si>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</si>
  <si>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</si>
  <si>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</si>
  <si>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</si>
  <si>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</si>
  <si>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</si>
  <si>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</si>
  <si>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</si>
  <si>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</si>
  <si>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</si>
  <si>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</si>
  <si>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</si>
  <si>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</si>
  <si>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</si>
  <si>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</si>
  <si>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</si>
  <si>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</si>
  <si>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</si>
  <si>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</si>
  <si>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</si>
  <si>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</si>
  <si>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</si>
  <si>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</si>
  <si>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</si>
  <si>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</si>
  <si>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</si>
  <si>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</si>
  <si>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</si>
  <si>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</si>
  <si>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</si>
  <si>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</si>
  <si>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</si>
  <si>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</si>
  <si>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</si>
  <si>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</si>
  <si>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</si>
  <si>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</si>
  <si>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</si>
  <si>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</si>
  <si>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</si>
  <si>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</si>
  <si>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</si>
  <si>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</si>
  <si>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</si>
  <si>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</si>
  <si>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</si>
  <si>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</si>
  <si>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</si>
  <si>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</si>
  <si>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</si>
  <si>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</si>
  <si>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</si>
  <si>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</si>
  <si>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</si>
  <si>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</si>
  <si>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</si>
  <si>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</si>
  <si>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</si>
  <si>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shahid qasayi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</si>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</sst>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4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0" applyBorder="1"/>
    <xf numFmtId="0" fontId="0" fillId="0" borderId="0" xfId="0" applyNumberFormat="1"/>
    <xf numFmtId="14" fontId="0" fillId="0" borderId="8" xfId="0" applyNumberFormat="1" applyFont="1" applyBorder="1"/>
    <xf numFmtId="0" fontId="0" fillId="0" borderId="0" xfId="0" applyBorder="1" applyAlignment="1">
      <alignment horizontal="center"/>
    </xf>
  </cellXfs>
  <cellStyles count="2">
    <cellStyle name="Comma" xfId="1" builtinId="3"/>
    <cellStyle name="Normal" xfId="0" builtinId="0"/>
  </cellStyles>
  <dxfs count="25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289586</xdr:colOff>
      <xdr:row>269</xdr:row>
      <xdr:rowOff>144299</xdr:rowOff>
    </xdr:from>
    <xdr:to>
      <xdr:col>1</xdr:col>
      <xdr:colOff>1028635</xdr:colOff>
      <xdr:row>278</xdr:row>
      <xdr:rowOff>17539</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289586" y="4995203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0138887" createdVersion="8" refreshedVersion="8" minRefreshableVersion="3" recordCount="264" xr:uid="{46CBB50D-3613-4E5B-8212-DD0313DCD05A}">
  <cacheSource type="worksheet">
    <worksheetSource name="Table1"/>
  </cacheSource>
  <cacheFields count="14">
    <cacheField name="Date" numFmtId="0">
      <sharedItems containsSemiMixedTypes="0" containsNonDate="0" containsDate="1" containsString="0" minDate="2026-02-02T00:00:00" maxDate="2026-05-14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u="1"/>
        <s v="zaid ejaz" u="1"/>
        <s v="Reject" u="1"/>
        <s v="YING" u="1"/>
        <s v="Meow" u="1"/>
        <s v="Umer Sb" u="1"/>
        <s v="-" u="1"/>
        <s v="Sajjad" u="1"/>
        <s v="Haji Ejaz" u="1"/>
      </sharedItems>
    </cacheField>
    <cacheField name="Bill Number" numFmtId="0">
      <sharedItems containsMixedTypes="1" containsNumber="1" containsInteger="1" minValue="1509" maxValue="1703"/>
    </cacheField>
    <cacheField name="Quality" numFmtId="0">
      <sharedItems/>
    </cacheField>
    <cacheField name="Shipment Number" numFmtId="164">
      <sharedItems containsBlank="1" containsMixedTypes="1" containsNumber="1" containsInteger="1" minValue="1558" maxValue="17000" count="548">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7006"/>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emiMixedTypes="0" containsString="0"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0717595" createdVersion="8" refreshedVersion="8" minRefreshableVersion="3" recordCount="50" xr:uid="{376A650C-1F79-4049-BC45-E34989F046B2}">
  <cacheSource type="worksheet">
    <worksheetSource name="Table2"/>
  </cacheSource>
  <cacheFields count="8">
    <cacheField name="Date" numFmtId="14">
      <sharedItems containsNonDate="0" containsDate="1" containsString="0" containsBlank="1" minDate="2026-02-20T00:00:00" maxDate="2026-05-14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0949072"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9">
        <s v="Aqib"/>
        <s v="Malik zaheer"/>
        <s v="aslam Multani"/>
        <s v="Rafaqat"/>
        <s v="Kaleem ullah"/>
        <s v="Ishaq"/>
        <s v="Aurangzeb"/>
        <s v="Irfan Punjabi"/>
        <s v="Amjad wood"/>
        <s v="Rana Babar"/>
        <m/>
        <s v="Zaheer shah wood"/>
        <s v="babar wood"/>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576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1296296"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15T00:00:00" count="97">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6-05-09T00:00:00"/>
        <d v="2026-05-14T00:00:00"/>
        <d v="2026-05-11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500000"/>
    </cacheField>
    <cacheField name="Balance" numFmtId="0">
      <sharedItems containsSemiMixedTypes="0" containsString="0" containsNumber="1" containsInteger="1" minValue="-5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152778"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156231.7117776154"/>
    </cacheField>
    <cacheField name="Rate" numFmtId="0">
      <sharedItems containsString="0" containsBlank="1" containsNumber="1" minValue="10" maxValue="12"/>
    </cacheField>
    <cacheField name="Total" numFmtId="164">
      <sharedItems containsSemiMixedTypes="0" containsString="0" containsNumber="1" minValue="0" maxValue="9352730.431602049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8.024621875004" createdVersion="8" refreshedVersion="8" minRefreshableVersion="3" recordCount="897" xr:uid="{B5BDFB73-D93A-4A7A-8149-666BC190B09B}">
  <cacheSource type="worksheet">
    <worksheetSource name="Table14"/>
  </cacheSource>
  <cacheFields count="7">
    <cacheField name="Date" numFmtId="14">
      <sharedItems containsNonDate="0" containsDate="1" containsString="0" containsBlank="1" minDate="2025-12-23T00:00:00" maxDate="2026-05-15T00:00:00"/>
    </cacheField>
    <cacheField name="Party" numFmtId="0">
      <sharedItems containsBlank="1" count="107">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s v="farhaan ali"/>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207879010428371"/>
    <n v="6027.7980980248722"/>
    <n v="60277.980980248722"/>
    <m/>
  </r>
  <r>
    <d v="2026-05-06T00:00:00"/>
    <x v="35"/>
    <n v="1679"/>
    <s v="Chamki"/>
    <x v="107"/>
    <n v="19276"/>
    <n v="20731"/>
    <n v="1.6566875236145364"/>
    <n v="18956.656912948063"/>
    <n v="189566.56912948063"/>
    <m/>
  </r>
  <r>
    <d v="2026-05-07T00:00:00"/>
    <x v="0"/>
    <n v="1680"/>
    <s v="Chamki"/>
    <x v="108"/>
    <n v="61241"/>
    <n v="21509"/>
    <n v="1.2664142327970467"/>
    <n v="19668.068763716168"/>
    <n v="196680.6876371617"/>
    <m/>
  </r>
  <r>
    <d v="2026-05-07T00:00:00"/>
    <x v="0"/>
    <n v="1681"/>
    <s v="Chamki"/>
    <x v="106"/>
    <n v="107006"/>
    <n v="6364"/>
    <n v="2.0207879010428371"/>
    <n v="5819.3123628383328"/>
    <n v="58193.123628383328"/>
    <m/>
  </r>
  <r>
    <d v="2026-05-07T00:00:00"/>
    <x v="0"/>
    <n v="1682"/>
    <s v="Chamki"/>
    <x v="108"/>
    <n v="61241"/>
    <n v="44616"/>
    <n v="1.2664142327970467"/>
    <n v="40797.366495976596"/>
    <n v="407973.66495976597"/>
    <m/>
  </r>
  <r>
    <d v="2026-05-07T00:00:00"/>
    <x v="0"/>
    <n v="1683"/>
    <s v="Chamki"/>
    <x v="109"/>
    <n v="9943"/>
    <n v="2330"/>
    <n v="1.4131831615776633"/>
    <n v="2130.5779078273595"/>
    <n v="21305.779078273594"/>
    <m/>
  </r>
  <r>
    <d v="2026-05-07T00:00:00"/>
    <x v="0"/>
    <n v="1684"/>
    <s v="Chamki"/>
    <x v="106"/>
    <n v="107006"/>
    <n v="2290"/>
    <n v="2.0207879010428371"/>
    <n v="2094.0014630577912"/>
    <n v="20940.014630577913"/>
    <m/>
  </r>
  <r>
    <d v="2026-05-08T00:00:00"/>
    <x v="0"/>
    <n v="1685"/>
    <s v="Chamki"/>
    <x v="106"/>
    <n v="107006"/>
    <n v="45049"/>
    <n v="2.0207879010428371"/>
    <n v="41193.306510607174"/>
    <n v="411933.06510607176"/>
    <m/>
  </r>
  <r>
    <d v="2026-05-08T00:00:00"/>
    <x v="0"/>
    <n v="1686"/>
    <s v="Chamki"/>
    <x v="106"/>
    <n v="107006"/>
    <n v="17678"/>
    <n v="2.0207879010428371"/>
    <n v="16164.959765910755"/>
    <n v="161649.59765910756"/>
    <m/>
  </r>
  <r>
    <d v="2026-05-08T00:00:00"/>
    <x v="0"/>
    <n v="1687"/>
    <s v="Chamki"/>
    <x v="109"/>
    <n v="9943"/>
    <n v="2530"/>
    <n v="1.4131831615776633"/>
    <n v="2313.4601316752014"/>
    <n v="23134.601316752014"/>
    <m/>
  </r>
  <r>
    <d v="2026-05-08T00:00:00"/>
    <x v="0"/>
    <n v="1688"/>
    <s v="Chamki"/>
    <x v="106"/>
    <n v="107006"/>
    <n v="25378"/>
    <n v="2.0207879010428371"/>
    <n v="23205.925384052673"/>
    <n v="232059.25384052674"/>
    <m/>
  </r>
  <r>
    <d v="2026-05-08T00:00:00"/>
    <x v="0"/>
    <n v="1690"/>
    <s v="Chamki"/>
    <x v="109"/>
    <n v="9943"/>
    <n v="5860"/>
    <n v="1.4131831615776633"/>
    <n v="5358.4491587417706"/>
    <n v="53584.49158741771"/>
    <m/>
  </r>
  <r>
    <d v="2026-05-08T00:00:00"/>
    <x v="0"/>
    <n v="1689"/>
    <s v="Chamki"/>
    <x v="106"/>
    <n v="107006"/>
    <n v="11306"/>
    <n v="2.0207879010428371"/>
    <n v="10338.332114118508"/>
    <n v="103383.32114118508"/>
    <m/>
  </r>
  <r>
    <d v="2026-05-09T00:00:00"/>
    <x v="0"/>
    <n v="1691"/>
    <s v="Silky"/>
    <x v="110"/>
    <n v="17930"/>
    <n v="19428"/>
    <n v="0.91924581941231054"/>
    <n v="17765.179224579373"/>
    <n v="230947.32991953185"/>
    <m/>
  </r>
  <r>
    <d v="2026-05-09T00:00:00"/>
    <x v="0"/>
    <n v="1692"/>
    <s v="Chamki"/>
    <x v="111"/>
    <n v="57164"/>
    <n v="19836"/>
    <n v="68.269786996660542"/>
    <n v="18138.25896122897"/>
    <n v="181382.58961228971"/>
    <m/>
  </r>
  <r>
    <d v="2026-05-09T00:00:00"/>
    <x v="33"/>
    <n v="1693"/>
    <s v="Silky"/>
    <x v="112"/>
    <n v="99404"/>
    <n v="37070"/>
    <n v="6.694263575356814"/>
    <n v="33897.220190197513"/>
    <n v="440663.86247256765"/>
    <m/>
  </r>
  <r>
    <d v="2026-05-09T00:00:00"/>
    <x v="33"/>
    <n v="1694"/>
    <s v="Silky"/>
    <x v="112"/>
    <n v="99404"/>
    <n v="14046"/>
    <n v="6.694263575356814"/>
    <n v="12843.818580833944"/>
    <n v="166969.64155084128"/>
    <m/>
  </r>
  <r>
    <d v="2026-05-11T00:00:00"/>
    <x v="33"/>
    <n v="1695"/>
    <s v="Silky"/>
    <x v="112"/>
    <n v="99404"/>
    <n v="39878"/>
    <n v="6.694263575356814"/>
    <n v="36464.886613021219"/>
    <n v="474043.52596927586"/>
    <m/>
  </r>
  <r>
    <d v="2026-05-11T00:00:00"/>
    <x v="33"/>
    <n v="1696"/>
    <s v="Silky"/>
    <x v="112"/>
    <n v="99404"/>
    <n v="10437"/>
    <n v="6.694263575356814"/>
    <n v="9543.7088514996358"/>
    <n v="124068.21506949526"/>
    <m/>
  </r>
  <r>
    <d v="2026-05-12T00:00:00"/>
    <x v="31"/>
    <n v="1697"/>
    <s v="Silky"/>
    <x v="113"/>
    <n v="7846"/>
    <n v="8229"/>
    <s v="NF"/>
    <n v="7524.6891002194598"/>
    <n v="97820.958302852974"/>
    <m/>
  </r>
  <r>
    <d v="2026-05-12T00:00:00"/>
    <x v="31"/>
    <n v="1698"/>
    <s v="Silky"/>
    <x v="114"/>
    <n v="17218"/>
    <n v="18230"/>
    <n v="3.1843727277802287"/>
    <n v="16669.714703730799"/>
    <n v="216706.29114850037"/>
    <m/>
  </r>
  <r>
    <d v="2026-05-12T00:00:00"/>
    <x v="31"/>
    <n v="1699"/>
    <s v="Silky"/>
    <x v="115"/>
    <n v="46820"/>
    <n v="27486"/>
    <n v="7.1058298259423651"/>
    <n v="25133.504023408928"/>
    <n v="326735.55230431608"/>
    <m/>
  </r>
  <r>
    <d v="2026-05-12T00:00:00"/>
    <x v="31"/>
    <n v="1700"/>
    <s v="Silky"/>
    <x v="115"/>
    <n v="46820"/>
    <n v="20078"/>
    <n v="7.1058298259423651"/>
    <n v="18359.546452084858"/>
    <n v="238674.10387710316"/>
    <m/>
  </r>
  <r>
    <d v="2026-05-12T00:00:00"/>
    <x v="0"/>
    <n v="1701"/>
    <s v="Silky"/>
    <x v="116"/>
    <n v="37514"/>
    <n v="40509"/>
    <n v="1.2585167423864192"/>
    <n v="37041.880029261156"/>
    <n v="481544.44038039504"/>
    <m/>
  </r>
  <r>
    <d v="2026-05-13T00:00:00"/>
    <x v="34"/>
    <n v="1702"/>
    <s v="Silky"/>
    <x v="117"/>
    <n v="30184"/>
    <n v="7748"/>
    <n v="3.6329919725706645"/>
    <n v="7084.8573518653993"/>
    <n v="85018.288222384785"/>
    <m/>
  </r>
  <r>
    <d v="2026-05-13T00:00:00"/>
    <x v="34"/>
    <n v="1703"/>
    <s v="Silky"/>
    <x v="117"/>
    <n v="30184"/>
    <n v="24062"/>
    <n v="3.6329919725706645"/>
    <n v="22002.56035113387"/>
    <n v="264030.7242136064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r>
    <d v="2026-05-13T00:00:00"/>
    <x v="0"/>
    <m/>
    <m/>
    <m/>
    <n v="18000"/>
    <n v="18000"/>
    <n v="0"/>
  </r>
  <r>
    <m/>
    <x v="6"/>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100"/>
    <n v="82600"/>
    <n v="457600"/>
    <m/>
    <n v="457600"/>
  </r>
  <r>
    <x v="27"/>
    <x v="14"/>
    <x v="1"/>
    <n v="245"/>
    <n v="920"/>
    <n v="26000"/>
    <n v="225400"/>
    <m/>
    <n v="225400"/>
  </r>
  <r>
    <x v="28"/>
    <x v="1"/>
    <x v="1"/>
    <n v="239"/>
    <n v="1060"/>
    <n v="60900"/>
    <n v="253340"/>
    <m/>
    <n v="253340"/>
  </r>
  <r>
    <x v="28"/>
    <x v="1"/>
    <x v="1"/>
    <n v="46"/>
    <n v="580"/>
    <m/>
    <n v="26680"/>
    <m/>
    <n v="26680"/>
  </r>
  <r>
    <x v="29"/>
    <x v="7"/>
    <x v="1"/>
    <n v="276"/>
    <n v="1030"/>
    <m/>
    <n v="284280"/>
    <m/>
    <n v="284280"/>
  </r>
  <r>
    <x v="29"/>
    <x v="1"/>
    <x v="1"/>
    <n v="290"/>
    <n v="1060"/>
    <m/>
    <n v="307400"/>
    <m/>
    <n v="307400"/>
  </r>
  <r>
    <x v="29"/>
    <x v="15"/>
    <x v="1"/>
    <n v="262"/>
    <n v="1050"/>
    <n v="24000"/>
    <n v="275100"/>
    <m/>
    <n v="275100"/>
  </r>
  <r>
    <x v="29"/>
    <x v="15"/>
    <x v="1"/>
    <n v="237"/>
    <n v="600"/>
    <n v="25000"/>
    <n v="142200"/>
    <m/>
    <n v="142200"/>
  </r>
  <r>
    <x v="29"/>
    <x v="1"/>
    <x v="1"/>
    <n v="182"/>
    <n v="1060"/>
    <m/>
    <n v="192920"/>
    <m/>
    <n v="192920"/>
  </r>
  <r>
    <x v="29"/>
    <x v="1"/>
    <x v="1"/>
    <n v="35"/>
    <n v="600"/>
    <m/>
    <n v="21000"/>
    <m/>
    <n v="21000"/>
  </r>
  <r>
    <x v="30"/>
    <x v="15"/>
    <x v="1"/>
    <n v="261"/>
    <n v="1050"/>
    <m/>
    <n v="274050"/>
    <m/>
    <n v="274050"/>
  </r>
  <r>
    <x v="30"/>
    <x v="14"/>
    <x v="1"/>
    <n v="276"/>
    <n v="980"/>
    <m/>
    <n v="270480"/>
    <m/>
    <n v="270480"/>
  </r>
  <r>
    <x v="30"/>
    <x v="15"/>
    <x v="1"/>
    <n v="269"/>
    <n v="1050"/>
    <n v="24500"/>
    <n v="282450"/>
    <m/>
    <n v="282450"/>
  </r>
  <r>
    <x v="31"/>
    <x v="15"/>
    <x v="1"/>
    <n v="284"/>
    <n v="600"/>
    <n v="25000"/>
    <n v="170400"/>
    <m/>
    <n v="170400"/>
  </r>
  <r>
    <x v="31"/>
    <x v="7"/>
    <x v="1"/>
    <n v="188"/>
    <n v="1030"/>
    <m/>
    <n v="193640"/>
    <m/>
    <n v="193640"/>
  </r>
  <r>
    <x v="32"/>
    <x v="1"/>
    <x v="1"/>
    <n v="362"/>
    <n v="1060"/>
    <m/>
    <n v="383720"/>
    <m/>
    <n v="383720"/>
  </r>
  <r>
    <x v="33"/>
    <x v="15"/>
    <x v="1"/>
    <n v="259"/>
    <n v="1050"/>
    <m/>
    <n v="271950"/>
    <m/>
    <n v="271950"/>
  </r>
  <r>
    <x v="34"/>
    <x v="15"/>
    <x v="1"/>
    <n v="273"/>
    <n v="600"/>
    <m/>
    <n v="163800"/>
    <m/>
    <n v="163800"/>
  </r>
  <r>
    <x v="35"/>
    <x v="1"/>
    <x v="1"/>
    <n v="394"/>
    <n v="1060"/>
    <m/>
    <n v="417640"/>
    <m/>
    <n v="417640"/>
  </r>
  <r>
    <x v="35"/>
    <x v="1"/>
    <x v="1"/>
    <n v="209"/>
    <n v="1060"/>
    <m/>
    <n v="221540"/>
    <m/>
    <n v="221540"/>
  </r>
  <r>
    <x v="35"/>
    <x v="15"/>
    <x v="1"/>
    <n v="302"/>
    <n v="1050"/>
    <m/>
    <n v="317100"/>
    <m/>
    <n v="3171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9"/>
    <s v="Dyes"/>
    <m/>
    <m/>
    <n v="542500"/>
    <x v="0"/>
    <n v="0"/>
    <n v="542500"/>
    <m/>
  </r>
  <r>
    <x v="20"/>
    <s v="Black"/>
    <m/>
    <m/>
    <n v="55000"/>
    <x v="1"/>
    <n v="55000"/>
    <n v="0"/>
    <m/>
  </r>
  <r>
    <x v="21"/>
    <s v="Dyes"/>
    <m/>
    <m/>
    <n v="74125"/>
    <x v="1"/>
    <n v="74125"/>
    <n v="0"/>
    <m/>
  </r>
  <r>
    <x v="22"/>
    <s v="Payment"/>
    <m/>
    <m/>
    <m/>
    <x v="0"/>
    <n v="500000"/>
    <n v="-50000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156231.7117776154"/>
    <n v="10"/>
    <n v="9352730.4316020496"/>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5T00:00:00"/>
    <x v="23"/>
    <n v="3600"/>
    <m/>
    <m/>
    <s v="Bank"/>
    <m/>
  </r>
  <r>
    <d v="2026-05-05T00:00:00"/>
    <x v="10"/>
    <n v="600"/>
    <m/>
    <m/>
    <s v="Bank"/>
    <m/>
  </r>
  <r>
    <d v="2026-05-05T00:00:00"/>
    <x v="14"/>
    <n v="6800"/>
    <m/>
    <s v="khalid sb adjust"/>
    <s v="Bank"/>
    <m/>
  </r>
  <r>
    <d v="2026-05-07T00:00:00"/>
    <x v="2"/>
    <m/>
    <n v="55000"/>
    <m/>
    <s v="Bank"/>
    <m/>
  </r>
  <r>
    <d v="2026-05-07T00:00:00"/>
    <x v="22"/>
    <n v="55000"/>
    <m/>
    <s v="Bill Nill"/>
    <s v="Bank"/>
    <m/>
  </r>
  <r>
    <d v="2026-05-07T00:00:00"/>
    <x v="3"/>
    <n v="9000"/>
    <m/>
    <s v="Kora karaya"/>
    <s v="Bank"/>
    <m/>
  </r>
  <r>
    <d v="2026-05-06T00:00:00"/>
    <x v="31"/>
    <m/>
    <n v="30000"/>
    <m/>
    <s v="Bank"/>
    <m/>
  </r>
  <r>
    <d v="2026-05-06T00:00:00"/>
    <x v="2"/>
    <n v="30000"/>
    <m/>
    <s v="Shahid qasai"/>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7T00:00:00"/>
    <x v="35"/>
    <n v="2200"/>
    <m/>
    <m/>
    <s v="Bank"/>
    <m/>
  </r>
  <r>
    <d v="2026-05-08T00:00:00"/>
    <x v="0"/>
    <n v="790"/>
    <m/>
    <s v="package"/>
    <s v="Bank"/>
    <m/>
  </r>
  <r>
    <d v="2026-05-09T00:00:00"/>
    <x v="53"/>
    <m/>
    <n v="500000"/>
    <s v="Cash deposit"/>
    <s v="Bank"/>
    <m/>
  </r>
  <r>
    <d v="2026-05-09T00:00:00"/>
    <x v="26"/>
    <n v="55000"/>
    <m/>
    <s v="Black x2"/>
    <s v="Bank"/>
    <m/>
  </r>
  <r>
    <d v="2026-05-09T00:00:00"/>
    <x v="10"/>
    <n v="2000"/>
    <m/>
    <s v="mtag"/>
    <s v="Bank"/>
    <m/>
  </r>
  <r>
    <d v="2026-05-09T00:00:00"/>
    <x v="20"/>
    <n v="100000"/>
    <m/>
    <s v="Freight"/>
    <s v="Bank"/>
    <m/>
  </r>
  <r>
    <d v="2026-05-09T00:00:00"/>
    <x v="35"/>
    <n v="30000"/>
    <m/>
    <s v="Atta x15"/>
    <s v="Bank"/>
    <m/>
  </r>
  <r>
    <d v="2026-05-09T00:00:00"/>
    <x v="51"/>
    <n v="198400"/>
    <m/>
    <s v="TID:759108"/>
    <s v="Bank"/>
    <m/>
  </r>
  <r>
    <d v="2026-05-09T00:00:00"/>
    <x v="21"/>
    <n v="100000"/>
    <m/>
    <s v="TID:437834"/>
    <s v="Bank"/>
    <m/>
  </r>
  <r>
    <d v="2026-05-09T00:00:00"/>
    <x v="5"/>
    <n v="2800"/>
    <m/>
    <s v="seals"/>
    <s v="Bank"/>
    <m/>
  </r>
  <r>
    <d v="2026-05-09T00:00:00"/>
    <x v="33"/>
    <n v="10000"/>
    <m/>
    <s v="Naeem elec"/>
    <s v="Bank"/>
    <m/>
  </r>
  <r>
    <d v="2026-05-09T00:00:00"/>
    <x v="33"/>
    <n v="10000"/>
    <m/>
    <s v="Tanveer sb"/>
    <s v="Bank"/>
    <m/>
  </r>
  <r>
    <d v="2026-05-09T00:00:00"/>
    <x v="0"/>
    <n v="2260"/>
    <m/>
    <m/>
    <s v="Bank"/>
    <m/>
  </r>
  <r>
    <d v="2026-05-10T00:00:00"/>
    <x v="2"/>
    <m/>
    <n v="18000"/>
    <m/>
    <s v="Bank"/>
    <m/>
  </r>
  <r>
    <d v="2026-05-10T00:00:00"/>
    <x v="3"/>
    <n v="4500"/>
    <m/>
    <s v="optix"/>
    <s v="Bank"/>
    <m/>
  </r>
  <r>
    <d v="2026-05-10T00:00:00"/>
    <x v="0"/>
    <n v="780"/>
    <m/>
    <m/>
    <s v="Bank"/>
    <m/>
  </r>
  <r>
    <d v="2026-05-10T00:00:00"/>
    <x v="5"/>
    <n v="1560"/>
    <m/>
    <m/>
    <s v="Bank"/>
    <m/>
  </r>
  <r>
    <d v="2026-05-10T00:00:00"/>
    <x v="5"/>
    <n v="2500"/>
    <m/>
    <m/>
    <s v="Bank"/>
    <m/>
  </r>
  <r>
    <d v="2026-05-10T00:00:00"/>
    <x v="5"/>
    <n v="550"/>
    <m/>
    <m/>
    <s v="Bank"/>
    <m/>
  </r>
  <r>
    <d v="2026-05-10T00:00:00"/>
    <x v="5"/>
    <n v="1000"/>
    <m/>
    <m/>
    <s v="Bank"/>
    <m/>
  </r>
  <r>
    <d v="2026-05-10T00:00:00"/>
    <x v="0"/>
    <m/>
    <n v="1000"/>
    <m/>
    <s v="Bank"/>
    <m/>
  </r>
  <r>
    <d v="2026-05-09T00:00:00"/>
    <x v="31"/>
    <m/>
    <n v="100000"/>
    <s v="Cash"/>
    <s v="Bank"/>
    <m/>
  </r>
  <r>
    <d v="2026-05-09T00:00:00"/>
    <x v="2"/>
    <n v="100000"/>
    <m/>
    <s v="Shahid qasai"/>
    <s v="Bank"/>
    <m/>
  </r>
  <r>
    <d v="2026-05-11T00:00:00"/>
    <x v="30"/>
    <m/>
    <n v="60000"/>
    <m/>
    <s v="Bank"/>
    <m/>
  </r>
  <r>
    <d v="2026-05-11T00:00:00"/>
    <x v="2"/>
    <n v="60000"/>
    <m/>
    <s v="ibraheem behraam"/>
    <s v="Bank"/>
    <m/>
  </r>
  <r>
    <d v="2026-05-12T00:00:00"/>
    <x v="31"/>
    <m/>
    <n v="50000"/>
    <s v="Cash"/>
    <s v="Bank"/>
    <m/>
  </r>
  <r>
    <d v="2026-05-12T00:00:00"/>
    <x v="2"/>
    <n v="50000"/>
    <m/>
    <s v="qasai"/>
    <s v="Bank"/>
    <m/>
  </r>
  <r>
    <d v="2026-05-11T00:00:00"/>
    <x v="5"/>
    <n v="3500"/>
    <m/>
    <s v="welding pipe"/>
    <s v="Bank"/>
    <m/>
  </r>
  <r>
    <d v="2026-05-11T00:00:00"/>
    <x v="5"/>
    <n v="1560"/>
    <m/>
    <s v="welding pipe"/>
    <s v="Bank"/>
    <m/>
  </r>
  <r>
    <d v="2026-05-11T00:00:00"/>
    <x v="2"/>
    <m/>
    <n v="3500"/>
    <m/>
    <s v="Bank"/>
    <m/>
  </r>
  <r>
    <d v="2026-05-11T00:00:00"/>
    <x v="5"/>
    <n v="2500"/>
    <m/>
    <s v="rods"/>
    <s v="Bank"/>
    <m/>
  </r>
  <r>
    <d v="2026-05-11T00:00:00"/>
    <x v="5"/>
    <n v="550"/>
    <m/>
    <m/>
    <s v="Bank"/>
    <m/>
  </r>
  <r>
    <d v="2026-05-11T00:00:00"/>
    <x v="29"/>
    <n v="500000"/>
    <m/>
    <s v="100k cash 400k cheque"/>
    <s v="Bank"/>
    <m/>
  </r>
  <r>
    <d v="2026-05-11T00:00:00"/>
    <x v="2"/>
    <m/>
    <n v="500000"/>
    <s v="uni 100k+400k cheque"/>
    <s v="Bank"/>
    <m/>
  </r>
  <r>
    <d v="2026-05-11T00:00:00"/>
    <x v="18"/>
    <m/>
    <n v="37085"/>
    <s v="Bill Nill"/>
    <s v="Bank"/>
    <m/>
  </r>
  <r>
    <d v="2026-05-11T00:00:00"/>
    <x v="5"/>
    <n v="28500"/>
    <m/>
    <s v="Oil boiler bhatti"/>
    <s v="Bank"/>
    <m/>
  </r>
  <r>
    <d v="2026-05-11T00:00:00"/>
    <x v="2"/>
    <m/>
    <n v="250000"/>
    <s v="TID:081610"/>
    <s v="Bank"/>
    <m/>
  </r>
  <r>
    <d v="2026-05-11T00:00:00"/>
    <x v="2"/>
    <m/>
    <n v="134000"/>
    <s v="TID:842327"/>
    <s v="Bank"/>
    <m/>
  </r>
  <r>
    <d v="2026-05-11T00:00:00"/>
    <x v="52"/>
    <n v="300000"/>
    <m/>
    <s v="TID:121107"/>
    <s v="Bank"/>
    <m/>
  </r>
  <r>
    <d v="2026-05-11T00:00:00"/>
    <x v="10"/>
    <n v="3500"/>
    <m/>
    <s v="raksha "/>
    <s v="Bank"/>
    <m/>
  </r>
  <r>
    <d v="2026-05-11T00:00:00"/>
    <x v="33"/>
    <n v="5000"/>
    <m/>
    <s v="Imtiaz opt"/>
    <s v="Bank"/>
    <m/>
  </r>
  <r>
    <d v="2026-05-11T00:00:00"/>
    <x v="0"/>
    <n v="200"/>
    <m/>
    <m/>
    <s v="Bank"/>
    <m/>
  </r>
  <r>
    <d v="2026-05-11T00:00:00"/>
    <x v="5"/>
    <n v="12491"/>
    <m/>
    <s v="Diesel"/>
    <s v="Bank"/>
    <m/>
  </r>
  <r>
    <d v="2026-05-12T00:00:00"/>
    <x v="5"/>
    <n v="400"/>
    <m/>
    <m/>
    <s v="Bank"/>
    <m/>
  </r>
  <r>
    <d v="2026-05-12T00:00:00"/>
    <x v="10"/>
    <n v="17000"/>
    <m/>
    <s v="Rauf khan kora"/>
    <s v="Bank"/>
    <m/>
  </r>
  <r>
    <d v="2026-05-12T00:00:00"/>
    <x v="5"/>
    <n v="350"/>
    <m/>
    <s v="dastanay"/>
    <s v="Bank"/>
    <m/>
  </r>
  <r>
    <d v="2026-05-12T00:00:00"/>
    <x v="35"/>
    <n v="1800"/>
    <m/>
    <m/>
    <s v="Bank"/>
    <m/>
  </r>
  <r>
    <d v="2026-05-12T00:00:00"/>
    <x v="20"/>
    <n v="39000"/>
    <m/>
    <s v="Freight"/>
    <s v="Bank"/>
    <m/>
  </r>
  <r>
    <d v="2026-05-12T00:00:00"/>
    <x v="3"/>
    <n v="6000"/>
    <m/>
    <s v="ibraheem fees"/>
    <s v="Bank"/>
    <m/>
  </r>
  <r>
    <d v="2026-05-12T00:00:00"/>
    <x v="2"/>
    <m/>
    <n v="60000"/>
    <s v="20k transfer + 40k cash"/>
    <s v="Bank"/>
    <m/>
  </r>
  <r>
    <d v="2026-05-12T00:00:00"/>
    <x v="20"/>
    <n v="100000"/>
    <m/>
    <s v="Freight (50+50)"/>
    <s v="Bank"/>
    <m/>
  </r>
  <r>
    <d v="2026-05-12T00:00:00"/>
    <x v="2"/>
    <m/>
    <n v="135000"/>
    <s v="TID:281693"/>
    <s v="Bank"/>
    <m/>
  </r>
  <r>
    <d v="2026-05-12T00:00:00"/>
    <x v="5"/>
    <n v="3700"/>
    <m/>
    <s v="looms"/>
    <s v="Bank"/>
    <m/>
  </r>
  <r>
    <d v="2026-05-12T00:00:00"/>
    <x v="2"/>
    <m/>
    <n v="195000"/>
    <s v="Cash deposit"/>
    <s v="Bank"/>
    <m/>
  </r>
  <r>
    <d v="2026-05-12T00:00:00"/>
    <x v="2"/>
    <m/>
    <n v="18000"/>
    <s v="TID:769550"/>
    <s v="Bank"/>
    <m/>
  </r>
  <r>
    <d v="2026-05-12T00:00:00"/>
    <x v="20"/>
    <n v="350000"/>
    <m/>
    <s v="TID:158006"/>
    <s v="Bank"/>
    <m/>
  </r>
  <r>
    <d v="2026-05-12T00:00:00"/>
    <x v="0"/>
    <n v="500"/>
    <m/>
    <m/>
    <s v="Bank"/>
    <m/>
  </r>
  <r>
    <d v="2026-05-13T00:00:00"/>
    <x v="2"/>
    <m/>
    <n v="18000"/>
    <s v="Bp26"/>
    <s v="Bank"/>
    <m/>
  </r>
  <r>
    <d v="2026-05-13T00:00:00"/>
    <x v="13"/>
    <n v="18000"/>
    <m/>
    <s v="Bp26"/>
    <s v="Bank"/>
    <m/>
  </r>
  <r>
    <d v="2026-05-13T00:00:00"/>
    <x v="33"/>
    <n v="5000"/>
    <m/>
    <s v="Ghulam Abbas"/>
    <s v="Bank"/>
    <m/>
  </r>
  <r>
    <d v="2026-05-13T00:00:00"/>
    <x v="3"/>
    <n v="3240"/>
    <m/>
    <s v="Shampoo ect"/>
    <s v="Bank"/>
    <m/>
  </r>
  <r>
    <d v="2026-05-13T00:00:00"/>
    <x v="30"/>
    <m/>
    <n v="68900"/>
    <s v="50+18.9"/>
    <s v="Bank"/>
    <m/>
  </r>
  <r>
    <d v="2026-05-13T00:00:00"/>
    <x v="5"/>
    <n v="51466"/>
    <m/>
    <s v="Diesel"/>
    <s v="Bank"/>
    <m/>
  </r>
  <r>
    <d v="2026-05-13T00:00:00"/>
    <x v="2"/>
    <m/>
    <n v="45000"/>
    <s v="JC"/>
    <s v="Bank"/>
    <m/>
  </r>
  <r>
    <d v="2026-05-13T00:00:00"/>
    <x v="24"/>
    <n v="50000"/>
    <m/>
    <s v="Waqas ADM"/>
    <s v="Bank"/>
    <m/>
  </r>
  <r>
    <d v="2026-05-13T00:00:00"/>
    <x v="0"/>
    <n v="1006"/>
    <m/>
    <m/>
    <s v="Bank"/>
    <m/>
  </r>
  <r>
    <d v="2026-05-14T00:00:00"/>
    <x v="5"/>
    <n v="1600"/>
    <m/>
    <s v="oil"/>
    <s v="Bank"/>
    <m/>
  </r>
  <r>
    <d v="2026-05-14T00:00:00"/>
    <x v="33"/>
    <n v="5000"/>
    <m/>
    <s v="Khubaib"/>
    <s v="Bank"/>
    <m/>
  </r>
  <r>
    <d v="2026-05-14T00:00:00"/>
    <x v="14"/>
    <n v="2600"/>
    <m/>
    <s v="factory device"/>
    <s v="Bank"/>
    <m/>
  </r>
  <r>
    <d v="2026-05-14T00:00:00"/>
    <x v="2"/>
    <m/>
    <n v="150000"/>
    <s v="pindi das"/>
    <s v="Bank"/>
    <m/>
  </r>
  <r>
    <d v="2026-05-14T00:00:00"/>
    <x v="2"/>
    <m/>
    <n v="74125"/>
    <s v="Madina dyes"/>
    <s v="Bank"/>
    <m/>
  </r>
  <r>
    <d v="2026-05-14T00:00:00"/>
    <x v="26"/>
    <n v="74125"/>
    <m/>
    <s v="Black/rubine/ softner"/>
    <s v="Bank"/>
    <m/>
  </r>
  <r>
    <d v="2026-05-14T00:00:00"/>
    <x v="0"/>
    <n v="4000"/>
    <m/>
    <m/>
    <s v="Bank"/>
    <m/>
  </r>
  <r>
    <d v="2026-05-14T00:00:00"/>
    <x v="33"/>
    <n v="35000"/>
    <m/>
    <s v="Amjad fitter"/>
    <s v="Bank"/>
    <m/>
  </r>
  <r>
    <d v="2026-05-14T00:00:00"/>
    <x v="24"/>
    <n v="80000"/>
    <m/>
    <s v="Akbar sb"/>
    <s v="Bank"/>
    <m/>
  </r>
  <r>
    <d v="2026-05-14T00:00:00"/>
    <x v="3"/>
    <n v="2100"/>
    <m/>
    <s v="elec"/>
    <s v="Bank"/>
    <m/>
  </r>
  <r>
    <d v="2026-05-14T00:00:00"/>
    <x v="28"/>
    <m/>
    <n v="800000"/>
    <s v="TID:507716"/>
    <s v="Bank"/>
    <m/>
  </r>
  <r>
    <d v="2026-05-13T00:00:00"/>
    <x v="31"/>
    <m/>
    <n v="50000"/>
    <s v="cash"/>
    <s v="Bank"/>
    <m/>
  </r>
  <r>
    <d v="2026-05-13T00:00:00"/>
    <x v="2"/>
    <n v="50000"/>
    <m/>
    <s v="Shahid qasai"/>
    <s v="Bank"/>
    <m/>
  </r>
  <r>
    <d v="2026-05-14T00:00:00"/>
    <x v="2"/>
    <n v="500000"/>
    <m/>
    <s v="TID:496015"/>
    <s v="Bank"/>
    <m/>
  </r>
  <r>
    <m/>
    <x v="5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254">
      <pivotArea field="0" grandRow="1" outline="0" collapsedLevelsAreSubtotals="1" axis="axisRow" fieldPosition="0">
        <references count="1">
          <reference field="4294967294" count="1" selected="0">
            <x v="1"/>
          </reference>
        </references>
      </pivotArea>
    </format>
    <format dxfId="253">
      <pivotArea field="0" grandRow="1" outline="0" collapsedLevelsAreSubtotals="1" axis="axisRow" fieldPosition="0">
        <references count="1">
          <reference field="4294967294" count="1" selected="0">
            <x v="0"/>
          </reference>
        </references>
      </pivotArea>
    </format>
    <format dxfId="252">
      <pivotArea collapsedLevelsAreSubtotals="1" fieldPosition="0">
        <references count="2">
          <reference field="4294967294" count="1" selected="0">
            <x v="1"/>
          </reference>
          <reference field="0" count="0"/>
        </references>
      </pivotArea>
    </format>
    <format dxfId="25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8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228">
        <item m="1" x="211"/>
        <item m="1" x="212"/>
        <item m="1" x="213"/>
        <item m="1" x="214"/>
        <item m="1" x="215"/>
        <item m="1" x="216"/>
        <item m="1" x="217"/>
        <item m="1" x="226"/>
        <item m="1" x="207"/>
        <item m="1" x="218"/>
        <item m="1" x="219"/>
        <item m="1" x="220"/>
        <item m="1" x="221"/>
        <item m="1" x="222"/>
        <item m="1" x="223"/>
        <item m="1" x="224"/>
        <item m="1" x="178"/>
        <item m="1" x="179"/>
        <item m="1" x="225"/>
        <item m="1" x="180"/>
        <item m="1" x="177"/>
        <item m="1" x="181"/>
        <item m="1" x="183"/>
        <item m="1" x="184"/>
        <item m="1" x="185"/>
        <item m="1" x="187"/>
        <item m="1" x="188"/>
        <item m="1" x="189"/>
        <item m="1" x="182"/>
        <item m="1" x="186"/>
        <item m="1" x="190"/>
        <item m="1" x="191"/>
        <item m="1" x="192"/>
        <item m="1" x="193"/>
        <item m="1" x="176"/>
        <item m="1" x="194"/>
        <item m="1" x="208"/>
        <item m="1" x="209"/>
        <item m="1" x="210"/>
        <item m="1" x="195"/>
        <item m="1" x="196"/>
        <item m="1" x="197"/>
        <item m="1" x="198"/>
        <item m="1" x="199"/>
        <item m="1" x="200"/>
        <item m="1" x="201"/>
        <item m="1" x="202"/>
        <item m="1" x="203"/>
        <item m="1" x="204"/>
        <item m="1" x="205"/>
        <item m="1" x="206"/>
        <item m="1" x="147"/>
        <item m="1" x="148"/>
        <item m="1" x="149"/>
        <item m="1" x="150"/>
        <item m="1" x="151"/>
        <item m="1" x="152"/>
        <item m="1" x="153"/>
        <item m="1" x="154"/>
        <item m="1" x="156"/>
        <item m="1" x="157"/>
        <item m="1" x="158"/>
        <item m="1" x="155"/>
        <item m="1" x="159"/>
        <item m="1" x="160"/>
        <item m="1" x="161"/>
        <item m="1" x="162"/>
        <item m="1" x="163"/>
        <item m="1" x="164"/>
        <item m="1" x="165"/>
        <item m="1" x="166"/>
        <item m="1" x="167"/>
        <item m="1" x="168"/>
        <item m="1" x="169"/>
        <item m="1" x="170"/>
        <item m="1" x="171"/>
        <item m="1" x="172"/>
        <item m="1" x="173"/>
        <item m="1" x="174"/>
        <item m="1" x="175"/>
        <item m="1" x="93"/>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94"/>
        <item m="1" x="97"/>
        <item m="1" x="95"/>
        <item m="1" x="96"/>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61"/>
        <item m="1" x="62"/>
        <item m="1" x="63"/>
        <item m="1" x="64"/>
        <item m="1" x="65"/>
        <item m="1" x="66"/>
        <item m="1" x="67"/>
        <item m="1" x="68"/>
        <item x="1"/>
        <item m="1" x="69"/>
        <item m="1" x="70"/>
        <item m="1" x="71"/>
        <item m="1" x="72"/>
        <item m="1" x="73"/>
        <item m="1" x="74"/>
        <item m="1" x="92"/>
        <item m="1" x="75"/>
        <item m="1" x="76"/>
        <item m="1" x="60"/>
        <item m="1" x="59"/>
        <item m="1" x="77"/>
        <item m="1" x="78"/>
        <item m="1" x="79"/>
        <item m="1" x="80"/>
        <item m="1" x="81"/>
        <item m="1" x="82"/>
        <item m="1" x="83"/>
        <item m="1" x="84"/>
        <item m="1" x="85"/>
        <item m="1" x="86"/>
        <item m="1" x="87"/>
        <item m="1" x="88"/>
        <item m="1" x="89"/>
        <item m="1" x="90"/>
        <item m="1" x="91"/>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x="4"/>
        <item x="0"/>
        <item x="2"/>
        <item x="3"/>
        <item x="5"/>
        <item x="6"/>
        <item x="7"/>
        <item x="8"/>
        <item x="9"/>
        <item x="10"/>
        <item x="11"/>
        <item x="12"/>
        <item x="13"/>
        <item x="14"/>
        <item x="15"/>
        <item x="16"/>
        <item x="17"/>
        <item x="18"/>
        <item x="19"/>
        <item x="21"/>
        <item x="22"/>
        <item x="20"/>
        <item x="23"/>
        <item x="24"/>
        <item x="25"/>
        <item x="26"/>
        <item x="27"/>
        <item x="28"/>
        <item x="29"/>
        <item x="30"/>
        <item x="31"/>
        <item x="32"/>
        <item x="33"/>
        <item x="34"/>
        <item x="35"/>
        <item t="default"/>
      </items>
    </pivotField>
    <pivotField axis="axisPage" showAll="0">
      <items count="20">
        <item x="0"/>
        <item x="1"/>
        <item x="10"/>
        <item m="1" x="18"/>
        <item x="3"/>
        <item x="4"/>
        <item x="5"/>
        <item m="1" x="17"/>
        <item x="6"/>
        <item x="7"/>
        <item x="8"/>
        <item x="9"/>
        <item x="2"/>
        <item x="11"/>
        <item x="12"/>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x v="220"/>
    </i>
    <i r="1">
      <x v="54"/>
    </i>
    <i>
      <x v="221"/>
    </i>
    <i r="1">
      <x v="54"/>
    </i>
    <i>
      <x v="222"/>
    </i>
    <i r="1">
      <x v="54"/>
    </i>
    <i>
      <x v="223"/>
    </i>
    <i r="1">
      <x v="54"/>
    </i>
    <i>
      <x v="224"/>
    </i>
    <i r="1">
      <x v="54"/>
    </i>
    <i>
      <x v="225"/>
    </i>
    <i r="1">
      <x v="54"/>
    </i>
    <i>
      <x v="22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215">
      <pivotArea dataOnly="0" labelOnly="1" outline="0" fieldPosition="0">
        <references count="1">
          <reference field="1" count="1">
            <x v="1"/>
          </reference>
        </references>
      </pivotArea>
    </format>
    <format dxfId="21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0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9" firstHeaderRow="0" firstDataRow="1" firstDataCol="1"/>
  <pivotFields count="7">
    <pivotField numFmtId="14" showAll="0"/>
    <pivotField axis="axisRow" showAll="0">
      <items count="108">
        <item x="33"/>
        <item x="18"/>
        <item m="1" x="77"/>
        <item m="1" x="94"/>
        <item m="1" x="97"/>
        <item x="13"/>
        <item x="20"/>
        <item x="14"/>
        <item x="5"/>
        <item x="35"/>
        <item x="24"/>
        <item m="1" x="105"/>
        <item m="1" x="73"/>
        <item x="10"/>
        <item m="1" x="60"/>
        <item m="1" x="103"/>
        <item x="3"/>
        <item m="1" x="58"/>
        <item x="0"/>
        <item x="4"/>
        <item x="54"/>
        <item x="39"/>
        <item m="1" x="106"/>
        <item m="1" x="74"/>
        <item x="15"/>
        <item m="1" x="104"/>
        <item m="1" x="96"/>
        <item x="29"/>
        <item m="1" x="98"/>
        <item m="1" x="99"/>
        <item m="1" x="100"/>
        <item m="1" x="101"/>
        <item x="48"/>
        <item m="1" x="102"/>
        <item x="40"/>
        <item m="1" x="68"/>
        <item x="34"/>
        <item m="1" x="66"/>
        <item m="1" x="93"/>
        <item m="1" x="89"/>
        <item m="1" x="71"/>
        <item x="21"/>
        <item x="17"/>
        <item m="1" x="95"/>
        <item x="2"/>
        <item x="22"/>
        <item m="1" x="84"/>
        <item x="7"/>
        <item x="26"/>
        <item m="1" x="85"/>
        <item m="1" x="86"/>
        <item m="1" x="87"/>
        <item m="1" x="88"/>
        <item m="1" x="90"/>
        <item m="1" x="65"/>
        <item m="1" x="78"/>
        <item m="1" x="91"/>
        <item m="1" x="92"/>
        <item m="1" x="76"/>
        <item m="1" x="67"/>
        <item m="1" x="75"/>
        <item x="8"/>
        <item m="1" x="79"/>
        <item x="46"/>
        <item m="1" x="83"/>
        <item x="25"/>
        <item x="30"/>
        <item m="1" x="81"/>
        <item x="31"/>
        <item m="1" x="80"/>
        <item x="27"/>
        <item m="1" x="82"/>
        <item x="19"/>
        <item x="44"/>
        <item x="1"/>
        <item m="1" x="69"/>
        <item m="1" x="57"/>
        <item m="1" x="72"/>
        <item x="12"/>
        <item m="1" x="64"/>
        <item m="1" x="70"/>
        <item m="1" x="59"/>
        <item x="9"/>
        <item x="32"/>
        <item m="1" x="61"/>
        <item m="1" x="62"/>
        <item m="1" x="63"/>
        <item x="43"/>
        <item x="23"/>
        <item x="11"/>
        <item x="6"/>
        <item x="16"/>
        <item x="28"/>
        <item x="36"/>
        <item x="37"/>
        <item x="38"/>
        <item x="41"/>
        <item x="42"/>
        <item x="45"/>
        <item x="47"/>
        <item m="1" x="56"/>
        <item x="49"/>
        <item x="50"/>
        <item x="51"/>
        <item m="1" x="55"/>
        <item x="52"/>
        <item x="53"/>
        <item t="default"/>
      </items>
    </pivotField>
    <pivotField dataField="1" showAll="0"/>
    <pivotField dataField="1" showAll="0"/>
    <pivotField showAll="0"/>
    <pivotField showAll="0"/>
    <pivotField showAll="0"/>
  </pivotFields>
  <rowFields count="1">
    <field x="1"/>
  </rowFields>
  <rowItems count="56">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x v="106"/>
    </i>
    <i t="grand">
      <x/>
    </i>
  </rowItems>
  <colFields count="1">
    <field x="-2"/>
  </colFields>
  <colItems count="2">
    <i>
      <x/>
    </i>
    <i i="1">
      <x v="1"/>
    </i>
  </colItems>
  <dataFields count="2">
    <dataField name="Sum of Credit" fld="3" baseField="0" baseItem="0"/>
    <dataField name="Sum of Debit" fld="2" baseField="0" baseItem="0"/>
  </dataFields>
  <formats count="1">
    <format dxfId="20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9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8">
        <item m="1" x="92"/>
        <item m="1" x="93"/>
        <item m="1" x="94"/>
        <item m="1" x="95"/>
        <item m="1" x="96"/>
        <item m="1" x="91"/>
        <item m="1" x="79"/>
        <item m="1" x="80"/>
        <item m="1" x="84"/>
        <item m="1" x="85"/>
        <item m="1" x="81"/>
        <item m="1" x="86"/>
        <item m="1" x="87"/>
        <item m="1" x="88"/>
        <item m="1" x="89"/>
        <item m="1" x="90"/>
        <item m="1" x="78"/>
        <item m="1" x="82"/>
        <item m="1" x="83"/>
        <item m="1" x="71"/>
        <item m="1" x="72"/>
        <item m="1" x="73"/>
        <item m="1" x="74"/>
        <item m="1" x="75"/>
        <item m="1" x="76"/>
        <item m="1" x="77"/>
        <item m="1" x="47"/>
        <item m="1" x="63"/>
        <item m="1" x="64"/>
        <item m="1" x="65"/>
        <item m="1" x="66"/>
        <item m="1" x="67"/>
        <item m="1" x="68"/>
        <item m="1" x="69"/>
        <item m="1" x="70"/>
        <item m="1" x="48"/>
        <item m="1" x="49"/>
        <item m="1" x="50"/>
        <item m="1" x="51"/>
        <item m="1" x="52"/>
        <item m="1" x="53"/>
        <item m="1" x="54"/>
        <item m="1" x="56"/>
        <item m="1" x="57"/>
        <item m="1" x="55"/>
        <item m="1" x="58"/>
        <item m="1" x="59"/>
        <item m="1" x="60"/>
        <item m="1" x="61"/>
        <item m="1" x="62"/>
        <item m="1" x="23"/>
        <item m="1" x="34"/>
        <item m="1" x="35"/>
        <item m="1" x="36"/>
        <item m="1" x="37"/>
        <item m="1" x="38"/>
        <item m="1" x="39"/>
        <item m="1" x="40"/>
        <item m="1" x="41"/>
        <item m="1" x="42"/>
        <item m="1" x="43"/>
        <item m="1" x="44"/>
        <item m="1" x="45"/>
        <item m="1" x="46"/>
        <item m="1" x="24"/>
        <item m="1" x="25"/>
        <item m="1" x="26"/>
        <item m="1" x="27"/>
        <item m="1" x="28"/>
        <item x="16"/>
        <item m="1" x="29"/>
        <item m="1" x="30"/>
        <item m="1" x="31"/>
        <item m="1" x="32"/>
        <item m="1" x="33"/>
        <item x="0"/>
        <item x="1"/>
        <item x="2"/>
        <item x="3"/>
        <item x="4"/>
        <item x="5"/>
        <item x="6"/>
        <item x="7"/>
        <item x="8"/>
        <item x="9"/>
        <item x="10"/>
        <item x="11"/>
        <item x="12"/>
        <item x="13"/>
        <item x="14"/>
        <item x="15"/>
        <item x="17"/>
        <item x="18"/>
        <item x="19"/>
        <item x="20"/>
        <item x="21"/>
        <item x="22"/>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8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22"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m="1"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49">
        <item m="1" x="531"/>
        <item m="1" x="532"/>
        <item m="1" x="530"/>
        <item m="1" x="529"/>
        <item m="1" x="533"/>
        <item m="1" x="535"/>
        <item m="1" x="534"/>
        <item m="1" x="536"/>
        <item m="1" x="537"/>
        <item m="1" x="538"/>
        <item m="1" x="539"/>
        <item m="1" x="540"/>
        <item m="1" x="541"/>
        <item m="1" x="542"/>
        <item m="1" x="467"/>
        <item m="1" x="489"/>
        <item m="1" x="543"/>
        <item m="1" x="544"/>
        <item m="1" x="545"/>
        <item m="1" x="497"/>
        <item m="1" x="496"/>
        <item m="1" x="546"/>
        <item m="1" x="547"/>
        <item m="1" x="506"/>
        <item m="1" x="498"/>
        <item m="1" x="499"/>
        <item m="1" x="500"/>
        <item m="1" x="501"/>
        <item m="1" x="502"/>
        <item m="1" x="503"/>
        <item m="1" x="504"/>
        <item m="1" x="505"/>
        <item m="1" x="507"/>
        <item m="1" x="527"/>
        <item m="1" x="508"/>
        <item m="1" x="528"/>
        <item m="1" x="509"/>
        <item m="1" x="510"/>
        <item m="1" x="511"/>
        <item m="1" x="512"/>
        <item m="1" x="513"/>
        <item m="1" x="444"/>
        <item m="1" x="514"/>
        <item m="1" x="515"/>
        <item m="1" x="516"/>
        <item m="1" x="517"/>
        <item m="1" x="518"/>
        <item m="1" x="519"/>
        <item m="1" x="520"/>
        <item m="1" x="521"/>
        <item m="1" x="522"/>
        <item m="1" x="523"/>
        <item m="1" x="524"/>
        <item m="1" x="525"/>
        <item m="1" x="526"/>
        <item x="0"/>
        <item m="1" x="443"/>
        <item m="1" x="445"/>
        <item m="1" x="446"/>
        <item m="1" x="447"/>
        <item m="1" x="448"/>
        <item m="1" x="449"/>
        <item m="1" x="450"/>
        <item m="1" x="451"/>
        <item m="1" x="452"/>
        <item m="1" x="453"/>
        <item m="1" x="454"/>
        <item m="1" x="455"/>
        <item m="1" x="456"/>
        <item m="1" x="457"/>
        <item m="1" x="182"/>
        <item m="1" x="458"/>
        <item m="1" x="459"/>
        <item m="1" x="460"/>
        <item m="1" x="461"/>
        <item m="1" x="462"/>
        <item m="1" x="463"/>
        <item m="1" x="464"/>
        <item m="1" x="465"/>
        <item m="1" x="466"/>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90"/>
        <item m="1" x="491"/>
        <item m="1" x="492"/>
        <item m="1" x="493"/>
        <item m="1" x="494"/>
        <item m="1" x="495"/>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198"/>
        <item m="1" x="412"/>
        <item m="1" x="413"/>
        <item m="1" x="414"/>
        <item m="1" x="415"/>
        <item m="1" x="416"/>
        <item m="1" x="417"/>
        <item m="1" x="418"/>
        <item m="1" x="419"/>
        <item m="1" x="420"/>
        <item m="1" x="421"/>
        <item m="1" x="422"/>
        <item m="1" x="442"/>
        <item m="1" x="423"/>
        <item m="1" x="424"/>
        <item m="1" x="425"/>
        <item m="1" x="426"/>
        <item m="1" x="427"/>
        <item m="1" x="428"/>
        <item m="1" x="429"/>
        <item m="1" x="430"/>
        <item m="1" x="431"/>
        <item m="1" x="432"/>
        <item m="1" x="433"/>
        <item m="1" x="434"/>
        <item m="1" x="435"/>
        <item m="1" x="436"/>
        <item m="1" x="437"/>
        <item m="1" x="438"/>
        <item m="1" x="439"/>
        <item m="1" x="440"/>
        <item m="1" x="441"/>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238"/>
        <item m="1" x="361"/>
        <item m="1" x="229"/>
        <item m="1" x="230"/>
        <item m="1" x="231"/>
        <item m="1" x="232"/>
        <item m="1" x="233"/>
        <item m="1" x="234"/>
        <item m="1" x="235"/>
        <item m="1" x="236"/>
        <item m="1" x="237"/>
        <item m="1" x="239"/>
        <item m="1" x="240"/>
        <item m="1" x="241"/>
        <item m="1" x="242"/>
        <item m="1" x="243"/>
        <item m="1" x="244"/>
        <item m="1" x="245"/>
        <item m="1" x="246"/>
        <item m="1" x="247"/>
        <item m="1" x="248"/>
        <item m="1" x="249"/>
        <item m="1" x="250"/>
        <item m="1" x="251"/>
        <item m="1" x="252"/>
        <item m="1" x="179"/>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183"/>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180"/>
        <item m="1" x="304"/>
        <item m="1" x="305"/>
        <item m="1" x="177"/>
        <item m="1" x="186"/>
        <item m="1" x="178"/>
        <item m="1" x="181"/>
        <item m="1" x="184"/>
        <item m="1" x="185"/>
        <item m="1" x="187"/>
        <item m="1" x="188"/>
        <item m="1" x="189"/>
        <item m="1" x="190"/>
        <item m="1" x="191"/>
        <item m="1" x="192"/>
        <item m="1" x="193"/>
        <item m="1" x="194"/>
        <item m="1" x="195"/>
        <item m="1" x="196"/>
        <item x="46"/>
        <item m="1" x="197"/>
        <item m="1" x="199"/>
        <item m="1" x="200"/>
        <item m="1" x="201"/>
        <item m="1" x="158"/>
        <item m="1" x="134"/>
        <item m="1" x="202"/>
        <item m="1" x="203"/>
        <item m="1" x="204"/>
        <item m="1" x="126"/>
        <item m="1" x="205"/>
        <item m="1" x="206"/>
        <item m="1" x="207"/>
        <item m="1" x="208"/>
        <item m="1" x="173"/>
        <item m="1" x="209"/>
        <item m="1" x="210"/>
        <item m="1" x="211"/>
        <item m="1" x="212"/>
        <item m="1" x="213"/>
        <item m="1" x="214"/>
        <item m="1" x="215"/>
        <item m="1" x="216"/>
        <item m="1" x="217"/>
        <item m="1" x="218"/>
        <item m="1" x="219"/>
        <item m="1" x="220"/>
        <item m="1" x="228"/>
        <item m="1" x="221"/>
        <item m="1" x="222"/>
        <item m="1" x="123"/>
        <item m="1" x="124"/>
        <item m="1" x="223"/>
        <item m="1" x="135"/>
        <item m="1" x="224"/>
        <item m="1" x="225"/>
        <item m="1" x="226"/>
        <item m="1" x="227"/>
        <item m="1" x="122"/>
        <item m="1" x="120"/>
        <item m="1" x="119"/>
        <item m="1" x="121"/>
        <item m="1" x="125"/>
        <item x="13"/>
        <item x="9"/>
        <item m="1" x="127"/>
        <item m="1" x="128"/>
        <item m="1" x="129"/>
        <item m="1" x="130"/>
        <item m="1" x="131"/>
        <item m="1" x="132"/>
        <item m="1" x="133"/>
        <item m="1" x="136"/>
        <item m="1" x="137"/>
        <item m="1" x="138"/>
        <item m="1" x="139"/>
        <item m="1" x="140"/>
        <item m="1" x="141"/>
        <item m="1" x="142"/>
        <item m="1" x="143"/>
        <item m="1" x="144"/>
        <item m="1" x="145"/>
        <item m="1" x="146"/>
        <item m="1" x="147"/>
        <item m="1" x="148"/>
        <item m="1" x="149"/>
        <item x="2"/>
        <item m="1" x="150"/>
        <item m="1" x="151"/>
        <item m="1" x="152"/>
        <item x="10"/>
        <item m="1" x="153"/>
        <item m="1" x="154"/>
        <item m="1" x="155"/>
        <item m="1" x="156"/>
        <item m="1" x="157"/>
        <item m="1" x="159"/>
        <item m="1" x="160"/>
        <item m="1" x="161"/>
        <item m="1" x="162"/>
        <item x="8"/>
        <item m="1" x="163"/>
        <item m="1" x="164"/>
        <item m="1" x="165"/>
        <item m="1" x="166"/>
        <item m="1" x="167"/>
        <item m="1" x="168"/>
        <item x="15"/>
        <item m="1" x="169"/>
        <item x="58"/>
        <item m="1" x="170"/>
        <item x="7"/>
        <item m="1" x="171"/>
        <item m="1" x="172"/>
        <item x="19"/>
        <item m="1" x="174"/>
        <item m="1" x="175"/>
        <item m="1" x="176"/>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18"/>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x="117"/>
        <item x="109"/>
        <item x="110"/>
        <item x="111"/>
        <item x="112"/>
        <item x="114"/>
        <item x="115"/>
        <item x="116"/>
        <item x="11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9">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51">
      <pivotArea type="all" dataOnly="0" outline="0" fieldPosition="0"/>
    </format>
    <format dxfId="150">
      <pivotArea outline="0" collapsedLevelsAreSubtotals="1" fieldPosition="0"/>
    </format>
    <format dxfId="149">
      <pivotArea field="4" type="button" dataOnly="0" labelOnly="1" outline="0" axis="axisRow" fieldPosition="0"/>
    </format>
    <format dxfId="148">
      <pivotArea dataOnly="0" labelOnly="1" fieldPosition="0">
        <references count="1">
          <reference field="4" count="0"/>
        </references>
      </pivotArea>
    </format>
    <format dxfId="147">
      <pivotArea dataOnly="0" labelOnly="1" grandRow="1" outline="0" fieldPosition="0"/>
    </format>
    <format dxfId="146">
      <pivotArea dataOnly="0" labelOnly="1" outline="0" fieldPosition="0">
        <references count="1">
          <reference field="4294967294" count="2">
            <x v="0"/>
            <x v="1"/>
          </reference>
        </references>
      </pivotArea>
    </format>
    <format dxfId="145">
      <pivotArea grandRow="1" outline="0" collapsedLevelsAreSubtotals="1" fieldPosition="0"/>
    </format>
    <format dxfId="144">
      <pivotArea field="4" type="button" dataOnly="0" labelOnly="1" outline="0" axis="axisRow" fieldPosition="0"/>
    </format>
    <format dxfId="14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48">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105" s="1"/>
        <i x="93" s="1"/>
        <i x="89" s="1"/>
        <i x="92" s="1"/>
        <i x="115" s="1"/>
        <i x="114" s="1"/>
        <i x="95" s="1"/>
        <i x="90" s="1"/>
        <i x="96" s="1"/>
        <i x="109" s="1"/>
        <i x="112" s="1"/>
        <i x="101" s="1"/>
        <i x="102" s="1"/>
        <i x="104" s="1"/>
        <i x="107" s="1"/>
        <i x="103" s="1"/>
        <i x="106" s="1"/>
        <i x="111" s="1"/>
        <i x="108" s="1"/>
        <i x="117" s="1"/>
        <i x="110" s="1"/>
        <i x="116" s="1"/>
        <i x="39" s="1"/>
        <i x="62" s="1"/>
        <i x="82" s="1"/>
        <i x="87" s="1"/>
        <i x="79" s="1"/>
        <i x="113" s="1"/>
        <i x="502" s="1" nd="1"/>
        <i x="531" s="1" nd="1"/>
        <i x="532" s="1" nd="1"/>
        <i x="540" s="1" nd="1"/>
        <i x="530" s="1" nd="1"/>
        <i x="529" s="1" nd="1"/>
        <i x="533" s="1" nd="1"/>
        <i x="544" s="1" nd="1"/>
        <i x="536" s="1" nd="1"/>
        <i x="537" s="1" nd="1"/>
        <i x="534" s="1" nd="1"/>
        <i x="535" s="1" nd="1"/>
        <i x="545" s="1" nd="1"/>
        <i x="538" s="1" nd="1"/>
        <i x="539" s="1" nd="1"/>
        <i x="542" s="1" nd="1"/>
        <i x="543" s="1" nd="1"/>
        <i x="541" s="1" nd="1"/>
        <i x="497" s="1" nd="1"/>
        <i x="547" s="1" nd="1"/>
        <i x="496" s="1" nd="1"/>
        <i x="546" s="1" nd="1"/>
        <i x="499" s="1" nd="1"/>
        <i x="460" s="1" nd="1"/>
        <i x="498" s="1" nd="1"/>
        <i x="500" s="1" nd="1"/>
        <i x="506" s="1" nd="1"/>
        <i x="501" s="1" nd="1"/>
        <i x="503" s="1" nd="1"/>
        <i x="519" s="1" nd="1"/>
        <i x="443" s="1" nd="1"/>
        <i x="507" s="1" nd="1"/>
        <i x="448" s="1" nd="1"/>
        <i x="513" s="1" nd="1"/>
        <i x="508" s="1" nd="1"/>
        <i x="511" s="1" nd="1"/>
        <i x="516" s="1" nd="1"/>
        <i x="527" s="1" nd="1"/>
        <i x="509" s="1" nd="1"/>
        <i x="521" s="1" nd="1"/>
        <i x="524" s="1" nd="1"/>
        <i x="515" s="1" nd="1"/>
        <i x="504" s="1" nd="1"/>
        <i x="512" s="1" nd="1"/>
        <i x="505" s="1" nd="1"/>
        <i x="510" s="1" nd="1"/>
        <i x="444" s="1" nd="1"/>
        <i x="514" s="1" nd="1"/>
        <i x="520" s="1" nd="1"/>
        <i x="182" s="1" nd="1"/>
        <i x="517" s="1" nd="1"/>
        <i x="522" s="1" nd="1"/>
        <i x="518" s="1" nd="1"/>
        <i x="484" s="1" nd="1"/>
        <i x="523" s="1" nd="1"/>
        <i x="525" s="1" nd="1"/>
        <i x="446" s="1" nd="1"/>
        <i x="453" s="1" nd="1"/>
        <i x="526" s="1" nd="1"/>
        <i x="450" s="1" nd="1"/>
        <i x="451" s="1" nd="1"/>
        <i x="445" s="1" nd="1"/>
        <i x="449" s="1" nd="1"/>
        <i x="337" s="1" nd="1"/>
        <i x="447" s="1" nd="1"/>
        <i x="456" s="1" nd="1"/>
        <i x="452" s="1" nd="1"/>
        <i x="454" s="1" nd="1"/>
        <i x="457" s="1" nd="1"/>
        <i x="464" s="1" nd="1"/>
        <i x="455" s="1" nd="1"/>
        <i x="463" s="1" nd="1"/>
        <i x="468" s="1" nd="1"/>
        <i x="462" s="1" nd="1"/>
        <i x="465" s="1" nd="1"/>
        <i x="475" s="1" nd="1"/>
        <i x="461" s="1" nd="1"/>
        <i x="458" s="1" nd="1"/>
        <i x="459" s="1" nd="1"/>
        <i x="474" s="1" nd="1"/>
        <i x="333" s="1" nd="1"/>
        <i x="467" s="1" nd="1"/>
        <i x="478" s="1" nd="1"/>
        <i x="473" s="1" nd="1"/>
        <i x="466" s="1" nd="1"/>
        <i x="490" s="1" nd="1"/>
        <i x="471" s="1" nd="1"/>
        <i x="481" s="1" nd="1"/>
        <i x="479" s="1" nd="1"/>
        <i x="469" s="1" nd="1"/>
        <i x="477" s="1" nd="1"/>
        <i x="476" s="1" nd="1"/>
        <i x="472" s="1" nd="1"/>
        <i x="482" s="1" nd="1"/>
        <i x="480" s="1" nd="1"/>
        <i x="483" s="1" nd="1"/>
        <i x="470" s="1" nd="1"/>
        <i x="412" s="1" nd="1"/>
        <i x="485" s="1" nd="1"/>
        <i x="486" s="1" nd="1"/>
        <i x="371" s="1" nd="1"/>
        <i x="373" s="1" nd="1"/>
        <i x="493" s="1" nd="1"/>
        <i x="367" s="1" nd="1"/>
        <i x="413" s="1" nd="1"/>
        <i x="487" s="1" nd="1"/>
        <i x="488" s="1" nd="1"/>
        <i x="370" s="1" nd="1"/>
        <i x="495" s="1" nd="1"/>
        <i x="369" s="1" nd="1"/>
        <i x="384" s="1" nd="1"/>
        <i x="494" s="1" nd="1"/>
        <i x="489" s="1" nd="1"/>
        <i x="388" s="1" nd="1"/>
        <i x="492" s="1" nd="1"/>
        <i x="491" s="1" nd="1"/>
        <i x="409" s="1" nd="1"/>
        <i x="362" s="1" nd="1"/>
        <i x="374" s="1" nd="1"/>
        <i x="410" s="1" nd="1"/>
        <i x="408" s="1" nd="1"/>
        <i x="366" s="1" nd="1"/>
        <i x="368" s="1" nd="1"/>
        <i x="201" s="1" nd="1"/>
        <i x="372" s="1" nd="1"/>
        <i x="363" s="1" nd="1"/>
        <i x="398" s="1" nd="1"/>
        <i x="403" s="1" nd="1"/>
        <i x="364" s="1" nd="1"/>
        <i x="365" s="1" nd="1"/>
        <i x="375" s="1" nd="1"/>
        <i x="378" s="1" nd="1"/>
        <i x="385" s="1" nd="1"/>
        <i x="377" s="1" nd="1"/>
        <i x="380" s="1" nd="1"/>
        <i x="379" s="1" nd="1"/>
        <i x="421" s="1" nd="1"/>
        <i x="376" s="1" nd="1"/>
        <i x="401" s="1" nd="1"/>
        <i x="416" s="1" nd="1"/>
        <i x="381" s="1" nd="1"/>
        <i x="406" s="1" nd="1"/>
        <i x="418" s="1" nd="1"/>
        <i x="390" s="1" nd="1"/>
        <i x="430" s="1" nd="1"/>
        <i x="389" s="1" nd="1"/>
        <i x="386" s="1" nd="1"/>
        <i x="382" s="1" nd="1"/>
        <i x="383" s="1" nd="1"/>
        <i x="402" s="1" nd="1"/>
        <i x="391" s="1" nd="1"/>
        <i x="314" s="1" nd="1"/>
        <i x="392" s="1" nd="1"/>
        <i x="387" s="1" nd="1"/>
        <i x="394" s="1" nd="1"/>
        <i x="395" s="1" nd="1"/>
        <i x="423" s="1" nd="1"/>
        <i x="393" s="1" nd="1"/>
        <i x="411" s="1" nd="1"/>
        <i x="399" s="1" nd="1"/>
        <i x="396" s="1" nd="1"/>
        <i x="400" s="1" nd="1"/>
        <i x="397" s="1" nd="1"/>
        <i x="404" s="1" nd="1"/>
        <i x="422" s="1" nd="1"/>
        <i x="417" s="1" nd="1"/>
        <i x="436" s="1" nd="1"/>
        <i x="405" s="1" nd="1"/>
        <i x="307" s="1" nd="1"/>
        <i x="415" s="1" nd="1"/>
        <i x="407" s="1" nd="1"/>
        <i x="431" s="1" nd="1"/>
        <i x="414" s="1" nd="1"/>
        <i x="429" s="1" nd="1"/>
        <i x="315" s="1" nd="1"/>
        <i x="420" s="1" nd="1"/>
        <i x="419" s="1" nd="1"/>
        <i x="435" s="1" nd="1"/>
        <i x="432" s="1" nd="1"/>
        <i x="326" s="1" nd="1"/>
        <i x="440" s="1" nd="1"/>
        <i x="424" s="1" nd="1"/>
        <i x="433" s="1" nd="1"/>
        <i x="438" s="1" nd="1"/>
        <i x="317" s="1" nd="1"/>
        <i x="343" s="1" nd="1"/>
        <i x="442" s="1" nd="1"/>
        <i x="439" s="1" nd="1"/>
        <i x="308" s="1" nd="1"/>
        <i x="328" s="1" nd="1"/>
        <i x="434" s="1" nd="1"/>
        <i x="310" s="1" nd="1"/>
        <i x="425" s="1" nd="1"/>
        <i x="428" s="1" nd="1"/>
        <i x="325" s="1" nd="1"/>
        <i x="437" s="1" nd="1"/>
        <i x="426" s="1" nd="1"/>
        <i x="427" s="1" nd="1"/>
        <i x="312" s="1" nd="1"/>
        <i x="330" s="1" nd="1"/>
        <i x="331" s="1" nd="1"/>
        <i x="344" s="1" nd="1"/>
        <i x="441" s="1" nd="1"/>
        <i x="306" s="1" nd="1"/>
        <i x="329" s="1" nd="1"/>
        <i x="322" s="1" nd="1"/>
        <i x="309" s="1" nd="1"/>
        <i x="313" s="1" nd="1"/>
        <i x="319" s="1" nd="1"/>
        <i x="311" s="1" nd="1"/>
        <i x="335" s="1" nd="1"/>
        <i x="339" s="1" nd="1"/>
        <i x="340" s="1" nd="1"/>
        <i x="332" s="1" nd="1"/>
        <i x="316" s="1" nd="1"/>
        <i x="181" s="1" nd="1"/>
        <i x="318" s="1" nd="1"/>
        <i x="320" s="1" nd="1"/>
        <i x="323" s="1" nd="1"/>
        <i x="336" s="1" nd="1"/>
        <i x="321" s="1" nd="1"/>
        <i x="342" s="1" nd="1"/>
        <i x="274" s="1" nd="1"/>
        <i x="253" s="1" nd="1"/>
        <i x="357" s="1" nd="1"/>
        <i x="324" s="1" nd="1"/>
        <i x="345" s="1" nd="1"/>
        <i x="341" s="1" nd="1"/>
        <i x="327" s="1" nd="1"/>
        <i x="349" s="1" nd="1"/>
        <i x="285" s="1" nd="1"/>
        <i x="248" s="1" nd="1"/>
        <i x="334" s="1" nd="1"/>
        <i x="358" s="1" nd="1"/>
        <i x="338" s="1" nd="1"/>
        <i x="361" s="1" nd="1"/>
        <i x="348" s="1" nd="1"/>
        <i x="353" s="1" nd="1"/>
        <i x="230" s="1" nd="1"/>
        <i x="350" s="1" nd="1"/>
        <i x="352" s="1" nd="1"/>
        <i x="270" s="1" nd="1"/>
        <i x="238" s="1" nd="1"/>
        <i x="347" s="1" nd="1"/>
        <i x="235" s="1" nd="1"/>
        <i x="346" s="1" nd="1"/>
        <i x="247" s="1" nd="1"/>
        <i x="231" s="1" nd="1"/>
        <i x="229" s="1" nd="1"/>
        <i x="351" s="1" nd="1"/>
        <i x="245" s="1" nd="1"/>
        <i x="239" s="1" nd="1"/>
        <i x="250" s="1" nd="1"/>
        <i x="267" s="1" nd="1"/>
        <i x="244" s="1" nd="1"/>
        <i x="255" s="1" nd="1"/>
        <i x="249" s="1" nd="1"/>
        <i x="246" s="1" nd="1"/>
        <i x="359" s="1" nd="1"/>
        <i x="303" s="1" nd="1"/>
        <i x="257" s="1" nd="1"/>
        <i x="258" s="1" nd="1"/>
        <i x="355" s="1" nd="1"/>
        <i x="354" s="1" nd="1"/>
        <i x="232" s="1" nd="1"/>
        <i x="234" s="1" nd="1"/>
        <i x="265" s="1" nd="1"/>
        <i x="241" s="1" nd="1"/>
        <i x="360" s="1" nd="1"/>
        <i x="299" s="1" nd="1"/>
        <i x="290" s="1" nd="1"/>
        <i x="278" s="1" nd="1"/>
        <i x="252" s="1" nd="1"/>
        <i x="237" s="1" nd="1"/>
        <i x="268" s="1" nd="1"/>
        <i x="287" s="1" nd="1"/>
        <i x="279" s="1" nd="1"/>
        <i x="275" s="1" nd="1"/>
        <i x="243" s="1" nd="1"/>
        <i x="263" s="1" nd="1"/>
        <i x="262" s="1" nd="1"/>
        <i x="277" s="1" nd="1"/>
        <i x="264" s="1" nd="1"/>
        <i x="356" s="1" nd="1"/>
        <i x="240" s="1" nd="1"/>
        <i x="236" s="1" nd="1"/>
        <i x="266" s="1" nd="1"/>
        <i x="233" s="1" nd="1"/>
        <i x="271" s="1" nd="1"/>
        <i x="272" s="1" nd="1"/>
        <i x="276" s="1" nd="1"/>
        <i x="180" s="1" nd="1"/>
        <i x="256" s="1" nd="1"/>
        <i x="251" s="1" nd="1"/>
        <i x="284" s="1" nd="1"/>
        <i x="283" s="1" nd="1"/>
        <i x="288" s="1" nd="1"/>
        <i x="242" s="1" nd="1"/>
        <i x="286" s="1" nd="1"/>
        <i x="273" s="1" nd="1"/>
        <i x="179" s="1" nd="1"/>
        <i x="254" s="1" nd="1"/>
        <i x="259" s="1" nd="1"/>
        <i x="260" s="1" nd="1"/>
        <i x="269" s="1" nd="1"/>
        <i x="261" s="1" nd="1"/>
        <i x="280" s="1" nd="1"/>
        <i x="197" s="1" nd="1"/>
        <i x="291" s="1" nd="1"/>
        <i x="281" s="1" nd="1"/>
        <i x="297" s="1" nd="1"/>
        <i x="294" s="1" nd="1"/>
        <i x="292" s="1" nd="1"/>
        <i x="192" s="1" nd="1"/>
        <i x="191" s="1" nd="1"/>
        <i x="304" s="1" nd="1"/>
        <i x="178" s="1" nd="1"/>
        <i x="190" s="1" nd="1"/>
        <i x="298" s="1" nd="1"/>
        <i x="305" s="1" nd="1"/>
        <i x="183" s="1" nd="1"/>
        <i x="300" s="1" nd="1"/>
        <i x="301" s="1" nd="1"/>
        <i x="282" s="1" nd="1"/>
        <i x="295" s="1" nd="1"/>
        <i x="302" s="1" nd="1"/>
        <i x="293" s="1" nd="1"/>
        <i x="213" s="1" nd="1"/>
        <i x="296" s="1" nd="1"/>
        <i x="177" s="1" nd="1"/>
        <i x="186" s="1" nd="1"/>
        <i x="185" s="1" nd="1"/>
        <i x="289" s="1" nd="1"/>
        <i x="173" s="1" nd="1"/>
        <i x="167" s="1" nd="1"/>
        <i x="138" s="1" nd="1"/>
        <i x="172" s="1" nd="1"/>
        <i x="189" s="1" nd="1"/>
        <i x="187" s="1" nd="1"/>
        <i x="194" s="1" nd="1"/>
        <i x="195" s="1" nd="1"/>
        <i x="193" s="1" nd="1"/>
        <i x="188" s="1" nd="1"/>
        <i x="184" s="1" nd="1"/>
        <i x="134" s="1" nd="1"/>
        <i x="158" s="1" nd="1"/>
        <i x="210" s="1" nd="1"/>
        <i x="200" s="1" nd="1"/>
        <i x="196" s="1" nd="1"/>
        <i x="214" s="1" nd="1"/>
        <i x="199" s="1" nd="1"/>
        <i x="209" s="1" nd="1"/>
        <i x="211" s="1" nd="1"/>
        <i x="198" s="1" nd="1"/>
        <i x="202" s="1" nd="1"/>
        <i x="212" s="1" nd="1"/>
        <i x="205" s="1" nd="1"/>
        <i x="203" s="1" nd="1"/>
        <i x="204" s="1" nd="1"/>
        <i x="126" s="1" nd="1"/>
        <i x="208" s="1" nd="1"/>
        <i x="206" s="1" nd="1"/>
        <i x="207" s="1" nd="1"/>
        <i x="216" s="1" nd="1"/>
        <i x="215" s="1" nd="1"/>
        <i x="135" s="1" nd="1"/>
        <i x="225" s="1" nd="1"/>
        <i x="224" s="1" nd="1"/>
        <i x="136" s="1" nd="1"/>
        <i x="223" s="1" nd="1"/>
        <i x="228" s="1" nd="1"/>
        <i x="221" s="1" nd="1"/>
        <i x="227" s="1" nd="1"/>
        <i x="127" s="1" nd="1"/>
        <i x="132" s="1" nd="1"/>
        <i x="217" s="1" nd="1"/>
        <i x="120" s="1" nd="1"/>
        <i x="119" s="1" nd="1"/>
        <i x="121" s="1" nd="1"/>
        <i x="124" s="1" nd="1"/>
        <i x="218" s="1" nd="1"/>
        <i x="219" s="1" nd="1"/>
        <i x="220" s="1" nd="1"/>
        <i x="222" s="1" nd="1"/>
        <i x="226" s="1" nd="1"/>
        <i x="131" s="1" nd="1"/>
        <i x="130" s="1" nd="1"/>
        <i x="128" s="1" nd="1"/>
        <i x="145" s="1" nd="1"/>
        <i x="123" s="1" nd="1"/>
        <i x="122" s="1" nd="1"/>
        <i x="125" s="1" nd="1"/>
        <i x="144" s="1" nd="1"/>
        <i x="139" s="1" nd="1"/>
        <i x="140" s="1" nd="1"/>
        <i x="129" s="1" nd="1"/>
        <i x="152" s="1" nd="1"/>
        <i x="174" s="1" nd="1"/>
        <i x="141" s="1" nd="1"/>
        <i x="143" s="1" nd="1"/>
        <i x="133" s="1" nd="1"/>
        <i x="149" s="1" nd="1"/>
        <i x="153" s="1" nd="1"/>
        <i x="147" s="1" nd="1"/>
        <i x="146" s="1" nd="1"/>
        <i x="142" s="1" nd="1"/>
        <i x="137" s="1" nd="1"/>
        <i x="160" s="1" nd="1"/>
        <i x="161" s="1" nd="1"/>
        <i x="159" s="1" nd="1"/>
        <i x="148" s="1" nd="1"/>
        <i x="170" s="1" nd="1"/>
        <i x="151" s="1" nd="1"/>
        <i x="150" s="1" nd="1"/>
        <i x="157" s="1" nd="1"/>
        <i x="162" s="1" nd="1"/>
        <i x="166" s="1" nd="1"/>
        <i x="176" s="1" nd="1"/>
        <i x="175" s="1" nd="1"/>
        <i x="156" s="1" nd="1"/>
        <i x="155" s="1" nd="1"/>
        <i x="169" s="1" nd="1"/>
        <i x="165" s="1" nd="1"/>
        <i x="154" s="1" nd="1"/>
        <i x="164" s="1" nd="1"/>
        <i x="163" s="1" nd="1"/>
        <i x="168" s="1" nd="1"/>
        <i x="171" s="1" nd="1"/>
        <i x="118" s="1" nd="1"/>
        <i x="528"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250">
      <calculatedColumnFormula>B49</calculatedColumnFormula>
    </tableColumn>
    <tableColumn id="2" xr3:uid="{7EDCC2ED-0339-42B3-9633-FFEA7A3DD9F3}" name="Tiyaar" dataDxfId="249">
      <calculatedColumnFormula>SUMIFS(ledger!G:G, ledger!B:B, B2, ledger!E:E, "&lt;&gt;*RD*") / 1.0936</calculatedColumnFormula>
    </tableColumn>
    <tableColumn id="3" xr3:uid="{CC1535DD-3FE7-4F55-8040-E7643388A78E}" name="Rate"/>
    <tableColumn id="4" xr3:uid="{059CB70B-ADAD-4985-84AA-0D530BAC5567}" name="Total" dataDxfId="24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247" dataDxfId="246">
  <autoFilter ref="B7:E20" xr:uid="{449E5D32-DF9C-4018-96AB-CA98E118D910}"/>
  <tableColumns count="4">
    <tableColumn id="1" xr3:uid="{F663704C-91DD-4BB9-B7EB-EEB0C5EDED6C}" name="Description" dataDxfId="245"/>
    <tableColumn id="2" xr3:uid="{6D94D495-CD0B-4FD3-9771-81D731982A97}" name="Rate" dataDxfId="244" dataCellStyle="Comma"/>
    <tableColumn id="3" xr3:uid="{2D14CEAD-3602-40E7-A488-3584EBC9141E}" name="gazana" dataDxfId="243" dataCellStyle="Comma"/>
    <tableColumn id="4" xr3:uid="{06FEE63C-6480-4079-8426-51BC26B38B34}" name="sum" dataDxfId="24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241" totalsRowDxfId="240" dataCellStyle="Comma">
      <totalsRowFormula>SUM(Table12[Amount])</totalsRowFormula>
    </tableColumn>
    <tableColumn id="3" xr3:uid="{12F975D1-A51D-47BD-82DF-F0C35A709016}" name="Description"/>
    <tableColumn id="4" xr3:uid="{96712812-B120-49C2-B905-59FC86A743E8}" name="cost per meter" totalsRowFunction="custom" dataDxfId="239" totalsRowDxfId="23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237" dataDxfId="236" headerRowCellStyle="Comma" dataCellStyle="Comma">
  <autoFilter ref="B2:C5" xr:uid="{136E8F7F-D03F-4198-8335-91A003EA9E45}"/>
  <tableColumns count="2">
    <tableColumn id="1" xr3:uid="{279FA697-9952-479A-AC05-0D4992B41374}" name="Column1" dataDxfId="235" dataCellStyle="Comma"/>
    <tableColumn id="2" xr3:uid="{8A64998B-65EF-41CD-BCB0-3DDB7B359C54}" name="Column2" dataDxfId="23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233"/>
    <tableColumn id="2" xr3:uid="{51D27FA2-8DDF-4369-BAF7-7D1FE90E16A0}" name="Column2" dataDxfId="23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231" totalsRowDxfId="23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22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66" totalsRowCount="1" headerRowDxfId="228" dataDxfId="227" headerRowCellStyle="Comma" dataCellStyle="Comma">
  <autoFilter ref="A1:K265" xr:uid="{11DACEC6-751B-4B1D-817F-5C5BCD38EF6D}"/>
  <tableColumns count="11">
    <tableColumn id="1" xr3:uid="{2FCE3FA8-A48C-4685-8919-AE44C6C71FD9}" name="Date" dataDxfId="226" dataCellStyle="Comma"/>
    <tableColumn id="2" xr3:uid="{5780FD5F-0890-44E6-B59C-8E37A559FE36}" name="Party Name" dataDxfId="225" dataCellStyle="Comma"/>
    <tableColumn id="3" xr3:uid="{5B3ECD85-9174-40AC-BFBD-49CAC97A83D3}" name="Bill Number" dataDxfId="224" dataCellStyle="Comma"/>
    <tableColumn id="4" xr3:uid="{11B50761-04B6-4262-AD4D-7182450037D1}" name="Quality" dataDxfId="223" dataCellStyle="Comma"/>
    <tableColumn id="5" xr3:uid="{2C556969-B713-4967-BD24-466AACCBE5F5}" name="Shipment Number" dataDxfId="222" totalsRowDxfId="35" dataCellStyle="Comma"/>
    <tableColumn id="6" xr3:uid="{F4E1FD2B-9017-4DEB-B772-BF447ECE56F7}" name="Kora/metre" dataDxfId="221" totalsRowDxfId="34" dataCellStyle="Comma"/>
    <tableColumn id="7" xr3:uid="{52ACC1DA-7A76-4A90-B809-3A1AE728E7EA}" name="Tiyaar/gaz" dataDxfId="220" totalsRowDxfId="33" dataCellStyle="Comma"/>
    <tableColumn id="8" xr3:uid="{31A0FF5E-56F0-44D1-9865-73256B964660}" name="shortage %" dataDxfId="219" totalsRowDxfId="32" dataCellStyle="Comma">
      <calculatedColumnFormula>_xlfn.XLOOKUP(Table1[[#This Row],[Shipment Number]], 'pivot '!A:A,'pivot '!G:G, "NF")</calculatedColumnFormula>
    </tableColumn>
    <tableColumn id="9" xr3:uid="{F99075E0-AC8E-094D-BB85-272AD2C6C568}" name="tiyar/meters" totalsRowFunction="custom" dataDxfId="218" totalsRowDxfId="31"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217" totalsRowDxfId="30"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216" totalsRowDxfId="2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213" headerRowBorderDxfId="212" tableBorderDxfId="211">
  <autoFilter ref="A1:I126" xr:uid="{F8E8C957-ABE7-4E4F-8D4E-7D44E26B334F}"/>
  <tableColumns count="9">
    <tableColumn id="1" xr3:uid="{C2E817D6-AB98-4DDD-8890-736B27F261CD}" name="Date" dataDxfId="210" totalsRowDxfId="12"/>
    <tableColumn id="2" xr3:uid="{CFB51890-CCDC-463C-81C9-3F8BD7469CB9}" name="Party Name"/>
    <tableColumn id="3" xr3:uid="{A113D971-1C9D-4733-99C4-BD0CC4333209}" name="Vehicle Number"/>
    <tableColumn id="4" xr3:uid="{49780304-3DD1-4AE9-98EE-2BC7EB8F3B57}" name="Weight" dataDxfId="209" totalsRowDxfId="11" dataCellStyle="Comma"/>
    <tableColumn id="5" xr3:uid="{FCAF1BC6-1D8C-42AD-8BBC-F924BF2DC7FE}" name="Rate" dataDxfId="208" totalsRowDxfId="10" dataCellStyle="Comma"/>
    <tableColumn id="6" xr3:uid="{8C70A624-4134-410C-9C45-9FDEB51D51BF}" name="Rent" dataDxfId="207" totalsRowDxfId="9" dataCellStyle="Comma"/>
    <tableColumn id="7" xr3:uid="{EBCE10AE-9634-4982-9C95-37ABC8A7078C}" name="Total" totalsRowFunction="sum" dataDxfId="206" totalsRowDxfId="8" dataCellStyle="Comma">
      <calculatedColumnFormula>D2*E2</calculatedColumnFormula>
    </tableColumn>
    <tableColumn id="9" xr3:uid="{D4788559-C94A-44D9-B9AE-E72B214355AC}" name="Paid" totalsRowFunction="sum" dataDxfId="205" totalsRowDxfId="7" dataCellStyle="Comma"/>
    <tableColumn id="8" xr3:uid="{E26F5BF0-1875-4FC6-994D-49F202ED562B}" name="balance" totalsRowFunction="sum" dataDxfId="204" totalsRowDxfId="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99" totalsRowCount="1">
  <autoFilter ref="A1:G898" xr:uid="{CB032221-B416-47A8-9A76-693DE76CFD04}"/>
  <sortState xmlns:xlrd2="http://schemas.microsoft.com/office/spreadsheetml/2017/richdata2" ref="A2:G647">
    <sortCondition ref="A1:A647"/>
  </sortState>
  <tableColumns count="7">
    <tableColumn id="1" xr3:uid="{554B1EED-65B6-4E9A-B646-82727FAC40DE}" name="Date" dataDxfId="202" totalsRowDxfId="136"/>
    <tableColumn id="2" xr3:uid="{32259059-42CF-4947-83DE-115AA430BE2B}" name="Party"/>
    <tableColumn id="3" xr3:uid="{A1320223-D55D-483C-91C3-AB19B95CC9D8}" name="Debit" totalsRowFunction="sum" dataDxfId="201" totalsRowDxfId="135" dataCellStyle="Comma"/>
    <tableColumn id="4" xr3:uid="{E9745767-9FF0-4B1C-9052-FF335D1D7588}" name="Credit" totalsRowFunction="sum" dataDxfId="200" totalsRowDxfId="134" dataCellStyle="Comma"/>
    <tableColumn id="5" xr3:uid="{5C88A48E-2467-4E6D-B626-2442B7FD0BE4}" name="Description"/>
    <tableColumn id="6" xr3:uid="{63CA4666-144E-4BE6-8B7C-7CB992BD3041}" name="Mode" totalsRowFunction="custom" dataDxfId="199" totalsRowDxfId="133">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98" tableBorderDxfId="197" totalsRowBorderDxfId="196">
  <autoFilter ref="J3:K6" xr:uid="{DCE01694-23ED-48BF-8B92-4186B9ED10A8}"/>
  <tableColumns count="2">
    <tableColumn id="1" xr3:uid="{C8484DAF-2989-4C2F-9AEC-A6917E1C57F6}" name="Type" dataDxfId="195"/>
    <tableColumn id="2" xr3:uid="{B07B7A2A-4D4E-4654-BED6-FE2F0A7BEC34}" name="Amount" dataDxfId="19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93" headerRowBorderDxfId="192" tableBorderDxfId="191" totalsRowBorderDxfId="190">
  <autoFilter ref="M3:O6" xr:uid="{D166BDD1-ACD7-45D7-8AE9-7350373F8CEB}"/>
  <tableColumns count="3">
    <tableColumn id="1" xr3:uid="{64F0205E-DEA7-4571-BA86-E4374A5FEE28}" name="Type" totalsRowLabel="Total" dataDxfId="189" totalsRowDxfId="188"/>
    <tableColumn id="2" xr3:uid="{15FA05F9-789C-4459-9BE0-5C1EC84D3365}" name="amount" totalsRowFunction="custom" dataDxfId="187" totalsRowDxfId="186">
      <totalsRowFormula>SUM(N5:N6)</totalsRowFormula>
    </tableColumn>
    <tableColumn id="3" xr3:uid="{3681D409-90C6-44D0-BDE2-4B5943A516F0}" name="Actual" totalsRowFunction="custom" totalsRowDxfId="18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84" totalsRowDxfId="183"/>
    <tableColumn id="2" xr3:uid="{5B9D0FEE-4304-4C5C-A05C-5B27CF7841D3}" name="Type"/>
    <tableColumn id="3" xr3:uid="{6A91CA0D-C802-4C6F-9F39-CA53687E8EDE}" name="Description"/>
    <tableColumn id="4" xr3:uid="{A251D40C-AB87-4BB4-85F8-444B20E32FDF}" name="Total" totalsRowFunction="custom" dataDxfId="182" totalsRowDxfId="18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180" headerRowBorderDxfId="179">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78"/>
    <tableColumn id="4" xr3:uid="{1889A312-9B41-4EC4-BD8F-05252F27084A}" name="Price" totalsRowFunction="sum"/>
    <tableColumn id="6" xr3:uid="{8B974B20-F003-4E67-8660-024FA4F324A9}" name="Party"/>
    <tableColumn id="7" xr3:uid="{0A5A5C21-FD61-47DA-9F54-66A6479FA557}" name="Paid" totalsRowFunction="sum" dataDxfId="177">
      <calculatedColumnFormula>SUMIFS(Table14[Debit], Table14[Date], Table8[[#This Row],[Date]], Table14[Party], Table8[[#This Row],[Party]])</calculatedColumnFormula>
    </tableColumn>
    <tableColumn id="8" xr3:uid="{8DCB3B43-2161-4081-82EC-CDB0F4DE4E6F}" name="Balance" totalsRowFunction="sum" dataDxfId="17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5" totalsRowCount="1" headerRowDxfId="175" headerRowBorderDxfId="174">
  <autoFilter ref="A4:H54" xr:uid="{A4C80688-A8BA-4BA7-90B4-791CD99446B4}"/>
  <sortState xmlns:xlrd2="http://schemas.microsoft.com/office/spreadsheetml/2017/richdata2" ref="A5:H6">
    <sortCondition ref="A4:A6"/>
  </sortState>
  <tableColumns count="8">
    <tableColumn id="1" xr3:uid="{4A818912-918E-4111-ACFC-BC93FEF7C1AD}" name="Date" dataDxfId="173" totalsRowDxfId="137"/>
    <tableColumn id="8" xr3:uid="{477ACFD5-62AF-4F69-974B-E9B974C11D7D}" name="Party Name" dataDxfId="172"/>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171">
      <calculatedColumnFormula>Table2[[#This Row],[Quantity]]*200*Table2[[#This Row],[Boxes]]</calculatedColumnFormula>
    </tableColumn>
    <tableColumn id="6" xr3:uid="{30432929-CBD4-4BA8-B63F-CD0F6CF6405F}" name="Paid" totalsRowFunction="sum" dataDxfId="170">
      <calculatedColumnFormula>SUMIFS(Table14[Debit], Table14[Date], Table2[[#This Row],[Date]], Table14[Party], Table2[[#This Row],[Party Name]])</calculatedColumnFormula>
    </tableColumn>
    <tableColumn id="7" xr3:uid="{BB689DF2-5D1E-436D-84C4-9745D88E8F3D}" name="Balance" totalsRowFunction="sum" dataDxfId="169">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68" totalsRowDxfId="167"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66" totalsRowDxfId="165"/>
    <tableColumn id="2" xr3:uid="{053BFC14-4828-417C-9F9F-95B6E232A945}" name="Amount" totalsRowFunction="custom" dataDxfId="164" totalsRowDxfId="163"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62" totalsRowDxfId="16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160" totalsRowDxfId="159">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158" totalsRowDxfId="157">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156" totalsRowDxfId="155">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154" totalsRowDxfId="153">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152">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86" totalsRowCount="1">
  <autoFilter ref="B2:E85" xr:uid="{4694C645-BA0B-477E-AE5E-02046C12E841}"/>
  <tableColumns count="4">
    <tableColumn id="1" xr3:uid="{1D391A77-9D14-4B37-AD91-EEEDC97B6A4E}" name="Date" dataDxfId="142" totalsRowDxfId="14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89" totalsRowCount="1">
  <autoFilter ref="H2:J88" xr:uid="{A7265B0E-A50D-4BC5-9C1C-E62AF5B48CAF}"/>
  <tableColumns count="3">
    <tableColumn id="1" xr3:uid="{AB5830E5-ECCF-4406-AB96-EB98EE86F300}" name="Date" dataDxfId="140" totalsRowDxfId="5"/>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56">
      <calculatedColumnFormula>Billing!R5</calculatedColumnFormula>
    </tableColumn>
    <tableColumn id="2" xr3:uid="{7093A59E-B58F-487D-888A-9AA8156B5F9A}" name="Amount Paid" dataDxfId="255">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39">
      <calculatedColumnFormula>G2</calculatedColumnFormula>
    </tableColumn>
    <tableColumn id="2" xr3:uid="{F72CFEEB-BA11-4A49-BD19-88592EB6A27C}" name="Credit" dataDxfId="13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3"/>
  <sheetViews>
    <sheetView zoomScaleNormal="100" workbookViewId="0">
      <selection activeCell="C83" sqref="C83:Q8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1156231.7117776154</v>
      </c>
      <c r="D2">
        <v>10</v>
      </c>
      <c r="E2" s="14">
        <f>(SUMIFS(ledger!G:G, ledger!B:B, B2, ledger!E:E, "&lt;&gt;*RD*",ledger!D:D, "Silky") / 1.0936)*12 + (SUMIFS(ledger!G:G, ledger!B:B, B2, ledger!E:E, "&lt;&gt;*RD*",ledger!D:D, "Chamki") / 1.0936)*10</f>
        <v>9352730.4316020496</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0">_xlfn.UNIQUE(Table1[Party Name])</f>
        <v>BSC</v>
      </c>
      <c r="S5" s="22" cm="1">
        <f t="array" ref="S5">_xlfn.BYROW(B49,_xlfn.LAMBDA(_xlpm.party,SUMIFS(ledger!G:G,ledger!B:B,_xlpm.party,ledger!E:E,"&lt;&gt;*RD*")))+_xlfn.IFNA(C98,0)</f>
        <v>4917221.8824000005</v>
      </c>
      <c r="T5" s="22" cm="1">
        <f t="array" ref="T5">_xlfn.BYROW(B49, _xlfn.LAMBDA(_xlpm.party, SUMIFS(ledger!G:G, ledger!B:B, _xlpm.party, ledger!E:E, "&lt;&gt;*RD*") / 1.0936 ))+_xlfn.IFNA(D98,0)</f>
        <v>4496362.3650329188</v>
      </c>
      <c r="U5" s="22" cm="1">
        <f t="array" ref="U5">(_xlfn.BYROW(B49,_xlfn.LAMBDA(_xlpm.party,SUMIFS(ledger!G:G,ledger!B:B,_xlpm.party,ledger!E:E,"&lt;&gt;*RD*",ledger!D:D,"Chamki")+SUMIFS(ledger!G:G, ledger!B:B, _xlpm.party, ledger!E:E, "&lt;&gt;*RD*", ledger!D:D, "Crinkle")))/1.0936)+_xlfn.IFNA(E98,0)</f>
        <v>3491302.0138990493</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(SUMIFS(ledger!J:J,ledger!B:B,_xlpm.party,ledger!E:E,"&lt;&gt;*RD*",ledger!D:D,"Chamki",ledger!C:C,"&lt;&gt;January Closing CF")+
SUMIFS(ledger!J:J,ledger!B:B,_xlpm.party,ledger!E:E,"&lt;&gt;*RD*",ledger!D:D,"Crinkle",ledger!C:C,"&lt;&gt;January Closing CF")
)+_xlfn.IFNA(G98,0))))</f>
        <v>34913020.138990499</v>
      </c>
      <c r="X5" s="70" cm="1">
        <f t="array" ref="X5">_xlfn.BYROW(B49, _xlfn.LAMBDA(_xlpm.party,
   SUMIFS(ledger!J:J, ledger!B:B, _xlpm.party, ledger!E:E, "&lt;&gt;*RD*", ledger!D:D, "Silky", ledger!C:C, "&lt;&gt;January Closing CF")
)) + _xlfn.IFNA(H98, 0)</f>
        <v>10463588.149231896</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47503704.118507691</v>
      </c>
      <c r="AF5" s="22">
        <f>(SUMIF(Table14[Party],#REF!,Table14[Credit]))+_xlfn.IFNA(P98,0)</f>
        <v>19750734</v>
      </c>
      <c r="AG5" s="33">
        <f>AE5-AF5</f>
        <v>27752970.118507691</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9812586</v>
      </c>
      <c r="AG7" s="33">
        <f t="shared" si="2"/>
        <v>21.90051206946373</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3109990</v>
      </c>
      <c r="AG13" s="33">
        <f t="shared" si="2"/>
        <v>1613.8771031456999</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35080259.69275786</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35080259.69275786</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4310477</v>
      </c>
      <c r="AG25" s="33">
        <f t="shared" si="2"/>
        <v>111552.9926847117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564239</v>
      </c>
      <c r="T36" s="22" cm="1">
        <f t="array" ref="T36">_xlfn.BYROW(B80, _xlfn.LAMBDA(_xlpm.party, SUMIFS(ledger!G:G, ledger!B:B, _xlpm.party, ledger!E:E, "&lt;&gt;*RD*") / 1.0936 ))+_xlfn.IFNA(D129,0)</f>
        <v>515946.41550841264</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374447.69568397955</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4867820.0438917344</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6505843.0870519392</v>
      </c>
      <c r="AF36" s="22">
        <f>(SUMIF(Table14[Party],R36,Table14[Credit]))+_xlfn.IFNA(P129,0)</f>
        <v>6045323.4930504756</v>
      </c>
      <c r="AG36" s="33">
        <f t="shared" si="2"/>
        <v>460519.59400146361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212412</v>
      </c>
      <c r="T38" s="22" cm="1">
        <f t="array" ref="T38">_xlfn.BYROW(B82, _xlfn.LAMBDA(_xlpm.party, SUMIFS(ledger!G:G, ledger!B:B, _xlpm.party, ledger!E:E, "&lt;&gt;*RD*") / 1.0936 ))+_xlfn.IFNA(D131,0)</f>
        <v>194231.89465983908</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92749.634235552308</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1205745.2450621799</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2322753.2918800293</v>
      </c>
      <c r="AF38" s="22">
        <f>(SUMIF(Table14[Party],R38,Table14[Credit]))+_xlfn.IFNA(P131,0)</f>
        <v>0</v>
      </c>
      <c r="AG38" s="33">
        <f t="shared" ref="AG38" si="4">AE38-AF38</f>
        <v>2322753.2918800293</v>
      </c>
    </row>
    <row r="39" spans="2:35" x14ac:dyDescent="0.3">
      <c r="R39" t="str">
        <v>Farhaan ali</v>
      </c>
      <c r="S39" s="22" cm="1">
        <f t="array" ref="S39">_xlfn.BYROW(B83,_xlfn.LAMBDA(_xlpm.party,SUMIFS(ledger!G:G,ledger!B:B,_xlpm.party,ledger!E:E,"&lt;&gt;*RD*")))+_xlfn.IFNA(C132,0)</f>
        <v>195693</v>
      </c>
      <c r="T39" s="22" cm="1">
        <f t="array" ref="T39">_xlfn.BYROW(B83, _xlfn.LAMBDA(_xlpm.party, SUMIFS(ledger!G:G, ledger!B:B, _xlpm.party, ledger!E:E, "&lt;&gt;*RD*") / 1.0936 ))+_xlfn.IFNA(D132,0)</f>
        <v>178943.85515727874</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178943.85515727874</v>
      </c>
      <c r="W39" s="22" cm="1">
        <f t="array" ref="W39">(_xlfn.BYROW(B83,_xlfn.LAMBDA(_xlpm.party,
(SUMIFS(ledger!J:J,ledger!B:B,_xlpm.party,ledger!E:E,"&lt;&gt;*RD*",ledger!D:D,"Chamki",ledger!C:C,"&lt;&gt;January Closing CF")+
SUMIFS(ledger!J:J,ledger!B:B,_xlpm.party,ledger!E:E,"&lt;&gt;*RD*",ledger!D:D,"Crinkle",ledger!C:C,"&lt;&gt;January Closing CF")
)+_xlfn.IFNA(G132,0))))</f>
        <v>0</v>
      </c>
      <c r="X39" s="70" cm="1">
        <f t="array" ref="X39">_xlfn.BYROW(B83, _xlfn.LAMBDA(_xlpm.party,
   SUMIFS(ledger!J:J, ledger!B:B, _xlpm.party, ledger!E:E, "&lt;&gt;*RD*", ledger!D:D, "Silky", ledger!C:C, "&lt;&gt;January Closing CF")
)) + _xlfn.IFNA(H132, 0)</f>
        <v>2147326.2618873445</v>
      </c>
      <c r="Y39" s="70" cm="1">
        <f t="array" ref="Y39">_xlfn.BYROW(B83, _xlfn.LAMBDA(_xlpm.party,
   SUMIFS(ledger!J:J, ledger!B:B, _xlpm.party, ledger!E:E, "&lt;&gt;*RD*", ledger!D:D, "Slub", ledger!C:C, "&lt;&gt;January Closing CF")
))+ _xlfn.IFNA(I132, 0)</f>
        <v>0</v>
      </c>
      <c r="Z39" s="70" cm="1">
        <f t="array" ref="Z39">_xlfn.BYROW(B83, _xlfn.LAMBDA(_xlpm.party,
   SUMIFS(ledger!J:J, ledger!B:B, _xlpm.party, ledger!E:E, "&lt;&gt;*RD*", ledger!D:D, "Satin", ledger!C:C, "&lt;&gt;January Closing CF")
))+ _xlfn.IFNA(J132, 0)</f>
        <v>0</v>
      </c>
      <c r="AA39" s="70" cm="1">
        <f t="array" ref="AA39">_xlfn.BYROW(B83, _xlfn.LAMBDA(_xlpm.party,
   SUMIFS(ledger!J:J, ledger!B:B, _xlpm.party, ledger!E:E, "&lt;&gt;*RD*", ledger!D:D, "Black-Chamki", ledger!C:C, "&lt;&gt;January Closing CF")
))+ _xlfn.IFNA(K132, 0)</f>
        <v>0</v>
      </c>
      <c r="AB39" s="70" cm="1">
        <f t="array" ref="AB39">_xlfn.BYROW(B83, _xlfn.LAMBDA(_xlpm.party,
   SUMIFS(ledger!J:J, ledger!B:B, _xlpm.party, ledger!E:E, "&lt;&gt;*RD*", ledger!D:D, "Kataan", ledger!C:C, "&lt;&gt;January Closing CF")
))+ _xlfn.IFNA(L132, 0)</f>
        <v>0</v>
      </c>
      <c r="AC39" s="70" cm="1">
        <f t="array" ref="AC39">_xlfn.BYROW(B83, _xlfn.LAMBDA(_xlpm.party,
   SUMIFS(ledger!J:J, ledger!B:B, _xlpm.party, ledger!E:E, "&lt;&gt;*RD*", ledger!D:D, "Munaar", ledger!C:C, "&lt;&gt;January Closing CF")
))+ _xlfn.IFNA(M132, 0)</f>
        <v>0</v>
      </c>
      <c r="AD39" s="70" cm="1">
        <f t="array" ref="AD39">_xlfn.BYROW(B83, _xlfn.LAMBDA(_xlpm.party,
   SUMIFS(ledger!J:J, ledger!B:B, _xlpm.party, ledger!E:E, "&lt;&gt;*RD*", ledger!D:D, "Custom", ledger!C:C, "&lt;&gt;January Closing CF")
))+ _xlfn.IFNA(N132, 0)</f>
        <v>0</v>
      </c>
      <c r="AE39" s="39">
        <f t="shared" ref="AE39:AE40" si="5">W39+X39+Y39+Z39+AA39+AB39+AC39+AD39</f>
        <v>2147326.2618873445</v>
      </c>
      <c r="AF39" s="22">
        <f>(SUMIF(Table14[Party],R39,Table14[Credit]))+_xlfn.IFNA(P132,0)</f>
        <v>500000</v>
      </c>
      <c r="AG39" s="33">
        <f t="shared" ref="AG39:AG40" si="6">AE39-AF39</f>
        <v>1647326.2618873445</v>
      </c>
    </row>
    <row r="40" spans="2:35" x14ac:dyDescent="0.3">
      <c r="R40" t="str">
        <v>ACM salman zaffar</v>
      </c>
      <c r="S40" s="22" cm="1">
        <f t="array" ref="S40">_xlfn.BYROW(B84,_xlfn.LAMBDA(_xlpm.party,SUMIFS(ledger!G:G,ledger!B:B,_xlpm.party,ledger!E:E,"&lt;&gt;*RD*")))+_xlfn.IFNA(C133,0)</f>
        <v>20731</v>
      </c>
      <c r="T40" s="22" cm="1">
        <f t="array" ref="T40">_xlfn.BYROW(B84, _xlfn.LAMBDA(_xlpm.party, SUMIFS(ledger!G:G, ledger!B:B, _xlpm.party, ledger!E:E, "&lt;&gt;*RD*") / 1.0936 ))+_xlfn.IFNA(D133,0)</f>
        <v>18956.656912948063</v>
      </c>
      <c r="U40" s="22" cm="1">
        <f t="array" ref="U40">(_xlfn.BYROW(B84,_xlfn.LAMBDA(_xlpm.party,SUMIFS(ledger!G:G,ledger!B:B,_xlpm.party,ledger!E:E,"&lt;&gt;*RD*",ledger!D:D,"Chamki")+SUMIFS(ledger!G:G, ledger!B:B, _xlpm.party, ledger!E:E, "&lt;&gt;*RD*", ledger!D:D, "Crinkle")))/1.0936)+_xlfn.IFNA(E133,0)</f>
        <v>18956.656912948063</v>
      </c>
      <c r="V40" s="70" cm="1">
        <f t="array" ref="V40">(_xlfn.BYROW(B84,_xlfn.LAMBDA(_xlpm.party,SUMIFS(ledger!G:G,ledger!B:B,_xlpm.party,ledger!E:E,"&lt;&gt;*RD*",ledger!D:D,"Silky")))/1.0936)+_xlfn.IFNA(F133,0)</f>
        <v>0</v>
      </c>
      <c r="W40" s="22" cm="1">
        <f t="array" ref="W40">(_xlfn.BYROW(B84,_xlfn.LAMBDA(_xlpm.party,
(SUMIFS(ledger!J:J,ledger!B:B,_xlpm.party,ledger!E:E,"&lt;&gt;*RD*",ledger!D:D,"Chamki",ledger!C:C,"&lt;&gt;January Closing CF")+
SUMIFS(ledger!J:J,ledger!B:B,_xlpm.party,ledger!E:E,"&lt;&gt;*RD*",ledger!D:D,"Crinkle",ledger!C:C,"&lt;&gt;January Closing CF")
)+_xlfn.IFNA(G133,0))))</f>
        <v>189566.56912948063</v>
      </c>
      <c r="X40" s="70" cm="1">
        <f t="array" ref="X40">_xlfn.BYROW(B84, _xlfn.LAMBDA(_xlpm.party,
   SUMIFS(ledger!J:J, ledger!B:B, _xlpm.party, ledger!E:E, "&lt;&gt;*RD*", ledger!D:D, "Silky", ledger!C:C, "&lt;&gt;January Closing CF")
)) + _xlfn.IFNA(H133, 0)</f>
        <v>0</v>
      </c>
      <c r="Y40" s="70" cm="1">
        <f t="array" ref="Y40">_xlfn.BYROW(B84, _xlfn.LAMBDA(_xlpm.party,
   SUMIFS(ledger!J:J, ledger!B:B, _xlpm.party, ledger!E:E, "&lt;&gt;*RD*", ledger!D:D, "Slub", ledger!C:C, "&lt;&gt;January Closing CF")
))+ _xlfn.IFNA(I133, 0)</f>
        <v>0</v>
      </c>
      <c r="Z40" s="70" cm="1">
        <f t="array" ref="Z40">_xlfn.BYROW(B84, _xlfn.LAMBDA(_xlpm.party,
   SUMIFS(ledger!J:J, ledger!B:B, _xlpm.party, ledger!E:E, "&lt;&gt;*RD*", ledger!D:D, "Satin", ledger!C:C, "&lt;&gt;January Closing CF")
))+ _xlfn.IFNA(J133, 0)</f>
        <v>0</v>
      </c>
      <c r="AA40" s="70" cm="1">
        <f t="array" ref="AA40">_xlfn.BYROW(B84, _xlfn.LAMBDA(_xlpm.party,
   SUMIFS(ledger!J:J, ledger!B:B, _xlpm.party, ledger!E:E, "&lt;&gt;*RD*", ledger!D:D, "Black-Chamki", ledger!C:C, "&lt;&gt;January Closing CF")
))+ _xlfn.IFNA(K133, 0)</f>
        <v>0</v>
      </c>
      <c r="AB40" s="70" cm="1">
        <f t="array" ref="AB40">_xlfn.BYROW(B84, _xlfn.LAMBDA(_xlpm.party,
   SUMIFS(ledger!J:J, ledger!B:B, _xlpm.party, ledger!E:E, "&lt;&gt;*RD*", ledger!D:D, "Kataan", ledger!C:C, "&lt;&gt;January Closing CF")
))+ _xlfn.IFNA(L133, 0)</f>
        <v>0</v>
      </c>
      <c r="AC40" s="70" cm="1">
        <f t="array" ref="AC40">_xlfn.BYROW(B84, _xlfn.LAMBDA(_xlpm.party,
   SUMIFS(ledger!J:J, ledger!B:B, _xlpm.party, ledger!E:E, "&lt;&gt;*RD*", ledger!D:D, "Munaar", ledger!C:C, "&lt;&gt;January Closing CF")
))+ _xlfn.IFNA(M133, 0)</f>
        <v>0</v>
      </c>
      <c r="AD40" s="70" cm="1">
        <f t="array" ref="AD40">_xlfn.BYROW(B84, _xlfn.LAMBDA(_xlpm.party,
   SUMIFS(ledger!J:J, ledger!B:B, _xlpm.party, ledger!E:E, "&lt;&gt;*RD*", ledger!D:D, "Custom", ledger!C:C, "&lt;&gt;January Closing CF")
))+ _xlfn.IFNA(N133, 0)</f>
        <v>0</v>
      </c>
      <c r="AE40" s="39">
        <f t="shared" si="5"/>
        <v>189566.56912948063</v>
      </c>
      <c r="AF40" s="22">
        <f>(SUMIF(Table14[Party],R40,Table14[Credit]))+_xlfn.IFNA(P133,0)</f>
        <v>0</v>
      </c>
      <c r="AG40" s="33">
        <f t="shared" si="6"/>
        <v>189566.56912948063</v>
      </c>
    </row>
    <row r="41" spans="2:35" x14ac:dyDescent="0.3">
      <c r="S41" s="22" cm="1">
        <f t="array" ref="S41">_xlfn.BYROW(B85,_xlfn.LAMBDA(_xlpm.party,SUMIFS(ledger!G:G,ledger!B:B,_xlpm.party,ledger!E:E,"&lt;&gt;*RD*")))+_xlfn.IFNA(C134,0)</f>
        <v>0</v>
      </c>
      <c r="T41" s="22" cm="1">
        <f t="array" ref="T41">_xlfn.BYROW(B85, _xlfn.LAMBDA(_xlpm.party, SUMIFS(ledger!G:G, ledger!B:B, _xlpm.party, ledger!E:E, "&lt;&gt;*RD*") / 1.0936 ))+_xlfn.IFNA(D134,0)</f>
        <v>0</v>
      </c>
      <c r="U41" s="22" cm="1">
        <f t="array" ref="U41">(_xlfn.BYROW(B85,_xlfn.LAMBDA(_xlpm.party,SUMIFS(ledger!G:G,ledger!B:B,_xlpm.party,ledger!E:E,"&lt;&gt;*RD*",ledger!D:D,"Chamki")+SUMIFS(ledger!G:G, ledger!B:B, _xlpm.party, ledger!E:E, "&lt;&gt;*RD*", ledger!D:D, "Crinkle")))/1.0936)+_xlfn.IFNA(E134,0)</f>
        <v>0</v>
      </c>
      <c r="V41" s="70" cm="1">
        <f t="array" ref="V41">(_xlfn.BYROW(B85,_xlfn.LAMBDA(_xlpm.party,SUMIFS(ledger!G:G,ledger!B:B,_xlpm.party,ledger!E:E,"&lt;&gt;*RD*",ledger!D:D,"Silky")))/1.0936)+_xlfn.IFNA(F134,0)</f>
        <v>0</v>
      </c>
      <c r="W41" s="22" cm="1">
        <f t="array" ref="W41">(_xlfn.BYROW(B85,_xlfn.LAMBDA(_xlpm.party,
(SUMIFS(ledger!J:J,ledger!B:B,_xlpm.party,ledger!E:E,"&lt;&gt;*RD*",ledger!D:D,"Chamki",ledger!C:C,"&lt;&gt;January Closing CF")+
SUMIFS(ledger!J:J,ledger!B:B,_xlpm.party,ledger!E:E,"&lt;&gt;*RD*",ledger!D:D,"Crinkle",ledger!C:C,"&lt;&gt;January Closing CF")
)+_xlfn.IFNA(G134,0))))</f>
        <v>0</v>
      </c>
      <c r="X41" s="70" cm="1">
        <f t="array" ref="X41">_xlfn.BYROW(B85, _xlfn.LAMBDA(_xlpm.party,
   SUMIFS(ledger!J:J, ledger!B:B, _xlpm.party, ledger!E:E, "&lt;&gt;*RD*", ledger!D:D, "Silky", ledger!C:C, "&lt;&gt;January Closing CF")
)) + _xlfn.IFNA(H134, 0)</f>
        <v>0</v>
      </c>
      <c r="Y41" s="70" cm="1">
        <f t="array" ref="Y41">_xlfn.BYROW(B85, _xlfn.LAMBDA(_xlpm.party,
   SUMIFS(ledger!J:J, ledger!B:B, _xlpm.party, ledger!E:E, "&lt;&gt;*RD*", ledger!D:D, "Slub", ledger!C:C, "&lt;&gt;January Closing CF")
))+ _xlfn.IFNA(I134, 0)</f>
        <v>0</v>
      </c>
      <c r="Z41" s="70" cm="1">
        <f t="array" ref="Z41">_xlfn.BYROW(B85, _xlfn.LAMBDA(_xlpm.party,
   SUMIFS(ledger!J:J, ledger!B:B, _xlpm.party, ledger!E:E, "&lt;&gt;*RD*", ledger!D:D, "Satin", ledger!C:C, "&lt;&gt;January Closing CF")
))+ _xlfn.IFNA(J134, 0)</f>
        <v>0</v>
      </c>
      <c r="AA41" s="70" cm="1">
        <f t="array" ref="AA41">_xlfn.BYROW(B85, _xlfn.LAMBDA(_xlpm.party,
   SUMIFS(ledger!J:J, ledger!B:B, _xlpm.party, ledger!E:E, "&lt;&gt;*RD*", ledger!D:D, "Black-Chamki", ledger!C:C, "&lt;&gt;January Closing CF")
))+ _xlfn.IFNA(K134, 0)</f>
        <v>0</v>
      </c>
      <c r="AB41" s="70" cm="1">
        <f t="array" ref="AB41">_xlfn.BYROW(B85, _xlfn.LAMBDA(_xlpm.party,
   SUMIFS(ledger!J:J, ledger!B:B, _xlpm.party, ledger!E:E, "&lt;&gt;*RD*", ledger!D:D, "Kataan", ledger!C:C, "&lt;&gt;January Closing CF")
))+ _xlfn.IFNA(L134, 0)</f>
        <v>0</v>
      </c>
      <c r="AC41" s="70" cm="1">
        <f t="array" ref="AC41">_xlfn.BYROW(B85, _xlfn.LAMBDA(_xlpm.party,
   SUMIFS(ledger!J:J, ledger!B:B, _xlpm.party, ledger!E:E, "&lt;&gt;*RD*", ledger!D:D, "Munaar", ledger!C:C, "&lt;&gt;January Closing CF")
))+ _xlfn.IFNA(M134, 0)</f>
        <v>0</v>
      </c>
      <c r="AD41" s="70" cm="1">
        <f t="array" ref="AD41">_xlfn.BYROW(B85, _xlfn.LAMBDA(_xlpm.party,
   SUMIFS(ledger!J:J, ledger!B:B, _xlpm.party, ledger!E:E, "&lt;&gt;*RD*", ledger!D:D, "Custom", ledger!C:C, "&lt;&gt;January Closing CF")
))+ _xlfn.IFNA(N134, 0)</f>
        <v>0</v>
      </c>
      <c r="AE41" s="39">
        <f t="shared" ref="AE41:AE42" si="7">W41+X41+Y41+Z41+AA41+AB41+AC41+AD41</f>
        <v>0</v>
      </c>
      <c r="AF41" s="22">
        <f>(SUMIF(Table14[Party],R41,Table14[Credit]))+_xlfn.IFNA(P134,0)</f>
        <v>0</v>
      </c>
      <c r="AG41" s="33">
        <f t="shared" ref="AG41:AG42" si="8">AE41-AF41</f>
        <v>0</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(SUMIFS(ledger!J:J,ledger!B:B,_xlpm.party,ledger!E:E,"&lt;&gt;*RD*",ledger!D:D,"Chamki",ledger!C:C,"&lt;&gt;January Closing CF")+
SUMIFS(ledger!J:J,ledger!B:B,_xlpm.party,ledger!E:E,"&lt;&gt;*RD*",ledger!D:D,"Crinkle",ledger!C:C,"&lt;&gt;January Closing CF")
)+_xlfn.IFNA(G135,0))))</f>
        <v>0</v>
      </c>
      <c r="X42" s="70" cm="1">
        <f t="array" ref="X42">_xlfn.BYROW(B86, _xlfn.LAMBDA(_xlpm.party,
   SUMIFS(ledger!J:J, ledger!B:B, _xlpm.party, ledger!E:E, "&lt;&gt;*RD*", ledger!D:D, "Silky", ledger!C:C, "&lt;&gt;January Closing CF")
)) + _xlfn.IFNA(H135, 0)</f>
        <v>0</v>
      </c>
      <c r="Y42" s="70" cm="1">
        <f t="array" ref="Y42">_xlfn.BYROW(B86, _xlfn.LAMBDA(_xlpm.party,
   SUMIFS(ledger!J:J, ledger!B:B, _xlpm.party, ledger!E:E, "&lt;&gt;*RD*", ledger!D:D, "Slub", ledger!C:C, "&lt;&gt;January Closing CF")
))+ _xlfn.IFNA(I135, 0)</f>
        <v>0</v>
      </c>
      <c r="Z42" s="70" cm="1">
        <f t="array" ref="Z42">_xlfn.BYROW(B86, _xlfn.LAMBDA(_xlpm.party,
   SUMIFS(ledger!J:J, ledger!B:B, _xlpm.party, ledger!E:E, "&lt;&gt;*RD*", ledger!D:D, "Satin", ledger!C:C, "&lt;&gt;January Closing CF")
))+ _xlfn.IFNA(J135, 0)</f>
        <v>0</v>
      </c>
      <c r="AA42" s="70" cm="1">
        <f t="array" ref="AA42">_xlfn.BYROW(B86, _xlfn.LAMBDA(_xlpm.party,
   SUMIFS(ledger!J:J, ledger!B:B, _xlpm.party, ledger!E:E, "&lt;&gt;*RD*", ledger!D:D, "Black-Chamki", ledger!C:C, "&lt;&gt;January Closing CF")
))+ _xlfn.IFNA(K135, 0)</f>
        <v>0</v>
      </c>
      <c r="AB42" s="70" cm="1">
        <f t="array" ref="AB42">_xlfn.BYROW(B86, _xlfn.LAMBDA(_xlpm.party,
   SUMIFS(ledger!J:J, ledger!B:B, _xlpm.party, ledger!E:E, "&lt;&gt;*RD*", ledger!D:D, "Kataan", ledger!C:C, "&lt;&gt;January Closing CF")
))+ _xlfn.IFNA(L135, 0)</f>
        <v>0</v>
      </c>
      <c r="AC42" s="70" cm="1">
        <f t="array" ref="AC42">_xlfn.BYROW(B86, _xlfn.LAMBDA(_xlpm.party,
   SUMIFS(ledger!J:J, ledger!B:B, _xlpm.party, ledger!E:E, "&lt;&gt;*RD*", ledger!D:D, "Munaar", ledger!C:C, "&lt;&gt;January Closing CF")
))+ _xlfn.IFNA(M135, 0)</f>
        <v>0</v>
      </c>
      <c r="AD42" s="70" cm="1">
        <f t="array" ref="AD42">_xlfn.BYROW(B86, _xlfn.LAMBDA(_xlpm.party,
   SUMIFS(ledger!J:J, ledger!B:B, _xlpm.party, ledger!E:E, "&lt;&gt;*RD*", ledger!D:D, "Custom", ledger!C:C, "&lt;&gt;January Closing CF")
))+ _xlfn.IFNA(N135, 0)</f>
        <v>0</v>
      </c>
      <c r="AE42" s="39">
        <f t="shared" si="7"/>
        <v>0</v>
      </c>
      <c r="AF42" s="22">
        <f>(SUMIF(Table14[Party],R42,Table14[Credit]))+_xlfn.IFNA(P135,0)</f>
        <v>0</v>
      </c>
      <c r="AG42" s="33">
        <f t="shared" si="8"/>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4">_xlfn.UNIQUE(Table1[Party Name])</f>
        <v>BSC</v>
      </c>
      <c r="C49" s="22" cm="1">
        <f t="array" ref="C49:C84">_xlfn.BYROW(_xlfn.ANCHORARRAY(B49),_xlfn.LAMBDA(_xlpm.party,SUMIFS(ledger!G:G,ledger!B:B,_xlpm.party,ledger!E:E,"&lt;&gt;*RD*")))</f>
        <v>1264455</v>
      </c>
      <c r="D49" s="22" cm="1">
        <f t="array" ref="D49:D84">_xlfn.BYROW(_xlfn.ANCHORARRAY(B49), _xlfn.LAMBDA(_xlpm.party, SUMIFS(ledger!G:G, ledger!B:B, _xlpm.party, ledger!E:E, "&lt;&gt;*RD*") / 1.0936 ))</f>
        <v>1156231.7117776154</v>
      </c>
      <c r="E49" s="63" cm="1">
        <f t="array" ref="E49:E84">(_xlfn.BYROW(_xlfn.ANCHORARRAY(B49),_xlfn.LAMBDA(_xlpm.party,SUMIFS(ledger!G:G,ledger!B:B,_xlpm.party,ledger!E:E,"&lt;&gt;*RD*",ledger!D:D,"Chamki")+SUMIFS(ledger!G:G, ledger!B:B, _xlpm.party, ledger!E:E, "&lt;&gt;*RD*", ledger!D:D, "Crinkle")))/1.0936)</f>
        <v>723717.99561082665</v>
      </c>
      <c r="F49" s="63" cm="1">
        <f t="array" ref="F49:F84">(_xlfn.BYROW(_xlfn.ANCHORARRAY(B49),_xlfn.LAMBDA(_xlpm.party,SUMIFS(ledger!G:G,ledger!B:B,_xlpm.party,ledger!E:E,"&lt;&gt;*RD*",ledger!D:D,"Silky")))/1.0936)</f>
        <v>250656.54718361379</v>
      </c>
      <c r="G49" s="22" cm="1">
        <f t="array" ref="G49">(_xlfn.BYROW(B49,_xlfn.LAMBDA(_xlpm.party,
(SUMIFS(ledger!J:J,ledger!B:B,_xlpm.party,ledger!E:E,"&lt;&gt;*RD*",ledger!D:D,"Chamki",ledger!C:C,"&lt;&gt;January Closing CF")+
SUMIFS(ledger!J:J,ledger!B:B,_xlpm.party,ledger!E:E,"&lt;&gt;*RD*",ledger!D:D,"Crinkle",ledger!C:C,"&lt;&gt;January Closing CF")
))))</f>
        <v>7237179.9561082674</v>
      </c>
      <c r="H49" s="22" cm="1">
        <f t="array" ref="H49">_xlfn.BYROW(B49, _xlfn.LAMBDA(_xlpm.party,
   SUMIFS(ledger!J:J, ledger!B:B, _xlpm.party, ledger!E:E, "&lt;&gt;*RD*", ledger!D:D, "Silky", ledger!C:C, "&lt;&gt;January Closing CF")
))</f>
        <v>3258535.1133869784</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12496143.928310169</v>
      </c>
      <c r="P49" s="22">
        <f>(SUMIF(Table14[Party],B49,Table14[Credit]))</f>
        <v>0</v>
      </c>
      <c r="Q49" s="37">
        <f t="shared" ref="Q49:Q80" si="9">O49-P49</f>
        <v>12496143.928310169</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10">SUM(G50:N50)</f>
        <v>1088369.6049743968</v>
      </c>
      <c r="P50" s="22">
        <f>(SUMIF(Table14[Party],B50,Table14[Credit]))</f>
        <v>1147303</v>
      </c>
      <c r="Q50" s="37">
        <f t="shared" si="9"/>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10"/>
        <v>1208613.7527432335</v>
      </c>
      <c r="P51" s="22">
        <f>(SUMIF(Table14[Party],B51,Table14[Credit]))</f>
        <v>1320085</v>
      </c>
      <c r="Q51" s="37">
        <f t="shared" si="9"/>
        <v>-111471.24725676654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10"/>
        <v>0</v>
      </c>
      <c r="P53" s="22">
        <f>(SUMIF(Table14[Party],B53,Table14[Credit]))</f>
        <v>0</v>
      </c>
      <c r="Q53" s="37">
        <f t="shared" si="9"/>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10"/>
        <v>632406.73006583774</v>
      </c>
      <c r="P54" s="22">
        <f>(SUMIF(Table14[Party],B54,Table14[Credit]))</f>
        <v>839000</v>
      </c>
      <c r="Q54" s="37">
        <f t="shared" si="9"/>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10"/>
        <v>232644.47695683985</v>
      </c>
      <c r="P55" s="22">
        <f>(SUMIF(Table14[Party],B55,Table14[Credit]))</f>
        <v>200000</v>
      </c>
      <c r="Q55" s="37">
        <f t="shared" si="9"/>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10"/>
        <v>0</v>
      </c>
      <c r="P58" s="22">
        <f>(SUMIF(Table14[Party],B58,Table14[Credit]))</f>
        <v>0</v>
      </c>
      <c r="Q58" s="37">
        <f t="shared" si="9"/>
        <v>0</v>
      </c>
      <c r="R58" s="21">
        <v>12</v>
      </c>
      <c r="S58" s="21">
        <v>12</v>
      </c>
      <c r="V58" s="4" t="s">
        <v>21</v>
      </c>
      <c r="W58" s="5">
        <v>1156231.7117776154</v>
      </c>
      <c r="X58" s="18">
        <v>9352730.4316020496</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10"/>
        <v>2202936.1741038775</v>
      </c>
      <c r="P59" s="22">
        <f>(SUMIF(Table14[Party],B59,Table14[Credit]))</f>
        <v>1679674</v>
      </c>
      <c r="Q59" s="37">
        <f t="shared" si="9"/>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10"/>
        <v>662588.69787856634</v>
      </c>
      <c r="P65" s="22">
        <f>(SUMIF(Table14[Party],B65,Table14[Credit]))</f>
        <v>704000</v>
      </c>
      <c r="Q65" s="37">
        <f t="shared" si="9"/>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10"/>
        <v>655165.50841258245</v>
      </c>
      <c r="P67" s="22">
        <f>(SUMIF(Table14[Party],B67,Table14[Credit]))</f>
        <v>0</v>
      </c>
      <c r="Q67" s="37">
        <f t="shared" si="9"/>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10"/>
        <v>0</v>
      </c>
      <c r="P68" s="22">
        <f>(SUMIF(Table14[Party],B68,Table14[Credit]))</f>
        <v>0</v>
      </c>
      <c r="Q68" s="37">
        <f t="shared" si="9"/>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10"/>
        <v>765133.50402340898</v>
      </c>
      <c r="P69" s="22">
        <f>(SUMIF(Table14[Party],B69,Table14[Credit]))</f>
        <v>685340</v>
      </c>
      <c r="Q69" s="37">
        <f t="shared" si="9"/>
        <v>79793.504023408983</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10"/>
        <v>0</v>
      </c>
      <c r="P70" s="22">
        <f>(SUMIF(Table14[Party],B70,Table14[Credit]))</f>
        <v>0</v>
      </c>
      <c r="Q70" s="37">
        <f t="shared" si="9"/>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10"/>
        <v>450934.52816386253</v>
      </c>
      <c r="P71" s="22">
        <f>(SUMIF(Table14[Party],B71,Table14[Credit]))</f>
        <v>486900</v>
      </c>
      <c r="Q71" s="37">
        <f t="shared" si="9"/>
        <v>-35965.471836137469</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10"/>
        <v>0</v>
      </c>
      <c r="P73" s="22">
        <f>(SUMIF(Table14[Party],B73,Table14[Credit]))</f>
        <v>135000</v>
      </c>
      <c r="Q73" s="37">
        <f t="shared" si="9"/>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10"/>
        <v>0</v>
      </c>
      <c r="P74" s="22">
        <f>(SUMIF(Table14[Party],B74,Table14[Credit]))</f>
        <v>130000</v>
      </c>
      <c r="Q74" s="37">
        <f t="shared" si="9"/>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10"/>
        <v>1026764.8134601318</v>
      </c>
      <c r="P75" s="22">
        <f>(SUMIF(Table14[Party],B75,Table14[Credit]))</f>
        <v>1816071</v>
      </c>
      <c r="Q75" s="37">
        <f t="shared" si="9"/>
        <v>-789306.18653986824</v>
      </c>
      <c r="V75" s="4" t="s">
        <v>28</v>
      </c>
      <c r="W75" s="14">
        <v>1808219.6415508413</v>
      </c>
      <c r="X75" s="14">
        <v>15907551.20702268</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10"/>
        <v>0</v>
      </c>
      <c r="P76" s="22">
        <f>SUMIF(Table14[Party], B76, Table14[Credit])</f>
        <v>0</v>
      </c>
      <c r="Q76" s="37">
        <f t="shared" si="9"/>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10"/>
        <v>0</v>
      </c>
      <c r="P77" s="22">
        <f>SUMIF(Table14[Party], B77, Table14[Credit])</f>
        <v>0</v>
      </c>
      <c r="Q77" s="37">
        <f t="shared" si="9"/>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10"/>
        <v>584043.52596927586</v>
      </c>
      <c r="P78" s="22">
        <f>SUMIF(Table14[Party], B78, Table14[Credit])</f>
        <v>40000</v>
      </c>
      <c r="Q78" s="37">
        <f t="shared" si="9"/>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10"/>
        <v>161539.86832479882</v>
      </c>
      <c r="P79" s="22">
        <f>SUMIF(Table14[Party], B79, Table14[Credit])</f>
        <v>169278</v>
      </c>
      <c r="Q79" s="37">
        <f t="shared" si="9"/>
        <v>-7738.1316752011771</v>
      </c>
    </row>
    <row r="80" spans="2:24" x14ac:dyDescent="0.3">
      <c r="B80" t="str">
        <v>Faizan Kamoki</v>
      </c>
      <c r="C80">
        <v>564239</v>
      </c>
      <c r="D80">
        <v>515946.41550841264</v>
      </c>
      <c r="E80">
        <v>0</v>
      </c>
      <c r="F80">
        <v>374447.69568397955</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4867820.0438917344</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10"/>
        <v>6505843.0870519392</v>
      </c>
      <c r="P80" s="22">
        <f>SUMIF(Table14[Party], B80, Table14[Credit])</f>
        <v>6045323.4930504756</v>
      </c>
      <c r="Q80" s="37">
        <f t="shared" si="9"/>
        <v>460519.59400146361</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10"/>
        <v>545345.64740307245</v>
      </c>
      <c r="P81" s="22">
        <f>SUMIF(Table14[Party], B81, Table14[Credit])</f>
        <v>544000</v>
      </c>
      <c r="Q81" s="37">
        <f t="shared" ref="Q81" si="11">O81-P81</f>
        <v>1345.6474030724494</v>
      </c>
    </row>
    <row r="82" spans="1:17" x14ac:dyDescent="0.3">
      <c r="A82" t="s">
        <v>154</v>
      </c>
      <c r="B82" t="str">
        <v>Rauf Khan</v>
      </c>
      <c r="C82">
        <v>212412</v>
      </c>
      <c r="D82">
        <v>194231.89465983908</v>
      </c>
      <c r="E82">
        <v>81045.171909290424</v>
      </c>
      <c r="F82">
        <v>92749.634235552308</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1205745.2450621799</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10"/>
        <v>2322753.2918800293</v>
      </c>
      <c r="P82" s="22">
        <f>SUMIF(Table14[Party], B82, Table14[Credit])</f>
        <v>0</v>
      </c>
      <c r="Q82" s="37">
        <f t="shared" ref="Q82:Q83" si="12">O82-P82</f>
        <v>2322753.2918800293</v>
      </c>
    </row>
    <row r="83" spans="1:17" x14ac:dyDescent="0.3">
      <c r="B83" t="str">
        <v>Farhaan ali</v>
      </c>
      <c r="C83">
        <v>195693</v>
      </c>
      <c r="D83">
        <v>178943.85515727874</v>
      </c>
      <c r="E83">
        <v>0</v>
      </c>
      <c r="F83">
        <v>178943.85515727874</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2147326.2618873445</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10"/>
        <v>2147326.2618873445</v>
      </c>
      <c r="P83" s="22">
        <f>SUMIF(Table14[Party], B83, Table14[Credit])</f>
        <v>500000</v>
      </c>
      <c r="Q83" s="37">
        <f t="shared" si="12"/>
        <v>1647326.2618873445</v>
      </c>
    </row>
    <row r="84" spans="1:17" x14ac:dyDescent="0.3">
      <c r="B84" t="str">
        <v>ACM salman zaffar</v>
      </c>
      <c r="C84">
        <v>20731</v>
      </c>
      <c r="D84">
        <v>18956.656912948063</v>
      </c>
      <c r="E84">
        <v>18956.656912948063</v>
      </c>
      <c r="F84">
        <v>0</v>
      </c>
      <c r="G84" s="22" cm="1">
        <f t="array" ref="G84">(_xlfn.BYROW(B84,_xlfn.LAMBDA(_xlpm.party,
(SUMIFS(ledger!J:J,ledger!B:B,_xlpm.party,ledger!E:E,"&lt;&gt;*RD*",ledger!D:D,"Chamki",ledger!C:C,"&lt;&gt;January Closing CF")+
SUMIFS(ledger!J:J,ledger!B:B,_xlpm.party,ledger!E:E,"&lt;&gt;*RD*",ledger!D:D,"Crinkle",ledger!C:C,"&lt;&gt;January Closing CF")
))))</f>
        <v>189566.56912948063</v>
      </c>
      <c r="H84" s="22" cm="1">
        <f t="array" ref="H84">_xlfn.BYROW(B84, _xlfn.LAMBDA(_xlpm.party,
   SUMIFS(ledger!J:J, ledger!B:B, _xlpm.party, ledger!E:E, "&lt;&gt;*RD*", ledger!D:D, "Silky", ledger!C:C, "&lt;&gt;January Closing CF")
))</f>
        <v>0</v>
      </c>
      <c r="I84" s="22" cm="1">
        <f t="array" ref="I84">_xlfn.BYROW(B84, _xlfn.LAMBDA(_xlpm.party,
   SUMIFS(ledger!J:J, ledger!B:B, _xlpm.party, ledger!E:E, "&lt;&gt;*RD*", ledger!D:D, "Slub", ledger!C:C, "&lt;&gt;January Closing CF")
))</f>
        <v>0</v>
      </c>
      <c r="J84" s="22" cm="1">
        <f t="array" ref="J84">_xlfn.BYROW(B84, _xlfn.LAMBDA(_xlpm.party,
   SUMIFS(ledger!J:J, ledger!B:B, _xlpm.party, ledger!E:E, "&lt;&gt;*RD*", ledger!D:D, "Satin", ledger!C:C, "&lt;&gt;January Closing CF")
))</f>
        <v>0</v>
      </c>
      <c r="K84" s="70" cm="1">
        <f t="array" ref="K84">_xlfn.BYROW(B84, _xlfn.LAMBDA(_xlpm.party,
   SUMIFS(ledger!J:J, ledger!B:B, _xlpm.party, ledger!E:E, "&lt;&gt;*RD*", ledger!D:D, "Black-chamki", ledger!C:C, "&lt;&gt;January Closing CF")
))</f>
        <v>0</v>
      </c>
      <c r="L84" s="70" cm="1">
        <f t="array" ref="L84">_xlfn.BYROW(B84, _xlfn.LAMBDA(_xlpm.party,
   SUMIFS(ledger!J:J, ledger!B:B, _xlpm.party, ledger!E:E, "&lt;&gt;*RD*", ledger!D:D, "Kataan", ledger!C:C, "&lt;&gt;January Closing CF")
))</f>
        <v>0</v>
      </c>
      <c r="M84" s="70" cm="1">
        <f t="array" ref="M84">_xlfn.BYROW(B84, _xlfn.LAMBDA(_xlpm.party,
   SUMIFS(ledger!J:J, ledger!B:B, _xlpm.party, ledger!E:E, "&lt;&gt;*RD*", ledger!D:D, "Munaar", ledger!C:C, "&lt;&gt;January Closing CF")
))</f>
        <v>0</v>
      </c>
      <c r="N84" s="70" cm="1">
        <f t="array" ref="N84">_xlfn.BYROW(B84, _xlfn.LAMBDA(_xlpm.party,
   SUMIFS(ledger!J:J, ledger!B:B, _xlpm.party, ledger!E:E, "&lt;&gt;*RD*", ledger!D:D, "Custom", ledger!C:C, "&lt;&gt;January Closing CF")
))</f>
        <v>0</v>
      </c>
      <c r="O84" s="39">
        <f t="shared" ref="O84:O87" si="13">SUM(G84:N84)</f>
        <v>189566.56912948063</v>
      </c>
      <c r="P84" s="22">
        <f>SUMIF(Table14[Party], B84, Table14[Credit])</f>
        <v>0</v>
      </c>
      <c r="Q84" s="37">
        <f t="shared" ref="Q84:Q87" si="14">O84-P84</f>
        <v>189566.56912948063</v>
      </c>
    </row>
    <row r="85" spans="1:17" x14ac:dyDescent="0.3">
      <c r="G85" s="22" cm="1">
        <f t="array" ref="G85">(_xlfn.BYROW(B85,_xlfn.LAMBDA(_xlpm.party,
(SUMIFS(ledger!J:J,ledger!B:B,_xlpm.party,ledger!E:E,"&lt;&gt;*RD*",ledger!D:D,"Chamki",ledger!C:C,"&lt;&gt;January Closing CF")+
SUMIFS(ledger!J:J,ledger!B:B,_xlpm.party,ledger!E:E,"&lt;&gt;*RD*",ledger!D:D,"Crinkle",ledger!C:C,"&lt;&gt;January Closing CF")
))))</f>
        <v>0</v>
      </c>
      <c r="H85" s="22" cm="1">
        <f t="array" ref="H85">_xlfn.BYROW(B85, _xlfn.LAMBDA(_xlpm.party,
   SUMIFS(ledger!J:J, ledger!B:B, _xlpm.party, ledger!E:E, "&lt;&gt;*RD*", ledger!D:D, "Silky", ledger!C:C, "&lt;&gt;January Closing CF")
))</f>
        <v>0</v>
      </c>
      <c r="I85" s="22" cm="1">
        <f t="array" ref="I85">_xlfn.BYROW(B85, _xlfn.LAMBDA(_xlpm.party,
   SUMIFS(ledger!J:J, ledger!B:B, _xlpm.party, ledger!E:E, "&lt;&gt;*RD*", ledger!D:D, "Slub", ledger!C:C, "&lt;&gt;January Closing CF")
))</f>
        <v>0</v>
      </c>
      <c r="J85" s="22" cm="1">
        <f t="array" ref="J85">_xlfn.BYROW(B85, _xlfn.LAMBDA(_xlpm.party,
   SUMIFS(ledger!J:J, ledger!B:B, _xlpm.party, ledger!E:E, "&lt;&gt;*RD*", ledger!D:D, "Satin", ledger!C:C, "&lt;&gt;January Closing CF")
))</f>
        <v>0</v>
      </c>
      <c r="K85" s="70" cm="1">
        <f t="array" ref="K85">_xlfn.BYROW(B85, _xlfn.LAMBDA(_xlpm.party,
   SUMIFS(ledger!J:J, ledger!B:B, _xlpm.party, ledger!E:E, "&lt;&gt;*RD*", ledger!D:D, "Black-chamki", ledger!C:C, "&lt;&gt;January Closing CF")
))</f>
        <v>0</v>
      </c>
      <c r="L85" s="70" cm="1">
        <f t="array" ref="L85">_xlfn.BYROW(B85, _xlfn.LAMBDA(_xlpm.party,
   SUMIFS(ledger!J:J, ledger!B:B, _xlpm.party, ledger!E:E, "&lt;&gt;*RD*", ledger!D:D, "Kataan", ledger!C:C, "&lt;&gt;January Closing CF")
))</f>
        <v>0</v>
      </c>
      <c r="M85" s="70" cm="1">
        <f t="array" ref="M85">_xlfn.BYROW(B85, _xlfn.LAMBDA(_xlpm.party,
   SUMIFS(ledger!J:J, ledger!B:B, _xlpm.party, ledger!E:E, "&lt;&gt;*RD*", ledger!D:D, "Munaar", ledger!C:C, "&lt;&gt;January Closing CF")
))</f>
        <v>0</v>
      </c>
      <c r="N85" s="70" cm="1">
        <f t="array" ref="N85">_xlfn.BYROW(B85, _xlfn.LAMBDA(_xlpm.party,
   SUMIFS(ledger!J:J, ledger!B:B, _xlpm.party, ledger!E:E, "&lt;&gt;*RD*", ledger!D:D, "Custom", ledger!C:C, "&lt;&gt;January Closing CF")
))</f>
        <v>0</v>
      </c>
      <c r="O85" s="39">
        <f t="shared" si="13"/>
        <v>0</v>
      </c>
      <c r="P85" s="22">
        <f>SUMIF(Table14[Party], B85, Table14[Credit])</f>
        <v>0</v>
      </c>
      <c r="Q85" s="37">
        <f t="shared" si="14"/>
        <v>0</v>
      </c>
    </row>
    <row r="86" spans="1:17" x14ac:dyDescent="0.3">
      <c r="G86" s="22" cm="1">
        <f t="array" ref="G86">(_xlfn.BYROW(B86,_xlfn.LAMBDA(_xlpm.party,
(SUMIFS(ledger!J:J,ledger!B:B,_xlpm.party,ledger!E:E,"&lt;&gt;*RD*",ledger!D:D,"Chamki",ledger!C:C,"&lt;&gt;January Closing CF")+
SUMIFS(ledger!J:J,ledger!B:B,_xlpm.party,ledger!E:E,"&lt;&gt;*RD*",ledger!D:D,"Crinkle",ledger!C:C,"&lt;&gt;January Closing CF")
))))</f>
        <v>0</v>
      </c>
      <c r="H86" s="22" cm="1">
        <f t="array" ref="H86">_xlfn.BYROW(B86, _xlfn.LAMBDA(_xlpm.party,
   SUMIFS(ledger!J:J, ledger!B:B, _xlpm.party, ledger!E:E, "&lt;&gt;*RD*", ledger!D:D, "Silky", ledger!C:C, "&lt;&gt;January Closing CF")
))</f>
        <v>0</v>
      </c>
      <c r="I86" s="22" cm="1">
        <f t="array" ref="I86">_xlfn.BYROW(B86, _xlfn.LAMBDA(_xlpm.party,
   SUMIFS(ledger!J:J, ledger!B:B, _xlpm.party, ledger!E:E, "&lt;&gt;*RD*", ledger!D:D, "Slub", ledger!C:C, "&lt;&gt;January Closing CF")
))</f>
        <v>0</v>
      </c>
      <c r="J86" s="22" cm="1">
        <f t="array" ref="J86">_xlfn.BYROW(B86, _xlfn.LAMBDA(_xlpm.party,
   SUMIFS(ledger!J:J, ledger!B:B, _xlpm.party, ledger!E:E, "&lt;&gt;*RD*", ledger!D:D, "Satin", ledger!C:C, "&lt;&gt;January Closing CF")
))</f>
        <v>0</v>
      </c>
      <c r="K86" s="70" cm="1">
        <f t="array" ref="K86">_xlfn.BYROW(B86, _xlfn.LAMBDA(_xlpm.party,
   SUMIFS(ledger!J:J, ledger!B:B, _xlpm.party, ledger!E:E, "&lt;&gt;*RD*", ledger!D:D, "Black-chamki", ledger!C:C, "&lt;&gt;January Closing CF")
))</f>
        <v>0</v>
      </c>
      <c r="L86" s="70" cm="1">
        <f t="array" ref="L86">_xlfn.BYROW(B86, _xlfn.LAMBDA(_xlpm.party,
   SUMIFS(ledger!J:J, ledger!B:B, _xlpm.party, ledger!E:E, "&lt;&gt;*RD*", ledger!D:D, "Kataan", ledger!C:C, "&lt;&gt;January Closing CF")
))</f>
        <v>0</v>
      </c>
      <c r="M86" s="70" cm="1">
        <f t="array" ref="M86">_xlfn.BYROW(B86, _xlfn.LAMBDA(_xlpm.party,
   SUMIFS(ledger!J:J, ledger!B:B, _xlpm.party, ledger!E:E, "&lt;&gt;*RD*", ledger!D:D, "Munaar", ledger!C:C, "&lt;&gt;January Closing CF")
))</f>
        <v>0</v>
      </c>
      <c r="N86" s="70" cm="1">
        <f t="array" ref="N86">_xlfn.BYROW(B86, _xlfn.LAMBDA(_xlpm.party,
   SUMIFS(ledger!J:J, ledger!B:B, _xlpm.party, ledger!E:E, "&lt;&gt;*RD*", ledger!D:D, "Custom", ledger!C:C, "&lt;&gt;January 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(SUMIFS(ledger!J:J,ledger!B:B,_xlpm.party,ledger!E:E,"&lt;&gt;*RD*",ledger!D:D,"Chamki",ledger!C:C,"&lt;&gt;January Closing CF")+
SUMIFS(ledger!J:J,ledger!B:B,_xlpm.party,ledger!E:E,"&lt;&gt;*RD*",ledger!D:D,"Crinkle",ledger!C:C,"&lt;&gt;January Closing CF")
))))</f>
        <v>0</v>
      </c>
      <c r="H87" s="22" cm="1">
        <f t="array" ref="H87">_xlfn.BYROW(B87, _xlfn.LAMBDA(_xlpm.party,
   SUMIFS(ledger!J:J, ledger!B:B, _xlpm.party, ledger!E:E, "&lt;&gt;*RD*", ledger!D:D, "Silky", ledger!C:C, "&lt;&gt;January Closing CF")
))</f>
        <v>0</v>
      </c>
      <c r="I87" s="22" cm="1">
        <f t="array" ref="I87">_xlfn.BYROW(B87, _xlfn.LAMBDA(_xlpm.party,
   SUMIFS(ledger!J:J, ledger!B:B, _xlpm.party, ledger!E:E, "&lt;&gt;*RD*", ledger!D:D, "Slub", ledger!C:C, "&lt;&gt;January Closing CF")
))</f>
        <v>0</v>
      </c>
      <c r="J87" s="22" cm="1">
        <f t="array" ref="J87">_xlfn.BYROW(B87, _xlfn.LAMBDA(_xlpm.party,
   SUMIFS(ledger!J:J, ledger!B:B, _xlpm.party, ledger!E:E, "&lt;&gt;*RD*", ledger!D:D, "Satin", ledger!C:C, "&lt;&gt;January Closing CF")
))</f>
        <v>0</v>
      </c>
      <c r="K87" s="70" cm="1">
        <f t="array" ref="K87">_xlfn.BYROW(B87, _xlfn.LAMBDA(_xlpm.party,
   SUMIFS(ledger!J:J, ledger!B:B, _xlpm.party, ledger!E:E, "&lt;&gt;*RD*", ledger!D:D, "Black-chamki", ledger!C:C, "&lt;&gt;January Closing CF")
))</f>
        <v>0</v>
      </c>
      <c r="L87" s="70" cm="1">
        <f t="array" ref="L87">_xlfn.BYROW(B87, _xlfn.LAMBDA(_xlpm.party,
   SUMIFS(ledger!J:J, ledger!B:B, _xlpm.party, ledger!E:E, "&lt;&gt;*RD*", ledger!D:D, "Kataan", ledger!C:C, "&lt;&gt;January Closing CF")
))</f>
        <v>0</v>
      </c>
      <c r="M87" s="70" cm="1">
        <f t="array" ref="M87">_xlfn.BYROW(B87, _xlfn.LAMBDA(_xlpm.party,
   SUMIFS(ledger!J:J, ledger!B:B, _xlpm.party, ledger!E:E, "&lt;&gt;*RD*", ledger!D:D, "Munaar", ledger!C:C, "&lt;&gt;January Closing CF")
))</f>
        <v>0</v>
      </c>
      <c r="N87" s="70" cm="1">
        <f t="array" ref="N87">_xlfn.BYROW(B87, _xlfn.LAMBDA(_xlpm.party,
   SUMIFS(ledger!J:J, ledger!B:B, _xlpm.party, ledger!E:E, "&lt;&gt;*RD*", ledger!D:D, "Custom", ledger!C:C, "&lt;&gt;January 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(SUMIFS(ledger!J:J,ledger!B:B,_xlpm.party,ledger!E:E,"&lt;&gt;*RD*",ledger!D:D,"Chamki",ledger!C:C,"&lt;&gt;January Closing CF")+
SUMIFS(ledger!J:J,ledger!B:B,_xlpm.party,ledger!E:E,"&lt;&gt;*RD*",ledger!D:D,"Crinkle",ledger!C:C,"&lt;&gt;January Closing CF")
))))</f>
        <v>0</v>
      </c>
      <c r="H88" s="22" cm="1">
        <f t="array" ref="H88">_xlfn.BYROW(B88, _xlfn.LAMBDA(_xlpm.party,
   SUMIFS(ledger!J:J, ledger!B:B, _xlpm.party, ledger!E:E, "&lt;&gt;*RD*", ledger!D:D, "Silky", ledger!C:C, "&lt;&gt;January Closing CF")
))</f>
        <v>0</v>
      </c>
      <c r="I88" s="22" cm="1">
        <f t="array" ref="I88">_xlfn.BYROW(B88, _xlfn.LAMBDA(_xlpm.party,
   SUMIFS(ledger!J:J, ledger!B:B, _xlpm.party, ledger!E:E, "&lt;&gt;*RD*", ledger!D:D, "Slub", ledger!C:C, "&lt;&gt;January Closing CF")
))</f>
        <v>0</v>
      </c>
      <c r="J88" s="22" cm="1">
        <f t="array" ref="J88">_xlfn.BYROW(B88, _xlfn.LAMBDA(_xlpm.party,
   SUMIFS(ledger!J:J, ledger!B:B, _xlpm.party, ledger!E:E, "&lt;&gt;*RD*", ledger!D:D, "Satin", ledger!C:C, "&lt;&gt;January Closing CF")
))</f>
        <v>0</v>
      </c>
      <c r="K88" s="70" cm="1">
        <f t="array" ref="K88">_xlfn.BYROW(B88, _xlfn.LAMBDA(_xlpm.party,
   SUMIFS(ledger!J:J, ledger!B:B, _xlpm.party, ledger!E:E, "&lt;&gt;*RD*", ledger!D:D, "Black-chamki", ledger!C:C, "&lt;&gt;January Closing CF")
))</f>
        <v>0</v>
      </c>
      <c r="L88" s="70" cm="1">
        <f t="array" ref="L88">_xlfn.BYROW(B88, _xlfn.LAMBDA(_xlpm.party,
   SUMIFS(ledger!J:J, ledger!B:B, _xlpm.party, ledger!E:E, "&lt;&gt;*RD*", ledger!D:D, "Kataan", ledger!C:C, "&lt;&gt;January Closing CF")
))</f>
        <v>0</v>
      </c>
      <c r="M88" s="70" cm="1">
        <f t="array" ref="M88">_xlfn.BYROW(B88, _xlfn.LAMBDA(_xlpm.party,
   SUMIFS(ledger!J:J, ledger!B:B, _xlpm.party, ledger!E:E, "&lt;&gt;*RD*", ledger!D:D, "Munaar", ledger!C:C, "&lt;&gt;January Closing CF")
))</f>
        <v>0</v>
      </c>
      <c r="N88" s="70" cm="1">
        <f t="array" ref="N88">_xlfn.BYROW(B88, _xlfn.LAMBDA(_xlpm.party,
   SUMIFS(ledger!J:J, ledger!B:B, _xlpm.party, ledger!E:E, "&lt;&gt;*RD*", ledger!D:D, "Custom", ledger!C:C, "&lt;&gt;January 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(SUMIFS(ledger!J:J,ledger!B:B,_xlpm.party,ledger!E:E,"&lt;&gt;*RD*",ledger!D:D,"Chamki",ledger!C:C,"&lt;&gt;January Closing CF")+
SUMIFS(ledger!J:J,ledger!B:B,_xlpm.party,ledger!E:E,"&lt;&gt;*RD*",ledger!D:D,"Crinkle",ledger!C:C,"&lt;&gt;January Closing CF")
))))</f>
        <v>0</v>
      </c>
      <c r="H89" s="22" cm="1">
        <f t="array" ref="H89">_xlfn.BYROW(B89, _xlfn.LAMBDA(_xlpm.party,
   SUMIFS(ledger!J:J, ledger!B:B, _xlpm.party, ledger!E:E, "&lt;&gt;*RD*", ledger!D:D, "Silky", ledger!C:C, "&lt;&gt;January Closing CF")
))</f>
        <v>0</v>
      </c>
      <c r="I89" s="22" cm="1">
        <f t="array" ref="I89">_xlfn.BYROW(B89, _xlfn.LAMBDA(_xlpm.party,
   SUMIFS(ledger!J:J, ledger!B:B, _xlpm.party, ledger!E:E, "&lt;&gt;*RD*", ledger!D:D, "Slub", ledger!C:C, "&lt;&gt;January Closing CF")
))</f>
        <v>0</v>
      </c>
      <c r="J89" s="22" cm="1">
        <f t="array" ref="J89">_xlfn.BYROW(B89, _xlfn.LAMBDA(_xlpm.party,
   SUMIFS(ledger!J:J, ledger!B:B, _xlpm.party, ledger!E:E, "&lt;&gt;*RD*", ledger!D:D, "Satin", ledger!C:C, "&lt;&gt;January Closing CF")
))</f>
        <v>0</v>
      </c>
      <c r="K89" s="70" cm="1">
        <f t="array" ref="K89">_xlfn.BYROW(B89, _xlfn.LAMBDA(_xlpm.party,
   SUMIFS(ledger!J:J, ledger!B:B, _xlpm.party, ledger!E:E, "&lt;&gt;*RD*", ledger!D:D, "Black-chamki", ledger!C:C, "&lt;&gt;January Closing CF")
))</f>
        <v>0</v>
      </c>
      <c r="L89" s="70" cm="1">
        <f t="array" ref="L89">_xlfn.BYROW(B89, _xlfn.LAMBDA(_xlpm.party,
   SUMIFS(ledger!J:J, ledger!B:B, _xlpm.party, ledger!E:E, "&lt;&gt;*RD*", ledger!D:D, "Kataan", ledger!C:C, "&lt;&gt;January Closing CF")
))</f>
        <v>0</v>
      </c>
      <c r="M89" s="70" cm="1">
        <f t="array" ref="M89">_xlfn.BYROW(B89, _xlfn.LAMBDA(_xlpm.party,
   SUMIFS(ledger!J:J, ledger!B:B, _xlpm.party, ledger!E:E, "&lt;&gt;*RD*", ledger!D:D, "Munaar", ledger!C:C, "&lt;&gt;January Closing CF")
))</f>
        <v>0</v>
      </c>
      <c r="N89" s="70" cm="1">
        <f t="array" ref="N89">_xlfn.BYROW(B89, _xlfn.LAMBDA(_xlpm.party,
   SUMIFS(ledger!J:J, ledger!B:B, _xlpm.party, ledger!E:E, "&lt;&gt;*RD*", ledger!D:D, "Custom", ledger!C:C, "&lt;&gt;January 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3">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17">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8">G100+H100+I100+J100+K100+L100+M100</f>
        <v>8603994.1477688365</v>
      </c>
      <c r="P100" s="22">
        <f>_xlfn.XLOOKUP($B51,[1]Billing!$Q$5:$Q$40,[1]Billing!$AD$5:$AD$40)</f>
        <v>8492501</v>
      </c>
      <c r="Q100" s="37">
        <f t="shared" si="17"/>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8"/>
        <v>1354241.9972933433</v>
      </c>
      <c r="P101" s="22">
        <f>_xlfn.XLOOKUP($B52,[1]Billing!$Q$5:$Q$40,[1]Billing!$AD$5:$AD$40)</f>
        <v>1353710</v>
      </c>
      <c r="Q101" s="37">
        <f t="shared" si="17"/>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8"/>
        <v>11478764.23847842</v>
      </c>
      <c r="P102" s="22">
        <f>_xlfn.XLOOKUP($B53,[1]Billing!$Q$5:$Q$40,[1]Billing!$AD$5:$AD$40)</f>
        <v>11478764</v>
      </c>
      <c r="Q102" s="37">
        <f t="shared" si="17"/>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8"/>
        <v>9816608.449158743</v>
      </c>
      <c r="P103" s="22">
        <f>_xlfn.XLOOKUP($B54,[1]Billing!$Q$5:$Q$40,[1]Billing!$AD$5:$AD$40)</f>
        <v>9609871</v>
      </c>
      <c r="Q103" s="37">
        <f t="shared" si="17"/>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8"/>
        <v>1626380.7607900514</v>
      </c>
      <c r="P104" s="22">
        <f>_xlfn.XLOOKUP($B55,[1]Billing!$Q$5:$Q$40,[1]Billing!$AD$5:$AD$40)</f>
        <v>1526321</v>
      </c>
      <c r="Q104" s="37">
        <f t="shared" si="17"/>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8"/>
        <v>7403071.5069495253</v>
      </c>
      <c r="P105" s="22">
        <f>_xlfn.XLOOKUP($B56,[1]Billing!$Q$5:$Q$40,[1]Billing!$AD$5:$AD$40)</f>
        <v>7402540</v>
      </c>
      <c r="Q105" s="37">
        <f t="shared" si="17"/>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8"/>
        <v>1909464.1550841257</v>
      </c>
      <c r="P106" s="22">
        <f>_xlfn.XLOOKUP($B57,[1]Billing!$Q$5:$Q$40,[1]Billing!$AD$5:$AD$40)</f>
        <v>1908190</v>
      </c>
      <c r="Q106" s="37">
        <f t="shared" si="17"/>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8"/>
        <v>255724.21360643749</v>
      </c>
      <c r="P107" s="22">
        <f>_xlfn.XLOOKUP($B58,[1]Billing!$Q$5:$Q$40,[1]Billing!$AD$5:$AD$40)</f>
        <v>130000</v>
      </c>
      <c r="Q107" s="37">
        <f t="shared" si="17"/>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8"/>
        <v>4157159.8390636435</v>
      </c>
      <c r="P108" s="22">
        <f>_xlfn.XLOOKUP($B59,[1]Billing!$Q$5:$Q$40,[1]Billing!$AD$5:$AD$40)</f>
        <v>4146179</v>
      </c>
      <c r="Q108" s="37">
        <f t="shared" si="17"/>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8"/>
        <v>6637699.3416239955</v>
      </c>
      <c r="P109" s="22">
        <f>_xlfn.XLOOKUP($B60,[1]Billing!$Q$5:$Q$40,[1]Billing!$AD$5:$AD$40)</f>
        <v>6545761</v>
      </c>
      <c r="Q109" s="37">
        <f t="shared" si="17"/>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8"/>
        <v>1214045.3547915143</v>
      </c>
      <c r="P110" s="22">
        <f>_xlfn.XLOOKUP($B61,[1]Billing!$Q$5:$Q$40,[1]Billing!$AD$5:$AD$40)</f>
        <v>1214045</v>
      </c>
      <c r="Q110" s="37">
        <f t="shared" si="17"/>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8"/>
        <v>483851.49963423557</v>
      </c>
      <c r="P111" s="22">
        <f>_xlfn.XLOOKUP($B62,[1]Billing!$Q$5:$Q$40,[1]Billing!$AD$5:$AD$40)</f>
        <v>480000</v>
      </c>
      <c r="Q111" s="37">
        <f t="shared" si="17"/>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8"/>
        <v>89155.084125822978</v>
      </c>
      <c r="P112" s="22">
        <f>_xlfn.XLOOKUP($B63,[1]Billing!$Q$5:$Q$40,[1]Billing!$AD$5:$AD$40)</f>
        <v>95000</v>
      </c>
      <c r="Q112" s="37">
        <f t="shared" si="17"/>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8"/>
        <v>594404.71836137539</v>
      </c>
      <c r="P113" s="22">
        <f>_xlfn.XLOOKUP($B64,[1]Billing!$Q$5:$Q$40,[1]Billing!$AD$5:$AD$40)</f>
        <v>594405</v>
      </c>
      <c r="Q113" s="37">
        <f t="shared" si="17"/>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8"/>
        <v>6091484.0892465264</v>
      </c>
      <c r="P114" s="22">
        <f>_xlfn.XLOOKUP($B65,[1]Billing!$Q$5:$Q$40,[1]Billing!$AD$5:$AD$40)</f>
        <v>6024187</v>
      </c>
      <c r="Q114" s="37">
        <f t="shared" si="17"/>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8"/>
        <v>836016.82516459411</v>
      </c>
      <c r="P115" s="22">
        <f>_xlfn.XLOOKUP($B66,[1]Billing!$Q$5:$Q$40,[1]Billing!$AD$5:$AD$40)</f>
        <v>835660</v>
      </c>
      <c r="Q115" s="37">
        <f t="shared" si="17"/>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8"/>
        <v>4213776.5179224582</v>
      </c>
      <c r="P116" s="22">
        <f>_xlfn.XLOOKUP($B67,[1]Billing!$Q$5:$Q$40,[1]Billing!$AD$5:$AD$40)</f>
        <v>4417830</v>
      </c>
      <c r="Q116" s="37">
        <f t="shared" si="17"/>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8"/>
        <v>3269779.6269202633</v>
      </c>
      <c r="P117" s="22">
        <f>_xlfn.XLOOKUP($B68,[1]Billing!$Q$5:$Q$40,[1]Billing!$AD$5:$AD$40)</f>
        <v>3296025</v>
      </c>
      <c r="Q117" s="37">
        <f t="shared" si="17"/>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8"/>
        <v>3656896.4886613023</v>
      </c>
      <c r="P118" s="22">
        <f>_xlfn.XLOOKUP($B69,[1]Billing!$Q$5:$Q$40,[1]Billing!$AD$5:$AD$40)</f>
        <v>3625137</v>
      </c>
      <c r="Q118" s="37">
        <f t="shared" si="17"/>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8"/>
        <v>424323.335771763</v>
      </c>
      <c r="P119" s="22">
        <f>_xlfn.XLOOKUP($B70,[1]Billing!$Q$5:$Q$40,[1]Billing!$AD$5:$AD$40)</f>
        <v>424323</v>
      </c>
      <c r="Q119" s="37">
        <f t="shared" si="17"/>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8"/>
        <v>1454844.5501097296</v>
      </c>
      <c r="P120" s="22">
        <f>_xlfn.XLOOKUP($B71,[1]Billing!$Q$5:$Q$40,[1]Billing!$AD$5:$AD$40)</f>
        <v>1415500</v>
      </c>
      <c r="Q120" s="37">
        <f t="shared" si="17"/>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8"/>
        <v>124561.08266276518</v>
      </c>
      <c r="P121" s="22">
        <f>_xlfn.XLOOKUP($B72,[1]Billing!$Q$5:$Q$40,[1]Billing!$AD$5:$AD$40)</f>
        <v>124560</v>
      </c>
      <c r="Q121" s="37">
        <f t="shared" si="17"/>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8"/>
        <v>385138.07607900514</v>
      </c>
      <c r="P122" s="22">
        <f>_xlfn.XLOOKUP($B73,[1]Billing!$Q$5:$Q$40,[1]Billing!$AD$5:$AD$40)</f>
        <v>250000</v>
      </c>
      <c r="Q122" s="37">
        <f t="shared" si="17"/>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8"/>
        <v>151504.2062911485</v>
      </c>
      <c r="P123" s="22">
        <f>_xlfn.XLOOKUP($B74,[1]Billing!$Q$5:$Q$40,[1]Billing!$AD$5:$AD$40)</f>
        <v>0</v>
      </c>
      <c r="Q123" s="37">
        <f t="shared" si="17"/>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8"/>
        <v>2089305.9619604978</v>
      </c>
      <c r="P124" s="22">
        <f>_xlfn.XLOOKUP($B75,[1]Billing!$Q$5:$Q$40,[1]Billing!$AD$5:$AD$40)</f>
        <v>1300000</v>
      </c>
      <c r="Q124" s="37">
        <f t="shared" si="17"/>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8"/>
        <v>595924.46964155091</v>
      </c>
      <c r="P125" s="22">
        <f>_xlfn.XLOOKUP($B76,[1]Billing!$Q$5:$Q$40,[1]Billing!$AD$5:$AD$40)</f>
        <v>550000</v>
      </c>
      <c r="Q125" s="37">
        <f t="shared" si="17"/>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8"/>
        <v>636460.3145574251</v>
      </c>
      <c r="P126" s="22">
        <f>_xlfn.XLOOKUP($B77,[1]Billing!$Q$5:$Q$40,[1]Billing!$AD$5:$AD$40)</f>
        <v>636000</v>
      </c>
      <c r="Q126" s="37">
        <f t="shared" si="17"/>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8"/>
        <v>15855.888807607902</v>
      </c>
      <c r="P127" s="22">
        <f>_xlfn.XLOOKUP($B78,[1]Billing!$Q$5:$Q$40,[1]Billing!$AD$5:$AD$40)</f>
        <v>15855</v>
      </c>
      <c r="Q127" s="37">
        <f t="shared" si="17"/>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8"/>
        <v>#N/A</v>
      </c>
      <c r="P128" s="22" t="e">
        <f>_xlfn.XLOOKUP($B79,[1]Billing!$Q$5:$Q$40,[1]Billing!$AD$5:$AD$40)</f>
        <v>#N/A</v>
      </c>
      <c r="Q128" s="37" t="e">
        <f t="shared" si="17"/>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9">G129+H129+I129+J129+K129+L129+M129</f>
        <v>#N/A</v>
      </c>
      <c r="P129" s="22" t="e">
        <f>_xlfn.XLOOKUP($B80,[1]Billing!$Q$5:$Q$40,[1]Billing!$AD$5:$AD$40)</f>
        <v>#N/A</v>
      </c>
      <c r="Q129" s="37" t="e">
        <f t="shared" ref="Q129:Q132" si="20">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9"/>
        <v>#N/A</v>
      </c>
      <c r="P130" s="22" t="e">
        <f>_xlfn.XLOOKUP($B81,[1]Billing!$Q$5:$Q$40,[1]Billing!$AD$5:$AD$40)</f>
        <v>#N/A</v>
      </c>
      <c r="Q130" s="37" t="e">
        <f t="shared" si="20"/>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9"/>
        <v>#N/A</v>
      </c>
      <c r="P131" s="22" t="e">
        <f>_xlfn.XLOOKUP($B82,[1]Billing!$Q$5:$Q$40,[1]Billing!$AD$5:$AD$40)</f>
        <v>#N/A</v>
      </c>
      <c r="Q131" s="37" t="e">
        <f t="shared" si="20"/>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9"/>
        <v>#N/A</v>
      </c>
      <c r="P132" s="22" t="e">
        <f>_xlfn.XLOOKUP($B83,[1]Billing!$Q$5:$Q$40,[1]Billing!$AD$5:$AD$40)</f>
        <v>#N/A</v>
      </c>
      <c r="Q132" s="37" t="e">
        <f t="shared" si="20"/>
        <v>#N/A</v>
      </c>
    </row>
    <row r="133" spans="2:17" x14ac:dyDescent="0.3">
      <c r="B133" t="str">
        <v>ACM 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9"/>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9">_xlfn.UNIQUE(Table1[Party Name])</f>
        <v>BSC</v>
      </c>
    </row>
    <row r="5" spans="2:10" x14ac:dyDescent="0.3">
      <c r="J5" t="str">
        <v>Ejaz Sahab</v>
      </c>
    </row>
    <row r="6" spans="2:10" ht="21" x14ac:dyDescent="0.4">
      <c r="B6" s="64" t="s">
        <v>746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477959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437051.02414045355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387511.88734455011</v>
      </c>
      <c r="E12" s="91">
        <f ca="1">Table21[[#This Row],[gazana]]*Table21[[#This Row],[Rate]]</f>
        <v>3875118.8734455011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3875118.8734455011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4310477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111552.9926847117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15686865</v>
      </c>
      <c r="D4" t="s">
        <v>189</v>
      </c>
      <c r="E4" s="43">
        <f ca="1">Table12[[#This Row],[Amount]]/Table1[[#Totals],[tiyar/meters]]</f>
        <v>5.0940060717745004</v>
      </c>
    </row>
    <row r="5" spans="1:5" x14ac:dyDescent="0.3">
      <c r="B5" t="s">
        <v>48</v>
      </c>
      <c r="C5" s="11">
        <f>SUM(Table8[Price])+(301660)</f>
        <v>3310040</v>
      </c>
      <c r="E5" s="43">
        <f ca="1">Table12[[#This Row],[Amount]]/Table1[[#Totals],[tiyar/meters]]</f>
        <v>1.0748714837423836</v>
      </c>
    </row>
    <row r="6" spans="1:5" x14ac:dyDescent="0.3">
      <c r="B6" t="s">
        <v>49</v>
      </c>
      <c r="C6" s="11">
        <f>SUM(Table2[Price])</f>
        <v>1278550</v>
      </c>
      <c r="D6" t="s">
        <v>188</v>
      </c>
      <c r="E6" s="43">
        <f ca="1">Table12[[#This Row],[Amount]]/Table1[[#Totals],[tiyar/meters]]</f>
        <v>0.41518438917318962</v>
      </c>
    </row>
    <row r="7" spans="1:5" x14ac:dyDescent="0.3">
      <c r="B7" t="s">
        <v>50</v>
      </c>
      <c r="C7" s="11">
        <f>SUMIFS(Table14[Debit], Table14[Party],Table12[[#This Row],[Type]])</f>
        <v>132630</v>
      </c>
      <c r="E7" s="43">
        <f ca="1">Table12[[#This Row],[Amount]]/Table1[[#Totals],[tiyar/meters]]</f>
        <v>4.3069027833123566E-2</v>
      </c>
    </row>
    <row r="8" spans="1:5" x14ac:dyDescent="0.3">
      <c r="B8" t="s">
        <v>51</v>
      </c>
      <c r="C8" s="11">
        <f>Electricity!E5</f>
        <v>3500011</v>
      </c>
      <c r="E8" s="43">
        <f ca="1">Table12[[#This Row],[Amount]]/Table1[[#Totals],[tiyar/meters]]</f>
        <v>1.1365608925223454</v>
      </c>
    </row>
    <row r="9" spans="1:5" x14ac:dyDescent="0.3">
      <c r="B9" t="s">
        <v>52</v>
      </c>
      <c r="C9" s="11">
        <f>SUMIFS(Table14[Debit], Table14[Party],Table12[[#This Row],[Type]])+SUMIFS(Table14[Debit], Table14[Party],"Advance Salary")</f>
        <v>5302653</v>
      </c>
      <c r="E9" s="43">
        <f ca="1">Table12[[#This Row],[Amount]]/Table1[[#Totals],[tiyar/meters]]</f>
        <v>1.7219340243262926</v>
      </c>
    </row>
    <row r="10" spans="1:5" x14ac:dyDescent="0.3">
      <c r="B10" t="s">
        <v>53</v>
      </c>
      <c r="C10" s="11">
        <f>Table5[[#Totals],[Amount]]</f>
        <v>299340</v>
      </c>
      <c r="E10" s="43">
        <f ca="1">Table12[[#This Row],[Amount]]/Table1[[#Totals],[tiyar/meters]]</f>
        <v>9.7204876661141595E-2</v>
      </c>
    </row>
    <row r="11" spans="1:5" x14ac:dyDescent="0.3">
      <c r="B11" t="s">
        <v>54</v>
      </c>
      <c r="C11" s="11">
        <f>Table13[[#Totals],[Debit]]</f>
        <v>307679.40000000002</v>
      </c>
      <c r="E11" s="43">
        <f ca="1">Table12[[#This Row],[Amount]]/Table1[[#Totals],[tiyar/meters]]</f>
        <v>9.9912935552128185E-2</v>
      </c>
    </row>
    <row r="12" spans="1:5" x14ac:dyDescent="0.3">
      <c r="B12" t="s">
        <v>55</v>
      </c>
      <c r="C12" s="11">
        <f>Table15[[#Totals],[Amount]]</f>
        <v>1408179</v>
      </c>
      <c r="E12" s="43">
        <f ca="1">Table12[[#This Row],[Amount]]/Table1[[#Totals],[tiyar/meters]]</f>
        <v>0.45727890028666301</v>
      </c>
    </row>
    <row r="13" spans="1:5" x14ac:dyDescent="0.3">
      <c r="C13" s="11"/>
      <c r="E13" s="43">
        <f ca="1">Table12[[#This Row],[Amount]]/Table1[[#Totals],[tiyar/meters]]</f>
        <v>0</v>
      </c>
    </row>
    <row r="14" spans="1:5" x14ac:dyDescent="0.3">
      <c r="C14" s="14">
        <f>SUM(Table12[Amount])</f>
        <v>31225947.399999999</v>
      </c>
      <c r="E14" s="43">
        <f ca="1">SUM(Table12[cost per meter])</f>
        <v>10.140022601871769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35080259.69275786</v>
      </c>
    </row>
    <row r="4" spans="1:3" x14ac:dyDescent="0.3">
      <c r="B4" s="11" t="s">
        <v>44</v>
      </c>
      <c r="C4" s="11">
        <f>Table12[[#Totals],[Amount]]</f>
        <v>31225947.399999999</v>
      </c>
    </row>
    <row r="5" spans="1:3" x14ac:dyDescent="0.3">
      <c r="A5" s="6"/>
      <c r="B5" s="15" t="s">
        <v>68</v>
      </c>
      <c r="C5" s="15">
        <f>C3-C4</f>
        <v>3854312.2927578613</v>
      </c>
    </row>
    <row r="10" spans="1:3" ht="15" thickBot="1" x14ac:dyDescent="0.35">
      <c r="B10" t="s">
        <v>66</v>
      </c>
      <c r="C10" s="14" t="s">
        <v>67</v>
      </c>
    </row>
    <row r="11" spans="1:3" x14ac:dyDescent="0.3">
      <c r="B11" s="56" t="s">
        <v>0</v>
      </c>
      <c r="C11" s="57">
        <f>C3</f>
        <v>35080259.69275786</v>
      </c>
    </row>
    <row r="12" spans="1:3" x14ac:dyDescent="0.3">
      <c r="B12" s="58" t="s">
        <v>69</v>
      </c>
      <c r="C12" s="59">
        <f>SUM(Table14[Credit])</f>
        <v>41500778.229517192</v>
      </c>
    </row>
    <row r="13" spans="1:3" ht="15" thickBot="1" x14ac:dyDescent="0.35">
      <c r="B13" s="74" t="s">
        <v>93</v>
      </c>
      <c r="C13" s="73">
        <f>(C11-C12)</f>
        <v>-6420518.5367593318</v>
      </c>
    </row>
    <row r="14" spans="1:3" ht="15" thickBot="1" x14ac:dyDescent="0.35">
      <c r="B14" s="58"/>
      <c r="C14" s="59"/>
    </row>
    <row r="15" spans="1:3" x14ac:dyDescent="0.3">
      <c r="B15" s="56" t="s">
        <v>44</v>
      </c>
      <c r="C15" s="57">
        <f>C4</f>
        <v>31225947.399999999</v>
      </c>
    </row>
    <row r="16" spans="1:3" x14ac:dyDescent="0.3">
      <c r="B16" s="58" t="s">
        <v>70</v>
      </c>
      <c r="C16" s="59">
        <f>SUM(Table14[Debit])</f>
        <v>41205247.399999999</v>
      </c>
    </row>
    <row r="17" spans="2:6" ht="15" thickBot="1" x14ac:dyDescent="0.35">
      <c r="B17" s="74" t="s">
        <v>71</v>
      </c>
      <c r="C17" s="73">
        <f>C15-C16</f>
        <v>-9979300</v>
      </c>
    </row>
    <row r="18" spans="2:6" ht="15" thickBot="1" x14ac:dyDescent="0.35">
      <c r="B18" s="58"/>
      <c r="C18" s="59"/>
    </row>
    <row r="19" spans="2:6" ht="15" thickBot="1" x14ac:dyDescent="0.35">
      <c r="B19" s="75" t="s">
        <v>72</v>
      </c>
      <c r="C19" s="76">
        <f>Table18[[#Totals],[amount]]</f>
        <v>303044.82951719314</v>
      </c>
    </row>
    <row r="20" spans="2:6" ht="15" thickBot="1" x14ac:dyDescent="0.35">
      <c r="B20" s="71"/>
      <c r="C20" s="72"/>
    </row>
    <row r="21" spans="2:6" ht="15" thickBot="1" x14ac:dyDescent="0.35">
      <c r="B21" s="60" t="s">
        <v>73</v>
      </c>
      <c r="C21" s="61">
        <f>(C13-C17)+C19</f>
        <v>3861826.2927578613</v>
      </c>
      <c r="E21" s="79" t="s">
        <v>74</v>
      </c>
      <c r="F21" s="125">
        <f>C5*0.05</f>
        <v>192715.61463789307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5000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5000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0</v>
      </c>
      <c r="E88">
        <f>SUMIFS(Table14[Credit], Table14[Date], Table13[[#This Row],[Date]], Table14[Party], "Transport")</f>
        <v>0</v>
      </c>
    </row>
    <row r="89" spans="2:6" x14ac:dyDescent="0.3">
      <c r="B89" s="1">
        <v>46158</v>
      </c>
      <c r="D89">
        <f>SUMIFS(Table14[Debit], Table14[Date], Table13[[#This Row],[Date]], Table14[Party], "Transport")</f>
        <v>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307679.40000000002</v>
      </c>
      <c r="E93">
        <f>SUBTOTAL(109,Table13[Credit])</f>
        <v>0</v>
      </c>
      <c r="F93">
        <f>Table13[[#Totals],[Debit]]-Table13[[#Totals],[Credit]]</f>
        <v>307679.40000000002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6"/>
  <sheetViews>
    <sheetView topLeftCell="A249" zoomScale="107" zoomScaleNormal="107" workbookViewId="0">
      <selection activeCell="E260" sqref="E26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7">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t="str">
        <v>ACM salman zaffar</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3.2750325128177167</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39">
        <v>46130</v>
      </c>
      <c r="B196" s="140" t="s">
        <v>377</v>
      </c>
      <c r="C196" s="141">
        <v>1634</v>
      </c>
      <c r="D196" s="141" t="s">
        <v>85</v>
      </c>
      <c r="E196" s="142">
        <v>2158</v>
      </c>
      <c r="F196" s="142">
        <v>29532</v>
      </c>
      <c r="G196" s="142">
        <v>31473</v>
      </c>
      <c r="H196" s="143">
        <f>_xlfn.XLOOKUP(Table1[[#This Row],[Shipment Number]], 'pivot '!A:A,'pivot '!G:G, "NF")</f>
        <v>2.5488921989175992</v>
      </c>
      <c r="I196" s="144">
        <f>Table1[[#This Row],[Tiyaar/gaz]]/1.0936</f>
        <v>28779.261155815657</v>
      </c>
      <c r="J196" s="144"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41"/>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656</v>
      </c>
      <c r="C200" s="117">
        <v>1638</v>
      </c>
      <c r="D200" s="117" t="s">
        <v>662</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656</v>
      </c>
      <c r="C201" s="117">
        <v>1639</v>
      </c>
      <c r="D201" s="117" t="s">
        <v>662</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657</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2.2838077264489698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658</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659</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0.97183123399551619</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656</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656</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0.97183123399551619</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716</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716</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716</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716</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716</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22">
        <v>46147</v>
      </c>
      <c r="B236" s="120" t="s">
        <v>21</v>
      </c>
      <c r="C236" s="117">
        <v>1674</v>
      </c>
      <c r="D236" s="117" t="s">
        <v>85</v>
      </c>
      <c r="E236" s="11">
        <v>2147</v>
      </c>
      <c r="F236" s="11">
        <v>31086</v>
      </c>
      <c r="G236" s="11">
        <v>35474</v>
      </c>
      <c r="H236" s="118">
        <f>_xlfn.XLOOKUP(Table1[[#This Row],[Shipment Number]], 'pivot '!A:A,'pivot '!G:G, "NF")</f>
        <v>2.2838077264489698</v>
      </c>
      <c r="I236" s="119">
        <f>Table1[[#This Row],[Tiyaar/gaz]]/1.0936</f>
        <v>32437.820043891737</v>
      </c>
      <c r="J236" s="11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36" s="117"/>
    </row>
    <row r="237" spans="1:11" x14ac:dyDescent="0.3">
      <c r="A237" s="122">
        <v>46147</v>
      </c>
      <c r="B237" s="120" t="s">
        <v>21</v>
      </c>
      <c r="C237" s="117">
        <v>1675</v>
      </c>
      <c r="D237" s="117" t="s">
        <v>85</v>
      </c>
      <c r="E237" s="11">
        <v>2150</v>
      </c>
      <c r="F237" s="11">
        <v>14993</v>
      </c>
      <c r="G237" s="11">
        <v>3895</v>
      </c>
      <c r="H237" s="118">
        <f>_xlfn.XLOOKUP(Table1[[#This Row],[Shipment Number]], 'pivot '!A:A,'pivot '!G:G, "NF")</f>
        <v>0.97183123399551619</v>
      </c>
      <c r="I237" s="119">
        <f>Table1[[#This Row],[Tiyaar/gaz]]/1.0936</f>
        <v>3561.6313094367229</v>
      </c>
      <c r="J237" s="119"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37" s="117"/>
    </row>
    <row r="238" spans="1:11" x14ac:dyDescent="0.3">
      <c r="A238" s="122">
        <v>46148</v>
      </c>
      <c r="B238" s="120" t="s">
        <v>21</v>
      </c>
      <c r="C238" s="117">
        <v>1676</v>
      </c>
      <c r="D238" s="117" t="s">
        <v>85</v>
      </c>
      <c r="E238" s="11">
        <v>2135</v>
      </c>
      <c r="F238" s="11">
        <v>14433</v>
      </c>
      <c r="G238" s="11">
        <v>4288</v>
      </c>
      <c r="H238" s="118">
        <f>_xlfn.XLOOKUP(Table1[[#This Row],[Shipment Number]], 'pivot '!A:A,'pivot '!G:G, "NF")</f>
        <v>3.2750325128177167</v>
      </c>
      <c r="I238" s="119">
        <f>Table1[[#This Row],[Tiyaar/gaz]]/1.0936</f>
        <v>3920.9948792977325</v>
      </c>
      <c r="J238" s="119" cm="1">
        <f t="array" ref="J2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38" s="117"/>
    </row>
    <row r="239" spans="1:11" x14ac:dyDescent="0.3">
      <c r="A239" s="122">
        <v>46148</v>
      </c>
      <c r="B239" s="120" t="s">
        <v>21</v>
      </c>
      <c r="C239" s="117">
        <v>1677</v>
      </c>
      <c r="D239" s="117" t="s">
        <v>85</v>
      </c>
      <c r="E239" s="11">
        <v>2169</v>
      </c>
      <c r="F239" s="11">
        <v>38665</v>
      </c>
      <c r="G239" s="11">
        <v>41074</v>
      </c>
      <c r="H239" s="118">
        <f>_xlfn.XLOOKUP(Table1[[#This Row],[Shipment Number]], 'pivot '!A:A,'pivot '!G:G, "NF")</f>
        <v>2.8617035778318467</v>
      </c>
      <c r="I239" s="119">
        <f>Table1[[#This Row],[Tiyaar/gaz]]/1.0936</f>
        <v>37558.522311631314</v>
      </c>
      <c r="J239" s="119" cm="1">
        <f t="array" ref="J2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39" s="117"/>
    </row>
    <row r="240" spans="1:11" x14ac:dyDescent="0.3">
      <c r="A240" s="122">
        <v>46148</v>
      </c>
      <c r="B240" s="120" t="s">
        <v>21</v>
      </c>
      <c r="C240" s="117">
        <v>1678</v>
      </c>
      <c r="D240" s="117" t="s">
        <v>85</v>
      </c>
      <c r="E240" s="11">
        <v>2191</v>
      </c>
      <c r="F240" s="11">
        <v>107006</v>
      </c>
      <c r="G240" s="11">
        <v>6592</v>
      </c>
      <c r="H240" s="118">
        <f>_xlfn.XLOOKUP(Table1[[#This Row],[Shipment Number]], 'pivot '!A:A,'pivot '!G:G, "NF")</f>
        <v>2.0207879010428371</v>
      </c>
      <c r="I240" s="119">
        <f>Table1[[#This Row],[Tiyaar/gaz]]/1.0936</f>
        <v>6027.7980980248722</v>
      </c>
      <c r="J240" s="119" cm="1">
        <f t="array" ref="J2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40" s="117"/>
    </row>
    <row r="241" spans="1:11" x14ac:dyDescent="0.3">
      <c r="A241" s="122">
        <v>46148</v>
      </c>
      <c r="B241" s="120" t="s">
        <v>747</v>
      </c>
      <c r="C241" s="117">
        <v>1679</v>
      </c>
      <c r="D241" s="117" t="s">
        <v>85</v>
      </c>
      <c r="E241" s="11">
        <v>2188</v>
      </c>
      <c r="F241" s="11">
        <v>19276</v>
      </c>
      <c r="G241" s="11">
        <v>20731</v>
      </c>
      <c r="H241" s="118">
        <f>_xlfn.XLOOKUP(Table1[[#This Row],[Shipment Number]], 'pivot '!A:A,'pivot '!G:G, "NF")</f>
        <v>1.6566875236145364</v>
      </c>
      <c r="I241" s="119">
        <f>Table1[[#This Row],[Tiyaar/gaz]]/1.0936</f>
        <v>18956.656912948063</v>
      </c>
      <c r="J241" s="119" cm="1">
        <f t="array" ref="J2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41" s="117"/>
    </row>
    <row r="242" spans="1:11" x14ac:dyDescent="0.3">
      <c r="A242" s="122">
        <v>46149</v>
      </c>
      <c r="B242" s="120" t="s">
        <v>21</v>
      </c>
      <c r="C242" s="117">
        <v>1680</v>
      </c>
      <c r="D242" s="117" t="s">
        <v>85</v>
      </c>
      <c r="E242" s="11">
        <v>2193</v>
      </c>
      <c r="F242" s="11">
        <v>61241</v>
      </c>
      <c r="G242" s="11">
        <v>21509</v>
      </c>
      <c r="H242" s="118">
        <f>_xlfn.XLOOKUP(Table1[[#This Row],[Shipment Number]], 'pivot '!A:A,'pivot '!G:G, "NF")</f>
        <v>1.2664142327970467</v>
      </c>
      <c r="I242" s="119">
        <f>Table1[[#This Row],[Tiyaar/gaz]]/1.0936</f>
        <v>19668.068763716168</v>
      </c>
      <c r="J242" s="119" cm="1">
        <f t="array" ref="J2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42" s="117"/>
    </row>
    <row r="243" spans="1:11" x14ac:dyDescent="0.3">
      <c r="A243" s="122">
        <v>46149</v>
      </c>
      <c r="B243" s="120" t="s">
        <v>21</v>
      </c>
      <c r="C243" s="117">
        <v>1681</v>
      </c>
      <c r="D243" s="117" t="s">
        <v>85</v>
      </c>
      <c r="E243" s="11">
        <v>2191</v>
      </c>
      <c r="F243" s="11">
        <v>107006</v>
      </c>
      <c r="G243" s="11">
        <v>6364</v>
      </c>
      <c r="H243" s="118">
        <f>_xlfn.XLOOKUP(Table1[[#This Row],[Shipment Number]], 'pivot '!A:A,'pivot '!G:G, "NF")</f>
        <v>2.0207879010428371</v>
      </c>
      <c r="I243" s="119">
        <f>Table1[[#This Row],[Tiyaar/gaz]]/1.0936</f>
        <v>5819.3123628383328</v>
      </c>
      <c r="J243" s="119" cm="1">
        <f t="array" ref="J2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43" s="117"/>
    </row>
    <row r="244" spans="1:11" x14ac:dyDescent="0.3">
      <c r="A244" s="122">
        <v>46149</v>
      </c>
      <c r="B244" s="120" t="s">
        <v>21</v>
      </c>
      <c r="C244" s="117">
        <v>1682</v>
      </c>
      <c r="D244" s="117" t="s">
        <v>85</v>
      </c>
      <c r="E244" s="11">
        <v>2193</v>
      </c>
      <c r="F244" s="11">
        <v>61241</v>
      </c>
      <c r="G244" s="11">
        <v>44616</v>
      </c>
      <c r="H244" s="118">
        <f>_xlfn.XLOOKUP(Table1[[#This Row],[Shipment Number]], 'pivot '!A:A,'pivot '!G:G, "NF")</f>
        <v>1.2664142327970467</v>
      </c>
      <c r="I244" s="119">
        <f>Table1[[#This Row],[Tiyaar/gaz]]/1.0936</f>
        <v>40797.366495976596</v>
      </c>
      <c r="J244" s="119" cm="1">
        <f t="array" ref="J2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44" s="117"/>
    </row>
    <row r="245" spans="1:11" x14ac:dyDescent="0.3">
      <c r="A245" s="122">
        <v>46149</v>
      </c>
      <c r="B245" s="120" t="s">
        <v>21</v>
      </c>
      <c r="C245" s="117">
        <v>1683</v>
      </c>
      <c r="D245" s="117" t="s">
        <v>85</v>
      </c>
      <c r="E245" s="11">
        <v>2181</v>
      </c>
      <c r="F245" s="11">
        <v>9943</v>
      </c>
      <c r="G245" s="11">
        <v>2330</v>
      </c>
      <c r="H245" s="118">
        <f>_xlfn.XLOOKUP(Table1[[#This Row],[Shipment Number]], 'pivot '!A:A,'pivot '!G:G, "NF")</f>
        <v>1.4131831615776633</v>
      </c>
      <c r="I245" s="119">
        <f>Table1[[#This Row],[Tiyaar/gaz]]/1.0936</f>
        <v>2130.5779078273595</v>
      </c>
      <c r="J245" s="119"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45" s="117"/>
    </row>
    <row r="246" spans="1:11" x14ac:dyDescent="0.3">
      <c r="A246" s="122">
        <v>46149</v>
      </c>
      <c r="B246" s="120" t="s">
        <v>21</v>
      </c>
      <c r="C246" s="117">
        <v>1684</v>
      </c>
      <c r="D246" s="117" t="s">
        <v>85</v>
      </c>
      <c r="E246" s="11">
        <v>2191</v>
      </c>
      <c r="F246" s="11">
        <v>107006</v>
      </c>
      <c r="G246" s="11">
        <v>2290</v>
      </c>
      <c r="H246" s="118">
        <f>_xlfn.XLOOKUP(Table1[[#This Row],[Shipment Number]], 'pivot '!A:A,'pivot '!G:G, "NF")</f>
        <v>2.0207879010428371</v>
      </c>
      <c r="I246" s="119">
        <f>Table1[[#This Row],[Tiyaar/gaz]]/1.0936</f>
        <v>2094.0014630577912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46" s="117"/>
    </row>
    <row r="247" spans="1:11" x14ac:dyDescent="0.3">
      <c r="A247" s="122">
        <v>46150</v>
      </c>
      <c r="B247" s="120" t="s">
        <v>21</v>
      </c>
      <c r="C247" s="117">
        <v>1685</v>
      </c>
      <c r="D247" s="117" t="s">
        <v>85</v>
      </c>
      <c r="E247" s="11">
        <v>2191</v>
      </c>
      <c r="F247" s="11">
        <v>107006</v>
      </c>
      <c r="G247" s="11">
        <v>45049</v>
      </c>
      <c r="H247" s="118">
        <f>_xlfn.XLOOKUP(Table1[[#This Row],[Shipment Number]], 'pivot '!A:A,'pivot '!G:G, "NF")</f>
        <v>2.0207879010428371</v>
      </c>
      <c r="I247" s="119">
        <f>Table1[[#This Row],[Tiyaar/gaz]]/1.0936</f>
        <v>41193.306510607174</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47" s="117"/>
    </row>
    <row r="248" spans="1:11" x14ac:dyDescent="0.3">
      <c r="A248" s="122">
        <v>46150</v>
      </c>
      <c r="B248" s="120" t="s">
        <v>21</v>
      </c>
      <c r="C248" s="117">
        <v>1686</v>
      </c>
      <c r="D248" s="117" t="s">
        <v>85</v>
      </c>
      <c r="E248" s="11">
        <v>2191</v>
      </c>
      <c r="F248" s="11">
        <v>107006</v>
      </c>
      <c r="G248" s="11">
        <v>17678</v>
      </c>
      <c r="H248" s="118">
        <f>_xlfn.XLOOKUP(Table1[[#This Row],[Shipment Number]], 'pivot '!A:A,'pivot '!G:G, "NF")</f>
        <v>2.0207879010428371</v>
      </c>
      <c r="I248" s="119">
        <f>Table1[[#This Row],[Tiyaar/gaz]]/1.0936</f>
        <v>16164.959765910755</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48" s="117"/>
    </row>
    <row r="249" spans="1:11" x14ac:dyDescent="0.3">
      <c r="A249" s="122">
        <v>46150</v>
      </c>
      <c r="B249" s="120" t="s">
        <v>21</v>
      </c>
      <c r="C249" s="117">
        <v>1687</v>
      </c>
      <c r="D249" s="117" t="s">
        <v>85</v>
      </c>
      <c r="E249" s="11">
        <v>2181</v>
      </c>
      <c r="F249" s="11">
        <v>9943</v>
      </c>
      <c r="G249" s="11">
        <v>2530</v>
      </c>
      <c r="H249" s="118">
        <f>_xlfn.XLOOKUP(Table1[[#This Row],[Shipment Number]], 'pivot '!A:A,'pivot '!G:G, "NF")</f>
        <v>1.4131831615776633</v>
      </c>
      <c r="I249" s="119">
        <f>Table1[[#This Row],[Tiyaar/gaz]]/1.0936</f>
        <v>2313.4601316752014</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49" s="117"/>
    </row>
    <row r="250" spans="1:11" x14ac:dyDescent="0.3">
      <c r="A250" s="122">
        <v>46150</v>
      </c>
      <c r="B250" s="120" t="s">
        <v>21</v>
      </c>
      <c r="C250" s="117">
        <v>1688</v>
      </c>
      <c r="D250" s="117" t="s">
        <v>85</v>
      </c>
      <c r="E250" s="11">
        <v>2191</v>
      </c>
      <c r="F250" s="11">
        <v>107006</v>
      </c>
      <c r="G250" s="11">
        <v>25378</v>
      </c>
      <c r="H250" s="118">
        <f>_xlfn.XLOOKUP(Table1[[#This Row],[Shipment Number]], 'pivot '!A:A,'pivot '!G:G, "NF")</f>
        <v>2.0207879010428371</v>
      </c>
      <c r="I250" s="119">
        <f>Table1[[#This Row],[Tiyaar/gaz]]/1.0936</f>
        <v>23205.925384052673</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50" s="117"/>
    </row>
    <row r="251" spans="1:11" x14ac:dyDescent="0.3">
      <c r="A251" s="122">
        <v>46150</v>
      </c>
      <c r="B251" s="120" t="s">
        <v>21</v>
      </c>
      <c r="C251" s="117">
        <v>1690</v>
      </c>
      <c r="D251" s="117" t="s">
        <v>85</v>
      </c>
      <c r="E251" s="11">
        <v>2181</v>
      </c>
      <c r="F251" s="11">
        <v>9943</v>
      </c>
      <c r="G251" s="11">
        <v>5860</v>
      </c>
      <c r="H251" s="118">
        <f>_xlfn.XLOOKUP(Table1[[#This Row],[Shipment Number]], 'pivot '!A:A,'pivot '!G:G, "NF")</f>
        <v>1.4131831615776633</v>
      </c>
      <c r="I251" s="119">
        <f>Table1[[#This Row],[Tiyaar/gaz]]/1.0936</f>
        <v>5358.4491587417706</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51" s="117"/>
    </row>
    <row r="252" spans="1:11" x14ac:dyDescent="0.3">
      <c r="A252" s="122">
        <v>46150</v>
      </c>
      <c r="B252" s="120" t="s">
        <v>21</v>
      </c>
      <c r="C252" s="117">
        <v>1689</v>
      </c>
      <c r="D252" s="117" t="s">
        <v>85</v>
      </c>
      <c r="E252" s="11">
        <v>2191</v>
      </c>
      <c r="F252" s="11">
        <v>107006</v>
      </c>
      <c r="G252" s="11">
        <v>11306</v>
      </c>
      <c r="H252" s="118">
        <f>_xlfn.XLOOKUP(Table1[[#This Row],[Shipment Number]], 'pivot '!A:A,'pivot '!G:G, "NF")</f>
        <v>2.0207879010428371</v>
      </c>
      <c r="I252" s="119">
        <f>Table1[[#This Row],[Tiyaar/gaz]]/1.0936</f>
        <v>10338.332114118508</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52" s="117"/>
    </row>
    <row r="253" spans="1:11" x14ac:dyDescent="0.3">
      <c r="A253" s="122">
        <v>46151</v>
      </c>
      <c r="B253" s="120" t="s">
        <v>21</v>
      </c>
      <c r="C253" s="117">
        <v>1691</v>
      </c>
      <c r="D253" s="117" t="s">
        <v>86</v>
      </c>
      <c r="E253" s="11">
        <v>2195</v>
      </c>
      <c r="F253" s="11">
        <v>17930</v>
      </c>
      <c r="G253" s="11">
        <v>19428</v>
      </c>
      <c r="H253" s="118">
        <f>_xlfn.XLOOKUP(Table1[[#This Row],[Shipment Number]], 'pivot '!A:A,'pivot '!G:G, "NF")</f>
        <v>0.91924581941231054</v>
      </c>
      <c r="I253" s="119">
        <f>Table1[[#This Row],[Tiyaar/gaz]]/1.0936</f>
        <v>17765.179224579373</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53" s="117"/>
    </row>
    <row r="254" spans="1:11" x14ac:dyDescent="0.3">
      <c r="A254" s="122">
        <v>46151</v>
      </c>
      <c r="B254" s="120" t="s">
        <v>21</v>
      </c>
      <c r="C254" s="117">
        <v>1692</v>
      </c>
      <c r="D254" s="117" t="s">
        <v>85</v>
      </c>
      <c r="E254" s="11">
        <v>2192</v>
      </c>
      <c r="F254" s="11">
        <v>57164</v>
      </c>
      <c r="G254" s="11">
        <v>19836</v>
      </c>
      <c r="H254" s="118">
        <f>_xlfn.XLOOKUP(Table1[[#This Row],[Shipment Number]], 'pivot '!A:A,'pivot '!G:G, "NF")</f>
        <v>68.269786996660542</v>
      </c>
      <c r="I254" s="119">
        <f>Table1[[#This Row],[Tiyaar/gaz]]/1.0936</f>
        <v>18138.25896122897</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54" s="117"/>
    </row>
    <row r="255" spans="1:11" x14ac:dyDescent="0.3">
      <c r="A255" s="122">
        <v>46151</v>
      </c>
      <c r="B255" s="120" t="s">
        <v>656</v>
      </c>
      <c r="C255" s="117">
        <v>1693</v>
      </c>
      <c r="D255" s="117" t="s">
        <v>86</v>
      </c>
      <c r="E255" s="11">
        <v>2182</v>
      </c>
      <c r="F255" s="11">
        <v>99404</v>
      </c>
      <c r="G255" s="11">
        <v>37070</v>
      </c>
      <c r="H255" s="118">
        <f>_xlfn.XLOOKUP(Table1[[#This Row],[Shipment Number]], 'pivot '!A:A,'pivot '!G:G, "NF")</f>
        <v>6.694263575356814</v>
      </c>
      <c r="I255" s="119">
        <f>Table1[[#This Row],[Tiyaar/gaz]]/1.0936</f>
        <v>33897.220190197513</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55" s="117"/>
    </row>
    <row r="256" spans="1:11" x14ac:dyDescent="0.3">
      <c r="A256" s="122">
        <v>46151</v>
      </c>
      <c r="B256" s="120" t="s">
        <v>656</v>
      </c>
      <c r="C256" s="117">
        <v>1694</v>
      </c>
      <c r="D256" s="117" t="s">
        <v>86</v>
      </c>
      <c r="E256" s="11">
        <v>2182</v>
      </c>
      <c r="F256" s="11">
        <v>99404</v>
      </c>
      <c r="G256" s="11">
        <v>14046</v>
      </c>
      <c r="H256" s="118">
        <f>_xlfn.XLOOKUP(Table1[[#This Row],[Shipment Number]], 'pivot '!A:A,'pivot '!G:G, "NF")</f>
        <v>6.694263575356814</v>
      </c>
      <c r="I256" s="119">
        <f>Table1[[#This Row],[Tiyaar/gaz]]/1.0936</f>
        <v>12843.818580833944</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56" s="117"/>
    </row>
    <row r="257" spans="1:11" x14ac:dyDescent="0.3">
      <c r="A257" s="122">
        <v>46153</v>
      </c>
      <c r="B257" s="120" t="s">
        <v>656</v>
      </c>
      <c r="C257" s="117">
        <v>1695</v>
      </c>
      <c r="D257" s="117" t="s">
        <v>86</v>
      </c>
      <c r="E257" s="11">
        <v>2182</v>
      </c>
      <c r="F257" s="11">
        <v>99404</v>
      </c>
      <c r="G257" s="11">
        <v>39878</v>
      </c>
      <c r="H257" s="118">
        <f>_xlfn.XLOOKUP(Table1[[#This Row],[Shipment Number]], 'pivot '!A:A,'pivot '!G:G, "NF")</f>
        <v>6.694263575356814</v>
      </c>
      <c r="I257" s="119">
        <f>Table1[[#This Row],[Tiyaar/gaz]]/1.0936</f>
        <v>36464.886613021219</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57" s="117"/>
    </row>
    <row r="258" spans="1:11" x14ac:dyDescent="0.3">
      <c r="A258" s="122">
        <v>46153</v>
      </c>
      <c r="B258" s="120" t="s">
        <v>656</v>
      </c>
      <c r="C258" s="117">
        <v>1696</v>
      </c>
      <c r="D258" s="117" t="s">
        <v>86</v>
      </c>
      <c r="E258" s="11">
        <v>2182</v>
      </c>
      <c r="F258" s="11">
        <v>99404</v>
      </c>
      <c r="G258" s="11">
        <v>10437</v>
      </c>
      <c r="H258" s="118">
        <f>_xlfn.XLOOKUP(Table1[[#This Row],[Shipment Number]], 'pivot '!A:A,'pivot '!G:G, "NF")</f>
        <v>6.694263575356814</v>
      </c>
      <c r="I258" s="119">
        <f>Table1[[#This Row],[Tiyaar/gaz]]/1.0936</f>
        <v>9543.7088514996358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58" s="117"/>
    </row>
    <row r="259" spans="1:11" x14ac:dyDescent="0.3">
      <c r="A259" s="122">
        <v>46154</v>
      </c>
      <c r="B259" s="120" t="s">
        <v>312</v>
      </c>
      <c r="C259" s="117">
        <v>1697</v>
      </c>
      <c r="D259" s="117" t="s">
        <v>86</v>
      </c>
      <c r="E259" s="11" t="s">
        <v>791</v>
      </c>
      <c r="F259" s="11">
        <v>7846</v>
      </c>
      <c r="G259" s="11">
        <v>8229</v>
      </c>
      <c r="H259" s="118">
        <f>_xlfn.XLOOKUP(Table1[[#This Row],[Shipment Number]], 'pivot '!A:A,'pivot '!G:G, "NF")</f>
        <v>4.0952192171876334</v>
      </c>
      <c r="I259" s="119">
        <f>Table1[[#This Row],[Tiyaar/gaz]]/1.0936</f>
        <v>7524.6891002194598</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59" s="117"/>
    </row>
    <row r="260" spans="1:11" x14ac:dyDescent="0.3">
      <c r="A260" s="122">
        <v>46154</v>
      </c>
      <c r="B260" s="120" t="s">
        <v>312</v>
      </c>
      <c r="C260" s="117">
        <v>1698</v>
      </c>
      <c r="D260" s="117" t="s">
        <v>86</v>
      </c>
      <c r="E260" s="11">
        <v>2176</v>
      </c>
      <c r="F260" s="11">
        <v>17218</v>
      </c>
      <c r="G260" s="11">
        <v>18230</v>
      </c>
      <c r="H260" s="118">
        <f>_xlfn.XLOOKUP(Table1[[#This Row],[Shipment Number]], 'pivot '!A:A,'pivot '!G:G, "NF")</f>
        <v>3.1843727277802287</v>
      </c>
      <c r="I260" s="119">
        <f>Table1[[#This Row],[Tiyaar/gaz]]/1.0936</f>
        <v>16669.714703730799</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60" s="117"/>
    </row>
    <row r="261" spans="1:11" x14ac:dyDescent="0.3">
      <c r="A261" s="122">
        <v>46154</v>
      </c>
      <c r="B261" s="120" t="s">
        <v>312</v>
      </c>
      <c r="C261" s="117">
        <v>1699</v>
      </c>
      <c r="D261" s="117" t="s">
        <v>86</v>
      </c>
      <c r="E261" s="11">
        <v>2173</v>
      </c>
      <c r="F261" s="11">
        <v>46820</v>
      </c>
      <c r="G261" s="11">
        <v>27486</v>
      </c>
      <c r="H261" s="118">
        <f>_xlfn.XLOOKUP(Table1[[#This Row],[Shipment Number]], 'pivot '!A:A,'pivot '!G:G, "NF")</f>
        <v>7.1058298259423651</v>
      </c>
      <c r="I261" s="119">
        <f>Table1[[#This Row],[Tiyaar/gaz]]/1.0936</f>
        <v>25133.504023408928</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61" s="117"/>
    </row>
    <row r="262" spans="1:11" x14ac:dyDescent="0.3">
      <c r="A262" s="122">
        <v>46154</v>
      </c>
      <c r="B262" s="120" t="s">
        <v>312</v>
      </c>
      <c r="C262" s="117">
        <v>1700</v>
      </c>
      <c r="D262" s="117" t="s">
        <v>86</v>
      </c>
      <c r="E262" s="11">
        <v>2173</v>
      </c>
      <c r="F262" s="11">
        <v>46820</v>
      </c>
      <c r="G262" s="11">
        <v>20078</v>
      </c>
      <c r="H262" s="118">
        <f>_xlfn.XLOOKUP(Table1[[#This Row],[Shipment Number]], 'pivot '!A:A,'pivot '!G:G, "NF")</f>
        <v>7.1058298259423651</v>
      </c>
      <c r="I262" s="119">
        <f>Table1[[#This Row],[Tiyaar/gaz]]/1.0936</f>
        <v>18359.546452084858</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62" s="117"/>
    </row>
    <row r="263" spans="1:11" x14ac:dyDescent="0.3">
      <c r="A263" s="122">
        <v>46154</v>
      </c>
      <c r="B263" s="120" t="s">
        <v>21</v>
      </c>
      <c r="C263" s="117">
        <v>1701</v>
      </c>
      <c r="D263" s="117" t="s">
        <v>86</v>
      </c>
      <c r="E263" s="11">
        <v>2200</v>
      </c>
      <c r="F263" s="11">
        <v>37514</v>
      </c>
      <c r="G263" s="11">
        <v>40509</v>
      </c>
      <c r="H263" s="118">
        <f>_xlfn.XLOOKUP(Table1[[#This Row],[Shipment Number]], 'pivot '!A:A,'pivot '!G:G, "NF")</f>
        <v>1.2585167423864192</v>
      </c>
      <c r="I263" s="119">
        <f>Table1[[#This Row],[Tiyaar/gaz]]/1.0936</f>
        <v>37041.880029261156</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63" s="117"/>
    </row>
    <row r="264" spans="1:11" x14ac:dyDescent="0.3">
      <c r="A264" s="122">
        <v>46155</v>
      </c>
      <c r="B264" s="120" t="s">
        <v>716</v>
      </c>
      <c r="C264" s="117">
        <v>1702</v>
      </c>
      <c r="D264" s="117" t="s">
        <v>86</v>
      </c>
      <c r="E264" s="11">
        <v>2194</v>
      </c>
      <c r="F264" s="11">
        <v>30184</v>
      </c>
      <c r="G264" s="11">
        <v>7748</v>
      </c>
      <c r="H264" s="118">
        <f>_xlfn.XLOOKUP(Table1[[#This Row],[Shipment Number]], 'pivot '!A:A,'pivot '!G:G, "NF")</f>
        <v>3.6329919725706645</v>
      </c>
      <c r="I264" s="119">
        <f>Table1[[#This Row],[Tiyaar/gaz]]/1.0936</f>
        <v>7084.8573518653993</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64" s="117"/>
    </row>
    <row r="265" spans="1:11" x14ac:dyDescent="0.3">
      <c r="A265" s="122">
        <v>46155</v>
      </c>
      <c r="B265" s="120" t="s">
        <v>716</v>
      </c>
      <c r="C265" s="117">
        <v>1703</v>
      </c>
      <c r="D265" s="117" t="s">
        <v>86</v>
      </c>
      <c r="E265" s="11">
        <v>2194</v>
      </c>
      <c r="F265" s="11">
        <v>30184</v>
      </c>
      <c r="G265" s="11">
        <v>24062</v>
      </c>
      <c r="H265" s="118">
        <f>_xlfn.XLOOKUP(Table1[[#This Row],[Shipment Number]], 'pivot '!A:A,'pivot '!G:G, "NF")</f>
        <v>3.6329919725706645</v>
      </c>
      <c r="I265" s="119">
        <f>Table1[[#This Row],[Tiyaar/gaz]]/1.0936</f>
        <v>22002.56035113387</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65" s="117"/>
    </row>
    <row r="266" spans="1:11" x14ac:dyDescent="0.3">
      <c r="A266"/>
      <c r="B266"/>
      <c r="C266"/>
      <c r="D266"/>
      <c r="E266" s="14"/>
      <c r="F266" s="14"/>
      <c r="G266" s="14"/>
      <c r="H266" s="43"/>
      <c r="I266" s="93" cm="1">
        <f t="array" aca="1" ref="I266" ca="1">SUMPRODUCT( SUBTOTAL(109, OFFSET(Table1[tiyar/meters], ROW(Table1[tiyar/meters])-MIN(ROW(Table1[tiyar/meters])), 0, 1)), --(Table1[Bill Number]&lt;&gt;"January Closing CF") )</f>
        <v>3079475.1280175587</v>
      </c>
      <c r="J266" s="43" cm="1">
        <f t="array" aca="1" ref="J266" ca="1">SUMPRODUCT( SUBTOTAL(109, OFFSET(Table1[billing], ROW(Table1[billing])-MIN(ROW(Table1[billing])), 0, 1)), --(Table1[Bill Number]&lt;&gt;"January Closing CF") )</f>
        <v>35080259.692757882</v>
      </c>
      <c r="K266" s="14">
        <f>SUMIFS(Table1[billing], Table1[Bill Number], "&lt;&gt;January Closing CF")</f>
        <v>35080259.692757882</v>
      </c>
    </row>
  </sheetData>
  <phoneticPr fontId="7" alignment="center"/>
  <conditionalFormatting sqref="H2:H266">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74" zoomScale="145" zoomScaleNormal="90" workbookViewId="0">
      <selection activeCell="I4" sqref="I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f>1271575+63000</f>
        <v>1334575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14876865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640</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640</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683000</v>
      </c>
      <c r="O64" s="14"/>
      <c r="P64" s="14">
        <v>683000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683000</v>
      </c>
      <c r="O65" s="14"/>
      <c r="P65" s="14">
        <v>683000</v>
      </c>
    </row>
    <row r="66" spans="1:16" x14ac:dyDescent="0.3">
      <c r="A66" s="1">
        <v>46137</v>
      </c>
      <c r="B66" t="s">
        <v>196</v>
      </c>
      <c r="D66" s="11">
        <v>199</v>
      </c>
      <c r="E66" s="11">
        <v>960</v>
      </c>
      <c r="F66" s="11"/>
      <c r="G66" s="11">
        <f t="shared" si="2"/>
        <v>191040</v>
      </c>
      <c r="H66" s="11"/>
      <c r="I66" s="11">
        <f>(D66*E66)-Table3[[#This Row],[Paid]]</f>
        <v>191040</v>
      </c>
      <c r="L66" s="26">
        <v>46144</v>
      </c>
      <c r="M66" s="14">
        <v>285</v>
      </c>
      <c r="N66" s="14">
        <v>280020</v>
      </c>
      <c r="O66" s="14"/>
      <c r="P66" s="14">
        <v>280020</v>
      </c>
    </row>
    <row r="67" spans="1:16" x14ac:dyDescent="0.3">
      <c r="A67" s="1">
        <v>46142</v>
      </c>
      <c r="B67" t="s">
        <v>224</v>
      </c>
      <c r="D67" s="11">
        <v>416</v>
      </c>
      <c r="E67" s="11">
        <v>1200</v>
      </c>
      <c r="F67" s="11">
        <v>82600</v>
      </c>
      <c r="G67" s="11">
        <f t="shared" si="2"/>
        <v>499200</v>
      </c>
      <c r="H67" s="11"/>
      <c r="I67" s="11">
        <f>(D67*E67)-Table3[[#This Row],[Paid]]</f>
        <v>499200</v>
      </c>
      <c r="L67" s="42" t="s">
        <v>103</v>
      </c>
      <c r="M67" s="14">
        <v>285</v>
      </c>
      <c r="N67" s="14">
        <v>280020</v>
      </c>
      <c r="O67" s="14"/>
      <c r="P67" s="14">
        <v>280020</v>
      </c>
    </row>
    <row r="68" spans="1:16" x14ac:dyDescent="0.3">
      <c r="A68" s="1">
        <v>46142</v>
      </c>
      <c r="B68" t="s">
        <v>692</v>
      </c>
      <c r="D68" s="11">
        <v>245</v>
      </c>
      <c r="E68" s="11">
        <v>920</v>
      </c>
      <c r="F68" s="11">
        <v>26000</v>
      </c>
      <c r="G68" s="11">
        <f t="shared" si="2"/>
        <v>225400</v>
      </c>
      <c r="H68" s="11"/>
      <c r="I68" s="11">
        <f>(D68*E68)-Table3[[#This Row],[Paid]]</f>
        <v>225400</v>
      </c>
      <c r="L68" s="26">
        <v>46147</v>
      </c>
      <c r="M68" s="14">
        <v>1282</v>
      </c>
      <c r="N68" s="14">
        <v>1222900</v>
      </c>
      <c r="O68" s="14"/>
      <c r="P68" s="14">
        <v>1222900</v>
      </c>
    </row>
    <row r="69" spans="1:16" x14ac:dyDescent="0.3">
      <c r="A69" s="1">
        <v>46144</v>
      </c>
      <c r="B69" t="s">
        <v>224</v>
      </c>
      <c r="D69" s="11">
        <v>239</v>
      </c>
      <c r="E69" s="11">
        <v>1060</v>
      </c>
      <c r="F69" s="11">
        <v>60900</v>
      </c>
      <c r="G69" s="11">
        <f t="shared" si="2"/>
        <v>253340</v>
      </c>
      <c r="H69" s="11"/>
      <c r="I69" s="11">
        <f>(D69*E69)-Table3[[#This Row],[Paid]]</f>
        <v>253340</v>
      </c>
      <c r="L69" s="42" t="s">
        <v>103</v>
      </c>
      <c r="M69" s="14">
        <v>1282</v>
      </c>
      <c r="N69" s="14">
        <v>1222900</v>
      </c>
      <c r="O69" s="14"/>
      <c r="P69" s="14">
        <v>1222900</v>
      </c>
    </row>
    <row r="70" spans="1:16" x14ac:dyDescent="0.3">
      <c r="A70" s="1">
        <v>46144</v>
      </c>
      <c r="B70" t="s">
        <v>224</v>
      </c>
      <c r="D70" s="11">
        <v>46</v>
      </c>
      <c r="E70" s="11">
        <v>580</v>
      </c>
      <c r="F70" s="11"/>
      <c r="G70" s="11">
        <f t="shared" si="2"/>
        <v>26680</v>
      </c>
      <c r="H70" s="11"/>
      <c r="I70" s="11">
        <f>(D70*E70)-Table3[[#This Row],[Paid]]</f>
        <v>26680</v>
      </c>
      <c r="L70" s="26">
        <v>46148</v>
      </c>
      <c r="M70" s="14">
        <v>806</v>
      </c>
      <c r="N70" s="14">
        <v>826980</v>
      </c>
      <c r="O70" s="14"/>
      <c r="P70" s="14">
        <v>826980</v>
      </c>
    </row>
    <row r="71" spans="1:16" x14ac:dyDescent="0.3">
      <c r="A71" s="1">
        <v>46147</v>
      </c>
      <c r="B71" t="s">
        <v>196</v>
      </c>
      <c r="D71" s="11">
        <v>276</v>
      </c>
      <c r="E71" s="11">
        <v>1030</v>
      </c>
      <c r="F71" s="11"/>
      <c r="G71" s="11">
        <f t="shared" si="2"/>
        <v>284280</v>
      </c>
      <c r="H71" s="11"/>
      <c r="I71" s="11">
        <f>(D71*E71)-Table3[[#This Row],[Paid]]</f>
        <v>284280</v>
      </c>
      <c r="L71" s="42" t="s">
        <v>103</v>
      </c>
      <c r="M71" s="14">
        <v>806</v>
      </c>
      <c r="N71" s="14">
        <v>826980</v>
      </c>
      <c r="O71" s="14"/>
      <c r="P71" s="14">
        <v>826980</v>
      </c>
    </row>
    <row r="72" spans="1:16" x14ac:dyDescent="0.3">
      <c r="A72" s="1">
        <v>46147</v>
      </c>
      <c r="B72" t="s">
        <v>224</v>
      </c>
      <c r="D72" s="11">
        <v>290</v>
      </c>
      <c r="E72" s="11">
        <v>1060</v>
      </c>
      <c r="F72" s="11"/>
      <c r="G72" s="11">
        <f t="shared" si="2"/>
        <v>307400</v>
      </c>
      <c r="H72" s="11"/>
      <c r="I72" s="11">
        <f>(D72*E72)-Table3[[#This Row],[Paid]]</f>
        <v>307400</v>
      </c>
      <c r="L72" s="26">
        <v>46149</v>
      </c>
      <c r="M72" s="14">
        <v>472</v>
      </c>
      <c r="N72" s="14">
        <v>364040</v>
      </c>
      <c r="O72" s="14"/>
      <c r="P72" s="14">
        <v>364040</v>
      </c>
    </row>
    <row r="73" spans="1:16" x14ac:dyDescent="0.3">
      <c r="A73" s="1">
        <v>46147</v>
      </c>
      <c r="B73" t="s">
        <v>733</v>
      </c>
      <c r="D73" s="11">
        <v>262</v>
      </c>
      <c r="E73" s="11">
        <v>1050</v>
      </c>
      <c r="F73" s="11">
        <v>24000</v>
      </c>
      <c r="G73" s="11">
        <f t="shared" si="2"/>
        <v>275100</v>
      </c>
      <c r="H73" s="11"/>
      <c r="I73" s="11">
        <f>(D73*E73)-Table3[[#This Row],[Paid]]</f>
        <v>275100</v>
      </c>
      <c r="L73" s="42" t="s">
        <v>103</v>
      </c>
      <c r="M73" s="14">
        <v>472</v>
      </c>
      <c r="N73" s="14">
        <v>364040</v>
      </c>
      <c r="O73" s="14"/>
      <c r="P73" s="14">
        <v>364040</v>
      </c>
    </row>
    <row r="74" spans="1:16" x14ac:dyDescent="0.3">
      <c r="A74" s="1">
        <v>46147</v>
      </c>
      <c r="B74" t="s">
        <v>733</v>
      </c>
      <c r="D74" s="11">
        <v>237</v>
      </c>
      <c r="E74" s="11">
        <v>600</v>
      </c>
      <c r="F74" s="11">
        <v>25000</v>
      </c>
      <c r="G74" s="11">
        <f t="shared" si="2"/>
        <v>142200</v>
      </c>
      <c r="H74" s="11"/>
      <c r="I74" s="11">
        <f>(D74*E74)-Table3[[#This Row],[Paid]]</f>
        <v>142200</v>
      </c>
      <c r="L74" s="26">
        <v>46151</v>
      </c>
      <c r="M74" s="14">
        <v>362</v>
      </c>
      <c r="N74" s="14">
        <v>383720</v>
      </c>
      <c r="O74" s="14"/>
      <c r="P74" s="14">
        <v>383720</v>
      </c>
    </row>
    <row r="75" spans="1:16" x14ac:dyDescent="0.3">
      <c r="A75" s="1">
        <v>46147</v>
      </c>
      <c r="B75" t="s">
        <v>224</v>
      </c>
      <c r="D75" s="11">
        <f>217-35</f>
        <v>182</v>
      </c>
      <c r="E75" s="11">
        <v>1060</v>
      </c>
      <c r="F75" s="11"/>
      <c r="G75" s="11">
        <f t="shared" si="2"/>
        <v>192920</v>
      </c>
      <c r="H75" s="11"/>
      <c r="I75" s="11">
        <f>(D75*E75)-Table3[[#This Row],[Paid]]</f>
        <v>192920</v>
      </c>
      <c r="L75" s="42" t="s">
        <v>103</v>
      </c>
      <c r="M75" s="14">
        <v>362</v>
      </c>
      <c r="N75" s="14">
        <v>383720</v>
      </c>
      <c r="O75" s="14"/>
      <c r="P75" s="14">
        <v>383720</v>
      </c>
    </row>
    <row r="76" spans="1:16" x14ac:dyDescent="0.3">
      <c r="A76" s="1">
        <v>46147</v>
      </c>
      <c r="B76" t="s">
        <v>224</v>
      </c>
      <c r="D76" s="11">
        <v>35</v>
      </c>
      <c r="E76" s="11">
        <v>600</v>
      </c>
      <c r="F76" s="11"/>
      <c r="G76" s="11">
        <f t="shared" si="2"/>
        <v>21000</v>
      </c>
      <c r="H76" s="11"/>
      <c r="I76" s="11">
        <f>(D76*E76)-Table3[[#This Row],[Paid]]</f>
        <v>21000</v>
      </c>
      <c r="L76" s="26">
        <v>46152</v>
      </c>
      <c r="M76" s="14">
        <v>259</v>
      </c>
      <c r="N76" s="14">
        <v>271950</v>
      </c>
      <c r="O76" s="14"/>
      <c r="P76" s="14">
        <v>271950</v>
      </c>
    </row>
    <row r="77" spans="1:16" x14ac:dyDescent="0.3">
      <c r="A77" s="1">
        <v>46148</v>
      </c>
      <c r="B77" t="s">
        <v>733</v>
      </c>
      <c r="D77" s="11">
        <v>261</v>
      </c>
      <c r="E77" s="11">
        <v>1050</v>
      </c>
      <c r="F77" s="11"/>
      <c r="G77" s="11">
        <f t="shared" si="2"/>
        <v>274050</v>
      </c>
      <c r="H77" s="11"/>
      <c r="I77" s="11">
        <f>(D77*E77)-Table3[[#This Row],[Paid]]</f>
        <v>274050</v>
      </c>
      <c r="L77" s="42" t="s">
        <v>103</v>
      </c>
      <c r="M77" s="14">
        <v>259</v>
      </c>
      <c r="N77" s="14">
        <v>271950</v>
      </c>
      <c r="O77" s="14"/>
      <c r="P77" s="14">
        <v>271950</v>
      </c>
    </row>
    <row r="78" spans="1:16" x14ac:dyDescent="0.3">
      <c r="A78" s="1">
        <v>46148</v>
      </c>
      <c r="B78" t="s">
        <v>692</v>
      </c>
      <c r="D78" s="11">
        <v>276</v>
      </c>
      <c r="E78" s="11">
        <v>980</v>
      </c>
      <c r="F78" s="11"/>
      <c r="G78" s="11">
        <f t="shared" si="2"/>
        <v>270480</v>
      </c>
      <c r="H78" s="11"/>
      <c r="I78" s="11">
        <f>(D78*E78)-Table3[[#This Row],[Paid]]</f>
        <v>270480</v>
      </c>
      <c r="L78" s="26">
        <v>46153</v>
      </c>
      <c r="M78" s="14">
        <v>273</v>
      </c>
      <c r="N78" s="14">
        <v>163800</v>
      </c>
      <c r="O78" s="14"/>
      <c r="P78" s="14">
        <v>163800</v>
      </c>
    </row>
    <row r="79" spans="1:16" x14ac:dyDescent="0.3">
      <c r="A79" s="1">
        <v>46148</v>
      </c>
      <c r="B79" t="s">
        <v>733</v>
      </c>
      <c r="D79" s="11">
        <v>269</v>
      </c>
      <c r="E79" s="11">
        <v>1050</v>
      </c>
      <c r="F79" s="11">
        <v>24500</v>
      </c>
      <c r="G79" s="11">
        <f t="shared" si="2"/>
        <v>282450</v>
      </c>
      <c r="H79" s="11"/>
      <c r="I79" s="11">
        <f>(D79*E79)-Table3[[#This Row],[Paid]]</f>
        <v>282450</v>
      </c>
      <c r="L79" s="42" t="s">
        <v>103</v>
      </c>
      <c r="M79" s="14">
        <v>273</v>
      </c>
      <c r="N79" s="14">
        <v>163800</v>
      </c>
      <c r="O79" s="14"/>
      <c r="P79" s="14">
        <v>163800</v>
      </c>
    </row>
    <row r="80" spans="1:16" x14ac:dyDescent="0.3">
      <c r="A80" s="1">
        <v>46149</v>
      </c>
      <c r="B80" t="s">
        <v>733</v>
      </c>
      <c r="D80" s="11">
        <v>284</v>
      </c>
      <c r="E80" s="11">
        <v>600</v>
      </c>
      <c r="F80" s="11">
        <v>25000</v>
      </c>
      <c r="G80" s="11">
        <f t="shared" ref="G80:G81" si="4">D80*E80</f>
        <v>170400</v>
      </c>
      <c r="H80" s="11"/>
      <c r="I80" s="11">
        <f>(D80*E80)-Table3[[#This Row],[Paid]]</f>
        <v>170400</v>
      </c>
      <c r="L80" s="26">
        <v>46154</v>
      </c>
      <c r="M80" s="14">
        <v>905</v>
      </c>
      <c r="N80" s="14">
        <v>956280</v>
      </c>
      <c r="O80" s="14"/>
      <c r="P80" s="14">
        <v>956280</v>
      </c>
    </row>
    <row r="81" spans="1:16" x14ac:dyDescent="0.3">
      <c r="A81" s="1">
        <v>46149</v>
      </c>
      <c r="B81" t="s">
        <v>196</v>
      </c>
      <c r="D81" s="11">
        <v>188</v>
      </c>
      <c r="E81" s="11">
        <v>1030</v>
      </c>
      <c r="F81" s="11"/>
      <c r="G81" s="11">
        <f t="shared" si="4"/>
        <v>193640</v>
      </c>
      <c r="H81" s="11"/>
      <c r="I81" s="11">
        <f>(D81*E81)-Table3[[#This Row],[Paid]]</f>
        <v>193640</v>
      </c>
      <c r="L81" s="42" t="s">
        <v>103</v>
      </c>
      <c r="M81" s="14">
        <v>905</v>
      </c>
      <c r="N81" s="14">
        <v>956280</v>
      </c>
      <c r="O81" s="14"/>
      <c r="P81" s="14">
        <v>956280</v>
      </c>
    </row>
    <row r="82" spans="1:16" x14ac:dyDescent="0.3">
      <c r="A82" s="1">
        <v>46151</v>
      </c>
      <c r="B82" t="s">
        <v>224</v>
      </c>
      <c r="D82" s="11">
        <v>362</v>
      </c>
      <c r="E82" s="11">
        <v>1060</v>
      </c>
      <c r="F82" s="11"/>
      <c r="G82" s="11">
        <f t="shared" ref="G82:G86" si="5">D82*E82</f>
        <v>383720</v>
      </c>
      <c r="H82" s="11"/>
      <c r="I82" s="11">
        <f>(D82*E82)-Table3[[#This Row],[Paid]]</f>
        <v>383720</v>
      </c>
      <c r="L82" s="26" t="s">
        <v>28</v>
      </c>
      <c r="M82" s="14">
        <v>16553</v>
      </c>
      <c r="N82" s="14">
        <v>14401465</v>
      </c>
      <c r="O82" s="14">
        <v>0</v>
      </c>
      <c r="P82" s="14">
        <v>18455491</v>
      </c>
    </row>
    <row r="83" spans="1:16" x14ac:dyDescent="0.3">
      <c r="A83" s="1">
        <v>46152</v>
      </c>
      <c r="B83" t="s">
        <v>733</v>
      </c>
      <c r="D83" s="11">
        <v>259</v>
      </c>
      <c r="E83" s="11">
        <v>1050</v>
      </c>
      <c r="F83" s="11"/>
      <c r="G83" s="11">
        <f t="shared" si="5"/>
        <v>271950</v>
      </c>
      <c r="H83" s="11"/>
      <c r="I83" s="11">
        <f>(D83*E83)-Table3[[#This Row],[Paid]]</f>
        <v>271950</v>
      </c>
    </row>
    <row r="84" spans="1:16" x14ac:dyDescent="0.3">
      <c r="A84" s="1">
        <v>46153</v>
      </c>
      <c r="B84" t="s">
        <v>733</v>
      </c>
      <c r="D84" s="11">
        <v>273</v>
      </c>
      <c r="E84" s="11">
        <v>600</v>
      </c>
      <c r="F84" s="11"/>
      <c r="G84" s="11">
        <f t="shared" si="5"/>
        <v>163800</v>
      </c>
      <c r="H84" s="11"/>
      <c r="I84" s="11">
        <f>(D84*E84)-Table3[[#This Row],[Paid]]</f>
        <v>163800</v>
      </c>
    </row>
    <row r="85" spans="1:16" x14ac:dyDescent="0.3">
      <c r="A85" s="1">
        <v>46154</v>
      </c>
      <c r="B85" t="s">
        <v>224</v>
      </c>
      <c r="D85" s="11">
        <v>394</v>
      </c>
      <c r="E85" s="11">
        <v>1060</v>
      </c>
      <c r="F85" s="11"/>
      <c r="G85" s="11">
        <f t="shared" si="5"/>
        <v>417640</v>
      </c>
      <c r="H85" s="11"/>
      <c r="I85" s="11">
        <f>(D85*E85)-Table3[[#This Row],[Paid]]</f>
        <v>417640</v>
      </c>
    </row>
    <row r="86" spans="1:16" x14ac:dyDescent="0.3">
      <c r="A86" s="1">
        <v>46154</v>
      </c>
      <c r="B86" t="s">
        <v>224</v>
      </c>
      <c r="D86" s="11">
        <v>209</v>
      </c>
      <c r="E86" s="11">
        <v>1060</v>
      </c>
      <c r="F86" s="11"/>
      <c r="G86" s="11">
        <f t="shared" si="5"/>
        <v>221540</v>
      </c>
      <c r="H86" s="11"/>
      <c r="I86" s="11">
        <f>(D86*E86)-Table3[[#This Row],[Paid]]</f>
        <v>221540</v>
      </c>
    </row>
    <row r="87" spans="1:16" x14ac:dyDescent="0.3">
      <c r="A87" s="1">
        <v>46154</v>
      </c>
      <c r="B87" t="s">
        <v>733</v>
      </c>
      <c r="D87" s="11">
        <v>302</v>
      </c>
      <c r="E87" s="11">
        <v>1050</v>
      </c>
      <c r="F87" s="11"/>
      <c r="G87" s="11">
        <f t="shared" ref="G87:G125" si="6">D87*E87</f>
        <v>317100</v>
      </c>
      <c r="H87" s="11"/>
      <c r="I87" s="11">
        <f>(D87*E87)-Table3[[#This Row],[Paid]]</f>
        <v>317100</v>
      </c>
    </row>
    <row r="88" spans="1:16" x14ac:dyDescent="0.3">
      <c r="A88" s="1">
        <v>46156</v>
      </c>
      <c r="B88" t="s">
        <v>224</v>
      </c>
      <c r="D88" s="11">
        <v>482</v>
      </c>
      <c r="E88" s="11">
        <v>900</v>
      </c>
      <c r="F88" s="11"/>
      <c r="G88" s="11">
        <f t="shared" si="6"/>
        <v>433800</v>
      </c>
      <c r="H88" s="11"/>
      <c r="I88" s="11">
        <f>(D88*E88)-Table3[[#This Row],[Paid]]</f>
        <v>433800</v>
      </c>
    </row>
    <row r="89" spans="1:16" x14ac:dyDescent="0.3">
      <c r="A89" s="1"/>
      <c r="D89" s="11"/>
      <c r="E89" s="11"/>
      <c r="F89" s="11"/>
      <c r="G89" s="11">
        <f t="shared" si="6"/>
        <v>0</v>
      </c>
      <c r="H89" s="11"/>
      <c r="I89" s="11">
        <f>(D89*E89)-Table3[[#This Row],[Paid]]</f>
        <v>0</v>
      </c>
    </row>
    <row r="90" spans="1:16" x14ac:dyDescent="0.3">
      <c r="A90" s="1"/>
      <c r="D90" s="11"/>
      <c r="E90" s="11"/>
      <c r="F90" s="11"/>
      <c r="G90" s="11">
        <f t="shared" si="6"/>
        <v>0</v>
      </c>
      <c r="H90" s="11"/>
      <c r="I90" s="11">
        <f>(D90*E90)-Table3[[#This Row],[Paid]]</f>
        <v>0</v>
      </c>
    </row>
    <row r="91" spans="1:16" x14ac:dyDescent="0.3">
      <c r="A91" s="1"/>
      <c r="D91" s="11"/>
      <c r="E91" s="11"/>
      <c r="F91" s="11"/>
      <c r="G91" s="11">
        <f t="shared" si="6"/>
        <v>0</v>
      </c>
      <c r="H91" s="11"/>
      <c r="I91" s="11">
        <f>(D91*E91)-Table3[[#This Row],[Paid]]</f>
        <v>0</v>
      </c>
    </row>
    <row r="92" spans="1:16" x14ac:dyDescent="0.3">
      <c r="A92" s="1"/>
      <c r="D92" s="11"/>
      <c r="E92" s="11"/>
      <c r="F92" s="11"/>
      <c r="G92" s="11">
        <f t="shared" si="6"/>
        <v>0</v>
      </c>
      <c r="H92" s="11"/>
      <c r="I92" s="11">
        <f>(D92*E92)-Table3[[#This Row],[Paid]]</f>
        <v>0</v>
      </c>
    </row>
    <row r="93" spans="1:16" x14ac:dyDescent="0.3">
      <c r="A93" s="1"/>
      <c r="D93" s="11"/>
      <c r="E93" s="11"/>
      <c r="F93" s="11"/>
      <c r="G93" s="11">
        <f t="shared" si="6"/>
        <v>0</v>
      </c>
      <c r="H93" s="11"/>
      <c r="I93" s="11">
        <f>(D93*E93)-Table3[[#This Row],[Paid]]</f>
        <v>0</v>
      </c>
    </row>
    <row r="94" spans="1:16" x14ac:dyDescent="0.3">
      <c r="A94" s="1"/>
      <c r="D94" s="11"/>
      <c r="E94" s="11"/>
      <c r="F94" s="11"/>
      <c r="G94" s="11">
        <f t="shared" si="6"/>
        <v>0</v>
      </c>
      <c r="H94" s="11"/>
      <c r="I94" s="11">
        <f>(D94*E94)-Table3[[#This Row],[Paid]]</f>
        <v>0</v>
      </c>
    </row>
    <row r="95" spans="1:16" x14ac:dyDescent="0.3">
      <c r="A95" s="1"/>
      <c r="D95" s="11"/>
      <c r="E95" s="11"/>
      <c r="F95" s="11"/>
      <c r="G95" s="11">
        <f t="shared" si="6"/>
        <v>0</v>
      </c>
      <c r="H95" s="11"/>
      <c r="I95" s="11">
        <f>(D95*E95)-Table3[[#This Row],[Paid]]</f>
        <v>0</v>
      </c>
    </row>
    <row r="96" spans="1:16"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14876865</v>
      </c>
      <c r="H127" s="14">
        <f>SUBTOTAL(109,Table3[Paid])</f>
        <v>0</v>
      </c>
      <c r="I127" s="14">
        <f>SUBTOTAL(109,Table3[balance])</f>
        <v>18993891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899"/>
  <sheetViews>
    <sheetView topLeftCell="A877" zoomScale="106" zoomScaleNormal="70" workbookViewId="0">
      <selection activeCell="A898" sqref="A89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41205247.399999999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41500778.229517192</v>
      </c>
      <c r="M5" s="45" t="s">
        <v>108</v>
      </c>
      <c r="N5" s="46">
        <f>(SUMIFS(Table14[Credit],Table14[Mode],"Bank")-SUMIFS(Table14[Debit],Table14[Mode],"Bank")-SUMIFS(Table14[Withdrawal],Table14[Mode],"Transfer"))</f>
        <v>913960.82951719314</v>
      </c>
      <c r="O5">
        <v>360000</v>
      </c>
    </row>
    <row r="6" spans="1:16" x14ac:dyDescent="0.3">
      <c r="A6" s="114">
        <v>46042</v>
      </c>
      <c r="B6" s="80" t="s">
        <v>221</v>
      </c>
      <c r="C6" s="11">
        <v>783072</v>
      </c>
      <c r="D6" s="86"/>
      <c r="E6" s="80" t="s">
        <v>223</v>
      </c>
      <c r="F6" s="87" t="s">
        <v>108</v>
      </c>
      <c r="J6" s="52" t="s">
        <v>43</v>
      </c>
      <c r="K6" s="53">
        <f>(K5-K4)</f>
        <v>295530.82951719314</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303044.82951719314</v>
      </c>
      <c r="O7" s="89">
        <f>SUM(O5,O6)</f>
        <v>410000</v>
      </c>
      <c r="P7" s="14">
        <f>Table18[[#Totals],[amount]]-Table18[[#Totals],[Actual]]</f>
        <v>-106955.17048280686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583000</v>
      </c>
      <c r="N164">
        <v>45600</v>
      </c>
      <c r="O164">
        <v>9200</v>
      </c>
    </row>
    <row r="165" spans="1:15" x14ac:dyDescent="0.3">
      <c r="A165" s="38">
        <v>46083</v>
      </c>
      <c r="B165" t="s">
        <v>282</v>
      </c>
      <c r="C165" s="11"/>
      <c r="D165" s="11"/>
      <c r="E165" t="s">
        <v>360</v>
      </c>
      <c r="F165" s="110" t="s">
        <v>108</v>
      </c>
      <c r="J165" s="4" t="s">
        <v>9</v>
      </c>
      <c r="K165" s="14">
        <v>1320085</v>
      </c>
      <c r="L165" s="14"/>
      <c r="N165">
        <v>49400</v>
      </c>
      <c r="O165">
        <v>45600</v>
      </c>
    </row>
    <row r="166" spans="1:15" x14ac:dyDescent="0.3">
      <c r="A166" s="38">
        <v>46083</v>
      </c>
      <c r="B166" t="s">
        <v>282</v>
      </c>
      <c r="C166" s="11"/>
      <c r="D166" s="11"/>
      <c r="E166" t="s">
        <v>361</v>
      </c>
      <c r="F166" s="110" t="s">
        <v>108</v>
      </c>
      <c r="J166" s="4" t="s">
        <v>117</v>
      </c>
      <c r="K166" s="14"/>
      <c r="L166" s="14">
        <v>574100</v>
      </c>
      <c r="N166">
        <v>37200</v>
      </c>
      <c r="O166">
        <v>30000</v>
      </c>
    </row>
    <row r="167" spans="1:15" x14ac:dyDescent="0.3">
      <c r="A167" s="38">
        <v>46083</v>
      </c>
      <c r="B167" t="s">
        <v>249</v>
      </c>
      <c r="C167" s="11">
        <v>7200</v>
      </c>
      <c r="D167" s="11"/>
      <c r="E167" t="s">
        <v>247</v>
      </c>
      <c r="F167" s="110" t="s">
        <v>108</v>
      </c>
      <c r="J167" s="4" t="s">
        <v>94</v>
      </c>
      <c r="K167" s="14"/>
      <c r="L167" s="14">
        <v>2268577</v>
      </c>
      <c r="N167">
        <v>9200</v>
      </c>
      <c r="O167">
        <v>37200</v>
      </c>
    </row>
    <row r="168" spans="1:15" x14ac:dyDescent="0.3">
      <c r="A168" s="38">
        <v>46083</v>
      </c>
      <c r="B168" t="s">
        <v>169</v>
      </c>
      <c r="C168" s="11">
        <v>1000</v>
      </c>
      <c r="D168" s="11"/>
      <c r="E168" t="s">
        <v>341</v>
      </c>
      <c r="F168" s="110" t="s">
        <v>108</v>
      </c>
      <c r="J168" s="4" t="s">
        <v>246</v>
      </c>
      <c r="K168" s="14"/>
      <c r="L168" s="14">
        <v>132630</v>
      </c>
      <c r="N168">
        <v>50000</v>
      </c>
      <c r="O168">
        <v>49400</v>
      </c>
    </row>
    <row r="169" spans="1:15" x14ac:dyDescent="0.3">
      <c r="A169" s="38">
        <v>46083</v>
      </c>
      <c r="B169" t="s">
        <v>282</v>
      </c>
      <c r="C169" s="11"/>
      <c r="D169" s="11"/>
      <c r="F169" s="110" t="s">
        <v>108</v>
      </c>
      <c r="J169" s="4" t="s">
        <v>55</v>
      </c>
      <c r="K169" s="14"/>
      <c r="L169" s="14">
        <v>1408179</v>
      </c>
      <c r="N169">
        <v>60400</v>
      </c>
      <c r="O169">
        <v>60400</v>
      </c>
    </row>
    <row r="170" spans="1:15" x14ac:dyDescent="0.3">
      <c r="A170" s="38">
        <v>46083</v>
      </c>
      <c r="B170" t="s">
        <v>282</v>
      </c>
      <c r="C170" s="11"/>
      <c r="D170" s="11"/>
      <c r="E170" t="s">
        <v>362</v>
      </c>
      <c r="F170" s="110" t="s">
        <v>108</v>
      </c>
      <c r="J170" s="4" t="s">
        <v>113</v>
      </c>
      <c r="K170" s="14"/>
      <c r="L170" s="14">
        <v>299340</v>
      </c>
      <c r="N170">
        <v>30000</v>
      </c>
      <c r="O170">
        <v>50000</v>
      </c>
    </row>
    <row r="171" spans="1:15" x14ac:dyDescent="0.3">
      <c r="A171" s="38">
        <v>46083</v>
      </c>
      <c r="B171" t="s">
        <v>282</v>
      </c>
      <c r="C171" s="11"/>
      <c r="D171" s="11"/>
      <c r="E171" t="s">
        <v>363</v>
      </c>
      <c r="F171" s="110" t="s">
        <v>108</v>
      </c>
      <c r="J171" s="4" t="s">
        <v>282</v>
      </c>
      <c r="K171" s="14"/>
      <c r="L171" s="14">
        <v>4719653</v>
      </c>
      <c r="N171">
        <v>13670</v>
      </c>
      <c r="O171">
        <v>1000</v>
      </c>
    </row>
    <row r="172" spans="1:15" x14ac:dyDescent="0.3">
      <c r="A172" s="38">
        <v>46083</v>
      </c>
      <c r="B172" t="s">
        <v>357</v>
      </c>
      <c r="C172" s="11">
        <v>12000</v>
      </c>
      <c r="D172" s="11"/>
      <c r="E172" t="s">
        <v>360</v>
      </c>
      <c r="F172" s="110" t="s">
        <v>108</v>
      </c>
      <c r="J172" s="4" t="s">
        <v>54</v>
      </c>
      <c r="K172" s="14"/>
      <c r="L172" s="14">
        <v>307679.40000000002</v>
      </c>
      <c r="N172">
        <v>18120</v>
      </c>
      <c r="O172">
        <v>35000</v>
      </c>
    </row>
    <row r="173" spans="1:15" x14ac:dyDescent="0.3">
      <c r="A173" s="38">
        <v>46083</v>
      </c>
      <c r="B173" t="s">
        <v>55</v>
      </c>
      <c r="C173" s="11">
        <v>20900</v>
      </c>
      <c r="D173" s="11"/>
      <c r="E173" t="s">
        <v>366</v>
      </c>
      <c r="F173" s="110" t="s">
        <v>108</v>
      </c>
      <c r="J173" s="4" t="s">
        <v>221</v>
      </c>
      <c r="K173" s="14">
        <v>0</v>
      </c>
      <c r="L173" s="14">
        <v>1106304</v>
      </c>
      <c r="N173">
        <v>7650</v>
      </c>
      <c r="O173">
        <v>29600</v>
      </c>
    </row>
    <row r="174" spans="1:15" x14ac:dyDescent="0.3">
      <c r="A174" s="38">
        <v>46083</v>
      </c>
      <c r="B174" t="s">
        <v>297</v>
      </c>
      <c r="C174" s="11">
        <v>23000</v>
      </c>
      <c r="D174" s="11"/>
      <c r="E174" t="s">
        <v>367</v>
      </c>
      <c r="F174" s="110" t="s">
        <v>108</v>
      </c>
      <c r="J174" s="4" t="s">
        <v>212</v>
      </c>
      <c r="K174" s="14">
        <v>1026490.7364667157</v>
      </c>
      <c r="L174" s="14">
        <v>431298</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1679674</v>
      </c>
      <c r="L178" s="14"/>
      <c r="N178">
        <v>24400</v>
      </c>
    </row>
    <row r="179" spans="1:15" x14ac:dyDescent="0.3">
      <c r="A179" s="38">
        <v>46083</v>
      </c>
      <c r="B179" t="s">
        <v>282</v>
      </c>
      <c r="C179" s="11"/>
      <c r="D179" s="11"/>
      <c r="E179" t="s">
        <v>371</v>
      </c>
      <c r="F179" s="110" t="s">
        <v>108</v>
      </c>
      <c r="J179" s="4" t="s">
        <v>115</v>
      </c>
      <c r="K179" s="14"/>
      <c r="L179" s="14">
        <v>1490000</v>
      </c>
      <c r="N179">
        <v>15000</v>
      </c>
      <c r="O179">
        <v>20850</v>
      </c>
    </row>
    <row r="180" spans="1:15" x14ac:dyDescent="0.3">
      <c r="A180" s="38">
        <v>46083</v>
      </c>
      <c r="B180" t="s">
        <v>55</v>
      </c>
      <c r="C180" s="11">
        <v>2120</v>
      </c>
      <c r="D180" s="11"/>
      <c r="E180" t="s">
        <v>372</v>
      </c>
      <c r="F180" s="110" t="s">
        <v>108</v>
      </c>
      <c r="J180" s="4" t="s">
        <v>35</v>
      </c>
      <c r="K180" s="14">
        <v>1201800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2630860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17085507</v>
      </c>
      <c r="L185" s="14">
        <v>11185173</v>
      </c>
      <c r="N185">
        <v>16630</v>
      </c>
      <c r="O185">
        <v>24400</v>
      </c>
    </row>
    <row r="186" spans="1:15" x14ac:dyDescent="0.3">
      <c r="A186" s="38">
        <v>46083</v>
      </c>
      <c r="B186" t="s">
        <v>221</v>
      </c>
      <c r="C186" s="95">
        <v>1000</v>
      </c>
      <c r="D186" s="95"/>
      <c r="E186" t="s">
        <v>350</v>
      </c>
      <c r="F186" s="110" t="s">
        <v>108</v>
      </c>
      <c r="J186" s="4" t="s">
        <v>165</v>
      </c>
      <c r="K186" s="14"/>
      <c r="L186" s="14">
        <v>240000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586830</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26000</v>
      </c>
      <c r="N191">
        <v>20850</v>
      </c>
      <c r="O191">
        <v>25000</v>
      </c>
    </row>
    <row r="192" spans="1:15" x14ac:dyDescent="0.3">
      <c r="A192" s="38">
        <v>46084</v>
      </c>
      <c r="B192" t="s">
        <v>165</v>
      </c>
      <c r="C192" s="11">
        <v>2500</v>
      </c>
      <c r="D192" s="11"/>
      <c r="E192" t="s">
        <v>386</v>
      </c>
      <c r="F192" s="110" t="s">
        <v>108</v>
      </c>
      <c r="J192" s="4" t="s">
        <v>192</v>
      </c>
      <c r="K192" s="14">
        <v>486900</v>
      </c>
      <c r="L192" s="14"/>
      <c r="N192">
        <v>16650</v>
      </c>
      <c r="O192">
        <v>20000</v>
      </c>
    </row>
    <row r="193" spans="1:15" x14ac:dyDescent="0.3">
      <c r="A193" s="114">
        <v>46084</v>
      </c>
      <c r="B193" t="s">
        <v>257</v>
      </c>
      <c r="C193" s="11">
        <v>100000</v>
      </c>
      <c r="D193" s="11"/>
      <c r="E193" t="s">
        <v>387</v>
      </c>
      <c r="F193" s="110" t="s">
        <v>108</v>
      </c>
      <c r="J193" s="4" t="s">
        <v>190</v>
      </c>
      <c r="K193" s="14">
        <v>685340</v>
      </c>
      <c r="L193" s="14"/>
      <c r="N193">
        <v>14000</v>
      </c>
      <c r="O193">
        <v>25000</v>
      </c>
    </row>
    <row r="194" spans="1:15" x14ac:dyDescent="0.3">
      <c r="A194" s="114">
        <v>46084</v>
      </c>
      <c r="B194" t="s">
        <v>312</v>
      </c>
      <c r="C194" s="11"/>
      <c r="D194" s="11">
        <v>500000</v>
      </c>
      <c r="E194" t="s">
        <v>388</v>
      </c>
      <c r="F194" s="110" t="s">
        <v>108</v>
      </c>
      <c r="J194" s="4" t="s">
        <v>298</v>
      </c>
      <c r="K194" s="14"/>
      <c r="L194" s="14">
        <v>1415684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2270650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223295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6045323.4930504756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640</v>
      </c>
      <c r="K214" s="14"/>
      <c r="L214" s="14">
        <v>57000</v>
      </c>
    </row>
    <row r="215" spans="1:12" x14ac:dyDescent="0.3">
      <c r="A215" s="114">
        <v>46085</v>
      </c>
      <c r="B215" t="s">
        <v>55</v>
      </c>
      <c r="C215" s="11">
        <v>3900</v>
      </c>
      <c r="D215" s="11"/>
      <c r="F215" s="110" t="s">
        <v>108</v>
      </c>
      <c r="J215" s="4" t="s">
        <v>671</v>
      </c>
      <c r="K215" s="14"/>
      <c r="L215" s="14">
        <v>35000</v>
      </c>
    </row>
    <row r="216" spans="1:12" x14ac:dyDescent="0.3">
      <c r="A216" s="114">
        <v>46085</v>
      </c>
      <c r="B216" t="s">
        <v>212</v>
      </c>
      <c r="C216" s="11">
        <v>3720</v>
      </c>
      <c r="D216" s="11"/>
      <c r="E216" t="s">
        <v>254</v>
      </c>
      <c r="F216" s="110" t="s">
        <v>108</v>
      </c>
      <c r="J216" s="4" t="s">
        <v>692</v>
      </c>
      <c r="K216" s="14"/>
      <c r="L216" s="14">
        <v>254900</v>
      </c>
    </row>
    <row r="217" spans="1:12" x14ac:dyDescent="0.3">
      <c r="A217" s="114">
        <v>46085</v>
      </c>
      <c r="B217" t="s">
        <v>55</v>
      </c>
      <c r="C217" s="95">
        <v>3500</v>
      </c>
      <c r="D217" s="95"/>
      <c r="E217" t="s">
        <v>400</v>
      </c>
      <c r="F217" s="110" t="s">
        <v>108</v>
      </c>
      <c r="J217" s="4" t="s">
        <v>733</v>
      </c>
      <c r="K217" s="14"/>
      <c r="L217" s="14">
        <v>576500</v>
      </c>
    </row>
    <row r="218" spans="1:12" x14ac:dyDescent="0.3">
      <c r="A218" s="114">
        <v>46085</v>
      </c>
      <c r="B218" t="s">
        <v>55</v>
      </c>
      <c r="C218" s="11">
        <v>1860</v>
      </c>
      <c r="D218" s="11"/>
      <c r="E218" t="s">
        <v>399</v>
      </c>
      <c r="F218" s="110" t="s">
        <v>108</v>
      </c>
      <c r="J218" s="4" t="s">
        <v>756</v>
      </c>
      <c r="K218" s="14">
        <v>500000</v>
      </c>
      <c r="L218" s="14"/>
    </row>
    <row r="219" spans="1:12" x14ac:dyDescent="0.3">
      <c r="A219" s="114">
        <v>46085</v>
      </c>
      <c r="B219" t="s">
        <v>212</v>
      </c>
      <c r="C219" s="11">
        <v>650</v>
      </c>
      <c r="D219" s="11"/>
      <c r="F219" s="110" t="s">
        <v>108</v>
      </c>
      <c r="J219" s="4" t="s">
        <v>28</v>
      </c>
      <c r="K219" s="14">
        <v>41500778.229517192</v>
      </c>
      <c r="L219" s="14">
        <v>41205247.399999999</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660</v>
      </c>
      <c r="F525" s="110" t="s">
        <v>108</v>
      </c>
      <c r="I525">
        <v>32800</v>
      </c>
      <c r="J525">
        <v>4000</v>
      </c>
    </row>
    <row r="526" spans="1:10" x14ac:dyDescent="0.3">
      <c r="A526" s="38">
        <v>46127</v>
      </c>
      <c r="B526" t="s">
        <v>220</v>
      </c>
      <c r="C526" s="95">
        <v>676071</v>
      </c>
      <c r="D526" s="95"/>
      <c r="E526" t="s">
        <v>661</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640</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628</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629</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630</v>
      </c>
      <c r="F602" s="110" t="s">
        <v>108</v>
      </c>
    </row>
    <row r="603" spans="1:6" x14ac:dyDescent="0.3">
      <c r="A603" s="114">
        <v>46133</v>
      </c>
      <c r="B603" t="s">
        <v>587</v>
      </c>
      <c r="C603" s="11">
        <v>50000</v>
      </c>
      <c r="D603" s="11"/>
      <c r="E603" t="s">
        <v>631</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s="136"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646</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632</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634</v>
      </c>
      <c r="F614" s="110" t="s">
        <v>108</v>
      </c>
    </row>
    <row r="615" spans="1:6" x14ac:dyDescent="0.3">
      <c r="A615" s="38">
        <v>46134</v>
      </c>
      <c r="B615" t="s">
        <v>224</v>
      </c>
      <c r="C615" s="11">
        <v>200000</v>
      </c>
      <c r="D615" s="11"/>
      <c r="E615" t="s">
        <v>635</v>
      </c>
      <c r="F615" s="110" t="s">
        <v>108</v>
      </c>
    </row>
    <row r="616" spans="1:6" x14ac:dyDescent="0.3">
      <c r="A616" s="38">
        <v>46134</v>
      </c>
      <c r="B616" t="s">
        <v>298</v>
      </c>
      <c r="C616" s="11">
        <v>100000</v>
      </c>
      <c r="D616" s="11"/>
      <c r="E616" t="s">
        <v>636</v>
      </c>
      <c r="F616" s="110" t="s">
        <v>108</v>
      </c>
    </row>
    <row r="617" spans="1:6" x14ac:dyDescent="0.3">
      <c r="A617" s="38">
        <v>46134</v>
      </c>
      <c r="B617" t="s">
        <v>220</v>
      </c>
      <c r="C617" s="95"/>
      <c r="D617" s="95">
        <v>17000</v>
      </c>
      <c r="E617" t="s">
        <v>637</v>
      </c>
      <c r="F617" s="110" t="s">
        <v>108</v>
      </c>
    </row>
    <row r="618" spans="1:6" x14ac:dyDescent="0.3">
      <c r="A618" s="38">
        <v>46134</v>
      </c>
      <c r="B618" t="s">
        <v>282</v>
      </c>
      <c r="C618" s="95">
        <v>16000</v>
      </c>
      <c r="D618" s="95"/>
      <c r="E618" t="s">
        <v>638</v>
      </c>
      <c r="F618" s="110" t="s">
        <v>108</v>
      </c>
    </row>
    <row r="619" spans="1:6" x14ac:dyDescent="0.3">
      <c r="A619" s="38">
        <v>46134</v>
      </c>
      <c r="B619" t="s">
        <v>64</v>
      </c>
      <c r="C619" s="95">
        <v>60000</v>
      </c>
      <c r="D619" s="95"/>
      <c r="E619" t="s">
        <v>639</v>
      </c>
      <c r="F619" s="110" t="s">
        <v>108</v>
      </c>
    </row>
    <row r="620" spans="1:6" x14ac:dyDescent="0.3">
      <c r="A620" s="38">
        <v>46134</v>
      </c>
      <c r="B620" t="s">
        <v>220</v>
      </c>
      <c r="C620" s="95"/>
      <c r="D620" s="95">
        <v>60000</v>
      </c>
      <c r="E620" t="s">
        <v>639</v>
      </c>
      <c r="F620" s="110" t="s">
        <v>108</v>
      </c>
    </row>
    <row r="621" spans="1:6" x14ac:dyDescent="0.3">
      <c r="A621" s="38">
        <v>46134</v>
      </c>
      <c r="B621" t="s">
        <v>55</v>
      </c>
      <c r="C621" s="95">
        <v>2400</v>
      </c>
      <c r="D621" s="95"/>
      <c r="E621" t="s">
        <v>647</v>
      </c>
      <c r="F621" s="110" t="s">
        <v>108</v>
      </c>
    </row>
    <row r="622" spans="1:6" x14ac:dyDescent="0.3">
      <c r="A622" s="38">
        <v>46134</v>
      </c>
      <c r="B622" t="s">
        <v>54</v>
      </c>
      <c r="C622" s="11">
        <v>10000</v>
      </c>
      <c r="D622" s="11"/>
      <c r="E622" t="s">
        <v>648</v>
      </c>
      <c r="F622" s="110" t="s">
        <v>108</v>
      </c>
    </row>
    <row r="623" spans="1:6" x14ac:dyDescent="0.3">
      <c r="A623" s="38">
        <v>46134</v>
      </c>
      <c r="B623" t="s">
        <v>246</v>
      </c>
      <c r="C623" s="11">
        <v>400</v>
      </c>
      <c r="D623" s="11"/>
      <c r="E623" t="s">
        <v>649</v>
      </c>
      <c r="F623" s="110" t="s">
        <v>108</v>
      </c>
    </row>
    <row r="624" spans="1:6" x14ac:dyDescent="0.3">
      <c r="A624" s="38">
        <v>46134</v>
      </c>
      <c r="B624" t="s">
        <v>246</v>
      </c>
      <c r="C624" s="11">
        <v>1050</v>
      </c>
      <c r="D624" s="11"/>
      <c r="E624" t="s">
        <v>650</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640</v>
      </c>
      <c r="C629" s="95">
        <v>1000</v>
      </c>
      <c r="D629" s="95"/>
      <c r="E629" t="s">
        <v>341</v>
      </c>
      <c r="F629" s="110" t="s">
        <v>108</v>
      </c>
    </row>
    <row r="630" spans="1:6" x14ac:dyDescent="0.3">
      <c r="A630" s="114">
        <v>46135</v>
      </c>
      <c r="B630" t="s">
        <v>220</v>
      </c>
      <c r="C630" s="95"/>
      <c r="D630" s="95">
        <v>30000</v>
      </c>
      <c r="E630" t="s">
        <v>640</v>
      </c>
      <c r="F630" s="110" t="s">
        <v>108</v>
      </c>
    </row>
    <row r="631" spans="1:6" x14ac:dyDescent="0.3">
      <c r="A631" s="114">
        <v>46135</v>
      </c>
      <c r="B631" t="s">
        <v>640</v>
      </c>
      <c r="C631" s="95">
        <v>30000</v>
      </c>
      <c r="D631" s="95"/>
      <c r="E631" t="s">
        <v>242</v>
      </c>
      <c r="F631" s="110" t="s">
        <v>108</v>
      </c>
    </row>
    <row r="632" spans="1:6" x14ac:dyDescent="0.3">
      <c r="A632" s="114">
        <v>46135</v>
      </c>
      <c r="B632" t="s">
        <v>55</v>
      </c>
      <c r="C632" s="95">
        <v>2100</v>
      </c>
      <c r="D632" s="95"/>
      <c r="E632" t="s">
        <v>641</v>
      </c>
      <c r="F632" s="110" t="s">
        <v>108</v>
      </c>
    </row>
    <row r="633" spans="1:6" x14ac:dyDescent="0.3">
      <c r="A633" s="114">
        <v>46135</v>
      </c>
      <c r="B633" t="s">
        <v>55</v>
      </c>
      <c r="C633" s="95">
        <v>2600</v>
      </c>
      <c r="D633" s="95"/>
      <c r="E633" t="s">
        <v>642</v>
      </c>
      <c r="F633" s="110" t="s">
        <v>108</v>
      </c>
    </row>
    <row r="634" spans="1:6" x14ac:dyDescent="0.3">
      <c r="A634" s="114">
        <v>46135</v>
      </c>
      <c r="B634" t="s">
        <v>55</v>
      </c>
      <c r="C634" s="95">
        <v>550</v>
      </c>
      <c r="D634" s="95"/>
      <c r="E634" t="s">
        <v>643</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644</v>
      </c>
      <c r="F636" s="110" t="s">
        <v>108</v>
      </c>
    </row>
    <row r="637" spans="1:6" x14ac:dyDescent="0.3">
      <c r="A637" s="38">
        <v>46135</v>
      </c>
      <c r="B637" t="s">
        <v>298</v>
      </c>
      <c r="C637" s="95">
        <v>100000</v>
      </c>
      <c r="D637" s="95"/>
      <c r="E637" t="s">
        <v>645</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651</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s="137" t="s">
        <v>652</v>
      </c>
      <c r="F642" s="110" t="s">
        <v>108</v>
      </c>
    </row>
    <row r="643" spans="1:6" x14ac:dyDescent="0.3">
      <c r="A643" s="38">
        <v>46135</v>
      </c>
      <c r="B643" t="s">
        <v>357</v>
      </c>
      <c r="C643" s="95">
        <v>20000</v>
      </c>
      <c r="D643" s="95"/>
      <c r="E643" s="137" t="s">
        <v>469</v>
      </c>
      <c r="F643" s="110" t="s">
        <v>108</v>
      </c>
    </row>
    <row r="644" spans="1:6" x14ac:dyDescent="0.3">
      <c r="A644" s="38">
        <v>46135</v>
      </c>
      <c r="B644" t="s">
        <v>54</v>
      </c>
      <c r="C644" s="95">
        <v>5000</v>
      </c>
      <c r="D644" s="95"/>
      <c r="E644" t="s">
        <v>653</v>
      </c>
      <c r="F644" s="110" t="s">
        <v>108</v>
      </c>
    </row>
    <row r="645" spans="1:6" x14ac:dyDescent="0.3">
      <c r="A645" s="38">
        <v>46135</v>
      </c>
      <c r="B645" t="s">
        <v>55</v>
      </c>
      <c r="C645" s="95">
        <v>5500</v>
      </c>
      <c r="D645" s="95"/>
      <c r="E645" t="s">
        <v>654</v>
      </c>
      <c r="F645" s="110" t="s">
        <v>108</v>
      </c>
    </row>
    <row r="646" spans="1:6" x14ac:dyDescent="0.3">
      <c r="A646" s="38">
        <v>46135</v>
      </c>
      <c r="B646" t="s">
        <v>601</v>
      </c>
      <c r="C646" s="95">
        <f>280+365</f>
        <v>645</v>
      </c>
      <c r="D646" s="95"/>
      <c r="E646" t="s">
        <v>655</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664</v>
      </c>
      <c r="F656" s="110" t="s">
        <v>108</v>
      </c>
    </row>
    <row r="657" spans="1:6" x14ac:dyDescent="0.3">
      <c r="A657" s="114">
        <v>46137</v>
      </c>
      <c r="B657" t="s">
        <v>55</v>
      </c>
      <c r="C657" s="11">
        <v>690</v>
      </c>
      <c r="D657" s="11"/>
      <c r="E657" t="s">
        <v>663</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37"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665</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666</v>
      </c>
      <c r="F663" s="110" t="s">
        <v>108</v>
      </c>
    </row>
    <row r="664" spans="1:6" x14ac:dyDescent="0.3">
      <c r="A664" s="114">
        <v>46137</v>
      </c>
      <c r="B664" t="s">
        <v>601</v>
      </c>
      <c r="C664" s="11">
        <v>8000</v>
      </c>
      <c r="D664" s="11"/>
      <c r="E664" t="s">
        <v>667</v>
      </c>
      <c r="F664" s="110" t="s">
        <v>108</v>
      </c>
    </row>
    <row r="665" spans="1:6" x14ac:dyDescent="0.3">
      <c r="A665" s="114">
        <v>46137</v>
      </c>
      <c r="B665" t="s">
        <v>220</v>
      </c>
      <c r="C665" s="11"/>
      <c r="D665" s="11">
        <v>10000</v>
      </c>
      <c r="E665" t="s">
        <v>668</v>
      </c>
      <c r="F665" s="110" t="s">
        <v>108</v>
      </c>
    </row>
    <row r="666" spans="1:6" x14ac:dyDescent="0.3">
      <c r="A666" s="114">
        <v>46137</v>
      </c>
      <c r="B666" t="s">
        <v>9</v>
      </c>
      <c r="C666" s="11"/>
      <c r="D666" s="11">
        <v>98000</v>
      </c>
      <c r="E666" t="s">
        <v>669</v>
      </c>
      <c r="F666" s="110" t="s">
        <v>108</v>
      </c>
    </row>
    <row r="667" spans="1:6" x14ac:dyDescent="0.3">
      <c r="A667" s="114">
        <v>46137</v>
      </c>
      <c r="B667" t="s">
        <v>357</v>
      </c>
      <c r="C667" s="11">
        <v>10000</v>
      </c>
      <c r="D667" s="11"/>
      <c r="E667" s="13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670</v>
      </c>
      <c r="F669" s="110" t="s">
        <v>108</v>
      </c>
    </row>
    <row r="670" spans="1:6" x14ac:dyDescent="0.3">
      <c r="A670" s="114">
        <v>46138</v>
      </c>
      <c r="B670" t="s">
        <v>55</v>
      </c>
      <c r="C670" s="11">
        <v>11456</v>
      </c>
      <c r="D670" s="11"/>
      <c r="E670" t="s">
        <v>672</v>
      </c>
      <c r="F670" s="110" t="s">
        <v>108</v>
      </c>
    </row>
    <row r="671" spans="1:6" x14ac:dyDescent="0.3">
      <c r="A671" s="114">
        <v>46139</v>
      </c>
      <c r="B671" t="s">
        <v>115</v>
      </c>
      <c r="C671" s="11">
        <v>200000</v>
      </c>
      <c r="D671" s="11"/>
      <c r="E671" t="s">
        <v>673</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674</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675</v>
      </c>
      <c r="F675" s="110" t="s">
        <v>108</v>
      </c>
    </row>
    <row r="676" spans="1:6" x14ac:dyDescent="0.3">
      <c r="A676" s="114">
        <v>46139</v>
      </c>
      <c r="B676" t="s">
        <v>220</v>
      </c>
      <c r="C676" s="95"/>
      <c r="D676" s="95">
        <v>6200</v>
      </c>
      <c r="E676" t="s">
        <v>675</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676</v>
      </c>
      <c r="F678" s="110" t="s">
        <v>108</v>
      </c>
    </row>
    <row r="679" spans="1:6" x14ac:dyDescent="0.3">
      <c r="A679" s="114">
        <v>46139</v>
      </c>
      <c r="B679" t="s">
        <v>220</v>
      </c>
      <c r="C679" s="95"/>
      <c r="D679" s="95">
        <v>7000</v>
      </c>
      <c r="E679" t="s">
        <v>637</v>
      </c>
      <c r="F679" s="110" t="s">
        <v>108</v>
      </c>
    </row>
    <row r="680" spans="1:6" x14ac:dyDescent="0.3">
      <c r="A680" s="114">
        <v>46139</v>
      </c>
      <c r="B680" t="s">
        <v>54</v>
      </c>
      <c r="C680" s="95">
        <v>2500</v>
      </c>
      <c r="D680" s="95"/>
      <c r="E680" t="s">
        <v>678</v>
      </c>
      <c r="F680" s="110" t="s">
        <v>108</v>
      </c>
    </row>
    <row r="681" spans="1:6" x14ac:dyDescent="0.3">
      <c r="A681" s="114">
        <v>46139</v>
      </c>
      <c r="B681" t="s">
        <v>54</v>
      </c>
      <c r="C681" s="95">
        <v>4500</v>
      </c>
      <c r="D681" s="95"/>
      <c r="E681" t="s">
        <v>679</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14">
        <v>46140</v>
      </c>
      <c r="B686" t="s">
        <v>220</v>
      </c>
      <c r="C686" s="11"/>
      <c r="D686" s="11">
        <v>50000</v>
      </c>
      <c r="E686" t="s">
        <v>680</v>
      </c>
      <c r="F686" s="110" t="s">
        <v>108</v>
      </c>
    </row>
    <row r="687" spans="1:6" x14ac:dyDescent="0.3">
      <c r="A687" s="114">
        <v>46140</v>
      </c>
      <c r="B687" t="s">
        <v>117</v>
      </c>
      <c r="C687" s="11">
        <v>39000</v>
      </c>
      <c r="D687" s="11"/>
      <c r="E687" t="s">
        <v>531</v>
      </c>
      <c r="F687" s="110" t="s">
        <v>108</v>
      </c>
    </row>
    <row r="688" spans="1:6" x14ac:dyDescent="0.3">
      <c r="A688" s="114">
        <v>46140</v>
      </c>
      <c r="B688" t="s">
        <v>54</v>
      </c>
      <c r="C688" s="11">
        <v>600</v>
      </c>
      <c r="D688" s="11"/>
      <c r="E688" t="s">
        <v>681</v>
      </c>
      <c r="F688" s="110" t="s">
        <v>108</v>
      </c>
    </row>
    <row r="689" spans="1:6" x14ac:dyDescent="0.3">
      <c r="A689" s="114">
        <v>46140</v>
      </c>
      <c r="B689" t="s">
        <v>55</v>
      </c>
      <c r="C689" s="11">
        <v>190</v>
      </c>
      <c r="D689" s="11"/>
      <c r="F689" s="110" t="s">
        <v>108</v>
      </c>
    </row>
    <row r="690" spans="1:6" x14ac:dyDescent="0.3">
      <c r="A690" s="114">
        <v>46140</v>
      </c>
      <c r="B690" t="s">
        <v>55</v>
      </c>
      <c r="C690" s="11">
        <v>950</v>
      </c>
      <c r="D690" s="11"/>
      <c r="E690" t="s">
        <v>682</v>
      </c>
      <c r="F690" s="110" t="s">
        <v>108</v>
      </c>
    </row>
    <row r="691" spans="1:6" x14ac:dyDescent="0.3">
      <c r="A691" s="114">
        <v>46140</v>
      </c>
      <c r="B691" t="s">
        <v>220</v>
      </c>
      <c r="C691" s="11"/>
      <c r="D691" s="11">
        <v>60000</v>
      </c>
      <c r="E691" t="s">
        <v>683</v>
      </c>
      <c r="F691" s="110" t="s">
        <v>108</v>
      </c>
    </row>
    <row r="692" spans="1:6" x14ac:dyDescent="0.3">
      <c r="A692" s="114">
        <v>46140</v>
      </c>
      <c r="B692" t="s">
        <v>55</v>
      </c>
      <c r="C692" s="11">
        <v>500</v>
      </c>
      <c r="D692" s="11"/>
      <c r="F692" s="110" t="s">
        <v>108</v>
      </c>
    </row>
    <row r="693" spans="1:6" x14ac:dyDescent="0.3">
      <c r="A693" s="114">
        <v>46140</v>
      </c>
      <c r="B693" t="s">
        <v>357</v>
      </c>
      <c r="C693" s="11">
        <v>60000</v>
      </c>
      <c r="D693" s="11"/>
      <c r="E693" s="137" t="s">
        <v>621</v>
      </c>
      <c r="F693" s="110" t="s">
        <v>108</v>
      </c>
    </row>
    <row r="694" spans="1:6" x14ac:dyDescent="0.3">
      <c r="A694" s="38">
        <v>46140</v>
      </c>
      <c r="B694" t="s">
        <v>357</v>
      </c>
      <c r="C694" s="95">
        <v>5000</v>
      </c>
      <c r="D694" s="95"/>
      <c r="E694" t="s">
        <v>606</v>
      </c>
      <c r="F694" s="110" t="s">
        <v>108</v>
      </c>
    </row>
    <row r="695" spans="1:6" x14ac:dyDescent="0.3">
      <c r="A695" s="38">
        <v>46141</v>
      </c>
      <c r="B695" t="s">
        <v>246</v>
      </c>
      <c r="C695" s="95">
        <v>800</v>
      </c>
      <c r="D695" s="95"/>
      <c r="F695" s="110" t="s">
        <v>108</v>
      </c>
    </row>
    <row r="696" spans="1:6" x14ac:dyDescent="0.3">
      <c r="A696" s="114">
        <v>46141</v>
      </c>
      <c r="B696" t="s">
        <v>55</v>
      </c>
      <c r="C696" s="11">
        <v>34369</v>
      </c>
      <c r="D696" s="11"/>
      <c r="E696" t="s">
        <v>684</v>
      </c>
      <c r="F696" s="110" t="s">
        <v>108</v>
      </c>
    </row>
    <row r="697" spans="1:6" x14ac:dyDescent="0.3">
      <c r="A697" s="38">
        <v>46141</v>
      </c>
      <c r="B697" t="s">
        <v>220</v>
      </c>
      <c r="C697" s="11"/>
      <c r="D697" s="11">
        <v>40000</v>
      </c>
      <c r="E697" t="s">
        <v>685</v>
      </c>
      <c r="F697" s="110" t="s">
        <v>108</v>
      </c>
    </row>
    <row r="698" spans="1:6" x14ac:dyDescent="0.3">
      <c r="A698" s="114">
        <v>46141</v>
      </c>
      <c r="B698" t="s">
        <v>220</v>
      </c>
      <c r="C698" s="11"/>
      <c r="D698" s="11">
        <v>200000</v>
      </c>
      <c r="E698" t="s">
        <v>686</v>
      </c>
      <c r="F698" s="110" t="s">
        <v>108</v>
      </c>
    </row>
    <row r="699" spans="1:6" x14ac:dyDescent="0.3">
      <c r="A699" s="38">
        <v>46141</v>
      </c>
      <c r="B699" t="s">
        <v>224</v>
      </c>
      <c r="C699" s="11">
        <v>200500</v>
      </c>
      <c r="D699" s="11"/>
      <c r="E699" t="s">
        <v>687</v>
      </c>
      <c r="F699" s="110" t="s">
        <v>108</v>
      </c>
    </row>
    <row r="700" spans="1:6" x14ac:dyDescent="0.3">
      <c r="A700" s="114">
        <v>46141</v>
      </c>
      <c r="B700" t="s">
        <v>220</v>
      </c>
      <c r="C700" s="11"/>
      <c r="D700" s="11">
        <v>300000</v>
      </c>
      <c r="E700" t="s">
        <v>688</v>
      </c>
      <c r="F700" s="110" t="s">
        <v>108</v>
      </c>
    </row>
    <row r="701" spans="1:6" x14ac:dyDescent="0.3">
      <c r="A701" s="38">
        <v>46141</v>
      </c>
      <c r="B701" t="s">
        <v>298</v>
      </c>
      <c r="C701" s="11">
        <v>150000</v>
      </c>
      <c r="D701" s="11"/>
      <c r="E701" t="s">
        <v>689</v>
      </c>
      <c r="F701" s="110" t="s">
        <v>108</v>
      </c>
    </row>
    <row r="702" spans="1:6" x14ac:dyDescent="0.3">
      <c r="A702" s="114">
        <v>46141</v>
      </c>
      <c r="B702" t="s">
        <v>222</v>
      </c>
      <c r="C702" s="11">
        <v>150000</v>
      </c>
      <c r="D702" s="11"/>
      <c r="E702" t="s">
        <v>690</v>
      </c>
      <c r="F702" s="110" t="s">
        <v>108</v>
      </c>
    </row>
    <row r="703" spans="1:6" x14ac:dyDescent="0.3">
      <c r="A703" s="38">
        <v>46141</v>
      </c>
      <c r="B703" t="s">
        <v>671</v>
      </c>
      <c r="C703" s="11">
        <v>3000</v>
      </c>
      <c r="D703" s="11"/>
      <c r="E703" t="s">
        <v>704</v>
      </c>
      <c r="F703" s="110" t="s">
        <v>108</v>
      </c>
    </row>
    <row r="704" spans="1:6" x14ac:dyDescent="0.3">
      <c r="A704" s="114">
        <v>46141</v>
      </c>
      <c r="B704" t="s">
        <v>572</v>
      </c>
      <c r="C704" s="11">
        <v>5000</v>
      </c>
      <c r="D704" s="11"/>
      <c r="F704" s="110" t="s">
        <v>108</v>
      </c>
    </row>
    <row r="705" spans="1:11" x14ac:dyDescent="0.3">
      <c r="A705" s="38">
        <v>46141</v>
      </c>
      <c r="B705" t="s">
        <v>55</v>
      </c>
      <c r="C705" s="11">
        <v>600</v>
      </c>
      <c r="D705" s="11"/>
      <c r="F705" s="110" t="s">
        <v>108</v>
      </c>
    </row>
    <row r="706" spans="1:11" x14ac:dyDescent="0.3">
      <c r="A706" s="114">
        <v>46141</v>
      </c>
      <c r="B706" t="s">
        <v>220</v>
      </c>
      <c r="C706" s="11"/>
      <c r="D706" s="11">
        <v>176000</v>
      </c>
      <c r="E706" t="s">
        <v>691</v>
      </c>
      <c r="F706" s="110" t="s">
        <v>108</v>
      </c>
    </row>
    <row r="707" spans="1:11" x14ac:dyDescent="0.3">
      <c r="A707" s="38">
        <v>46141</v>
      </c>
      <c r="B707" t="s">
        <v>692</v>
      </c>
      <c r="C707" s="11">
        <v>26000</v>
      </c>
      <c r="D707" s="11"/>
      <c r="E707" t="s">
        <v>242</v>
      </c>
      <c r="F707" s="110" t="s">
        <v>108</v>
      </c>
    </row>
    <row r="708" spans="1:11" x14ac:dyDescent="0.3">
      <c r="A708" s="114">
        <v>46141</v>
      </c>
      <c r="B708" t="s">
        <v>169</v>
      </c>
      <c r="C708" s="11">
        <v>150000</v>
      </c>
      <c r="D708" s="11"/>
      <c r="E708" t="s">
        <v>693</v>
      </c>
      <c r="F708" s="110" t="s">
        <v>108</v>
      </c>
    </row>
    <row r="709" spans="1:11" x14ac:dyDescent="0.3">
      <c r="A709" s="38">
        <v>46141</v>
      </c>
      <c r="B709" t="s">
        <v>220</v>
      </c>
      <c r="C709" s="11"/>
      <c r="D709" s="11">
        <v>20000</v>
      </c>
      <c r="E709" t="s">
        <v>695</v>
      </c>
      <c r="F709" s="110" t="s">
        <v>108</v>
      </c>
      <c r="I709">
        <v>30550</v>
      </c>
      <c r="K709">
        <v>30550</v>
      </c>
    </row>
    <row r="710" spans="1:11" x14ac:dyDescent="0.3">
      <c r="A710" s="114">
        <v>46141</v>
      </c>
      <c r="B710" t="s">
        <v>282</v>
      </c>
      <c r="C710" s="11">
        <v>10000</v>
      </c>
      <c r="D710" s="11"/>
      <c r="E710" t="s">
        <v>694</v>
      </c>
      <c r="F710" s="110" t="s">
        <v>108</v>
      </c>
      <c r="I710">
        <v>14000</v>
      </c>
      <c r="K710">
        <v>14000</v>
      </c>
    </row>
    <row r="711" spans="1:11" x14ac:dyDescent="0.3">
      <c r="A711" s="38">
        <v>46142</v>
      </c>
      <c r="B711" t="s">
        <v>55</v>
      </c>
      <c r="C711" s="11">
        <v>590</v>
      </c>
      <c r="D711" s="11"/>
      <c r="F711" s="110" t="s">
        <v>108</v>
      </c>
      <c r="I711">
        <v>215000</v>
      </c>
      <c r="K711">
        <v>215000</v>
      </c>
    </row>
    <row r="712" spans="1:11" x14ac:dyDescent="0.3">
      <c r="A712" s="38">
        <v>46142</v>
      </c>
      <c r="B712" t="s">
        <v>220</v>
      </c>
      <c r="C712" s="11"/>
      <c r="D712" s="11">
        <v>12500</v>
      </c>
      <c r="E712" t="s">
        <v>606</v>
      </c>
      <c r="F712" s="110" t="s">
        <v>108</v>
      </c>
      <c r="I712">
        <v>125000</v>
      </c>
      <c r="K712">
        <v>125000</v>
      </c>
    </row>
    <row r="713" spans="1:11" x14ac:dyDescent="0.3">
      <c r="A713" s="38">
        <v>46142</v>
      </c>
      <c r="B713" t="s">
        <v>246</v>
      </c>
      <c r="C713" s="11">
        <v>12500</v>
      </c>
      <c r="D713" s="11"/>
      <c r="E713" t="s">
        <v>606</v>
      </c>
      <c r="F713" s="110" t="s">
        <v>108</v>
      </c>
      <c r="I713">
        <v>12800</v>
      </c>
      <c r="K713">
        <v>12800</v>
      </c>
    </row>
    <row r="714" spans="1:11" x14ac:dyDescent="0.3">
      <c r="A714" s="38">
        <v>46142</v>
      </c>
      <c r="B714" t="s">
        <v>601</v>
      </c>
      <c r="C714" s="11">
        <v>12000</v>
      </c>
      <c r="D714" s="11"/>
      <c r="E714" t="s">
        <v>696</v>
      </c>
      <c r="F714" s="110" t="s">
        <v>108</v>
      </c>
      <c r="I714">
        <v>9650</v>
      </c>
      <c r="K714">
        <f>25650-16000</f>
        <v>9650</v>
      </c>
    </row>
    <row r="715" spans="1:11" x14ac:dyDescent="0.3">
      <c r="A715" s="38">
        <v>46142</v>
      </c>
      <c r="B715" t="s">
        <v>709</v>
      </c>
      <c r="C715" s="11"/>
      <c r="D715" s="11">
        <v>100000</v>
      </c>
      <c r="E715" t="s">
        <v>365</v>
      </c>
      <c r="F715" s="110" t="s">
        <v>108</v>
      </c>
      <c r="I715">
        <v>30000</v>
      </c>
      <c r="K715">
        <v>30000</v>
      </c>
    </row>
    <row r="716" spans="1:11" x14ac:dyDescent="0.3">
      <c r="A716" s="38">
        <v>46142</v>
      </c>
      <c r="B716" t="s">
        <v>224</v>
      </c>
      <c r="C716" s="11">
        <v>82600</v>
      </c>
      <c r="D716" s="11"/>
      <c r="E716" t="s">
        <v>242</v>
      </c>
      <c r="F716" s="110" t="s">
        <v>108</v>
      </c>
      <c r="I716">
        <v>55000</v>
      </c>
      <c r="K716">
        <v>55000</v>
      </c>
    </row>
    <row r="717" spans="1:1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638</v>
      </c>
      <c r="F718" s="110" t="s">
        <v>108</v>
      </c>
      <c r="I718">
        <v>24000</v>
      </c>
      <c r="K718">
        <v>26660</v>
      </c>
    </row>
    <row r="719" spans="1:11" x14ac:dyDescent="0.3">
      <c r="A719" s="38">
        <v>46143</v>
      </c>
      <c r="B719" t="s">
        <v>54</v>
      </c>
      <c r="C719" s="95">
        <v>1500</v>
      </c>
      <c r="D719" s="95"/>
      <c r="F719" s="110" t="s">
        <v>108</v>
      </c>
      <c r="I719">
        <v>20000</v>
      </c>
      <c r="K719">
        <v>20000</v>
      </c>
    </row>
    <row r="720" spans="1:11" x14ac:dyDescent="0.3">
      <c r="A720" s="38">
        <v>46143</v>
      </c>
      <c r="B720" t="s">
        <v>54</v>
      </c>
      <c r="C720" s="95">
        <v>14000</v>
      </c>
      <c r="D720" s="95"/>
      <c r="E720" t="s">
        <v>290</v>
      </c>
      <c r="F720" s="110" t="s">
        <v>108</v>
      </c>
      <c r="I720">
        <v>17200</v>
      </c>
      <c r="K720">
        <v>62000</v>
      </c>
    </row>
    <row r="721" spans="1:11" x14ac:dyDescent="0.3">
      <c r="A721" s="38">
        <v>46143</v>
      </c>
      <c r="B721" t="s">
        <v>246</v>
      </c>
      <c r="C721" s="95">
        <v>2000</v>
      </c>
      <c r="D721" s="95"/>
      <c r="E721" t="s">
        <v>697</v>
      </c>
      <c r="F721" s="110" t="s">
        <v>108</v>
      </c>
      <c r="I721">
        <v>18400</v>
      </c>
    </row>
    <row r="722" spans="1:11" x14ac:dyDescent="0.3">
      <c r="A722" s="38">
        <v>46143</v>
      </c>
      <c r="B722" t="s">
        <v>220</v>
      </c>
      <c r="C722" s="95"/>
      <c r="D722" s="95">
        <v>42000</v>
      </c>
      <c r="E722" t="s">
        <v>535</v>
      </c>
      <c r="F722" s="110" t="s">
        <v>108</v>
      </c>
      <c r="I722">
        <v>18000</v>
      </c>
      <c r="K722">
        <v>1000</v>
      </c>
    </row>
    <row r="723" spans="1:11" x14ac:dyDescent="0.3">
      <c r="A723" s="38">
        <v>46143</v>
      </c>
      <c r="B723" t="s">
        <v>601</v>
      </c>
      <c r="C723" s="95">
        <v>43000</v>
      </c>
      <c r="D723" s="95"/>
      <c r="E723" t="s">
        <v>698</v>
      </c>
      <c r="F723" s="110" t="s">
        <v>108</v>
      </c>
      <c r="I723">
        <v>80000</v>
      </c>
      <c r="K723">
        <v>10600</v>
      </c>
    </row>
    <row r="724" spans="1:11" x14ac:dyDescent="0.3">
      <c r="A724" s="38">
        <v>46143</v>
      </c>
      <c r="B724" t="s">
        <v>282</v>
      </c>
      <c r="C724" s="95">
        <v>15000</v>
      </c>
      <c r="D724" s="95"/>
      <c r="E724" t="s">
        <v>699</v>
      </c>
      <c r="F724" s="110" t="s">
        <v>108</v>
      </c>
      <c r="I724">
        <v>60000</v>
      </c>
      <c r="K724">
        <v>11150</v>
      </c>
    </row>
    <row r="725" spans="1:11" x14ac:dyDescent="0.3">
      <c r="A725" s="38">
        <v>46143</v>
      </c>
      <c r="B725" t="s">
        <v>220</v>
      </c>
      <c r="C725" s="95"/>
      <c r="D725" s="95">
        <v>30000</v>
      </c>
      <c r="E725" t="s">
        <v>700</v>
      </c>
      <c r="F725" s="110" t="s">
        <v>108</v>
      </c>
      <c r="I725">
        <v>35000</v>
      </c>
      <c r="K725">
        <v>7220</v>
      </c>
    </row>
    <row r="726" spans="1:11" x14ac:dyDescent="0.3">
      <c r="A726" s="38">
        <v>46143</v>
      </c>
      <c r="B726" t="s">
        <v>117</v>
      </c>
      <c r="C726" s="95">
        <v>39000</v>
      </c>
      <c r="D726" s="95"/>
      <c r="E726" t="s">
        <v>61</v>
      </c>
      <c r="F726" s="110" t="s">
        <v>108</v>
      </c>
      <c r="I726">
        <v>15400</v>
      </c>
      <c r="K726">
        <v>11800</v>
      </c>
    </row>
    <row r="727" spans="1:11" x14ac:dyDescent="0.3">
      <c r="A727" s="114">
        <v>46143</v>
      </c>
      <c r="B727" t="s">
        <v>54</v>
      </c>
      <c r="C727" s="11">
        <v>600</v>
      </c>
      <c r="D727" s="11"/>
      <c r="F727" s="110" t="s">
        <v>108</v>
      </c>
      <c r="I727">
        <v>12700</v>
      </c>
      <c r="K727">
        <v>12600</v>
      </c>
    </row>
    <row r="728" spans="1:11" x14ac:dyDescent="0.3">
      <c r="A728" s="114">
        <v>46143</v>
      </c>
      <c r="B728" t="s">
        <v>709</v>
      </c>
      <c r="C728" s="11"/>
      <c r="D728" s="11">
        <v>100000</v>
      </c>
      <c r="E728" t="s">
        <v>710</v>
      </c>
      <c r="F728" s="110" t="s">
        <v>108</v>
      </c>
      <c r="I728">
        <v>12600</v>
      </c>
      <c r="K728">
        <v>12700</v>
      </c>
    </row>
    <row r="729" spans="1:11" x14ac:dyDescent="0.3">
      <c r="A729" s="114">
        <v>46143</v>
      </c>
      <c r="B729" t="s">
        <v>224</v>
      </c>
      <c r="C729" s="11">
        <v>60900</v>
      </c>
      <c r="D729" s="11"/>
      <c r="E729" t="s">
        <v>242</v>
      </c>
      <c r="F729" s="110" t="s">
        <v>108</v>
      </c>
      <c r="I729">
        <v>11800</v>
      </c>
      <c r="K729">
        <v>15400</v>
      </c>
    </row>
    <row r="730" spans="1:11" x14ac:dyDescent="0.3">
      <c r="A730" s="114">
        <v>46144</v>
      </c>
      <c r="B730" t="s">
        <v>582</v>
      </c>
      <c r="C730" s="11"/>
      <c r="D730" s="11">
        <v>800000</v>
      </c>
      <c r="E730" t="s">
        <v>701</v>
      </c>
      <c r="F730" s="110" t="s">
        <v>108</v>
      </c>
      <c r="I730">
        <v>7250</v>
      </c>
      <c r="K730">
        <v>35000</v>
      </c>
    </row>
    <row r="731" spans="1:11" x14ac:dyDescent="0.3">
      <c r="A731" s="114">
        <v>46144</v>
      </c>
      <c r="B731" t="s">
        <v>55</v>
      </c>
      <c r="C731" s="11">
        <v>4500</v>
      </c>
      <c r="D731" s="11"/>
      <c r="E731" t="s">
        <v>641</v>
      </c>
      <c r="F731" s="110" t="s">
        <v>108</v>
      </c>
      <c r="I731">
        <v>11150</v>
      </c>
      <c r="K731">
        <v>60000</v>
      </c>
    </row>
    <row r="732" spans="1:11" x14ac:dyDescent="0.3">
      <c r="A732" s="114">
        <v>46144</v>
      </c>
      <c r="B732" t="s">
        <v>176</v>
      </c>
      <c r="C732" s="11">
        <v>56000</v>
      </c>
      <c r="D732" s="11"/>
      <c r="E732" t="s">
        <v>702</v>
      </c>
      <c r="F732" s="110" t="s">
        <v>108</v>
      </c>
      <c r="I732">
        <v>10600</v>
      </c>
      <c r="K732">
        <v>80000</v>
      </c>
    </row>
    <row r="733" spans="1:11" x14ac:dyDescent="0.3">
      <c r="A733" s="114">
        <v>46144</v>
      </c>
      <c r="B733" t="s">
        <v>117</v>
      </c>
      <c r="C733" s="11">
        <f>104000-56000</f>
        <v>48000</v>
      </c>
      <c r="D733" s="11"/>
      <c r="E733" t="s">
        <v>703</v>
      </c>
      <c r="F733" s="110" t="s">
        <v>108</v>
      </c>
      <c r="I733">
        <v>1000</v>
      </c>
      <c r="K733">
        <v>18000</v>
      </c>
    </row>
    <row r="734" spans="1:11" x14ac:dyDescent="0.3">
      <c r="A734" s="38">
        <v>46144</v>
      </c>
      <c r="B734" t="s">
        <v>117</v>
      </c>
      <c r="C734" s="95">
        <v>4400</v>
      </c>
      <c r="D734" s="95"/>
      <c r="E734" t="s">
        <v>705</v>
      </c>
      <c r="F734" s="110" t="s">
        <v>108</v>
      </c>
      <c r="I734">
        <v>62000</v>
      </c>
      <c r="K734">
        <v>18400</v>
      </c>
    </row>
    <row r="735" spans="1:11" x14ac:dyDescent="0.3">
      <c r="A735" s="38">
        <v>46144</v>
      </c>
      <c r="B735" t="s">
        <v>55</v>
      </c>
      <c r="C735" s="95">
        <v>10620</v>
      </c>
      <c r="D735" s="95"/>
      <c r="E735" t="s">
        <v>706</v>
      </c>
      <c r="F735" s="110" t="s">
        <v>108</v>
      </c>
      <c r="I735">
        <v>26660</v>
      </c>
      <c r="K735">
        <v>17200</v>
      </c>
    </row>
    <row r="736" spans="1:11" x14ac:dyDescent="0.3">
      <c r="A736" s="38">
        <v>46144</v>
      </c>
      <c r="B736" t="s">
        <v>224</v>
      </c>
      <c r="C736" s="95">
        <v>200500</v>
      </c>
      <c r="D736" s="95"/>
      <c r="E736" t="s">
        <v>707</v>
      </c>
      <c r="F736" s="110" t="s">
        <v>108</v>
      </c>
      <c r="I736">
        <v>30000</v>
      </c>
      <c r="K736">
        <v>20000</v>
      </c>
    </row>
    <row r="737" spans="1:11" x14ac:dyDescent="0.3">
      <c r="A737" s="114">
        <v>46144</v>
      </c>
      <c r="B737" t="s">
        <v>224</v>
      </c>
      <c r="C737" s="95">
        <v>4000</v>
      </c>
      <c r="D737" s="95"/>
      <c r="E737" t="s">
        <v>341</v>
      </c>
      <c r="F737" s="110" t="s">
        <v>108</v>
      </c>
      <c r="I737">
        <v>9900</v>
      </c>
      <c r="K737">
        <v>24000</v>
      </c>
    </row>
    <row r="738" spans="1:11" x14ac:dyDescent="0.3">
      <c r="A738" s="114">
        <v>46144</v>
      </c>
      <c r="B738" t="s">
        <v>692</v>
      </c>
      <c r="C738" s="95">
        <v>1000</v>
      </c>
      <c r="D738" s="95"/>
      <c r="E738" t="s">
        <v>341</v>
      </c>
      <c r="F738" s="110" t="s">
        <v>108</v>
      </c>
      <c r="I738">
        <v>20000</v>
      </c>
      <c r="K738">
        <v>24000</v>
      </c>
    </row>
    <row r="739" spans="1:11" x14ac:dyDescent="0.3">
      <c r="A739" s="114">
        <v>46144</v>
      </c>
      <c r="B739" t="s">
        <v>640</v>
      </c>
      <c r="C739" s="95">
        <v>1000</v>
      </c>
      <c r="D739" s="95"/>
      <c r="E739" t="s">
        <v>341</v>
      </c>
      <c r="F739" s="110" t="s">
        <v>108</v>
      </c>
      <c r="K739">
        <v>9900</v>
      </c>
    </row>
    <row r="740" spans="1:11" x14ac:dyDescent="0.3">
      <c r="A740" s="114">
        <v>46144</v>
      </c>
      <c r="B740" t="s">
        <v>298</v>
      </c>
      <c r="C740" s="95">
        <v>2000</v>
      </c>
      <c r="D740" s="95"/>
      <c r="E740" t="s">
        <v>341</v>
      </c>
      <c r="F740" s="110" t="s">
        <v>108</v>
      </c>
    </row>
    <row r="741" spans="1:11" x14ac:dyDescent="0.3">
      <c r="A741" s="114">
        <v>46144</v>
      </c>
      <c r="B741" t="s">
        <v>282</v>
      </c>
      <c r="C741" s="95">
        <v>27600</v>
      </c>
      <c r="D741" s="95"/>
      <c r="E741" t="s">
        <v>469</v>
      </c>
      <c r="F741" s="110" t="s">
        <v>108</v>
      </c>
    </row>
    <row r="742" spans="1:11" x14ac:dyDescent="0.3">
      <c r="A742" s="114">
        <v>46144</v>
      </c>
      <c r="B742" t="s">
        <v>282</v>
      </c>
      <c r="C742" s="95">
        <v>1019630</v>
      </c>
      <c r="D742" s="95"/>
      <c r="E742" t="s">
        <v>352</v>
      </c>
      <c r="F742" s="110" t="s">
        <v>108</v>
      </c>
    </row>
    <row r="743" spans="1:11" x14ac:dyDescent="0.3">
      <c r="A743" s="38">
        <v>46144</v>
      </c>
      <c r="B743" t="s">
        <v>220</v>
      </c>
      <c r="C743" s="95">
        <v>500000</v>
      </c>
      <c r="D743" s="95"/>
      <c r="E743" t="s">
        <v>708</v>
      </c>
      <c r="F743" s="110" t="s">
        <v>108</v>
      </c>
    </row>
    <row r="744" spans="1:11" x14ac:dyDescent="0.3">
      <c r="A744" s="38">
        <v>46144</v>
      </c>
      <c r="B744" t="s">
        <v>220</v>
      </c>
      <c r="C744" s="95"/>
      <c r="D744" s="95">
        <v>400000</v>
      </c>
      <c r="E744" t="s">
        <v>109</v>
      </c>
      <c r="F744" s="110" t="s">
        <v>108</v>
      </c>
    </row>
    <row r="745" spans="1:11" x14ac:dyDescent="0.3">
      <c r="A745" s="38">
        <v>46145</v>
      </c>
      <c r="B745" t="s">
        <v>55</v>
      </c>
      <c r="C745" s="95">
        <v>1160</v>
      </c>
      <c r="D745" s="95"/>
      <c r="E745" t="s">
        <v>372</v>
      </c>
      <c r="F745" s="110" t="s">
        <v>108</v>
      </c>
    </row>
    <row r="746" spans="1:11" x14ac:dyDescent="0.3">
      <c r="A746" s="38">
        <v>46145</v>
      </c>
      <c r="B746" t="s">
        <v>55</v>
      </c>
      <c r="C746" s="95">
        <v>10200</v>
      </c>
      <c r="D746" s="95"/>
      <c r="E746" t="s">
        <v>641</v>
      </c>
      <c r="F746" s="110" t="s">
        <v>108</v>
      </c>
    </row>
    <row r="747" spans="1:11" x14ac:dyDescent="0.3">
      <c r="A747" s="38">
        <v>46145</v>
      </c>
      <c r="B747" t="s">
        <v>220</v>
      </c>
      <c r="C747" s="95"/>
      <c r="D747" s="95">
        <v>10200</v>
      </c>
      <c r="E747" t="s">
        <v>641</v>
      </c>
      <c r="F747" s="110" t="s">
        <v>108</v>
      </c>
    </row>
    <row r="748" spans="1:11" x14ac:dyDescent="0.3">
      <c r="A748" s="38">
        <v>46145</v>
      </c>
      <c r="B748" t="s">
        <v>55</v>
      </c>
      <c r="C748" s="95">
        <v>10000</v>
      </c>
      <c r="D748" s="95"/>
      <c r="E748" t="s">
        <v>315</v>
      </c>
      <c r="F748" s="110" t="s">
        <v>108</v>
      </c>
    </row>
    <row r="749" spans="1:11" x14ac:dyDescent="0.3">
      <c r="A749" s="38">
        <v>46145</v>
      </c>
      <c r="B749" t="s">
        <v>220</v>
      </c>
      <c r="C749" s="95"/>
      <c r="D749" s="95">
        <v>10000</v>
      </c>
      <c r="E749" t="s">
        <v>315</v>
      </c>
      <c r="F749" s="110" t="s">
        <v>108</v>
      </c>
    </row>
    <row r="750" spans="1:11" x14ac:dyDescent="0.3">
      <c r="A750" s="38">
        <v>46145</v>
      </c>
      <c r="B750" t="s">
        <v>212</v>
      </c>
      <c r="C750" s="95">
        <f>1970+780+780+1300+780</f>
        <v>5610</v>
      </c>
      <c r="D750" s="95"/>
      <c r="F750" s="110" t="s">
        <v>108</v>
      </c>
    </row>
    <row r="751" spans="1:11" x14ac:dyDescent="0.3">
      <c r="A751" s="38">
        <v>46146</v>
      </c>
      <c r="B751" t="s">
        <v>212</v>
      </c>
      <c r="C751" s="95">
        <f>750+1860+760</f>
        <v>3370</v>
      </c>
      <c r="D751" s="95"/>
      <c r="F751" s="110" t="s">
        <v>108</v>
      </c>
    </row>
    <row r="752" spans="1:11" x14ac:dyDescent="0.3">
      <c r="A752" s="114">
        <v>46146</v>
      </c>
      <c r="B752" t="s">
        <v>508</v>
      </c>
      <c r="C752" s="11">
        <v>5000</v>
      </c>
      <c r="D752" s="11"/>
      <c r="E752" t="s">
        <v>562</v>
      </c>
      <c r="F752" s="110" t="s">
        <v>108</v>
      </c>
    </row>
    <row r="753" spans="1:6" x14ac:dyDescent="0.3">
      <c r="A753" s="38">
        <v>46146</v>
      </c>
      <c r="B753" t="s">
        <v>55</v>
      </c>
      <c r="C753" s="11">
        <v>52160</v>
      </c>
      <c r="D753" s="11"/>
      <c r="E753" t="s">
        <v>315</v>
      </c>
      <c r="F753" s="110" t="s">
        <v>108</v>
      </c>
    </row>
    <row r="754" spans="1:6" x14ac:dyDescent="0.3">
      <c r="A754" s="114">
        <v>46146</v>
      </c>
      <c r="B754" t="s">
        <v>54</v>
      </c>
      <c r="C754" s="11">
        <v>2000</v>
      </c>
      <c r="D754" s="11"/>
      <c r="E754" t="s">
        <v>711</v>
      </c>
      <c r="F754" s="110" t="s">
        <v>108</v>
      </c>
    </row>
    <row r="755" spans="1:6" x14ac:dyDescent="0.3">
      <c r="A755" s="38">
        <v>46146</v>
      </c>
      <c r="B755" t="s">
        <v>54</v>
      </c>
      <c r="C755" s="11">
        <v>3000</v>
      </c>
      <c r="D755" s="11"/>
      <c r="E755" t="s">
        <v>712</v>
      </c>
      <c r="F755" s="110" t="s">
        <v>108</v>
      </c>
    </row>
    <row r="756" spans="1:6" x14ac:dyDescent="0.3">
      <c r="A756" s="114">
        <v>46146</v>
      </c>
      <c r="B756" t="s">
        <v>54</v>
      </c>
      <c r="C756" s="11">
        <v>5000</v>
      </c>
      <c r="D756" s="11"/>
      <c r="E756" t="s">
        <v>679</v>
      </c>
      <c r="F756" s="110" t="s">
        <v>108</v>
      </c>
    </row>
    <row r="757" spans="1:6" x14ac:dyDescent="0.3">
      <c r="A757" s="38">
        <v>46146</v>
      </c>
      <c r="B757" t="s">
        <v>55</v>
      </c>
      <c r="C757" s="11">
        <v>10000</v>
      </c>
      <c r="D757" s="11"/>
      <c r="E757" t="s">
        <v>713</v>
      </c>
      <c r="F757" s="110" t="s">
        <v>108</v>
      </c>
    </row>
    <row r="758" spans="1:6" x14ac:dyDescent="0.3">
      <c r="A758" s="114">
        <v>46146</v>
      </c>
      <c r="B758" t="s">
        <v>35</v>
      </c>
      <c r="C758" s="11"/>
      <c r="D758" s="11">
        <v>178000</v>
      </c>
      <c r="E758" t="s">
        <v>109</v>
      </c>
      <c r="F758" s="110" t="s">
        <v>108</v>
      </c>
    </row>
    <row r="759" spans="1:6" x14ac:dyDescent="0.3">
      <c r="A759" s="38">
        <v>46146</v>
      </c>
      <c r="B759" t="s">
        <v>9</v>
      </c>
      <c r="C759" s="11"/>
      <c r="D759" s="11">
        <v>100000</v>
      </c>
      <c r="E759" t="s">
        <v>714</v>
      </c>
      <c r="F759" s="110" t="s">
        <v>108</v>
      </c>
    </row>
    <row r="760" spans="1:6" x14ac:dyDescent="0.3">
      <c r="A760" s="114">
        <v>46146</v>
      </c>
      <c r="B760" t="s">
        <v>601</v>
      </c>
      <c r="C760" s="11">
        <v>9000</v>
      </c>
      <c r="D760" s="11"/>
      <c r="E760" t="s">
        <v>696</v>
      </c>
      <c r="F760" s="110" t="s">
        <v>108</v>
      </c>
    </row>
    <row r="761" spans="1:6" x14ac:dyDescent="0.3">
      <c r="A761" s="38">
        <v>46146</v>
      </c>
      <c r="B761" t="s">
        <v>298</v>
      </c>
      <c r="C761" s="11">
        <v>150000</v>
      </c>
      <c r="D761" s="11"/>
      <c r="E761" t="s">
        <v>715</v>
      </c>
      <c r="F761" s="110" t="s">
        <v>108</v>
      </c>
    </row>
    <row r="762" spans="1:6" x14ac:dyDescent="0.3">
      <c r="A762" s="114">
        <v>46146</v>
      </c>
      <c r="B762" t="s">
        <v>572</v>
      </c>
      <c r="C762" s="11">
        <v>18000</v>
      </c>
      <c r="D762" s="11"/>
      <c r="E762" t="s">
        <v>113</v>
      </c>
      <c r="F762" s="110" t="s">
        <v>108</v>
      </c>
    </row>
    <row r="763" spans="1:6" x14ac:dyDescent="0.3">
      <c r="A763" s="38">
        <v>46146</v>
      </c>
      <c r="B763" t="s">
        <v>117</v>
      </c>
      <c r="C763" s="11">
        <v>39000</v>
      </c>
      <c r="D763" s="11"/>
      <c r="E763" t="s">
        <v>531</v>
      </c>
      <c r="F763" s="110" t="s">
        <v>108</v>
      </c>
    </row>
    <row r="764" spans="1:6" x14ac:dyDescent="0.3">
      <c r="A764" s="114">
        <v>46146</v>
      </c>
      <c r="B764" t="s">
        <v>54</v>
      </c>
      <c r="C764" s="95">
        <v>700</v>
      </c>
      <c r="D764" s="95"/>
      <c r="E764" t="s">
        <v>470</v>
      </c>
      <c r="F764" s="110" t="s">
        <v>108</v>
      </c>
    </row>
    <row r="765" spans="1:6" x14ac:dyDescent="0.3">
      <c r="A765" s="38">
        <v>46146</v>
      </c>
      <c r="B765" t="s">
        <v>192</v>
      </c>
      <c r="C765" s="11"/>
      <c r="D765" s="11">
        <v>100000</v>
      </c>
      <c r="E765" t="s">
        <v>365</v>
      </c>
      <c r="F765" s="110" t="s">
        <v>108</v>
      </c>
    </row>
    <row r="766" spans="1:6" x14ac:dyDescent="0.3">
      <c r="A766" s="114">
        <v>46146</v>
      </c>
      <c r="B766" t="s">
        <v>55</v>
      </c>
      <c r="C766" s="11">
        <v>24080</v>
      </c>
      <c r="D766" s="11"/>
      <c r="E766" t="s">
        <v>315</v>
      </c>
      <c r="F766" s="110" t="s">
        <v>108</v>
      </c>
    </row>
    <row r="767" spans="1:6" x14ac:dyDescent="0.3">
      <c r="A767" s="114">
        <v>46146</v>
      </c>
      <c r="B767" t="s">
        <v>733</v>
      </c>
      <c r="C767" s="11">
        <v>25000</v>
      </c>
      <c r="D767" s="11"/>
      <c r="E767" t="s">
        <v>242</v>
      </c>
      <c r="F767" s="110" t="s">
        <v>108</v>
      </c>
    </row>
    <row r="768" spans="1:6" x14ac:dyDescent="0.3">
      <c r="A768" s="38">
        <v>46146</v>
      </c>
      <c r="B768" t="s">
        <v>733</v>
      </c>
      <c r="C768" s="11">
        <v>24000</v>
      </c>
      <c r="D768" s="11"/>
      <c r="E768" t="s">
        <v>242</v>
      </c>
      <c r="F768" s="110" t="s">
        <v>108</v>
      </c>
    </row>
    <row r="769" spans="1:6" x14ac:dyDescent="0.3">
      <c r="A769" s="114">
        <v>46147</v>
      </c>
      <c r="B769" t="s">
        <v>224</v>
      </c>
      <c r="C769" s="11">
        <v>105000</v>
      </c>
      <c r="D769" s="11"/>
      <c r="E769" t="s">
        <v>242</v>
      </c>
      <c r="F769" s="110" t="s">
        <v>108</v>
      </c>
    </row>
    <row r="770" spans="1:6" x14ac:dyDescent="0.3">
      <c r="A770" s="114">
        <v>46147</v>
      </c>
      <c r="B770" t="s">
        <v>671</v>
      </c>
      <c r="C770" s="11">
        <v>32000</v>
      </c>
      <c r="D770" s="11"/>
      <c r="F770" s="110" t="s">
        <v>108</v>
      </c>
    </row>
    <row r="771" spans="1:6" x14ac:dyDescent="0.3">
      <c r="A771" s="114">
        <v>46147</v>
      </c>
      <c r="B771" t="s">
        <v>192</v>
      </c>
      <c r="C771" s="11"/>
      <c r="D771" s="11">
        <v>50000</v>
      </c>
      <c r="F771" s="110" t="s">
        <v>108</v>
      </c>
    </row>
    <row r="772" spans="1:6" x14ac:dyDescent="0.3">
      <c r="A772" s="114">
        <v>46147</v>
      </c>
      <c r="B772" t="s">
        <v>246</v>
      </c>
      <c r="C772" s="11">
        <v>3000</v>
      </c>
      <c r="D772" s="11"/>
      <c r="F772" s="110" t="s">
        <v>108</v>
      </c>
    </row>
    <row r="773" spans="1:6" x14ac:dyDescent="0.3">
      <c r="A773" s="38">
        <v>46147</v>
      </c>
      <c r="B773" t="s">
        <v>55</v>
      </c>
      <c r="C773" s="95">
        <v>300</v>
      </c>
      <c r="D773" s="95"/>
      <c r="E773" t="s">
        <v>734</v>
      </c>
      <c r="F773" s="110" t="s">
        <v>108</v>
      </c>
    </row>
    <row r="774" spans="1:6" x14ac:dyDescent="0.3">
      <c r="A774" s="38">
        <v>46147</v>
      </c>
      <c r="B774" t="s">
        <v>54</v>
      </c>
      <c r="C774" s="95">
        <v>1606</v>
      </c>
      <c r="D774" s="95"/>
      <c r="F774" s="110" t="s">
        <v>108</v>
      </c>
    </row>
    <row r="775" spans="1:6" x14ac:dyDescent="0.3">
      <c r="A775" s="38">
        <v>46147</v>
      </c>
      <c r="B775" t="s">
        <v>709</v>
      </c>
      <c r="C775" s="95"/>
      <c r="D775" s="95">
        <v>65000</v>
      </c>
      <c r="F775" s="110" t="s">
        <v>108</v>
      </c>
    </row>
    <row r="776" spans="1:6" x14ac:dyDescent="0.3">
      <c r="A776" s="38">
        <v>46147</v>
      </c>
      <c r="B776" t="s">
        <v>55</v>
      </c>
      <c r="C776" s="95">
        <v>1180</v>
      </c>
      <c r="D776" s="95"/>
      <c r="F776" s="110" t="s">
        <v>108</v>
      </c>
    </row>
    <row r="777" spans="1:6" x14ac:dyDescent="0.3">
      <c r="A777" s="38">
        <v>46147</v>
      </c>
      <c r="B777" t="s">
        <v>246</v>
      </c>
      <c r="C777" s="95">
        <v>15000</v>
      </c>
      <c r="D777" s="95"/>
      <c r="E777" t="s">
        <v>735</v>
      </c>
      <c r="F777" s="110" t="s">
        <v>108</v>
      </c>
    </row>
    <row r="778" spans="1:6" x14ac:dyDescent="0.3">
      <c r="A778" s="38">
        <v>46148</v>
      </c>
      <c r="B778" t="s">
        <v>35</v>
      </c>
      <c r="C778" s="95"/>
      <c r="D778" s="95">
        <v>100000</v>
      </c>
      <c r="F778" s="110" t="s">
        <v>108</v>
      </c>
    </row>
    <row r="779" spans="1:6" x14ac:dyDescent="0.3">
      <c r="A779" s="38">
        <v>46148</v>
      </c>
      <c r="B779" t="s">
        <v>117</v>
      </c>
      <c r="C779" s="95">
        <v>58500</v>
      </c>
      <c r="D779" s="95"/>
      <c r="E779" t="s">
        <v>736</v>
      </c>
      <c r="F779" s="110" t="s">
        <v>108</v>
      </c>
    </row>
    <row r="780" spans="1:6" x14ac:dyDescent="0.3">
      <c r="A780" s="38">
        <v>46148</v>
      </c>
      <c r="B780" t="s">
        <v>55</v>
      </c>
      <c r="C780" s="95">
        <v>1200</v>
      </c>
      <c r="D780" s="95"/>
      <c r="F780" s="110" t="s">
        <v>108</v>
      </c>
    </row>
    <row r="781" spans="1:6" x14ac:dyDescent="0.3">
      <c r="A781" s="38">
        <v>46148</v>
      </c>
      <c r="B781" t="s">
        <v>55</v>
      </c>
      <c r="C781" s="95">
        <v>4280</v>
      </c>
      <c r="D781" s="95"/>
      <c r="F781" s="110" t="s">
        <v>108</v>
      </c>
    </row>
    <row r="782" spans="1:6" x14ac:dyDescent="0.3">
      <c r="A782" s="38">
        <v>46148</v>
      </c>
      <c r="B782" t="s">
        <v>246</v>
      </c>
      <c r="C782" s="95">
        <v>550</v>
      </c>
      <c r="D782" s="95"/>
      <c r="E782" t="s">
        <v>581</v>
      </c>
      <c r="F782" s="110" t="s">
        <v>108</v>
      </c>
    </row>
    <row r="783" spans="1:6" x14ac:dyDescent="0.3">
      <c r="A783" s="38">
        <v>46148</v>
      </c>
      <c r="B783" t="s">
        <v>709</v>
      </c>
      <c r="C783" s="95"/>
      <c r="D783" s="95">
        <v>70000</v>
      </c>
      <c r="E783" t="s">
        <v>109</v>
      </c>
      <c r="F783" s="110" t="s">
        <v>108</v>
      </c>
    </row>
    <row r="784" spans="1:6" x14ac:dyDescent="0.3">
      <c r="A784" s="38">
        <v>46148</v>
      </c>
      <c r="B784" t="s">
        <v>55</v>
      </c>
      <c r="C784" s="95">
        <v>2550</v>
      </c>
      <c r="D784" s="95"/>
      <c r="E784" t="s">
        <v>737</v>
      </c>
      <c r="F784" s="110" t="s">
        <v>108</v>
      </c>
    </row>
    <row r="785" spans="1:6" x14ac:dyDescent="0.3">
      <c r="A785" s="38">
        <v>46148</v>
      </c>
      <c r="B785" t="s">
        <v>246</v>
      </c>
      <c r="C785" s="95">
        <v>2600</v>
      </c>
      <c r="D785" s="95"/>
      <c r="E785" t="s">
        <v>738</v>
      </c>
      <c r="F785" s="110" t="s">
        <v>108</v>
      </c>
    </row>
    <row r="786" spans="1:6" x14ac:dyDescent="0.3">
      <c r="A786" s="38">
        <v>46148</v>
      </c>
      <c r="B786" t="s">
        <v>692</v>
      </c>
      <c r="C786" s="95">
        <v>29500</v>
      </c>
      <c r="D786" s="95"/>
      <c r="E786" t="s">
        <v>242</v>
      </c>
      <c r="F786" s="110" t="s">
        <v>108</v>
      </c>
    </row>
    <row r="787" spans="1:6" x14ac:dyDescent="0.3">
      <c r="A787" s="38">
        <v>46148</v>
      </c>
      <c r="B787" t="s">
        <v>733</v>
      </c>
      <c r="C787" s="95">
        <v>28000</v>
      </c>
      <c r="D787" s="95"/>
      <c r="E787" t="s">
        <v>242</v>
      </c>
      <c r="F787" s="110" t="s">
        <v>108</v>
      </c>
    </row>
    <row r="788" spans="1:6" x14ac:dyDescent="0.3">
      <c r="A788" s="38">
        <v>46148</v>
      </c>
      <c r="B788" t="s">
        <v>220</v>
      </c>
      <c r="C788" s="95"/>
      <c r="D788" s="95">
        <v>56632</v>
      </c>
      <c r="E788" t="s">
        <v>449</v>
      </c>
      <c r="F788" s="110" t="s">
        <v>108</v>
      </c>
    </row>
    <row r="789" spans="1:6" x14ac:dyDescent="0.3">
      <c r="A789" s="38">
        <v>46148</v>
      </c>
      <c r="B789" t="s">
        <v>220</v>
      </c>
      <c r="C789" s="95"/>
      <c r="D789" s="95">
        <v>100000</v>
      </c>
      <c r="E789" t="s">
        <v>739</v>
      </c>
      <c r="F789" s="110" t="s">
        <v>108</v>
      </c>
    </row>
    <row r="790" spans="1:6" x14ac:dyDescent="0.3">
      <c r="A790" s="38">
        <v>46148</v>
      </c>
      <c r="B790" t="s">
        <v>733</v>
      </c>
      <c r="C790" s="95">
        <v>150000</v>
      </c>
      <c r="D790" s="95"/>
      <c r="E790" t="s">
        <v>740</v>
      </c>
      <c r="F790" s="110" t="s">
        <v>108</v>
      </c>
    </row>
    <row r="791" spans="1:6" x14ac:dyDescent="0.3">
      <c r="A791" s="38">
        <v>46148</v>
      </c>
      <c r="B791" t="s">
        <v>357</v>
      </c>
      <c r="C791" s="95">
        <v>5000</v>
      </c>
      <c r="D791" s="95"/>
      <c r="E791" t="s">
        <v>281</v>
      </c>
      <c r="F791" s="110" t="s">
        <v>108</v>
      </c>
    </row>
    <row r="792" spans="1:6" x14ac:dyDescent="0.3">
      <c r="A792" s="38">
        <v>46147</v>
      </c>
      <c r="B792" t="s">
        <v>741</v>
      </c>
      <c r="C792" s="95">
        <v>3600</v>
      </c>
      <c r="D792" s="95"/>
      <c r="F792" s="110" t="s">
        <v>108</v>
      </c>
    </row>
    <row r="793" spans="1:6" x14ac:dyDescent="0.3">
      <c r="A793" s="38">
        <v>46147</v>
      </c>
      <c r="B793" t="s">
        <v>54</v>
      </c>
      <c r="C793" s="95">
        <v>600</v>
      </c>
      <c r="D793" s="95"/>
      <c r="F793" s="110" t="s">
        <v>108</v>
      </c>
    </row>
    <row r="794" spans="1:6" x14ac:dyDescent="0.3">
      <c r="A794" s="38">
        <v>46147</v>
      </c>
      <c r="B794" t="s">
        <v>246</v>
      </c>
      <c r="C794" s="95">
        <f>11000-3600-600</f>
        <v>6800</v>
      </c>
      <c r="D794" s="95"/>
      <c r="E794" t="s">
        <v>742</v>
      </c>
      <c r="F794" s="110" t="s">
        <v>108</v>
      </c>
    </row>
    <row r="795" spans="1:6" x14ac:dyDescent="0.3">
      <c r="A795" s="38">
        <v>46149</v>
      </c>
      <c r="B795" t="s">
        <v>220</v>
      </c>
      <c r="C795" s="95"/>
      <c r="D795" s="95">
        <v>55000</v>
      </c>
      <c r="F795" s="110" t="s">
        <v>108</v>
      </c>
    </row>
    <row r="796" spans="1:6" x14ac:dyDescent="0.3">
      <c r="A796" s="38">
        <v>46149</v>
      </c>
      <c r="B796" t="s">
        <v>743</v>
      </c>
      <c r="C796" s="95">
        <v>55000</v>
      </c>
      <c r="D796" s="95"/>
      <c r="E796" t="s">
        <v>216</v>
      </c>
      <c r="F796" s="110" t="s">
        <v>108</v>
      </c>
    </row>
    <row r="797" spans="1:6" x14ac:dyDescent="0.3">
      <c r="A797" s="38">
        <v>46149</v>
      </c>
      <c r="B797" t="s">
        <v>601</v>
      </c>
      <c r="C797" s="95">
        <v>9000</v>
      </c>
      <c r="D797" s="95"/>
      <c r="E797" t="s">
        <v>744</v>
      </c>
      <c r="F797" s="110" t="s">
        <v>108</v>
      </c>
    </row>
    <row r="798" spans="1:6" x14ac:dyDescent="0.3">
      <c r="A798" s="38">
        <v>46148</v>
      </c>
      <c r="B798" t="s">
        <v>709</v>
      </c>
      <c r="C798" s="95"/>
      <c r="D798" s="95">
        <v>30000</v>
      </c>
      <c r="F798" s="110" t="s">
        <v>108</v>
      </c>
    </row>
    <row r="799" spans="1:6" x14ac:dyDescent="0.3">
      <c r="A799" s="38">
        <v>46148</v>
      </c>
      <c r="B799" t="s">
        <v>220</v>
      </c>
      <c r="C799" s="95">
        <v>30000</v>
      </c>
      <c r="D799" s="95"/>
      <c r="E799" t="s">
        <v>745</v>
      </c>
      <c r="F799" s="110" t="s">
        <v>108</v>
      </c>
    </row>
    <row r="800" spans="1:6" x14ac:dyDescent="0.3">
      <c r="A800" s="38">
        <v>46149</v>
      </c>
      <c r="B800" t="s">
        <v>220</v>
      </c>
      <c r="C800" s="95"/>
      <c r="D800" s="95">
        <v>50000</v>
      </c>
      <c r="E800" t="s">
        <v>749</v>
      </c>
      <c r="F800" s="110" t="s">
        <v>108</v>
      </c>
    </row>
    <row r="801" spans="1:6" x14ac:dyDescent="0.3">
      <c r="A801" s="114">
        <v>46149</v>
      </c>
      <c r="B801" t="s">
        <v>733</v>
      </c>
      <c r="C801" s="11">
        <v>24500</v>
      </c>
      <c r="D801" s="11"/>
      <c r="E801" t="s">
        <v>242</v>
      </c>
      <c r="F801" s="110" t="s">
        <v>108</v>
      </c>
    </row>
    <row r="802" spans="1:6" x14ac:dyDescent="0.3">
      <c r="A802" s="114">
        <v>46149</v>
      </c>
      <c r="B802" t="s">
        <v>733</v>
      </c>
      <c r="C802" s="11">
        <v>25000</v>
      </c>
      <c r="D802" s="11"/>
      <c r="E802" t="s">
        <v>242</v>
      </c>
      <c r="F802" s="110" t="s">
        <v>108</v>
      </c>
    </row>
    <row r="803" spans="1:6" x14ac:dyDescent="0.3">
      <c r="A803" s="114">
        <v>46149</v>
      </c>
      <c r="B803" t="s">
        <v>212</v>
      </c>
      <c r="C803" s="11">
        <v>500</v>
      </c>
      <c r="D803" s="11"/>
      <c r="F803" s="110" t="s">
        <v>108</v>
      </c>
    </row>
    <row r="804" spans="1:6" x14ac:dyDescent="0.3">
      <c r="A804" s="114">
        <v>46149</v>
      </c>
      <c r="B804" t="s">
        <v>220</v>
      </c>
      <c r="C804" s="11"/>
      <c r="D804" s="11">
        <v>20000</v>
      </c>
      <c r="E804" t="s">
        <v>330</v>
      </c>
      <c r="F804" s="110" t="s">
        <v>108</v>
      </c>
    </row>
    <row r="805" spans="1:6" x14ac:dyDescent="0.3">
      <c r="A805" s="114">
        <v>46149</v>
      </c>
      <c r="B805" t="s">
        <v>357</v>
      </c>
      <c r="C805" s="11">
        <v>25000</v>
      </c>
      <c r="D805" s="11"/>
      <c r="E805" t="s">
        <v>621</v>
      </c>
      <c r="F805" s="110" t="s">
        <v>108</v>
      </c>
    </row>
    <row r="806" spans="1:6" x14ac:dyDescent="0.3">
      <c r="A806" s="114">
        <v>46150</v>
      </c>
      <c r="B806" t="s">
        <v>55</v>
      </c>
      <c r="C806" s="11">
        <v>1600</v>
      </c>
      <c r="D806" s="11"/>
      <c r="F806" s="110" t="s">
        <v>108</v>
      </c>
    </row>
    <row r="807" spans="1:6" x14ac:dyDescent="0.3">
      <c r="A807" s="38">
        <v>46150</v>
      </c>
      <c r="B807" t="s">
        <v>220</v>
      </c>
      <c r="C807" s="95"/>
      <c r="D807" s="95">
        <v>60000</v>
      </c>
      <c r="E807" t="s">
        <v>750</v>
      </c>
      <c r="F807" s="110" t="s">
        <v>108</v>
      </c>
    </row>
    <row r="808" spans="1:6" x14ac:dyDescent="0.3">
      <c r="A808" s="38">
        <v>46150</v>
      </c>
      <c r="B808" t="s">
        <v>55</v>
      </c>
      <c r="C808" s="95">
        <v>2520</v>
      </c>
      <c r="D808" s="95"/>
      <c r="E808" t="s">
        <v>663</v>
      </c>
      <c r="F808" s="110" t="s">
        <v>108</v>
      </c>
    </row>
    <row r="809" spans="1:6" x14ac:dyDescent="0.3">
      <c r="A809" s="38">
        <v>46150</v>
      </c>
      <c r="B809" t="s">
        <v>117</v>
      </c>
      <c r="C809" s="95">
        <v>46800</v>
      </c>
      <c r="D809" s="95"/>
      <c r="E809" t="s">
        <v>751</v>
      </c>
      <c r="F809" s="110" t="s">
        <v>108</v>
      </c>
    </row>
    <row r="810" spans="1:6" x14ac:dyDescent="0.3">
      <c r="A810" s="38">
        <v>46150</v>
      </c>
      <c r="B810" t="s">
        <v>54</v>
      </c>
      <c r="C810" s="95">
        <v>700</v>
      </c>
      <c r="D810" s="95"/>
      <c r="E810" t="s">
        <v>470</v>
      </c>
      <c r="F810" s="110" t="s">
        <v>108</v>
      </c>
    </row>
    <row r="811" spans="1:6" x14ac:dyDescent="0.3">
      <c r="A811" s="38">
        <v>46150</v>
      </c>
      <c r="B811" t="s">
        <v>572</v>
      </c>
      <c r="C811" s="95">
        <v>2200</v>
      </c>
      <c r="D811" s="95"/>
      <c r="E811" t="s">
        <v>752</v>
      </c>
      <c r="F811" s="110" t="s">
        <v>108</v>
      </c>
    </row>
    <row r="812" spans="1:6" x14ac:dyDescent="0.3">
      <c r="A812" s="38">
        <v>46150</v>
      </c>
      <c r="B812" t="s">
        <v>220</v>
      </c>
      <c r="C812" s="95"/>
      <c r="D812" s="95">
        <v>250000</v>
      </c>
      <c r="E812" t="s">
        <v>753</v>
      </c>
      <c r="F812" s="110" t="s">
        <v>108</v>
      </c>
    </row>
    <row r="813" spans="1:6" x14ac:dyDescent="0.3">
      <c r="A813" s="38">
        <v>46150</v>
      </c>
      <c r="B813" t="s">
        <v>709</v>
      </c>
      <c r="C813" s="95"/>
      <c r="D813" s="95">
        <v>100000</v>
      </c>
      <c r="E813" t="s">
        <v>109</v>
      </c>
      <c r="F813" s="110" t="s">
        <v>108</v>
      </c>
    </row>
    <row r="814" spans="1:6" x14ac:dyDescent="0.3">
      <c r="A814" s="38">
        <v>46150</v>
      </c>
      <c r="B814" t="s">
        <v>220</v>
      </c>
      <c r="C814" s="95">
        <v>100000</v>
      </c>
      <c r="D814" s="95"/>
      <c r="E814" t="s">
        <v>745</v>
      </c>
      <c r="F814" s="110" t="s">
        <v>108</v>
      </c>
    </row>
    <row r="815" spans="1:6" x14ac:dyDescent="0.3">
      <c r="A815" s="38">
        <v>46150</v>
      </c>
      <c r="B815" t="s">
        <v>298</v>
      </c>
      <c r="C815" s="95">
        <v>100000</v>
      </c>
      <c r="D815" s="95"/>
      <c r="E815" t="s">
        <v>754</v>
      </c>
      <c r="F815" s="110" t="s">
        <v>108</v>
      </c>
    </row>
    <row r="816" spans="1:6" x14ac:dyDescent="0.3">
      <c r="A816" s="38">
        <v>46150</v>
      </c>
      <c r="B816" t="s">
        <v>222</v>
      </c>
      <c r="C816" s="95">
        <v>100000</v>
      </c>
      <c r="D816" s="95"/>
      <c r="E816" t="s">
        <v>754</v>
      </c>
      <c r="F816" s="110" t="s">
        <v>108</v>
      </c>
    </row>
    <row r="817" spans="1:6" x14ac:dyDescent="0.3">
      <c r="A817" s="38">
        <v>46150</v>
      </c>
      <c r="B817" t="s">
        <v>282</v>
      </c>
      <c r="C817" s="95">
        <v>45000</v>
      </c>
      <c r="D817" s="95"/>
      <c r="E817" t="s">
        <v>755</v>
      </c>
      <c r="F817" s="110" t="s">
        <v>108</v>
      </c>
    </row>
    <row r="818" spans="1:6" x14ac:dyDescent="0.3">
      <c r="A818" s="38">
        <v>46149</v>
      </c>
      <c r="B818" t="s">
        <v>572</v>
      </c>
      <c r="C818" s="95">
        <v>2200</v>
      </c>
      <c r="D818" s="95"/>
      <c r="F818" s="110" t="s">
        <v>108</v>
      </c>
    </row>
    <row r="819" spans="1:6" x14ac:dyDescent="0.3">
      <c r="A819" s="38">
        <v>46150</v>
      </c>
      <c r="B819" t="s">
        <v>212</v>
      </c>
      <c r="C819" s="95">
        <v>790</v>
      </c>
      <c r="D819" s="95"/>
      <c r="E819" t="s">
        <v>293</v>
      </c>
      <c r="F819" s="110" t="s">
        <v>108</v>
      </c>
    </row>
    <row r="820" spans="1:6" x14ac:dyDescent="0.3">
      <c r="A820" s="38">
        <v>46151</v>
      </c>
      <c r="B820" t="s">
        <v>756</v>
      </c>
      <c r="C820" s="95"/>
      <c r="D820" s="95">
        <v>500000</v>
      </c>
      <c r="E820" t="s">
        <v>757</v>
      </c>
      <c r="F820" s="110" t="s">
        <v>108</v>
      </c>
    </row>
    <row r="821" spans="1:6" x14ac:dyDescent="0.3">
      <c r="A821" s="38">
        <v>46151</v>
      </c>
      <c r="B821" t="s">
        <v>176</v>
      </c>
      <c r="C821" s="95">
        <v>55000</v>
      </c>
      <c r="D821" s="95"/>
      <c r="E821" t="s">
        <v>702</v>
      </c>
      <c r="F821" s="110" t="s">
        <v>108</v>
      </c>
    </row>
    <row r="822" spans="1:6" x14ac:dyDescent="0.3">
      <c r="A822" s="38">
        <v>46151</v>
      </c>
      <c r="B822" t="s">
        <v>54</v>
      </c>
      <c r="C822" s="95">
        <v>2000</v>
      </c>
      <c r="D822" s="95"/>
      <c r="E822" t="s">
        <v>758</v>
      </c>
      <c r="F822" s="110" t="s">
        <v>108</v>
      </c>
    </row>
    <row r="823" spans="1:6" x14ac:dyDescent="0.3">
      <c r="A823" s="38">
        <v>46151</v>
      </c>
      <c r="B823" t="s">
        <v>224</v>
      </c>
      <c r="C823" s="95">
        <v>100000</v>
      </c>
      <c r="D823" s="95"/>
      <c r="E823" t="s">
        <v>242</v>
      </c>
      <c r="F823" s="110" t="s">
        <v>108</v>
      </c>
    </row>
    <row r="824" spans="1:6" x14ac:dyDescent="0.3">
      <c r="A824" s="38">
        <v>46151</v>
      </c>
      <c r="B824" t="s">
        <v>572</v>
      </c>
      <c r="C824" s="95">
        <v>30000</v>
      </c>
      <c r="D824" s="95"/>
      <c r="E824" t="s">
        <v>759</v>
      </c>
      <c r="F824" s="110" t="s">
        <v>108</v>
      </c>
    </row>
    <row r="825" spans="1:6" x14ac:dyDescent="0.3">
      <c r="A825" s="38">
        <v>46151</v>
      </c>
      <c r="B825" t="s">
        <v>692</v>
      </c>
      <c r="C825" s="95">
        <v>198400</v>
      </c>
      <c r="D825" s="95"/>
      <c r="E825" t="s">
        <v>760</v>
      </c>
      <c r="F825" s="110" t="s">
        <v>108</v>
      </c>
    </row>
    <row r="826" spans="1:6" x14ac:dyDescent="0.3">
      <c r="A826" s="38">
        <v>46151</v>
      </c>
      <c r="B826" t="s">
        <v>169</v>
      </c>
      <c r="C826" s="95">
        <v>100000</v>
      </c>
      <c r="D826" s="95"/>
      <c r="E826" t="s">
        <v>761</v>
      </c>
      <c r="F826" s="110" t="s">
        <v>108</v>
      </c>
    </row>
    <row r="827" spans="1:6" x14ac:dyDescent="0.3">
      <c r="A827" s="38">
        <v>46151</v>
      </c>
      <c r="B827" t="s">
        <v>55</v>
      </c>
      <c r="C827" s="95">
        <v>2800</v>
      </c>
      <c r="D827" s="95"/>
      <c r="E827" t="s">
        <v>642</v>
      </c>
      <c r="F827" s="110" t="s">
        <v>108</v>
      </c>
    </row>
    <row r="828" spans="1:6" x14ac:dyDescent="0.3">
      <c r="A828" s="38">
        <v>46151</v>
      </c>
      <c r="B828" t="s">
        <v>357</v>
      </c>
      <c r="C828" s="95">
        <v>10000</v>
      </c>
      <c r="D828" s="95"/>
      <c r="E828" t="s">
        <v>694</v>
      </c>
      <c r="F828" s="110" t="s">
        <v>108</v>
      </c>
    </row>
    <row r="829" spans="1:6" x14ac:dyDescent="0.3">
      <c r="A829" s="38">
        <v>46151</v>
      </c>
      <c r="B829" t="s">
        <v>357</v>
      </c>
      <c r="C829" s="95">
        <v>10000</v>
      </c>
      <c r="D829" s="95"/>
      <c r="E829" t="s">
        <v>469</v>
      </c>
      <c r="F829" s="110" t="s">
        <v>108</v>
      </c>
    </row>
    <row r="830" spans="1:6" x14ac:dyDescent="0.3">
      <c r="A830" s="38">
        <v>46151</v>
      </c>
      <c r="B830" t="s">
        <v>212</v>
      </c>
      <c r="C830" s="95">
        <v>2260</v>
      </c>
      <c r="D830" s="95"/>
      <c r="F830" s="110" t="s">
        <v>108</v>
      </c>
    </row>
    <row r="831" spans="1:6" x14ac:dyDescent="0.3">
      <c r="A831" s="38">
        <v>46152</v>
      </c>
      <c r="B831" t="s">
        <v>220</v>
      </c>
      <c r="C831" s="95"/>
      <c r="D831" s="95">
        <v>18000</v>
      </c>
      <c r="F831" s="110" t="s">
        <v>108</v>
      </c>
    </row>
    <row r="832" spans="1:6" x14ac:dyDescent="0.3">
      <c r="A832" s="38">
        <v>46152</v>
      </c>
      <c r="B832" t="s">
        <v>601</v>
      </c>
      <c r="C832" s="95">
        <v>4500</v>
      </c>
      <c r="D832" s="95"/>
      <c r="E832" t="s">
        <v>439</v>
      </c>
      <c r="F832" s="110" t="s">
        <v>108</v>
      </c>
    </row>
    <row r="833" spans="1:6" x14ac:dyDescent="0.3">
      <c r="A833" s="38">
        <v>46152</v>
      </c>
      <c r="B833" t="s">
        <v>212</v>
      </c>
      <c r="C833" s="95">
        <v>780</v>
      </c>
      <c r="D833" s="95"/>
      <c r="F833" s="110" t="s">
        <v>108</v>
      </c>
    </row>
    <row r="834" spans="1:6" x14ac:dyDescent="0.3">
      <c r="A834" s="38">
        <v>46152</v>
      </c>
      <c r="B834" t="s">
        <v>55</v>
      </c>
      <c r="C834" s="95">
        <v>1560</v>
      </c>
      <c r="D834" s="95"/>
      <c r="F834" s="110" t="s">
        <v>108</v>
      </c>
    </row>
    <row r="835" spans="1:6" x14ac:dyDescent="0.3">
      <c r="A835" s="38">
        <v>46152</v>
      </c>
      <c r="B835" t="s">
        <v>55</v>
      </c>
      <c r="C835" s="95">
        <v>2500</v>
      </c>
      <c r="D835" s="95"/>
      <c r="F835" s="110" t="s">
        <v>108</v>
      </c>
    </row>
    <row r="836" spans="1:6" x14ac:dyDescent="0.3">
      <c r="A836" s="38">
        <v>46152</v>
      </c>
      <c r="B836" t="s">
        <v>55</v>
      </c>
      <c r="C836" s="95">
        <v>550</v>
      </c>
      <c r="D836" s="95"/>
      <c r="F836" s="110" t="s">
        <v>108</v>
      </c>
    </row>
    <row r="837" spans="1:6" x14ac:dyDescent="0.3">
      <c r="A837" s="38">
        <v>46152</v>
      </c>
      <c r="B837" t="s">
        <v>55</v>
      </c>
      <c r="C837" s="95">
        <v>1000</v>
      </c>
      <c r="D837" s="95"/>
      <c r="F837" s="110" t="s">
        <v>108</v>
      </c>
    </row>
    <row r="838" spans="1:6" x14ac:dyDescent="0.3">
      <c r="A838" s="38">
        <v>46152</v>
      </c>
      <c r="B838" t="s">
        <v>212</v>
      </c>
      <c r="C838" s="95"/>
      <c r="D838" s="95">
        <v>1000</v>
      </c>
      <c r="F838" s="110" t="s">
        <v>108</v>
      </c>
    </row>
    <row r="839" spans="1:6" x14ac:dyDescent="0.3">
      <c r="A839" s="38">
        <v>46151</v>
      </c>
      <c r="B839" t="s">
        <v>709</v>
      </c>
      <c r="C839" s="95"/>
      <c r="D839" s="95">
        <v>100000</v>
      </c>
      <c r="E839" t="s">
        <v>109</v>
      </c>
      <c r="F839" s="110" t="s">
        <v>108</v>
      </c>
    </row>
    <row r="840" spans="1:6" x14ac:dyDescent="0.3">
      <c r="A840" s="38">
        <v>46151</v>
      </c>
      <c r="B840" t="s">
        <v>220</v>
      </c>
      <c r="C840" s="95">
        <v>100000</v>
      </c>
      <c r="D840" s="95"/>
      <c r="E840" t="s">
        <v>745</v>
      </c>
      <c r="F840" s="110" t="s">
        <v>108</v>
      </c>
    </row>
    <row r="841" spans="1:6" x14ac:dyDescent="0.3">
      <c r="A841" s="38">
        <v>46153</v>
      </c>
      <c r="B841" t="s">
        <v>192</v>
      </c>
      <c r="C841" s="95"/>
      <c r="D841" s="95">
        <v>60000</v>
      </c>
      <c r="F841" s="110" t="s">
        <v>108</v>
      </c>
    </row>
    <row r="842" spans="1:6" x14ac:dyDescent="0.3">
      <c r="A842" s="38">
        <v>46153</v>
      </c>
      <c r="B842" t="s">
        <v>220</v>
      </c>
      <c r="C842" s="95">
        <v>60000</v>
      </c>
      <c r="D842" s="95"/>
      <c r="E842" t="s">
        <v>192</v>
      </c>
      <c r="F842" s="110" t="s">
        <v>108</v>
      </c>
    </row>
    <row r="843" spans="1:6" x14ac:dyDescent="0.3">
      <c r="A843" s="38">
        <v>46154</v>
      </c>
      <c r="B843" t="s">
        <v>709</v>
      </c>
      <c r="C843" s="95"/>
      <c r="D843" s="95">
        <v>50000</v>
      </c>
      <c r="E843" t="s">
        <v>109</v>
      </c>
      <c r="F843" s="110" t="s">
        <v>108</v>
      </c>
    </row>
    <row r="844" spans="1:6" x14ac:dyDescent="0.3">
      <c r="A844" s="38">
        <v>46154</v>
      </c>
      <c r="B844" t="s">
        <v>220</v>
      </c>
      <c r="C844" s="95">
        <v>50000</v>
      </c>
      <c r="D844" s="95"/>
      <c r="E844" t="s">
        <v>762</v>
      </c>
      <c r="F844" s="110" t="s">
        <v>108</v>
      </c>
    </row>
    <row r="845" spans="1:6" x14ac:dyDescent="0.3">
      <c r="A845" s="38">
        <v>46153</v>
      </c>
      <c r="B845" t="s">
        <v>55</v>
      </c>
      <c r="C845" s="95">
        <v>3500</v>
      </c>
      <c r="D845" s="95"/>
      <c r="E845" t="s">
        <v>763</v>
      </c>
      <c r="F845" s="110" t="s">
        <v>108</v>
      </c>
    </row>
    <row r="846" spans="1:6" x14ac:dyDescent="0.3">
      <c r="A846" s="38">
        <v>46153</v>
      </c>
      <c r="B846" t="s">
        <v>55</v>
      </c>
      <c r="C846" s="95">
        <v>1560</v>
      </c>
      <c r="D846" s="95"/>
      <c r="E846" t="s">
        <v>763</v>
      </c>
      <c r="F846" s="110" t="s">
        <v>108</v>
      </c>
    </row>
    <row r="847" spans="1:6" x14ac:dyDescent="0.3">
      <c r="A847" s="38">
        <v>46153</v>
      </c>
      <c r="B847" t="s">
        <v>220</v>
      </c>
      <c r="C847" s="95"/>
      <c r="D847" s="95">
        <v>3500</v>
      </c>
      <c r="F847" s="110" t="s">
        <v>108</v>
      </c>
    </row>
    <row r="848" spans="1:6" x14ac:dyDescent="0.3">
      <c r="A848" s="38">
        <v>46153</v>
      </c>
      <c r="B848" t="s">
        <v>55</v>
      </c>
      <c r="C848" s="95">
        <v>2500</v>
      </c>
      <c r="D848" s="95"/>
      <c r="E848" t="s">
        <v>491</v>
      </c>
      <c r="F848" s="110" t="s">
        <v>108</v>
      </c>
    </row>
    <row r="849" spans="1:6" x14ac:dyDescent="0.3">
      <c r="A849" s="38">
        <v>46153</v>
      </c>
      <c r="B849" t="s">
        <v>55</v>
      </c>
      <c r="C849" s="95">
        <v>550</v>
      </c>
      <c r="D849" s="95"/>
      <c r="F849" s="110" t="s">
        <v>108</v>
      </c>
    </row>
    <row r="850" spans="1:6" x14ac:dyDescent="0.3">
      <c r="A850" s="38">
        <v>46153</v>
      </c>
      <c r="B850" t="s">
        <v>115</v>
      </c>
      <c r="C850" s="95">
        <v>500000</v>
      </c>
      <c r="D850" s="95"/>
      <c r="E850" t="s">
        <v>764</v>
      </c>
      <c r="F850" s="110" t="s">
        <v>108</v>
      </c>
    </row>
    <row r="851" spans="1:6" x14ac:dyDescent="0.3">
      <c r="A851" s="38">
        <v>46153</v>
      </c>
      <c r="B851" t="s">
        <v>220</v>
      </c>
      <c r="C851" s="95"/>
      <c r="D851" s="95">
        <v>500000</v>
      </c>
      <c r="E851" t="s">
        <v>765</v>
      </c>
      <c r="F851" s="110" t="s">
        <v>108</v>
      </c>
    </row>
    <row r="852" spans="1:6" x14ac:dyDescent="0.3">
      <c r="A852" s="38">
        <v>46153</v>
      </c>
      <c r="B852" t="s">
        <v>9</v>
      </c>
      <c r="C852" s="95"/>
      <c r="D852" s="95">
        <v>37085</v>
      </c>
      <c r="E852" t="s">
        <v>216</v>
      </c>
      <c r="F852" s="110" t="s">
        <v>108</v>
      </c>
    </row>
    <row r="853" spans="1:6" x14ac:dyDescent="0.3">
      <c r="A853" s="38">
        <v>46153</v>
      </c>
      <c r="B853" t="s">
        <v>55</v>
      </c>
      <c r="C853" s="95">
        <v>28500</v>
      </c>
      <c r="D853" s="95"/>
      <c r="E853" t="s">
        <v>766</v>
      </c>
      <c r="F853" s="110" t="s">
        <v>108</v>
      </c>
    </row>
    <row r="854" spans="1:6" x14ac:dyDescent="0.3">
      <c r="A854" s="38">
        <v>46153</v>
      </c>
      <c r="B854" t="s">
        <v>220</v>
      </c>
      <c r="C854" s="95"/>
      <c r="D854" s="95">
        <v>250000</v>
      </c>
      <c r="E854" t="s">
        <v>767</v>
      </c>
      <c r="F854" s="110" t="s">
        <v>108</v>
      </c>
    </row>
    <row r="855" spans="1:6" x14ac:dyDescent="0.3">
      <c r="A855" s="38">
        <v>46153</v>
      </c>
      <c r="B855" t="s">
        <v>220</v>
      </c>
      <c r="C855" s="95"/>
      <c r="D855" s="95">
        <v>134000</v>
      </c>
      <c r="E855" t="s">
        <v>768</v>
      </c>
      <c r="F855" s="110" t="s">
        <v>108</v>
      </c>
    </row>
    <row r="856" spans="1:6" x14ac:dyDescent="0.3">
      <c r="A856" s="38">
        <v>46153</v>
      </c>
      <c r="B856" t="s">
        <v>733</v>
      </c>
      <c r="C856" s="95">
        <v>300000</v>
      </c>
      <c r="D856" s="95"/>
      <c r="E856" t="s">
        <v>769</v>
      </c>
      <c r="F856" s="110" t="s">
        <v>108</v>
      </c>
    </row>
    <row r="857" spans="1:6" x14ac:dyDescent="0.3">
      <c r="A857" s="38">
        <v>46153</v>
      </c>
      <c r="B857" t="s">
        <v>54</v>
      </c>
      <c r="C857" s="95">
        <v>3500</v>
      </c>
      <c r="D857" s="95"/>
      <c r="E857" t="s">
        <v>770</v>
      </c>
      <c r="F857" s="110" t="s">
        <v>108</v>
      </c>
    </row>
    <row r="858" spans="1:6" x14ac:dyDescent="0.3">
      <c r="A858" s="38">
        <v>46153</v>
      </c>
      <c r="B858" t="s">
        <v>357</v>
      </c>
      <c r="C858" s="95">
        <v>5000</v>
      </c>
      <c r="D858" s="95"/>
      <c r="E858" t="s">
        <v>771</v>
      </c>
      <c r="F858" s="110" t="s">
        <v>108</v>
      </c>
    </row>
    <row r="859" spans="1:6" x14ac:dyDescent="0.3">
      <c r="A859" s="38">
        <v>46153</v>
      </c>
      <c r="B859" t="s">
        <v>212</v>
      </c>
      <c r="C859" s="95">
        <v>200</v>
      </c>
      <c r="D859" s="95"/>
      <c r="F859" s="110" t="s">
        <v>108</v>
      </c>
    </row>
    <row r="860" spans="1:6" x14ac:dyDescent="0.3">
      <c r="A860" s="38">
        <v>46153</v>
      </c>
      <c r="B860" t="s">
        <v>55</v>
      </c>
      <c r="C860" s="95">
        <v>12491</v>
      </c>
      <c r="D860" s="95"/>
      <c r="E860" t="s">
        <v>315</v>
      </c>
      <c r="F860" s="110" t="s">
        <v>108</v>
      </c>
    </row>
    <row r="861" spans="1:6" x14ac:dyDescent="0.3">
      <c r="A861" s="38">
        <v>46154</v>
      </c>
      <c r="B861" t="s">
        <v>55</v>
      </c>
      <c r="C861" s="95">
        <v>400</v>
      </c>
      <c r="D861" s="95"/>
      <c r="F861" s="110" t="s">
        <v>108</v>
      </c>
    </row>
    <row r="862" spans="1:6" x14ac:dyDescent="0.3">
      <c r="A862" s="38">
        <v>46154</v>
      </c>
      <c r="B862" t="s">
        <v>54</v>
      </c>
      <c r="C862" s="95">
        <v>17000</v>
      </c>
      <c r="D862" s="95"/>
      <c r="E862" t="s">
        <v>772</v>
      </c>
      <c r="F862" s="110" t="s">
        <v>108</v>
      </c>
    </row>
    <row r="863" spans="1:6" x14ac:dyDescent="0.3">
      <c r="A863" s="38">
        <v>46154</v>
      </c>
      <c r="B863" t="s">
        <v>55</v>
      </c>
      <c r="C863" s="11">
        <v>350</v>
      </c>
      <c r="D863" s="11"/>
      <c r="E863" t="s">
        <v>773</v>
      </c>
      <c r="F863" s="110" t="s">
        <v>108</v>
      </c>
    </row>
    <row r="864" spans="1:6" x14ac:dyDescent="0.3">
      <c r="A864" s="38">
        <v>46154</v>
      </c>
      <c r="B864" t="s">
        <v>572</v>
      </c>
      <c r="C864" s="11">
        <v>1800</v>
      </c>
      <c r="D864" s="11"/>
      <c r="F864" s="110" t="s">
        <v>108</v>
      </c>
    </row>
    <row r="865" spans="1:6" x14ac:dyDescent="0.3">
      <c r="A865" s="38">
        <v>46154</v>
      </c>
      <c r="B865" t="s">
        <v>224</v>
      </c>
      <c r="C865" s="11">
        <v>39000</v>
      </c>
      <c r="D865" s="11"/>
      <c r="E865" t="s">
        <v>242</v>
      </c>
      <c r="F865" s="110" t="s">
        <v>108</v>
      </c>
    </row>
    <row r="866" spans="1:6" x14ac:dyDescent="0.3">
      <c r="A866" s="38">
        <v>46154</v>
      </c>
      <c r="B866" t="s">
        <v>601</v>
      </c>
      <c r="C866" s="11">
        <v>6000</v>
      </c>
      <c r="D866" s="11"/>
      <c r="E866" t="s">
        <v>774</v>
      </c>
      <c r="F866" s="110" t="s">
        <v>108</v>
      </c>
    </row>
    <row r="867" spans="1:6" x14ac:dyDescent="0.3">
      <c r="A867" s="38">
        <v>46154</v>
      </c>
      <c r="B867" t="s">
        <v>220</v>
      </c>
      <c r="C867" s="11"/>
      <c r="D867" s="11">
        <v>60000</v>
      </c>
      <c r="E867" t="s">
        <v>775</v>
      </c>
      <c r="F867" s="110" t="s">
        <v>108</v>
      </c>
    </row>
    <row r="868" spans="1:6" x14ac:dyDescent="0.3">
      <c r="A868" s="38">
        <v>46154</v>
      </c>
      <c r="B868" t="s">
        <v>224</v>
      </c>
      <c r="C868" s="11">
        <v>100000</v>
      </c>
      <c r="D868" s="11"/>
      <c r="E868" t="s">
        <v>776</v>
      </c>
      <c r="F868" s="110" t="s">
        <v>108</v>
      </c>
    </row>
    <row r="869" spans="1:6" x14ac:dyDescent="0.3">
      <c r="A869" s="38">
        <v>46154</v>
      </c>
      <c r="B869" t="s">
        <v>220</v>
      </c>
      <c r="C869" s="11"/>
      <c r="D869" s="11">
        <v>135000</v>
      </c>
      <c r="E869" t="s">
        <v>777</v>
      </c>
      <c r="F869" s="110" t="s">
        <v>108</v>
      </c>
    </row>
    <row r="870" spans="1:6" x14ac:dyDescent="0.3">
      <c r="A870" s="38">
        <v>46154</v>
      </c>
      <c r="B870" t="s">
        <v>55</v>
      </c>
      <c r="C870" s="11">
        <v>3700</v>
      </c>
      <c r="D870" s="11"/>
      <c r="E870" t="s">
        <v>778</v>
      </c>
      <c r="F870" s="110" t="s">
        <v>108</v>
      </c>
    </row>
    <row r="871" spans="1:6" x14ac:dyDescent="0.3">
      <c r="A871" s="38">
        <v>46154</v>
      </c>
      <c r="B871" t="s">
        <v>220</v>
      </c>
      <c r="C871" s="11"/>
      <c r="D871" s="11">
        <v>195000</v>
      </c>
      <c r="E871" t="s">
        <v>757</v>
      </c>
      <c r="F871" s="110" t="s">
        <v>108</v>
      </c>
    </row>
    <row r="872" spans="1:6" x14ac:dyDescent="0.3">
      <c r="A872" s="114">
        <v>46154</v>
      </c>
      <c r="B872" t="s">
        <v>220</v>
      </c>
      <c r="C872" s="11"/>
      <c r="D872" s="11">
        <v>18000</v>
      </c>
      <c r="E872" t="s">
        <v>779</v>
      </c>
      <c r="F872" s="110" t="s">
        <v>108</v>
      </c>
    </row>
    <row r="873" spans="1:6" x14ac:dyDescent="0.3">
      <c r="A873" s="114">
        <v>46154</v>
      </c>
      <c r="B873" t="s">
        <v>224</v>
      </c>
      <c r="C873" s="11">
        <v>350000</v>
      </c>
      <c r="D873" s="11"/>
      <c r="E873" t="s">
        <v>780</v>
      </c>
      <c r="F873" s="110" t="s">
        <v>108</v>
      </c>
    </row>
    <row r="874" spans="1:6" x14ac:dyDescent="0.3">
      <c r="A874" s="114">
        <v>46154</v>
      </c>
      <c r="B874" t="s">
        <v>212</v>
      </c>
      <c r="C874" s="11">
        <v>500</v>
      </c>
      <c r="D874" s="11"/>
      <c r="F874" s="110" t="s">
        <v>108</v>
      </c>
    </row>
    <row r="875" spans="1:6" x14ac:dyDescent="0.3">
      <c r="A875" s="114">
        <v>46155</v>
      </c>
      <c r="B875" t="s">
        <v>220</v>
      </c>
      <c r="C875" s="11"/>
      <c r="D875" s="11">
        <v>18000</v>
      </c>
      <c r="E875" t="s">
        <v>781</v>
      </c>
      <c r="F875" s="110" t="s">
        <v>108</v>
      </c>
    </row>
    <row r="876" spans="1:6" x14ac:dyDescent="0.3">
      <c r="A876" s="114">
        <v>46155</v>
      </c>
      <c r="B876" t="s">
        <v>117</v>
      </c>
      <c r="C876" s="11">
        <v>18000</v>
      </c>
      <c r="D876" s="11"/>
      <c r="E876" t="s">
        <v>781</v>
      </c>
      <c r="F876" s="110" t="s">
        <v>108</v>
      </c>
    </row>
    <row r="877" spans="1:6" x14ac:dyDescent="0.3">
      <c r="A877" s="114">
        <v>46155</v>
      </c>
      <c r="B877" t="s">
        <v>357</v>
      </c>
      <c r="C877" s="11">
        <v>5000</v>
      </c>
      <c r="D877" s="11"/>
      <c r="E877" t="s">
        <v>621</v>
      </c>
      <c r="F877" s="110" t="s">
        <v>108</v>
      </c>
    </row>
    <row r="878" spans="1:6" x14ac:dyDescent="0.3">
      <c r="A878" s="114">
        <v>46155</v>
      </c>
      <c r="B878" t="s">
        <v>601</v>
      </c>
      <c r="C878" s="11">
        <v>3240</v>
      </c>
      <c r="D878" s="11"/>
      <c r="E878" t="s">
        <v>782</v>
      </c>
      <c r="F878" s="110" t="s">
        <v>108</v>
      </c>
    </row>
    <row r="879" spans="1:6" x14ac:dyDescent="0.3">
      <c r="A879" s="114">
        <v>46155</v>
      </c>
      <c r="B879" t="s">
        <v>192</v>
      </c>
      <c r="C879" s="11"/>
      <c r="D879" s="11">
        <v>68900</v>
      </c>
      <c r="E879" t="s">
        <v>783</v>
      </c>
      <c r="F879" s="110" t="s">
        <v>108</v>
      </c>
    </row>
    <row r="880" spans="1:6" x14ac:dyDescent="0.3">
      <c r="A880" s="114">
        <v>46155</v>
      </c>
      <c r="B880" t="s">
        <v>55</v>
      </c>
      <c r="C880" s="11">
        <v>51466</v>
      </c>
      <c r="D880" s="11"/>
      <c r="E880" t="s">
        <v>315</v>
      </c>
      <c r="F880" s="110" t="s">
        <v>108</v>
      </c>
    </row>
    <row r="881" spans="1:6" x14ac:dyDescent="0.3">
      <c r="A881" s="114">
        <v>46155</v>
      </c>
      <c r="B881" t="s">
        <v>220</v>
      </c>
      <c r="C881" s="11"/>
      <c r="D881" s="11">
        <v>45000</v>
      </c>
      <c r="E881" t="s">
        <v>535</v>
      </c>
      <c r="F881" s="110" t="s">
        <v>108</v>
      </c>
    </row>
    <row r="882" spans="1:6" x14ac:dyDescent="0.3">
      <c r="A882" s="114">
        <v>46155</v>
      </c>
      <c r="B882" t="s">
        <v>282</v>
      </c>
      <c r="C882" s="11">
        <v>50000</v>
      </c>
      <c r="D882" s="11"/>
      <c r="E882" t="s">
        <v>652</v>
      </c>
      <c r="F882" s="110" t="s">
        <v>108</v>
      </c>
    </row>
    <row r="883" spans="1:6" x14ac:dyDescent="0.3">
      <c r="A883" s="114">
        <v>46155</v>
      </c>
      <c r="B883" t="s">
        <v>212</v>
      </c>
      <c r="C883" s="11">
        <f>226+780</f>
        <v>1006</v>
      </c>
      <c r="D883" s="11"/>
      <c r="F883" s="110" t="s">
        <v>108</v>
      </c>
    </row>
    <row r="884" spans="1:6" x14ac:dyDescent="0.3">
      <c r="A884" s="114">
        <v>46156</v>
      </c>
      <c r="B884" t="s">
        <v>55</v>
      </c>
      <c r="C884" s="11">
        <v>1600</v>
      </c>
      <c r="D884" s="11"/>
      <c r="E884" t="s">
        <v>682</v>
      </c>
      <c r="F884" s="110" t="s">
        <v>108</v>
      </c>
    </row>
    <row r="885" spans="1:6" x14ac:dyDescent="0.3">
      <c r="A885" s="114">
        <v>46156</v>
      </c>
      <c r="B885" t="s">
        <v>357</v>
      </c>
      <c r="C885" s="11">
        <v>5000</v>
      </c>
      <c r="D885" s="11"/>
      <c r="E885" t="s">
        <v>281</v>
      </c>
      <c r="F885" s="110" t="s">
        <v>108</v>
      </c>
    </row>
    <row r="886" spans="1:6" x14ac:dyDescent="0.3">
      <c r="A886" s="114">
        <v>46156</v>
      </c>
      <c r="B886" t="s">
        <v>246</v>
      </c>
      <c r="C886" s="11">
        <v>2600</v>
      </c>
      <c r="D886" s="11"/>
      <c r="E886" t="s">
        <v>784</v>
      </c>
      <c r="F886" s="110" t="s">
        <v>108</v>
      </c>
    </row>
    <row r="887" spans="1:6" x14ac:dyDescent="0.3">
      <c r="A887" s="114">
        <v>46156</v>
      </c>
      <c r="B887" t="s">
        <v>220</v>
      </c>
      <c r="C887" s="11"/>
      <c r="D887" s="11">
        <v>150000</v>
      </c>
      <c r="E887" t="s">
        <v>449</v>
      </c>
      <c r="F887" s="110" t="s">
        <v>108</v>
      </c>
    </row>
    <row r="888" spans="1:6" x14ac:dyDescent="0.3">
      <c r="A888" s="114">
        <v>46156</v>
      </c>
      <c r="B888" t="s">
        <v>220</v>
      </c>
      <c r="C888" s="11"/>
      <c r="D888" s="11">
        <v>74125</v>
      </c>
      <c r="E888" t="s">
        <v>785</v>
      </c>
      <c r="F888" s="110" t="s">
        <v>108</v>
      </c>
    </row>
    <row r="889" spans="1:6" x14ac:dyDescent="0.3">
      <c r="A889" s="114">
        <v>46156</v>
      </c>
      <c r="B889" t="s">
        <v>176</v>
      </c>
      <c r="C889" s="11">
        <v>74125</v>
      </c>
      <c r="D889" s="11"/>
      <c r="E889" t="s">
        <v>786</v>
      </c>
      <c r="F889" s="110" t="s">
        <v>108</v>
      </c>
    </row>
    <row r="890" spans="1:6" x14ac:dyDescent="0.3">
      <c r="A890" s="114">
        <v>46156</v>
      </c>
      <c r="B890" t="s">
        <v>212</v>
      </c>
      <c r="C890" s="11">
        <f>1500+300+200+2000</f>
        <v>4000</v>
      </c>
      <c r="D890" s="11"/>
      <c r="F890" s="110" t="s">
        <v>108</v>
      </c>
    </row>
    <row r="891" spans="1:6" x14ac:dyDescent="0.3">
      <c r="A891" s="114">
        <v>46156</v>
      </c>
      <c r="B891" t="s">
        <v>357</v>
      </c>
      <c r="C891" s="11">
        <v>35000</v>
      </c>
      <c r="D891" s="11"/>
      <c r="E891" t="s">
        <v>325</v>
      </c>
      <c r="F891" s="110" t="s">
        <v>108</v>
      </c>
    </row>
    <row r="892" spans="1:6" x14ac:dyDescent="0.3">
      <c r="A892" s="114">
        <v>46156</v>
      </c>
      <c r="B892" t="s">
        <v>282</v>
      </c>
      <c r="C892" s="11">
        <v>80000</v>
      </c>
      <c r="D892" s="11"/>
      <c r="E892" t="s">
        <v>787</v>
      </c>
      <c r="F892" s="110" t="s">
        <v>108</v>
      </c>
    </row>
    <row r="893" spans="1:6" x14ac:dyDescent="0.3">
      <c r="A893" s="114">
        <v>46156</v>
      </c>
      <c r="B893" t="s">
        <v>601</v>
      </c>
      <c r="C893" s="11">
        <v>2100</v>
      </c>
      <c r="D893" s="11"/>
      <c r="E893" t="s">
        <v>788</v>
      </c>
      <c r="F893" s="110" t="s">
        <v>108</v>
      </c>
    </row>
    <row r="894" spans="1:6" x14ac:dyDescent="0.3">
      <c r="A894" s="114">
        <v>46156</v>
      </c>
      <c r="B894" t="s">
        <v>582</v>
      </c>
      <c r="C894" s="11"/>
      <c r="D894" s="11">
        <v>800000</v>
      </c>
      <c r="E894" t="s">
        <v>789</v>
      </c>
      <c r="F894" s="110" t="s">
        <v>108</v>
      </c>
    </row>
    <row r="895" spans="1:6" x14ac:dyDescent="0.3">
      <c r="A895" s="114">
        <v>46155</v>
      </c>
      <c r="B895" t="s">
        <v>709</v>
      </c>
      <c r="C895" s="11"/>
      <c r="D895" s="11">
        <v>50000</v>
      </c>
      <c r="E895" t="s">
        <v>365</v>
      </c>
      <c r="F895" s="110" t="s">
        <v>108</v>
      </c>
    </row>
    <row r="896" spans="1:6" x14ac:dyDescent="0.3">
      <c r="A896" s="114">
        <v>46155</v>
      </c>
      <c r="B896" t="s">
        <v>220</v>
      </c>
      <c r="C896" s="11">
        <v>50000</v>
      </c>
      <c r="D896" s="11"/>
      <c r="E896" t="s">
        <v>745</v>
      </c>
      <c r="F896" s="110" t="s">
        <v>108</v>
      </c>
    </row>
    <row r="897" spans="1:7" x14ac:dyDescent="0.3">
      <c r="A897" s="114">
        <v>46156</v>
      </c>
      <c r="B897" t="s">
        <v>220</v>
      </c>
      <c r="C897" s="11">
        <v>500000</v>
      </c>
      <c r="D897" s="11"/>
      <c r="E897" t="s">
        <v>790</v>
      </c>
      <c r="F897" s="110" t="s">
        <v>108</v>
      </c>
    </row>
    <row r="898" spans="1:7" x14ac:dyDescent="0.3">
      <c r="A898" s="147"/>
      <c r="B898" s="145"/>
      <c r="C898" s="95"/>
      <c r="D898" s="95"/>
      <c r="E898" s="145"/>
      <c r="F898" s="148"/>
      <c r="G898" s="145"/>
    </row>
    <row r="899" spans="1:7" x14ac:dyDescent="0.3">
      <c r="A899" s="38"/>
      <c r="C899" s="14">
        <f>SUBTOTAL(109,Table14[Debit])</f>
        <v>41205247.399999999</v>
      </c>
      <c r="D899" s="14">
        <f>SUBTOTAL(109,Table14[Credit])</f>
        <v>41500778.229517192</v>
      </c>
      <c r="F899" s="54">
        <f>(Table14[[#Totals],[Credit]]-Table14[[#Totals],[Debit]])</f>
        <v>295530.82951719314</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15" zoomScale="107" zoomScaleNormal="210" workbookViewId="0">
      <selection activeCell="A36" sqref="A3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6"/>
      <c r="M10" s="146">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6">
        <v>718750</v>
      </c>
      <c r="M11" s="146">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6"/>
      <c r="M12" s="146">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6"/>
      <c r="M13" s="146">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6">
        <v>718750</v>
      </c>
      <c r="M14" s="146">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s="136">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s="136">
        <v>181250</v>
      </c>
      <c r="F24" t="s">
        <v>115</v>
      </c>
      <c r="G24">
        <f>SUMIFS(Table14[Debit], Table14[Date], Table8[[#This Row],[Date]], Table14[Party], Table8[[#This Row],[Party]])</f>
        <v>100000</v>
      </c>
      <c r="H24">
        <f>Table8[[#This Row],[Price]]-Table8[[#This Row],[Paid]]</f>
        <v>81250</v>
      </c>
    </row>
    <row r="25" spans="1:12" x14ac:dyDescent="0.3">
      <c r="A25" s="1">
        <v>46134</v>
      </c>
      <c r="B25" t="s">
        <v>633</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s="13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677</v>
      </c>
      <c r="C30">
        <v>8</v>
      </c>
      <c r="E30" s="136">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v>46148</v>
      </c>
      <c r="B32" t="s">
        <v>64</v>
      </c>
      <c r="E32">
        <v>542500</v>
      </c>
      <c r="F32" t="s">
        <v>115</v>
      </c>
      <c r="G32">
        <f>SUMIFS(Table14[Debit], Table14[Date], Table8[[#This Row],[Date]], Table14[Party], Table8[[#This Row],[Party]])</f>
        <v>0</v>
      </c>
      <c r="H32">
        <f>Table8[[#This Row],[Price]]-Table8[[#This Row],[Paid]]</f>
        <v>542500</v>
      </c>
      <c r="L32" t="s">
        <v>163</v>
      </c>
    </row>
    <row r="33" spans="1:16" x14ac:dyDescent="0.3">
      <c r="A33" s="121">
        <v>46151</v>
      </c>
      <c r="B33" t="s">
        <v>159</v>
      </c>
      <c r="E33">
        <v>55000</v>
      </c>
      <c r="F33" t="s">
        <v>176</v>
      </c>
      <c r="G33">
        <f>SUMIFS(Table14[Debit], Table14[Date], Table8[[#This Row],[Date]], Table14[Party], Table8[[#This Row],[Party]])</f>
        <v>55000</v>
      </c>
      <c r="H33">
        <f>Table8[[#This Row],[Price]]-Table8[[#This Row],[Paid]]</f>
        <v>0</v>
      </c>
      <c r="L33" t="s">
        <v>57</v>
      </c>
      <c r="M33" t="s">
        <v>156</v>
      </c>
      <c r="N33" t="s">
        <v>157</v>
      </c>
      <c r="O33" t="s">
        <v>4</v>
      </c>
      <c r="P33" t="s">
        <v>158</v>
      </c>
    </row>
    <row r="34" spans="1:16" x14ac:dyDescent="0.3">
      <c r="A34" s="121">
        <v>46156</v>
      </c>
      <c r="B34" t="s">
        <v>64</v>
      </c>
      <c r="E34">
        <v>74125</v>
      </c>
      <c r="F34" t="s">
        <v>176</v>
      </c>
      <c r="G34">
        <f>SUMIFS(Table14[Debit], Table14[Date], Table8[[#This Row],[Date]], Table14[Party], Table8[[#This Row],[Party]])</f>
        <v>74125</v>
      </c>
      <c r="H34">
        <f>Table8[[#This Row],[Price]]-Table8[[#This Row],[Paid]]</f>
        <v>0</v>
      </c>
      <c r="L34" t="s">
        <v>131</v>
      </c>
      <c r="M34">
        <v>1</v>
      </c>
      <c r="N34">
        <v>5</v>
      </c>
      <c r="O34">
        <v>1400</v>
      </c>
      <c r="P34">
        <f>Table23[[#This Row],[boxes]]*Table23[[#This Row],[kgs]]*Table23[[#This Row],[Rate]]</f>
        <v>7000</v>
      </c>
    </row>
    <row r="35" spans="1:16" x14ac:dyDescent="0.3">
      <c r="A35" s="121">
        <v>46153</v>
      </c>
      <c r="B35" t="s">
        <v>340</v>
      </c>
      <c r="F35" t="s">
        <v>115</v>
      </c>
      <c r="G35">
        <f>SUMIFS(Table14[Debit], Table14[Date], Table8[[#This Row],[Date]], Table14[Party], Table8[[#This Row],[Party]])</f>
        <v>500000</v>
      </c>
      <c r="H35">
        <f>Table8[[#This Row],[Price]]-Table8[[#This Row],[Paid]]</f>
        <v>-500000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3008380</v>
      </c>
      <c r="G42">
        <f>SUBTOTAL(109,Table8[Paid])</f>
        <v>2950005</v>
      </c>
      <c r="H42">
        <f>SUBTOTAL(109,Table8[Balance])</f>
        <v>1305750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5"/>
  <sheetViews>
    <sheetView topLeftCell="A28" zoomScale="104" workbookViewId="0">
      <selection activeCell="A54" sqref="A5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6">
        <v>0</v>
      </c>
      <c r="L5" s="146">
        <v>0</v>
      </c>
      <c r="M5" s="146">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6">
        <v>0</v>
      </c>
      <c r="L6" s="146">
        <v>0</v>
      </c>
      <c r="M6" s="14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6">
        <v>574100</v>
      </c>
      <c r="L7" s="146">
        <v>574100</v>
      </c>
      <c r="M7" s="146">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6">
        <v>120000</v>
      </c>
      <c r="L8" s="146">
        <v>240000</v>
      </c>
      <c r="M8" s="146">
        <v>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6">
        <v>312000</v>
      </c>
      <c r="L9" s="146">
        <v>312000</v>
      </c>
      <c r="M9" s="146">
        <v>0</v>
      </c>
    </row>
    <row r="10" spans="1:13" x14ac:dyDescent="0.3">
      <c r="A10" s="84">
        <v>46073</v>
      </c>
      <c r="B10" s="1" t="s">
        <v>226</v>
      </c>
      <c r="C10" t="s">
        <v>211</v>
      </c>
      <c r="F10">
        <f>260*325</f>
        <v>84500</v>
      </c>
      <c r="H10" s="80">
        <f>Table2[[#This Row],[Price]]-Table2[[#This Row],[Paid]]</f>
        <v>84500</v>
      </c>
      <c r="J10" s="4" t="s">
        <v>195</v>
      </c>
      <c r="K10" s="146">
        <v>152950</v>
      </c>
      <c r="L10" s="146">
        <v>152950</v>
      </c>
      <c r="M10" s="146">
        <v>0</v>
      </c>
    </row>
    <row r="11" spans="1:13" x14ac:dyDescent="0.3">
      <c r="A11" s="1"/>
      <c r="B11" s="1"/>
      <c r="J11" s="4" t="s">
        <v>226</v>
      </c>
      <c r="K11" s="146">
        <v>84500</v>
      </c>
      <c r="L11" s="146">
        <v>142500</v>
      </c>
      <c r="M11" s="146">
        <v>-58000</v>
      </c>
    </row>
    <row r="12" spans="1:13" x14ac:dyDescent="0.3">
      <c r="A12" s="1"/>
      <c r="B12" s="1"/>
      <c r="J12" s="4" t="s">
        <v>427</v>
      </c>
      <c r="K12" s="146">
        <v>0</v>
      </c>
      <c r="L12" s="146">
        <v>0</v>
      </c>
      <c r="M12" s="146">
        <v>0</v>
      </c>
    </row>
    <row r="13" spans="1:13" x14ac:dyDescent="0.3">
      <c r="A13" s="1"/>
      <c r="B13" s="1"/>
      <c r="J13" s="4" t="s">
        <v>671</v>
      </c>
      <c r="K13" s="146">
        <v>35000</v>
      </c>
      <c r="L13" s="146">
        <v>35000</v>
      </c>
      <c r="M13" s="146">
        <v>0</v>
      </c>
    </row>
    <row r="14" spans="1:13" x14ac:dyDescent="0.3">
      <c r="A14" s="1"/>
      <c r="B14" s="1"/>
      <c r="J14" s="4" t="s">
        <v>28</v>
      </c>
      <c r="K14" s="146">
        <v>1278550</v>
      </c>
      <c r="L14" s="146">
        <v>1456550</v>
      </c>
      <c r="M14" s="146">
        <v>-58000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671</v>
      </c>
      <c r="C43" t="s">
        <v>214</v>
      </c>
      <c r="F43">
        <v>35000</v>
      </c>
      <c r="G43">
        <f>SUMIFS(Table14[Debit], Table14[Date], Table2[[#This Row],[Date]], Table14[Party], Table2[[#This Row],[Party Name]])</f>
        <v>0</v>
      </c>
      <c r="H43">
        <f>Table2[[#This Row],[Price]]-Table2[[#This Row],[Paid]]</f>
        <v>35000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671</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v>39000</v>
      </c>
      <c r="G48">
        <f>SUMIFS(Table14[Debit], Table14[Date], Table2[[#This Row],[Date]], Table14[Party], Table2[[#This Row],[Party Name]])</f>
        <v>39000</v>
      </c>
      <c r="H48">
        <f>Table2[[#This Row],[Price]]-Table2[[#This Row],[Paid]]</f>
        <v>0</v>
      </c>
    </row>
    <row r="49" spans="1:8" x14ac:dyDescent="0.3">
      <c r="A49" s="1">
        <v>46149</v>
      </c>
      <c r="B49" s="1" t="s">
        <v>165</v>
      </c>
      <c r="C49" t="s">
        <v>216</v>
      </c>
      <c r="F49">
        <f>Table2[[#This Row],[Quantity]]*200*Table2[[#This Row],[Boxes]]</f>
        <v>0</v>
      </c>
      <c r="G49">
        <f>SUMIFS(Table14[Debit], Table14[Date], Table2[[#This Row],[Date]], Table14[Party], Table2[[#This Row],[Party Name]])</f>
        <v>55000</v>
      </c>
      <c r="H49">
        <f>Table2[[#This Row],[Price]]-Table2[[#This Row],[Paid]]</f>
        <v>-55000</v>
      </c>
    </row>
    <row r="50" spans="1:8" x14ac:dyDescent="0.3">
      <c r="A50" s="1">
        <v>46148</v>
      </c>
      <c r="B50" s="1" t="s">
        <v>117</v>
      </c>
      <c r="F50">
        <v>58500</v>
      </c>
      <c r="G50">
        <f>SUMIFS(Table14[Debit], Table14[Date], Table2[[#This Row],[Date]], Table14[Party], Table2[[#This Row],[Party Name]])</f>
        <v>58500</v>
      </c>
      <c r="H50">
        <f>Table2[[#This Row],[Price]]-Table2[[#This Row],[Paid]]</f>
        <v>0</v>
      </c>
    </row>
    <row r="51" spans="1:8" x14ac:dyDescent="0.3">
      <c r="A51" s="1">
        <v>46147</v>
      </c>
      <c r="B51" s="1" t="s">
        <v>671</v>
      </c>
      <c r="F51">
        <f>Table2[[#This Row],[Quantity]]*200*Table2[[#This Row],[Boxes]]</f>
        <v>0</v>
      </c>
      <c r="G51">
        <f>SUMIFS(Table14[Debit], Table14[Date], Table2[[#This Row],[Date]], Table14[Party], Table2[[#This Row],[Party Name]])</f>
        <v>32000</v>
      </c>
      <c r="H51">
        <f>Table2[[#This Row],[Price]]-Table2[[#This Row],[Paid]]</f>
        <v>-32000</v>
      </c>
    </row>
    <row r="52" spans="1:8" x14ac:dyDescent="0.3">
      <c r="A52" s="1">
        <v>46150</v>
      </c>
      <c r="B52" s="1" t="s">
        <v>117</v>
      </c>
      <c r="F52">
        <v>46800</v>
      </c>
      <c r="G52">
        <f>SUMIFS(Table14[Debit], Table14[Date], Table2[[#This Row],[Date]], Table14[Party], Table2[[#This Row],[Party Name]])</f>
        <v>46800</v>
      </c>
      <c r="H52">
        <f>Table2[[#This Row],[Price]]-Table2[[#This Row],[Paid]]</f>
        <v>0</v>
      </c>
    </row>
    <row r="53" spans="1:8" x14ac:dyDescent="0.3">
      <c r="A53" s="1">
        <v>46155</v>
      </c>
      <c r="B53" s="1" t="s">
        <v>117</v>
      </c>
      <c r="F53" s="146">
        <v>18000</v>
      </c>
      <c r="G53" s="146">
        <f>SUMIFS(Table14[Debit], Table14[Date], Table2[[#This Row],[Date]], Table14[Party], Table2[[#This Row],[Party Name]])</f>
        <v>18000</v>
      </c>
      <c r="H53" s="146">
        <f>Table2[[#This Row],[Price]]-Table2[[#This Row],[Paid]]</f>
        <v>0</v>
      </c>
    </row>
    <row r="54" spans="1:8" x14ac:dyDescent="0.3">
      <c r="A54" s="1"/>
      <c r="B54" s="1"/>
      <c r="F54" s="146">
        <f>Table2[[#This Row],[Quantity]]*200*Table2[[#This Row],[Boxes]]</f>
        <v>0</v>
      </c>
      <c r="G54" s="146">
        <f>SUMIFS(Table14[Debit], Table14[Date], Table2[[#This Row],[Date]], Table14[Party], Table2[[#This Row],[Party Name]])</f>
        <v>0</v>
      </c>
      <c r="H54" s="146">
        <f>Table2[[#This Row],[Price]]-Table2[[#This Row],[Paid]]</f>
        <v>0</v>
      </c>
    </row>
    <row r="55" spans="1:8" x14ac:dyDescent="0.3">
      <c r="A55" s="1"/>
      <c r="F55">
        <f>SUBTOTAL(109,Table2[Price])</f>
        <v>1278550</v>
      </c>
      <c r="G55">
        <f>SUBTOTAL(109,Table2[Paid])</f>
        <v>1456550</v>
      </c>
      <c r="H55">
        <f>SUBTOTAL(109,Table2[Balance])</f>
        <v>-58000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717</v>
      </c>
      <c r="I1" t="s">
        <v>64</v>
      </c>
      <c r="J1" t="s">
        <v>4</v>
      </c>
    </row>
    <row r="2" spans="1:13" x14ac:dyDescent="0.3">
      <c r="I2" t="s">
        <v>159</v>
      </c>
      <c r="J2">
        <v>1125</v>
      </c>
      <c r="L2" t="s">
        <v>159</v>
      </c>
      <c r="M2">
        <v>1125</v>
      </c>
    </row>
    <row r="3" spans="1:13" x14ac:dyDescent="0.3">
      <c r="A3" t="s">
        <v>2</v>
      </c>
      <c r="B3" t="s">
        <v>716</v>
      </c>
      <c r="C3" t="s">
        <v>728</v>
      </c>
      <c r="D3">
        <v>2186</v>
      </c>
      <c r="I3" t="s">
        <v>718</v>
      </c>
      <c r="J3">
        <v>1280</v>
      </c>
      <c r="L3" t="s">
        <v>718</v>
      </c>
      <c r="M3">
        <v>1280</v>
      </c>
    </row>
    <row r="4" spans="1:13" x14ac:dyDescent="0.3">
      <c r="I4" t="s">
        <v>719</v>
      </c>
      <c r="J4">
        <v>1425</v>
      </c>
      <c r="L4" t="s">
        <v>719</v>
      </c>
      <c r="M4">
        <v>1425</v>
      </c>
    </row>
    <row r="5" spans="1:13" x14ac:dyDescent="0.3">
      <c r="A5" t="s">
        <v>64</v>
      </c>
      <c r="B5" t="s">
        <v>90</v>
      </c>
      <c r="C5" t="s">
        <v>145</v>
      </c>
      <c r="D5" t="s">
        <v>66</v>
      </c>
      <c r="I5" t="s">
        <v>720</v>
      </c>
      <c r="J5">
        <v>1750</v>
      </c>
      <c r="L5" t="s">
        <v>720</v>
      </c>
      <c r="M5">
        <v>1750</v>
      </c>
    </row>
    <row r="6" spans="1:13" x14ac:dyDescent="0.3">
      <c r="A6" t="s">
        <v>159</v>
      </c>
      <c r="B6">
        <v>7.74</v>
      </c>
      <c r="C6">
        <f>_xlfn.XLOOKUP(Table30[[#This Row],[Dyes]],Table27[Dyes],Table27[Rate],"NF")*Table30[[#This Row],[Weight]]</f>
        <v>8707.5</v>
      </c>
      <c r="I6" t="s">
        <v>721</v>
      </c>
      <c r="J6">
        <v>1500</v>
      </c>
      <c r="L6" t="s">
        <v>721</v>
      </c>
      <c r="M6">
        <v>1500</v>
      </c>
    </row>
    <row r="7" spans="1:13" x14ac:dyDescent="0.3">
      <c r="A7" t="s">
        <v>718</v>
      </c>
      <c r="B7">
        <v>0.73</v>
      </c>
      <c r="C7">
        <f>_xlfn.XLOOKUP(Table30[[#This Row],[Dyes]],Table27[Dyes],Table27[Rate],"NF")*Table30[[#This Row],[Weight]]</f>
        <v>934.4</v>
      </c>
      <c r="I7" t="s">
        <v>722</v>
      </c>
      <c r="J7">
        <v>1300</v>
      </c>
      <c r="L7" t="s">
        <v>722</v>
      </c>
      <c r="M7">
        <v>1300</v>
      </c>
    </row>
    <row r="8" spans="1:13" x14ac:dyDescent="0.3">
      <c r="A8" t="s">
        <v>719</v>
      </c>
      <c r="B8">
        <v>0.93600000000000005</v>
      </c>
      <c r="C8">
        <f>_xlfn.XLOOKUP(Table30[[#This Row],[Dyes]],Table27[Dyes],Table27[Rate],"NF")*Table30[[#This Row],[Weight]]</f>
        <v>1333.8000000000002</v>
      </c>
      <c r="I8" t="s">
        <v>723</v>
      </c>
      <c r="J8">
        <v>1450</v>
      </c>
      <c r="L8" t="s">
        <v>723</v>
      </c>
      <c r="M8">
        <v>1450</v>
      </c>
    </row>
    <row r="9" spans="1:13" x14ac:dyDescent="0.3">
      <c r="A9" t="s">
        <v>720</v>
      </c>
      <c r="B9">
        <v>1.76</v>
      </c>
      <c r="C9">
        <f>_xlfn.XLOOKUP(Table30[[#This Row],[Dyes]],Table27[Dyes],Table27[Rate],"NF")*Table30[[#This Row],[Weight]]</f>
        <v>3080</v>
      </c>
      <c r="I9" t="s">
        <v>724</v>
      </c>
      <c r="J9">
        <v>1450</v>
      </c>
      <c r="L9" t="s">
        <v>724</v>
      </c>
      <c r="M9">
        <v>1450</v>
      </c>
    </row>
    <row r="10" spans="1:13" x14ac:dyDescent="0.3">
      <c r="A10" t="s">
        <v>721</v>
      </c>
      <c r="B10">
        <v>2.226</v>
      </c>
      <c r="C10">
        <f>_xlfn.XLOOKUP(Table30[[#This Row],[Dyes]],Table27[Dyes],Table27[Rate],"NF")*Table30[[#This Row],[Weight]]</f>
        <v>3339</v>
      </c>
      <c r="I10" t="s">
        <v>162</v>
      </c>
      <c r="J10">
        <v>1800</v>
      </c>
      <c r="L10" t="s">
        <v>162</v>
      </c>
      <c r="M10">
        <v>1800</v>
      </c>
    </row>
    <row r="11" spans="1:13" x14ac:dyDescent="0.3">
      <c r="A11" t="s">
        <v>722</v>
      </c>
      <c r="B11">
        <v>0.55000000000000004</v>
      </c>
      <c r="C11">
        <f>_xlfn.XLOOKUP(Table30[[#This Row],[Dyes]],Table27[Dyes],Table27[Rate],"NF")*Table30[[#This Row],[Weight]]</f>
        <v>715.00000000000011</v>
      </c>
      <c r="I11" t="s">
        <v>114</v>
      </c>
      <c r="J11">
        <v>1300</v>
      </c>
      <c r="L11" t="s">
        <v>114</v>
      </c>
      <c r="M11">
        <v>1300</v>
      </c>
    </row>
    <row r="12" spans="1:13" x14ac:dyDescent="0.3">
      <c r="A12" t="s">
        <v>723</v>
      </c>
      <c r="B12">
        <v>3.2959999999999998</v>
      </c>
      <c r="C12">
        <f>_xlfn.XLOOKUP(Table30[[#This Row],[Dyes]],Table27[Dyes],Table27[Rate],"NF")*Table30[[#This Row],[Weight]]</f>
        <v>4779.2</v>
      </c>
      <c r="I12" t="s">
        <v>725</v>
      </c>
      <c r="J12">
        <v>1450</v>
      </c>
      <c r="L12" t="s">
        <v>725</v>
      </c>
      <c r="M12">
        <v>1450</v>
      </c>
    </row>
    <row r="13" spans="1:13" x14ac:dyDescent="0.3">
      <c r="A13" t="s">
        <v>724</v>
      </c>
      <c r="B13">
        <v>0.95</v>
      </c>
      <c r="C13">
        <f>_xlfn.XLOOKUP(Table30[[#This Row],[Dyes]],Table27[Dyes],Table27[Rate],"NF")*Table30[[#This Row],[Weight]]</f>
        <v>1377.5</v>
      </c>
      <c r="I13" t="s">
        <v>726</v>
      </c>
      <c r="J13">
        <v>3100</v>
      </c>
      <c r="L13" t="s">
        <v>726</v>
      </c>
      <c r="M13">
        <v>3100</v>
      </c>
    </row>
    <row r="14" spans="1:13" x14ac:dyDescent="0.3">
      <c r="A14" t="s">
        <v>162</v>
      </c>
      <c r="B14">
        <v>0</v>
      </c>
      <c r="C14">
        <f>_xlfn.XLOOKUP(Table30[[#This Row],[Dyes]],Table27[Dyes],Table27[Rate],"NF")*Table30[[#This Row],[Weight]]</f>
        <v>0</v>
      </c>
      <c r="I14" t="s">
        <v>727</v>
      </c>
      <c r="J14">
        <v>1650</v>
      </c>
      <c r="L14" t="s">
        <v>727</v>
      </c>
      <c r="M14">
        <v>1650</v>
      </c>
    </row>
    <row r="15" spans="1:13" x14ac:dyDescent="0.3">
      <c r="A15" t="s">
        <v>114</v>
      </c>
      <c r="B15">
        <v>2.3039999999999998</v>
      </c>
      <c r="C15">
        <f>_xlfn.XLOOKUP(Table30[[#This Row],[Dyes]],Table27[Dyes],Table27[Rate],"NF")*Table30[[#This Row],[Weight]]</f>
        <v>2995.2</v>
      </c>
      <c r="I15" t="s">
        <v>729</v>
      </c>
      <c r="J15">
        <v>1600</v>
      </c>
      <c r="L15" t="s">
        <v>729</v>
      </c>
      <c r="M15">
        <v>1600</v>
      </c>
    </row>
    <row r="16" spans="1:13" x14ac:dyDescent="0.3">
      <c r="A16" t="s">
        <v>725</v>
      </c>
      <c r="B16">
        <v>0.35</v>
      </c>
      <c r="C16">
        <f>_xlfn.XLOOKUP(Table30[[#This Row],[Dyes]],Table27[Dyes],Table27[Rate],"NF")*Table30[[#This Row],[Weight]]</f>
        <v>507.49999999999994</v>
      </c>
    </row>
    <row r="17" spans="1:4" x14ac:dyDescent="0.3">
      <c r="A17" t="s">
        <v>726</v>
      </c>
      <c r="B17">
        <v>0</v>
      </c>
      <c r="C17">
        <f>_xlfn.XLOOKUP(Table30[[#This Row],[Dyes]],Table27[Dyes],Table27[Rate],"NF")*Table30[[#This Row],[Weight]]</f>
        <v>0</v>
      </c>
    </row>
    <row r="18" spans="1:4" x14ac:dyDescent="0.3">
      <c r="A18" t="s">
        <v>727</v>
      </c>
      <c r="B18">
        <v>0.126</v>
      </c>
      <c r="C18">
        <f>_xlfn.XLOOKUP(Table30[[#This Row],[Dyes]],Table27[Dyes],Table27[Rate],"NF")*Table30[[#This Row],[Weight]]</f>
        <v>207.9</v>
      </c>
    </row>
    <row r="19" spans="1:4" x14ac:dyDescent="0.3">
      <c r="A19" t="s">
        <v>729</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730</v>
      </c>
      <c r="C22" s="138">
        <f>_xlfn.XLOOKUP(D3,'pivot '!A:A,'pivot '!H:H,"NA")</f>
        <v>35395.940014630578</v>
      </c>
    </row>
    <row r="23" spans="1:4" x14ac:dyDescent="0.3">
      <c r="B23" t="s">
        <v>731</v>
      </c>
      <c r="C23" s="80">
        <f>Table30[[#Totals],[Cost]]/C22</f>
        <v>0.81390690537084409</v>
      </c>
    </row>
    <row r="28" spans="1:4" x14ac:dyDescent="0.3">
      <c r="A28" t="s">
        <v>2</v>
      </c>
      <c r="B28" t="s">
        <v>716</v>
      </c>
      <c r="C28" t="s">
        <v>728</v>
      </c>
      <c r="D28" t="s">
        <v>732</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718</v>
      </c>
      <c r="B32">
        <v>7.2</v>
      </c>
      <c r="C32">
        <f>_xlfn.XLOOKUP(Table3032[[#This Row],[Dyes]],Table27[Dyes],Table27[Rate],"NF")*Table3032[[#This Row],[Weight]]</f>
        <v>9216</v>
      </c>
    </row>
    <row r="33" spans="1:3" x14ac:dyDescent="0.3">
      <c r="A33" t="s">
        <v>719</v>
      </c>
      <c r="B33">
        <v>5.09</v>
      </c>
      <c r="C33">
        <f>_xlfn.XLOOKUP(Table3032[[#This Row],[Dyes]],Table27[Dyes],Table27[Rate],"NF")*Table3032[[#This Row],[Weight]]</f>
        <v>7253.25</v>
      </c>
    </row>
    <row r="34" spans="1:3" x14ac:dyDescent="0.3">
      <c r="A34" t="s">
        <v>720</v>
      </c>
      <c r="B34">
        <v>5.5019999999999998</v>
      </c>
      <c r="C34">
        <f>_xlfn.XLOOKUP(Table3032[[#This Row],[Dyes]],Table27[Dyes],Table27[Rate],"NF")*Table3032[[#This Row],[Weight]]</f>
        <v>9628.5</v>
      </c>
    </row>
    <row r="35" spans="1:3" x14ac:dyDescent="0.3">
      <c r="A35" t="s">
        <v>721</v>
      </c>
      <c r="B35">
        <v>2.72</v>
      </c>
      <c r="C35">
        <f>_xlfn.XLOOKUP(Table3032[[#This Row],[Dyes]],Table27[Dyes],Table27[Rate],"NF")*Table3032[[#This Row],[Weight]]</f>
        <v>4080.0000000000005</v>
      </c>
    </row>
    <row r="36" spans="1:3" x14ac:dyDescent="0.3">
      <c r="A36" t="s">
        <v>722</v>
      </c>
      <c r="B36">
        <v>8.3059999999999992</v>
      </c>
      <c r="C36">
        <f>_xlfn.XLOOKUP(Table3032[[#This Row],[Dyes]],Table27[Dyes],Table27[Rate],"NF")*Table3032[[#This Row],[Weight]]</f>
        <v>10797.8</v>
      </c>
    </row>
    <row r="37" spans="1:3" x14ac:dyDescent="0.3">
      <c r="A37" t="s">
        <v>723</v>
      </c>
      <c r="B37">
        <v>9.09</v>
      </c>
      <c r="C37">
        <f>_xlfn.XLOOKUP(Table3032[[#This Row],[Dyes]],Table27[Dyes],Table27[Rate],"NF")*Table3032[[#This Row],[Weight]]</f>
        <v>13180.5</v>
      </c>
    </row>
    <row r="38" spans="1:3" x14ac:dyDescent="0.3">
      <c r="A38" t="s">
        <v>724</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725</v>
      </c>
      <c r="B41">
        <v>0.31</v>
      </c>
      <c r="C41">
        <f>_xlfn.XLOOKUP(Table3032[[#This Row],[Dyes]],Table27[Dyes],Table27[Rate],"NF")*Table3032[[#This Row],[Weight]]</f>
        <v>449.5</v>
      </c>
    </row>
    <row r="42" spans="1:3" x14ac:dyDescent="0.3">
      <c r="A42" t="s">
        <v>726</v>
      </c>
      <c r="C42">
        <f>_xlfn.XLOOKUP(Table3032[[#This Row],[Dyes]],Table27[Dyes],Table27[Rate],"NF")*Table3032[[#This Row],[Weight]]</f>
        <v>0</v>
      </c>
    </row>
    <row r="43" spans="1:3" x14ac:dyDescent="0.3">
      <c r="A43" t="s">
        <v>727</v>
      </c>
      <c r="B43">
        <v>0.216</v>
      </c>
      <c r="C43">
        <f>_xlfn.XLOOKUP(Table3032[[#This Row],[Dyes]],Table27[Dyes],Table27[Rate],"NF")*Table3032[[#This Row],[Weight]]</f>
        <v>356.4</v>
      </c>
    </row>
    <row r="44" spans="1:3" x14ac:dyDescent="0.3">
      <c r="A44" t="s">
        <v>729</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730</v>
      </c>
      <c r="C47" s="138">
        <v>76898.320000000007</v>
      </c>
    </row>
    <row r="48" spans="1:3" x14ac:dyDescent="0.3">
      <c r="B48" t="s">
        <v>731</v>
      </c>
      <c r="C48" s="80">
        <f>Table3032[[#Totals],[Cost]]/C47</f>
        <v>0.920033753663279</v>
      </c>
    </row>
    <row r="51" spans="1:4" x14ac:dyDescent="0.3">
      <c r="A51" t="s">
        <v>2</v>
      </c>
      <c r="B51" t="s">
        <v>582</v>
      </c>
      <c r="C51" t="s">
        <v>728</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718</v>
      </c>
      <c r="B55">
        <v>4.9800000000000004</v>
      </c>
      <c r="C55">
        <f>_xlfn.XLOOKUP(Table3033[[#This Row],[Dyes]],Table27[Dyes],Table27[Rate],"NF")*Table3033[[#This Row],[Weight]]</f>
        <v>6374.4000000000005</v>
      </c>
    </row>
    <row r="56" spans="1:4" x14ac:dyDescent="0.3">
      <c r="A56" t="s">
        <v>719</v>
      </c>
      <c r="B56">
        <v>4.5359999999999996</v>
      </c>
      <c r="C56">
        <f>_xlfn.XLOOKUP(Table3033[[#This Row],[Dyes]],Table27[Dyes],Table27[Rate],"NF")*Table3033[[#This Row],[Weight]]</f>
        <v>6463.7999999999993</v>
      </c>
    </row>
    <row r="57" spans="1:4" x14ac:dyDescent="0.3">
      <c r="A57" t="s">
        <v>720</v>
      </c>
      <c r="B57">
        <v>0.12</v>
      </c>
      <c r="C57">
        <f>_xlfn.XLOOKUP(Table3033[[#This Row],[Dyes]],Table27[Dyes],Table27[Rate],"NF")*Table3033[[#This Row],[Weight]]</f>
        <v>210</v>
      </c>
    </row>
    <row r="58" spans="1:4" x14ac:dyDescent="0.3">
      <c r="A58" t="s">
        <v>721</v>
      </c>
      <c r="B58">
        <v>2.0099999999999998</v>
      </c>
      <c r="C58">
        <f>_xlfn.XLOOKUP(Table3033[[#This Row],[Dyes]],Table27[Dyes],Table27[Rate],"NF")*Table3033[[#This Row],[Weight]]</f>
        <v>3014.9999999999995</v>
      </c>
    </row>
    <row r="59" spans="1:4" x14ac:dyDescent="0.3">
      <c r="A59" t="s">
        <v>722</v>
      </c>
      <c r="B59">
        <v>3.72</v>
      </c>
      <c r="C59">
        <f>_xlfn.XLOOKUP(Table3033[[#This Row],[Dyes]],Table27[Dyes],Table27[Rate],"NF")*Table3033[[#This Row],[Weight]]</f>
        <v>4836</v>
      </c>
    </row>
    <row r="60" spans="1:4" x14ac:dyDescent="0.3">
      <c r="A60" t="s">
        <v>723</v>
      </c>
      <c r="B60">
        <v>3.74</v>
      </c>
      <c r="C60">
        <f>_xlfn.XLOOKUP(Table3033[[#This Row],[Dyes]],Table27[Dyes],Table27[Rate],"NF")*Table3033[[#This Row],[Weight]]</f>
        <v>5423</v>
      </c>
    </row>
    <row r="61" spans="1:4" x14ac:dyDescent="0.3">
      <c r="A61" t="s">
        <v>724</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725</v>
      </c>
      <c r="B64">
        <v>7.0000000000000007E-2</v>
      </c>
      <c r="C64">
        <f>_xlfn.XLOOKUP(Table3033[[#This Row],[Dyes]],Table27[Dyes],Table27[Rate],"NF")*Table3033[[#This Row],[Weight]]</f>
        <v>101.50000000000001</v>
      </c>
    </row>
    <row r="65" spans="1:4" x14ac:dyDescent="0.3">
      <c r="A65" t="s">
        <v>726</v>
      </c>
      <c r="C65">
        <f>_xlfn.XLOOKUP(Table3033[[#This Row],[Dyes]],Table27[Dyes],Table27[Rate],"NF")*Table3033[[#This Row],[Weight]]</f>
        <v>0</v>
      </c>
    </row>
    <row r="66" spans="1:4" x14ac:dyDescent="0.3">
      <c r="A66" t="s">
        <v>727</v>
      </c>
      <c r="C66">
        <f>_xlfn.XLOOKUP(Table3033[[#This Row],[Dyes]],Table27[Dyes],Table27[Rate],"NF")*Table3033[[#This Row],[Weight]]</f>
        <v>0</v>
      </c>
    </row>
    <row r="67" spans="1:4" x14ac:dyDescent="0.3">
      <c r="A67" t="s">
        <v>729</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730</v>
      </c>
      <c r="C70" s="138">
        <f>_xlfn.XLOOKUP(D51,'pivot '!A:A,'pivot '!H:H,"NA")</f>
        <v>44161.485003657646</v>
      </c>
    </row>
    <row r="71" spans="1:4" x14ac:dyDescent="0.3">
      <c r="B71" t="s">
        <v>731</v>
      </c>
      <c r="C71" s="80">
        <f>Table3033[[#Totals],[Cost]]/C70</f>
        <v>0.85421606625944702</v>
      </c>
    </row>
    <row r="75" spans="1:4" x14ac:dyDescent="0.3">
      <c r="A75" s="80" t="s">
        <v>2</v>
      </c>
      <c r="B75" t="s">
        <v>190</v>
      </c>
      <c r="C75" t="s">
        <v>728</v>
      </c>
      <c r="D75">
        <v>2172</v>
      </c>
    </row>
    <row r="76" spans="1:4" x14ac:dyDescent="0.3">
      <c r="A76" t="s">
        <v>64</v>
      </c>
      <c r="B76" t="s">
        <v>90</v>
      </c>
      <c r="C76" t="s">
        <v>145</v>
      </c>
      <c r="D76" t="s">
        <v>66</v>
      </c>
    </row>
    <row r="77" spans="1:4" x14ac:dyDescent="0.3">
      <c r="A77" t="s">
        <v>723</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718</v>
      </c>
      <c r="B79">
        <v>11.64</v>
      </c>
      <c r="C79">
        <f>_xlfn.XLOOKUP(Table303334[[#This Row],[Dyes]],Table27[Dyes],Table27[Rate],"NF")*Table303334[[#This Row],[Weight]]</f>
        <v>14899.2</v>
      </c>
    </row>
    <row r="80" spans="1:4" x14ac:dyDescent="0.3">
      <c r="A80" t="s">
        <v>719</v>
      </c>
      <c r="B80">
        <v>6.48</v>
      </c>
      <c r="C80">
        <f>_xlfn.XLOOKUP(Table303334[[#This Row],[Dyes]],Table27[Dyes],Table27[Rate],"NF")*Table303334[[#This Row],[Weight]]</f>
        <v>9234</v>
      </c>
    </row>
    <row r="81" spans="1:3" x14ac:dyDescent="0.3">
      <c r="A81" t="s">
        <v>720</v>
      </c>
      <c r="B81">
        <v>2.46</v>
      </c>
      <c r="C81">
        <f>_xlfn.XLOOKUP(Table303334[[#This Row],[Dyes]],Table27[Dyes],Table27[Rate],"NF")*Table303334[[#This Row],[Weight]]</f>
        <v>4305</v>
      </c>
    </row>
    <row r="82" spans="1:3" x14ac:dyDescent="0.3">
      <c r="A82" t="s">
        <v>721</v>
      </c>
      <c r="B82">
        <v>1.43</v>
      </c>
      <c r="C82">
        <f>_xlfn.XLOOKUP(Table303334[[#This Row],[Dyes]],Table27[Dyes],Table27[Rate],"NF")*Table303334[[#This Row],[Weight]]</f>
        <v>2145</v>
      </c>
    </row>
    <row r="83" spans="1:3" x14ac:dyDescent="0.3">
      <c r="A83" t="s">
        <v>722</v>
      </c>
      <c r="B83">
        <v>6.274</v>
      </c>
      <c r="C83">
        <f>_xlfn.XLOOKUP(Table303334[[#This Row],[Dyes]],Table27[Dyes],Table27[Rate],"NF")*Table303334[[#This Row],[Weight]]</f>
        <v>8156.2</v>
      </c>
    </row>
    <row r="84" spans="1:3" x14ac:dyDescent="0.3">
      <c r="A84" t="s">
        <v>724</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725</v>
      </c>
      <c r="B87">
        <v>0.308</v>
      </c>
      <c r="C87">
        <f>_xlfn.XLOOKUP(Table303334[[#This Row],[Dyes]],Table27[Dyes],Table27[Rate],"NF")*Table303334[[#This Row],[Weight]]</f>
        <v>446.59999999999997</v>
      </c>
    </row>
    <row r="88" spans="1:3" x14ac:dyDescent="0.3">
      <c r="A88" t="s">
        <v>726</v>
      </c>
      <c r="C88">
        <f>_xlfn.XLOOKUP(Table303334[[#This Row],[Dyes]],Table27[Dyes],Table27[Rate],"NF")*Table303334[[#This Row],[Weight]]</f>
        <v>0</v>
      </c>
    </row>
    <row r="89" spans="1:3" x14ac:dyDescent="0.3">
      <c r="A89" t="s">
        <v>727</v>
      </c>
      <c r="B89">
        <v>0.21</v>
      </c>
      <c r="C89">
        <f>_xlfn.XLOOKUP(Table303334[[#This Row],[Dyes]],Table27[Dyes],Table27[Rate],"NF")*Table303334[[#This Row],[Weight]]</f>
        <v>346.5</v>
      </c>
    </row>
    <row r="90" spans="1:3" x14ac:dyDescent="0.3">
      <c r="A90" t="s">
        <v>729</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730</v>
      </c>
      <c r="C93" s="138">
        <f>_xlfn.XLOOKUP(D75,'pivot '!A:A,'pivot '!H:H,"NA")</f>
        <v>76513.350402340904</v>
      </c>
    </row>
    <row r="94" spans="1:3" x14ac:dyDescent="0.3">
      <c r="B94" t="s">
        <v>731</v>
      </c>
      <c r="C94" s="80">
        <f>Table303334[[#Totals],[Cost]]/C93</f>
        <v>0.9613616396773228</v>
      </c>
    </row>
    <row r="97" spans="1:4" x14ac:dyDescent="0.3">
      <c r="A97" s="80" t="s">
        <v>2</v>
      </c>
      <c r="B97" t="s">
        <v>312</v>
      </c>
      <c r="C97" t="s">
        <v>728</v>
      </c>
      <c r="D97" t="s">
        <v>748</v>
      </c>
    </row>
    <row r="98" spans="1:4" x14ac:dyDescent="0.3">
      <c r="A98" t="s">
        <v>64</v>
      </c>
      <c r="B98" t="s">
        <v>90</v>
      </c>
      <c r="C98" t="s">
        <v>145</v>
      </c>
      <c r="D98" t="s">
        <v>66</v>
      </c>
    </row>
    <row r="99" spans="1:4" x14ac:dyDescent="0.3">
      <c r="A99" t="s">
        <v>723</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718</v>
      </c>
      <c r="B102">
        <v>6</v>
      </c>
      <c r="C102">
        <f>_xlfn.XLOOKUP(Table30333429[[#This Row],[Dyes]],Table27[Dyes],Table27[Rate],"NF")*Table30333429[[#This Row],[Weight]]</f>
        <v>7680</v>
      </c>
    </row>
    <row r="103" spans="1:4" x14ac:dyDescent="0.3">
      <c r="A103" t="s">
        <v>719</v>
      </c>
      <c r="B103">
        <v>5.8760000000000003</v>
      </c>
      <c r="C103">
        <f>_xlfn.XLOOKUP(Table30333429[[#This Row],[Dyes]],Table27[Dyes],Table27[Rate],"NF")*Table30333429[[#This Row],[Weight]]</f>
        <v>8373.3000000000011</v>
      </c>
    </row>
    <row r="104" spans="1:4" x14ac:dyDescent="0.3">
      <c r="A104" t="s">
        <v>720</v>
      </c>
      <c r="B104">
        <v>4.5</v>
      </c>
      <c r="C104">
        <f>_xlfn.XLOOKUP(Table30333429[[#This Row],[Dyes]],Table27[Dyes],Table27[Rate],"NF")*Table30333429[[#This Row],[Weight]]</f>
        <v>7875</v>
      </c>
    </row>
    <row r="105" spans="1:4" x14ac:dyDescent="0.3">
      <c r="A105" t="s">
        <v>721</v>
      </c>
      <c r="B105">
        <v>1.234</v>
      </c>
      <c r="C105">
        <f>_xlfn.XLOOKUP(Table30333429[[#This Row],[Dyes]],Table27[Dyes],Table27[Rate],"NF")*Table30333429[[#This Row],[Weight]]</f>
        <v>1851</v>
      </c>
    </row>
    <row r="106" spans="1:4" x14ac:dyDescent="0.3">
      <c r="A106" t="s">
        <v>722</v>
      </c>
      <c r="B106">
        <v>4</v>
      </c>
      <c r="C106">
        <f>_xlfn.XLOOKUP(Table30333429[[#This Row],[Dyes]],Table27[Dyes],Table27[Rate],"NF")*Table30333429[[#This Row],[Weight]]</f>
        <v>5200</v>
      </c>
    </row>
    <row r="107" spans="1:4" x14ac:dyDescent="0.3">
      <c r="A107" t="s">
        <v>724</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725</v>
      </c>
      <c r="B109">
        <v>0.6</v>
      </c>
      <c r="C109">
        <f>_xlfn.XLOOKUP(Table30333429[[#This Row],[Dyes]],Table27[Dyes],Table27[Rate],"NF")*Table30333429[[#This Row],[Weight]]</f>
        <v>870</v>
      </c>
    </row>
    <row r="110" spans="1:4" x14ac:dyDescent="0.3">
      <c r="A110" t="s">
        <v>726</v>
      </c>
      <c r="C110">
        <f>_xlfn.XLOOKUP(Table30333429[[#This Row],[Dyes]],Table27[Dyes],Table27[Rate],"NF")*Table30333429[[#This Row],[Weight]]</f>
        <v>0</v>
      </c>
    </row>
    <row r="111" spans="1:4" x14ac:dyDescent="0.3">
      <c r="A111" t="s">
        <v>727</v>
      </c>
      <c r="B111">
        <v>0.53</v>
      </c>
      <c r="C111">
        <f>_xlfn.XLOOKUP(Table30333429[[#This Row],[Dyes]],Table27[Dyes],Table27[Rate],"NF")*Table30333429[[#This Row],[Weight]]</f>
        <v>874.5</v>
      </c>
    </row>
    <row r="112" spans="1:4" x14ac:dyDescent="0.3">
      <c r="A112" t="s">
        <v>729</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730</v>
      </c>
      <c r="C115" s="138">
        <v>39274</v>
      </c>
    </row>
    <row r="116" spans="2:3" x14ac:dyDescent="0.3">
      <c r="B116" t="s">
        <v>731</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ledger!$B$2:$B$237</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28"/>
  <sheetViews>
    <sheetView topLeftCell="A104" zoomScale="90" workbookViewId="0">
      <selection activeCell="H132" sqref="H13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3357331</v>
      </c>
      <c r="C2" s="32">
        <f>GETPIVOTDATA("Sum of Tiyaar/gaz",$A$3)</f>
        <v>3367714</v>
      </c>
      <c r="D2" s="31">
        <f>((B2*48)+((C2/1.0936)*10))/C2</f>
        <v>56.996122378615155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657</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658</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659</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2194</v>
      </c>
      <c r="B113" s="14">
        <v>30184</v>
      </c>
      <c r="C113" s="14">
        <v>31810</v>
      </c>
      <c r="D113" s="28">
        <f t="shared" si="37"/>
        <v>54.690543132033724</v>
      </c>
      <c r="E113" s="11">
        <f t="shared" si="38"/>
        <v>33009.222399999999</v>
      </c>
      <c r="F113" s="11">
        <f t="shared" si="39"/>
        <v>31810</v>
      </c>
      <c r="G113" s="78">
        <f t="shared" si="40"/>
        <v>3.6329919725706645</v>
      </c>
      <c r="H113" s="28">
        <f t="shared" si="41"/>
        <v>29087.417702999272</v>
      </c>
      <c r="I113" s="28">
        <f t="shared" si="42"/>
        <v>54.690543132033724</v>
      </c>
    </row>
    <row r="114" spans="1:9" x14ac:dyDescent="0.3">
      <c r="A114" s="16">
        <v>2181</v>
      </c>
      <c r="B114" s="14">
        <v>9943</v>
      </c>
      <c r="C114" s="14">
        <v>10720</v>
      </c>
      <c r="D114" s="28">
        <f t="shared" si="37"/>
        <v>53.665006714780155</v>
      </c>
      <c r="E114" s="11">
        <f t="shared" si="38"/>
        <v>10873.664799999999</v>
      </c>
      <c r="F114" s="11">
        <f t="shared" si="39"/>
        <v>10720</v>
      </c>
      <c r="G114" s="78">
        <f t="shared" si="40"/>
        <v>1.4131831615776633</v>
      </c>
      <c r="H114" s="28">
        <f t="shared" si="41"/>
        <v>9802.487198244331</v>
      </c>
      <c r="I114" s="28">
        <f t="shared" si="42"/>
        <v>53.665006714780155</v>
      </c>
    </row>
    <row r="115" spans="1:9" x14ac:dyDescent="0.3">
      <c r="A115" s="16">
        <v>2195</v>
      </c>
      <c r="B115" s="14">
        <v>17930</v>
      </c>
      <c r="C115" s="14">
        <v>19428</v>
      </c>
      <c r="D115" s="28">
        <f t="shared" si="37"/>
        <v>53.443061161508837</v>
      </c>
      <c r="E115" s="11">
        <f t="shared" si="38"/>
        <v>19608.248</v>
      </c>
      <c r="F115" s="11">
        <f t="shared" si="39"/>
        <v>19428</v>
      </c>
      <c r="G115" s="78">
        <f t="shared" si="40"/>
        <v>0.91924581941231054</v>
      </c>
      <c r="H115" s="28">
        <f t="shared" si="41"/>
        <v>17765.179224579373</v>
      </c>
      <c r="I115" s="28">
        <f t="shared" si="42"/>
        <v>53.443061161508837</v>
      </c>
    </row>
    <row r="116" spans="1:9" x14ac:dyDescent="0.3">
      <c r="A116" s="16">
        <v>2192</v>
      </c>
      <c r="B116" s="14">
        <v>57164</v>
      </c>
      <c r="C116" s="14">
        <v>19836</v>
      </c>
      <c r="D116" s="28">
        <f t="shared" si="37"/>
        <v>147.47199987962745</v>
      </c>
      <c r="E116" s="11">
        <f t="shared" si="38"/>
        <v>62514.550399999993</v>
      </c>
      <c r="F116" s="11">
        <f t="shared" si="39"/>
        <v>19836</v>
      </c>
      <c r="G116" s="78">
        <f t="shared" si="40"/>
        <v>68.269786996660542</v>
      </c>
      <c r="H116" s="28">
        <f t="shared" si="41"/>
        <v>18138.25896122897</v>
      </c>
      <c r="I116" s="28">
        <f t="shared" si="42"/>
        <v>147.47199987962745</v>
      </c>
    </row>
    <row r="117" spans="1:9" x14ac:dyDescent="0.3">
      <c r="A117" s="16">
        <v>2182</v>
      </c>
      <c r="B117" s="14">
        <v>99404</v>
      </c>
      <c r="C117" s="14">
        <v>101431</v>
      </c>
      <c r="D117" s="28">
        <f t="shared" si="37"/>
        <v>56.184877821923507</v>
      </c>
      <c r="E117" s="11">
        <f t="shared" si="38"/>
        <v>108708.2144</v>
      </c>
      <c r="F117" s="11">
        <f t="shared" si="39"/>
        <v>101431</v>
      </c>
      <c r="G117" s="78">
        <f t="shared" si="40"/>
        <v>6.694263575356814</v>
      </c>
      <c r="H117" s="28">
        <f t="shared" si="41"/>
        <v>92749.634235552308</v>
      </c>
      <c r="I117" s="28">
        <f t="shared" si="42"/>
        <v>56.184877821923507</v>
      </c>
    </row>
    <row r="118" spans="1:9" x14ac:dyDescent="0.3">
      <c r="A118" s="16">
        <v>2176</v>
      </c>
      <c r="B118" s="14">
        <v>17218</v>
      </c>
      <c r="C118" s="14">
        <v>18230</v>
      </c>
      <c r="D118" s="28">
        <f t="shared" si="37"/>
        <v>54.479492432106852</v>
      </c>
      <c r="E118" s="11">
        <f t="shared" si="38"/>
        <v>18829.604799999997</v>
      </c>
      <c r="F118" s="11">
        <f t="shared" si="39"/>
        <v>18230</v>
      </c>
      <c r="G118" s="78">
        <f t="shared" si="40"/>
        <v>3.1843727277802287</v>
      </c>
      <c r="H118" s="28">
        <f t="shared" si="41"/>
        <v>16669.714703730799</v>
      </c>
      <c r="I118" s="28">
        <f t="shared" si="42"/>
        <v>54.479492432106852</v>
      </c>
    </row>
    <row r="119" spans="1:9" x14ac:dyDescent="0.3">
      <c r="A119" s="16">
        <v>2173</v>
      </c>
      <c r="B119" s="14">
        <v>46820</v>
      </c>
      <c r="C119" s="14">
        <v>47564</v>
      </c>
      <c r="D119" s="28">
        <f t="shared" si="37"/>
        <v>56.393291244532371</v>
      </c>
      <c r="E119" s="11">
        <f t="shared" si="38"/>
        <v>51202.351999999999</v>
      </c>
      <c r="F119" s="11">
        <f t="shared" si="39"/>
        <v>47564</v>
      </c>
      <c r="G119" s="78">
        <f t="shared" si="40"/>
        <v>7.1058298259423651</v>
      </c>
      <c r="H119" s="28">
        <f t="shared" si="41"/>
        <v>43493.050475493787</v>
      </c>
      <c r="I119" s="28">
        <f t="shared" si="42"/>
        <v>56.393291244532371</v>
      </c>
    </row>
    <row r="120" spans="1:9" x14ac:dyDescent="0.3">
      <c r="A120" s="16">
        <v>2200</v>
      </c>
      <c r="B120" s="14">
        <v>37514</v>
      </c>
      <c r="C120" s="14">
        <v>40509</v>
      </c>
      <c r="D120" s="28">
        <f t="shared" ref="D120:D128" si="43">I120</f>
        <v>53.595270194095427</v>
      </c>
      <c r="E120" s="11">
        <f t="shared" ref="E120:E128" si="44">B120 * 1.0936</f>
        <v>41025.310399999995</v>
      </c>
      <c r="F120" s="11">
        <f t="shared" ref="F120:F128" si="45">C120</f>
        <v>40509</v>
      </c>
      <c r="G120" s="78">
        <f t="shared" ref="G120:G128" si="46">100- (F120/E120 *100)</f>
        <v>1.2585167423864192</v>
      </c>
      <c r="H120" s="28">
        <f t="shared" ref="H120:H128" si="47">F120/1.0936</f>
        <v>37041.880029261156</v>
      </c>
      <c r="I120" s="28">
        <f t="shared" ref="I120:I128" si="48">((B120*48)+(H120*10))/C120</f>
        <v>53.595270194095427</v>
      </c>
    </row>
    <row r="121" spans="1:9" x14ac:dyDescent="0.3">
      <c r="A121" s="16" t="s">
        <v>791</v>
      </c>
      <c r="B121" s="14">
        <v>7846</v>
      </c>
      <c r="C121" s="14">
        <v>8229</v>
      </c>
      <c r="D121" s="28">
        <f t="shared" si="43"/>
        <v>54.910060882512411</v>
      </c>
      <c r="E121" s="11">
        <f t="shared" si="44"/>
        <v>8580.3855999999996</v>
      </c>
      <c r="F121" s="11">
        <f t="shared" si="45"/>
        <v>8229</v>
      </c>
      <c r="G121" s="78">
        <f t="shared" si="46"/>
        <v>4.0952192171876334</v>
      </c>
      <c r="H121" s="28">
        <f t="shared" si="47"/>
        <v>7524.6891002194598</v>
      </c>
      <c r="I121" s="28">
        <f t="shared" si="48"/>
        <v>54.910060882512411</v>
      </c>
    </row>
    <row r="122" spans="1:9" x14ac:dyDescent="0.3">
      <c r="A122" s="16" t="s">
        <v>28</v>
      </c>
      <c r="B122" s="30">
        <v>107006</v>
      </c>
      <c r="C122" s="30">
        <v>3367714</v>
      </c>
      <c r="D122" s="28">
        <f t="shared" si="43"/>
        <v>10.669266832093095</v>
      </c>
      <c r="E122" s="11">
        <f t="shared" si="44"/>
        <v>117021.76159999998</v>
      </c>
      <c r="F122" s="11">
        <f t="shared" si="45"/>
        <v>3367714</v>
      </c>
      <c r="G122" s="78">
        <f t="shared" si="46"/>
        <v>-2777.8527634128527</v>
      </c>
      <c r="H122" s="28">
        <f t="shared" si="47"/>
        <v>3079475.1280175569</v>
      </c>
      <c r="I122" s="28">
        <f t="shared" si="48"/>
        <v>10.669266832093095</v>
      </c>
    </row>
    <row r="123" spans="1:9" x14ac:dyDescent="0.3">
      <c r="D123" s="28" t="e">
        <f t="shared" si="43"/>
        <v>#DIV/0!</v>
      </c>
      <c r="E123" s="11">
        <f t="shared" si="44"/>
        <v>0</v>
      </c>
      <c r="F123" s="11">
        <f t="shared" si="45"/>
        <v>0</v>
      </c>
      <c r="G123" s="78" t="e">
        <f t="shared" si="46"/>
        <v>#DIV/0!</v>
      </c>
      <c r="H123" s="28">
        <f t="shared" si="47"/>
        <v>0</v>
      </c>
      <c r="I123" s="28" t="e">
        <f t="shared" si="48"/>
        <v>#DIV/0!</v>
      </c>
    </row>
    <row r="124" spans="1:9" x14ac:dyDescent="0.3">
      <c r="D124" s="28" t="e">
        <f t="shared" si="43"/>
        <v>#DIV/0!</v>
      </c>
      <c r="E124" s="11">
        <f t="shared" si="44"/>
        <v>0</v>
      </c>
      <c r="F124" s="11">
        <f t="shared" si="45"/>
        <v>0</v>
      </c>
      <c r="G124" s="78" t="e">
        <f t="shared" si="46"/>
        <v>#DIV/0!</v>
      </c>
      <c r="H124" s="28">
        <f t="shared" si="47"/>
        <v>0</v>
      </c>
      <c r="I124" s="28" t="e">
        <f t="shared" si="48"/>
        <v>#DIV/0!</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si="43"/>
        <v>#DIV/0!</v>
      </c>
      <c r="E128" s="11">
        <f t="shared" si="44"/>
        <v>0</v>
      </c>
      <c r="F128" s="11">
        <f t="shared" si="45"/>
        <v>0</v>
      </c>
      <c r="G128" s="78" t="e">
        <f t="shared" si="46"/>
        <v>#DIV/0!</v>
      </c>
      <c r="H128" s="28">
        <f t="shared" si="47"/>
        <v>0</v>
      </c>
      <c r="I128" s="28" t="e">
        <f t="shared" si="48"/>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89"/>
  <sheetViews>
    <sheetView topLeftCell="A62" workbookViewId="0">
      <selection activeCell="H75" sqref="H75:H8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c r="D86">
        <f>SUM(Table5[Amount])</f>
        <v>299340</v>
      </c>
      <c r="H86" s="1">
        <v>46156</v>
      </c>
      <c r="J86">
        <f>SUMIFS(Table14[Debit], Table14[Date], Table15[[#This Row],[Date]], Table14[Party], "Parts")</f>
        <v>1600</v>
      </c>
    </row>
    <row r="87" spans="2:10" x14ac:dyDescent="0.3">
      <c r="H87" s="1">
        <v>46157</v>
      </c>
      <c r="J87">
        <f>SUMIFS(Table14[Debit], Table14[Date], Table15[[#This Row],[Date]], Table14[Party], "Parts")</f>
        <v>0</v>
      </c>
    </row>
    <row r="88" spans="2:10" x14ac:dyDescent="0.3">
      <c r="H88" s="1"/>
      <c r="J88">
        <f>SUMIFS(Table14[Debit], Table14[Date], Table15[[#This Row],[Date]], Table14[Party], "Parts")</f>
        <v>0</v>
      </c>
    </row>
    <row r="89" spans="2:10" x14ac:dyDescent="0.3">
      <c r="H89" s="1"/>
      <c r="J89">
        <f>SUM(Table15[Amount])</f>
        <v>1408179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abSelected="1" zoomScale="66" workbookViewId="0">
      <selection activeCell="H10" sqref="H1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27752970.118507691</v>
      </c>
    </row>
    <row r="3" spans="1:3" ht="21" x14ac:dyDescent="0.4">
      <c r="A3" s="101" t="str">
        <f>Billing!R38</f>
        <v>Rauf Khan</v>
      </c>
      <c r="B3" s="104">
        <f>Billing!AF38</f>
        <v>0</v>
      </c>
      <c r="C3" s="102">
        <f>Billing!AG38</f>
        <v>2322753.2918800293</v>
      </c>
    </row>
    <row r="4" spans="1:3" ht="21" x14ac:dyDescent="0.4">
      <c r="A4" s="101" t="str">
        <f>Billing!R39</f>
        <v>Farhaan ali</v>
      </c>
      <c r="B4" s="104">
        <f>Billing!AF39</f>
        <v>500000</v>
      </c>
      <c r="C4" s="102">
        <f>Billing!AG39</f>
        <v>1647326.2618873445</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Billing!R36</f>
        <v>Faizan Kamoki</v>
      </c>
      <c r="B7" s="104">
        <f>Billing!AF36</f>
        <v>6045323.4930504756</v>
      </c>
      <c r="C7" s="102">
        <f>Billing!AG36</f>
        <v>460519.59400146361</v>
      </c>
    </row>
    <row r="8" spans="1:3" ht="21" x14ac:dyDescent="0.4">
      <c r="A8" s="101" t="str">
        <f>Billing!R23</f>
        <v>Amjad sohail</v>
      </c>
      <c r="B8" s="104">
        <f>Billing!AF23</f>
        <v>4417830</v>
      </c>
      <c r="C8" s="102">
        <f>Billing!AG23</f>
        <v>451112.02633504104</v>
      </c>
    </row>
    <row r="9" spans="1:3" ht="21" x14ac:dyDescent="0.4">
      <c r="A9" s="101" t="str">
        <f>Billing!R6</f>
        <v>Ejaz Sahab</v>
      </c>
      <c r="B9" s="104">
        <f>Billing!AF6</f>
        <v>7214622</v>
      </c>
      <c r="C9" s="102">
        <f>Billing!AG6</f>
        <v>270520.64813460223</v>
      </c>
    </row>
    <row r="10" spans="1:3" ht="21" x14ac:dyDescent="0.4">
      <c r="A10" s="101" t="str">
        <f>Billing!R40</f>
        <v>ACM salman zaffar</v>
      </c>
      <c r="B10" s="104">
        <f>Billing!AF40</f>
        <v>0</v>
      </c>
      <c r="C10" s="102">
        <f>Billing!AG40</f>
        <v>189566.56912948063</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Billing!R25</f>
        <v>Shahid Qasayi</v>
      </c>
      <c r="B13" s="104">
        <f>Billing!AF25</f>
        <v>4310477</v>
      </c>
      <c r="C13" s="102">
        <f>Billing!AG25</f>
        <v>111552.9926847117</v>
      </c>
    </row>
    <row r="14" spans="1:3" ht="21" x14ac:dyDescent="0.4">
      <c r="A14" s="101" t="str">
        <f>Billing!R16</f>
        <v>Badshah Fabrics</v>
      </c>
      <c r="B14" s="104">
        <f>Billing!AF16</f>
        <v>6545761</v>
      </c>
      <c r="C14" s="102">
        <f>Billing!AG16</f>
        <v>91938.341623995453</v>
      </c>
    </row>
    <row r="15" spans="1:3" ht="21" x14ac:dyDescent="0.4">
      <c r="A15" s="101" t="str">
        <f>Billing!R32</f>
        <v>Rehman Ali</v>
      </c>
      <c r="B15" s="104">
        <f>Billing!AF32</f>
        <v>550000</v>
      </c>
      <c r="C15" s="102">
        <f>Billing!AG32</f>
        <v>45924.46964155091</v>
      </c>
    </row>
    <row r="16" spans="1:3" ht="21" x14ac:dyDescent="0.4">
      <c r="A16" s="101" t="str">
        <f>Billing!R21</f>
        <v>Faizan</v>
      </c>
      <c r="B16" s="104">
        <f>Billing!AF21</f>
        <v>6728187</v>
      </c>
      <c r="C16" s="103">
        <f>Billing!AG21</f>
        <v>25885.787125092931</v>
      </c>
    </row>
    <row r="17" spans="1:3" ht="21" x14ac:dyDescent="0.4">
      <c r="A17" s="101" t="str">
        <f>Billing!R30</f>
        <v>Ahmad Javaid</v>
      </c>
      <c r="B17" s="104">
        <f>Billing!AF30</f>
        <v>130000</v>
      </c>
      <c r="C17" s="102">
        <f>Billing!AG30</f>
        <v>21504.206291148497</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Billing!R22</f>
        <v>Shafique Ansari</v>
      </c>
      <c r="B25" s="104">
        <f>Billing!AF22</f>
        <v>835660</v>
      </c>
      <c r="C25" s="103">
        <f>Billing!AG22</f>
        <v>356.82516459410544</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7">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t="str">
        <f t="shared" si="0"/>
        <v>ACM salman zaffar</v>
      </c>
      <c r="B37" s="10" t="e">
        <f>_xlfn.XLOOKUP($A37,[1]Billing!$Q$5:$Q$40,[1]Billing!$AD$5:$AD$40)</f>
        <v>#N/A</v>
      </c>
      <c r="G37" t="str">
        <v>ACM salman zaffar</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2026-05-15T19:40:48Z</dcterms:modified>
  <cp:category/>
  <cp:contentStatus/>
</cp:coreProperties>
</file>