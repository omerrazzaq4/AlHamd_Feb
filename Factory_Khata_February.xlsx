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2" documentId="8_{5FA7CF9A-3CD5-4319-9FC5-E34696581AAD}" xr6:coauthVersionLast="47" xr6:coauthVersionMax="47" xr10:uidLastSave="{BE30D192-F2FB-4FB9-A0A4-D61B0A81774B}"/>
  <bookViews>
    <workbookView xWindow="11424" yWindow="0" windowWidth="11712" windowHeight="12336" tabRatio="597" firstSheet="3"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c r="G8" i="7"/>
  <c r="G6" i="7"/>
  <c r="G7" i="7"/>
  <c r="G9" i="7"/>
  <c r="I14" i="6"/>
  <c r="G14" i="6"/>
  <c r="H68" i="1" l="1"/>
  <c r="A34" i="21"/>
  <c r="A35" i="21"/>
  <c r="A36" i="21"/>
  <c r="A37" i="21"/>
  <c r="A38" i="21"/>
  <c r="G2" i="21" a="1"/>
  <c r="Q5" i="9" a="1"/>
  <c r="Q5" i="9" s="1"/>
  <c r="H49" i="1"/>
  <c r="H50" i="1"/>
  <c r="H28" i="1"/>
  <c r="H65" i="1"/>
  <c r="H51" i="1"/>
  <c r="H52" i="1"/>
  <c r="O5" i="9" a="1"/>
  <c r="O5" i="9" s="1"/>
  <c r="D3" i="17"/>
  <c r="G2" i="21" l="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J59" i="1" l="1"/>
  <c r="J35" i="1"/>
  <c r="J41" i="1"/>
  <c r="J47" i="1"/>
  <c r="J53" i="1"/>
  <c r="J8" i="1"/>
  <c r="J20" i="1"/>
  <c r="J26" i="1"/>
  <c r="I46" i="1"/>
  <c r="I7" i="1"/>
  <c r="B30" i="21"/>
  <c r="I30" i="1"/>
  <c r="I36" i="1"/>
  <c r="I42" i="1"/>
  <c r="I48" i="1"/>
  <c r="I54" i="1"/>
  <c r="I3" i="1"/>
  <c r="I9" i="1"/>
  <c r="I15" i="1"/>
  <c r="I21" i="1"/>
  <c r="I27" i="1"/>
  <c r="B31" i="21"/>
  <c r="J30" i="1"/>
  <c r="J36" i="1"/>
  <c r="J42" i="1"/>
  <c r="J48" i="1"/>
  <c r="J54" i="1"/>
  <c r="J3" i="1"/>
  <c r="J9" i="1"/>
  <c r="J27" i="1"/>
  <c r="I13" i="1"/>
  <c r="B32" i="21"/>
  <c r="J69" i="1"/>
  <c r="I31" i="1"/>
  <c r="I37" i="1"/>
  <c r="I43" i="1"/>
  <c r="I49" i="1"/>
  <c r="I55" i="1"/>
  <c r="I4" i="1"/>
  <c r="I10" i="1"/>
  <c r="I16" i="1"/>
  <c r="I22" i="1"/>
  <c r="I28" i="1"/>
  <c r="J24" i="1"/>
  <c r="J62" i="1"/>
  <c r="B33" i="21"/>
  <c r="J67" i="1"/>
  <c r="J31" i="1"/>
  <c r="J37" i="1"/>
  <c r="J49" i="1"/>
  <c r="J55" i="1"/>
  <c r="J4" i="1"/>
  <c r="J10" i="1"/>
  <c r="J16" i="1"/>
  <c r="J22" i="1"/>
  <c r="J28" i="1"/>
  <c r="B34" i="21"/>
  <c r="J66" i="1"/>
  <c r="I32" i="1"/>
  <c r="I38" i="1"/>
  <c r="I44" i="1"/>
  <c r="I50" i="1"/>
  <c r="I56" i="1"/>
  <c r="I5" i="1"/>
  <c r="I11" i="1"/>
  <c r="I17" i="1"/>
  <c r="I23" i="1"/>
  <c r="B35" i="21"/>
  <c r="J65" i="1"/>
  <c r="J32" i="1"/>
  <c r="J38" i="1"/>
  <c r="J44" i="1"/>
  <c r="J50" i="1"/>
  <c r="J56" i="1"/>
  <c r="J5" i="1"/>
  <c r="J11" i="1"/>
  <c r="J23" i="1"/>
  <c r="J39" i="1"/>
  <c r="I34" i="1"/>
  <c r="I52" i="1"/>
  <c r="I19" i="1"/>
  <c r="B36" i="21"/>
  <c r="J64" i="1"/>
  <c r="I33" i="1"/>
  <c r="I39" i="1"/>
  <c r="I45" i="1"/>
  <c r="I51" i="1"/>
  <c r="I57" i="1"/>
  <c r="I6" i="1"/>
  <c r="I12" i="1"/>
  <c r="I18" i="1"/>
  <c r="I24" i="1"/>
  <c r="J45" i="1"/>
  <c r="B38" i="21"/>
  <c r="I40" i="1"/>
  <c r="I58" i="1"/>
  <c r="I25" i="1"/>
  <c r="B37" i="21"/>
  <c r="J63" i="1"/>
  <c r="J51" i="1"/>
  <c r="J57" i="1"/>
  <c r="J6" i="1"/>
  <c r="J18" i="1"/>
  <c r="J61" i="1"/>
  <c r="J34" i="1"/>
  <c r="J40" i="1"/>
  <c r="J46" i="1"/>
  <c r="J52" i="1"/>
  <c r="J58" i="1"/>
  <c r="J7" i="1"/>
  <c r="J13" i="1"/>
  <c r="J25" i="1"/>
  <c r="J60" i="1"/>
  <c r="I35" i="1"/>
  <c r="I41" i="1"/>
  <c r="I47" i="1"/>
  <c r="I53" i="1"/>
  <c r="I8" i="1"/>
  <c r="I14" i="1"/>
  <c r="I20" i="1"/>
  <c r="I26" i="1"/>
  <c r="B29" i="21"/>
  <c r="B28" i="21"/>
  <c r="B13" i="21"/>
  <c r="B25" i="21"/>
  <c r="B14" i="21"/>
  <c r="B26" i="21"/>
  <c r="B3" i="21"/>
  <c r="B15" i="21"/>
  <c r="B27" i="21"/>
  <c r="B12" i="21"/>
  <c r="B4" i="21"/>
  <c r="B16" i="21"/>
  <c r="B5" i="21"/>
  <c r="B17" i="21"/>
  <c r="B6" i="21"/>
  <c r="B18" i="21"/>
  <c r="B24" i="21"/>
  <c r="B7" i="21"/>
  <c r="B19" i="21"/>
  <c r="B8" i="21"/>
  <c r="B20" i="21"/>
  <c r="B9" i="21"/>
  <c r="B21" i="21"/>
  <c r="B10" i="21"/>
  <c r="B22" i="21"/>
  <c r="B11" i="21"/>
  <c r="B23" i="21"/>
  <c r="I29" i="1"/>
  <c r="J68" i="1"/>
  <c r="I2" i="1"/>
  <c r="J2" i="1"/>
  <c r="J29" i="1"/>
  <c r="J12" i="1" l="1"/>
  <c r="J21" i="1"/>
  <c r="J15" i="1"/>
  <c r="J14" i="1"/>
  <c r="J43" i="1"/>
  <c r="J33" i="1"/>
  <c r="J19" i="1"/>
  <c r="J17" i="1"/>
  <c r="B2" i="21"/>
  <c r="D2" i="17" l="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C33" i="20"/>
  <c r="A34" i="20"/>
  <c r="B34" i="20"/>
  <c r="C34" i="20"/>
  <c r="A35" i="20"/>
  <c r="B35" i="20"/>
  <c r="C35" i="20"/>
  <c r="A36" i="20"/>
  <c r="B36" i="20"/>
  <c r="C36" i="20"/>
  <c r="A37" i="20"/>
  <c r="B37" i="20"/>
  <c r="C37" i="20"/>
  <c r="A38" i="20"/>
  <c r="B38" i="20"/>
  <c r="C38" i="20"/>
  <c r="A39" i="20"/>
  <c r="B39" i="20"/>
  <c r="C39" i="20"/>
  <c r="A40" i="20"/>
  <c r="B40" i="20"/>
  <c r="C40" i="20"/>
  <c r="D28" i="18"/>
  <c r="C9" i="8"/>
  <c r="G22" i="15"/>
  <c r="H22" i="15" s="1"/>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F75" i="2"/>
  <c r="E76" i="2"/>
  <c r="F76" i="2"/>
  <c r="E77" i="2"/>
  <c r="F77" i="2"/>
  <c r="E78" i="2"/>
  <c r="F78" i="2"/>
  <c r="H78" i="2" s="1"/>
  <c r="I78" i="2" s="1"/>
  <c r="D78" i="2" s="1"/>
  <c r="E79" i="2"/>
  <c r="F79" i="2"/>
  <c r="H79" i="2" s="1"/>
  <c r="I79" i="2" s="1"/>
  <c r="D79" i="2" s="1"/>
  <c r="E80" i="2"/>
  <c r="F80" i="2"/>
  <c r="G80" i="2" s="1"/>
  <c r="H77" i="1" s="1"/>
  <c r="H80" i="2"/>
  <c r="I80" i="2" s="1"/>
  <c r="D80" i="2" s="1"/>
  <c r="E81" i="2"/>
  <c r="G81" i="2" s="1"/>
  <c r="H78" i="1" s="1"/>
  <c r="F81" i="2"/>
  <c r="H81" i="2"/>
  <c r="I81" i="2" s="1"/>
  <c r="D81" i="2" s="1"/>
  <c r="E82" i="2"/>
  <c r="F82" i="2"/>
  <c r="G82" i="2" s="1"/>
  <c r="H82" i="2"/>
  <c r="I82" i="2" s="1"/>
  <c r="D82" i="2" s="1"/>
  <c r="A21" i="20"/>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N6" i="17"/>
  <c r="H75" i="2"/>
  <c r="I75" i="2"/>
  <c r="D75" i="2"/>
  <c r="G84" i="2"/>
  <c r="G19" i="2"/>
  <c r="H81" i="1" s="1"/>
  <c r="G54" i="2"/>
  <c r="H48" i="1"/>
  <c r="H17" i="1"/>
  <c r="H45" i="1"/>
  <c r="H32" i="1"/>
  <c r="H12" i="1"/>
  <c r="H36" i="1"/>
  <c r="H38" i="1"/>
  <c r="H10" i="1"/>
  <c r="H53" i="1"/>
  <c r="H39" i="1"/>
  <c r="H58" i="1"/>
  <c r="H37" i="1"/>
  <c r="H64" i="1"/>
  <c r="H20" i="1"/>
  <c r="H7" i="1"/>
  <c r="H6" i="1"/>
  <c r="H21" i="1"/>
  <c r="H66" i="1"/>
  <c r="H69" i="1"/>
  <c r="H67" i="1"/>
  <c r="H47" i="1"/>
  <c r="H16" i="1"/>
  <c r="H42" i="1"/>
  <c r="H35" i="1"/>
  <c r="H4" i="1"/>
  <c r="H44" i="1"/>
  <c r="H41" i="1"/>
  <c r="H55" i="1"/>
  <c r="H54" i="1"/>
  <c r="H24" i="1"/>
  <c r="H25" i="1"/>
  <c r="H57" i="1"/>
  <c r="H59" i="1"/>
  <c r="H29" i="1"/>
  <c r="H22" i="1"/>
  <c r="H62" i="1"/>
  <c r="H63" i="1"/>
  <c r="H27" i="1"/>
  <c r="H15" i="1"/>
  <c r="H43" i="1"/>
  <c r="H56" i="1"/>
  <c r="H5" i="1"/>
  <c r="H9" i="1"/>
  <c r="H30" i="1"/>
  <c r="H31" i="1"/>
  <c r="H8" i="1"/>
  <c r="H2" i="1"/>
  <c r="H33" i="1"/>
  <c r="H11" i="1"/>
  <c r="H34" i="1"/>
  <c r="H3" i="1"/>
  <c r="H13" i="1"/>
  <c r="H14" i="1"/>
  <c r="H61" i="1"/>
  <c r="H18" i="1"/>
  <c r="H46" i="1"/>
  <c r="H19" i="1"/>
  <c r="H40" i="1"/>
  <c r="H26" i="1"/>
  <c r="H23" i="1"/>
  <c r="H60" i="1"/>
  <c r="G18" i="2"/>
  <c r="G73" i="2"/>
  <c r="G43" i="2"/>
  <c r="H72" i="1" s="1"/>
  <c r="G55" i="2"/>
  <c r="G49" i="2"/>
  <c r="G77" i="2"/>
  <c r="H70" i="1" s="1"/>
  <c r="G37" i="2"/>
  <c r="G57" i="2"/>
  <c r="H80" i="1" s="1"/>
  <c r="G72" i="2"/>
  <c r="G76" i="2"/>
  <c r="G48" i="2"/>
  <c r="G6" i="2"/>
  <c r="G70" i="2"/>
  <c r="H79" i="1" s="1"/>
  <c r="G69" i="2"/>
  <c r="G14" i="2"/>
  <c r="G25" i="2"/>
  <c r="H77" i="2"/>
  <c r="I77" i="2"/>
  <c r="D77" i="2" s="1"/>
  <c r="G66" i="2"/>
  <c r="G40" i="2"/>
  <c r="G50" i="2"/>
  <c r="H76" i="2"/>
  <c r="I76" i="2"/>
  <c r="D76" i="2" s="1"/>
  <c r="G74" i="2"/>
  <c r="G30" i="2"/>
  <c r="G10" i="2"/>
  <c r="G34" i="2"/>
  <c r="H19" i="2"/>
  <c r="I19" i="2" s="1"/>
  <c r="D19" i="2" s="1"/>
  <c r="G7" i="2"/>
  <c r="G67" i="2"/>
  <c r="G28" i="2"/>
  <c r="H6" i="2"/>
  <c r="I6" i="2" s="1"/>
  <c r="D6" i="2" s="1"/>
  <c r="G68" i="2"/>
  <c r="G15" i="2"/>
  <c r="H72" i="2"/>
  <c r="I72" i="2"/>
  <c r="D72" i="2" s="1"/>
  <c r="H57" i="2"/>
  <c r="I57" i="2" s="1"/>
  <c r="D57" i="2" s="1"/>
  <c r="G12" i="2"/>
  <c r="G8" i="2"/>
  <c r="G46" i="2"/>
  <c r="G21" i="2"/>
  <c r="G47" i="2"/>
  <c r="H82" i="1" s="1"/>
  <c r="G51" i="2"/>
  <c r="G4" i="2"/>
  <c r="G45" i="2"/>
  <c r="G59" i="2"/>
  <c r="G44" i="2"/>
  <c r="G23" i="2"/>
  <c r="G17" i="2"/>
  <c r="G16" i="2"/>
  <c r="G35" i="2"/>
  <c r="G52" i="2"/>
  <c r="G61" i="2"/>
  <c r="G13" i="2"/>
  <c r="H35" i="2"/>
  <c r="I35" i="2" s="1"/>
  <c r="D35" i="2" s="1"/>
  <c r="H25" i="2"/>
  <c r="I25" i="2"/>
  <c r="D25" i="2" s="1"/>
  <c r="G56" i="2"/>
  <c r="G20" i="2"/>
  <c r="G9" i="2"/>
  <c r="H14" i="2"/>
  <c r="I14" i="2" s="1"/>
  <c r="D14" i="2" s="1"/>
  <c r="G63" i="2"/>
  <c r="H16" i="2"/>
  <c r="I16" i="2"/>
  <c r="D16" i="2" s="1"/>
  <c r="G32" i="2"/>
  <c r="G38" i="2"/>
  <c r="H40" i="2"/>
  <c r="I40" i="2"/>
  <c r="D40" i="2" s="1"/>
  <c r="G58" i="2"/>
  <c r="G5" i="2"/>
  <c r="H50" i="2"/>
  <c r="I50" i="2" s="1"/>
  <c r="D50" i="2" s="1"/>
  <c r="H12" i="2"/>
  <c r="I12" i="2" s="1"/>
  <c r="D12" i="2" s="1"/>
  <c r="H54" i="2"/>
  <c r="I54" i="2" s="1"/>
  <c r="D54" i="2" s="1"/>
  <c r="H18" i="2"/>
  <c r="I18" i="2" s="1"/>
  <c r="D18" i="2" s="1"/>
  <c r="H46" i="2"/>
  <c r="I46" i="2" s="1"/>
  <c r="D46" i="2" s="1"/>
  <c r="G62" i="2"/>
  <c r="H37" i="2"/>
  <c r="I37" i="2"/>
  <c r="D37" i="2" s="1"/>
  <c r="G33" i="2"/>
  <c r="H31" i="2"/>
  <c r="I31" i="2" s="1"/>
  <c r="D31" i="2" s="1"/>
  <c r="K6" i="6"/>
  <c r="C4" i="8" s="1"/>
  <c r="G123" i="6"/>
  <c r="C16" i="10"/>
  <c r="C2" i="2"/>
  <c r="O79" i="9" l="1"/>
  <c r="O80" i="9"/>
  <c r="P80" i="9" s="1"/>
  <c r="K83" i="1"/>
  <c r="I83" i="1" a="1"/>
  <c r="I83" i="1" s="1"/>
  <c r="E4" i="8" s="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D113" i="9"/>
  <c r="S34" i="9" s="1" a="1"/>
  <c r="S34" i="9" s="1"/>
  <c r="K113" i="9"/>
  <c r="Z34" i="9" s="1" a="1"/>
  <c r="Z34" i="9" s="1"/>
  <c r="C114" i="9"/>
  <c r="O113" i="9"/>
  <c r="AD34" i="9" s="1"/>
  <c r="B31" i="20" s="1"/>
  <c r="E112" i="9"/>
  <c r="T33" i="9" s="1" a="1"/>
  <c r="T33" i="9" s="1"/>
  <c r="H113" i="9"/>
  <c r="W34" i="9" s="1" a="1"/>
  <c r="W34" i="9" s="1"/>
  <c r="O112" i="9"/>
  <c r="AD33" i="9" s="1"/>
  <c r="B30" i="20" s="1"/>
  <c r="E114" i="9"/>
  <c r="T35" i="9" s="1" a="1"/>
  <c r="T35" i="9" s="1"/>
  <c r="M112" i="9"/>
  <c r="AB33" i="9" s="1" a="1"/>
  <c r="AB33" i="9" s="1"/>
  <c r="K112" i="9"/>
  <c r="Z33" i="9" s="1" a="1"/>
  <c r="Z33" i="9" s="1"/>
  <c r="D112" i="9"/>
  <c r="S33" i="9" s="1" a="1"/>
  <c r="S33" i="9" s="1"/>
  <c r="O114" i="9"/>
  <c r="F114" i="9"/>
  <c r="U35" i="9" s="1" a="1"/>
  <c r="U35" i="9" s="1"/>
  <c r="L113" i="9"/>
  <c r="AA34" i="9" s="1" a="1"/>
  <c r="AA34" i="9" s="1"/>
  <c r="E113" i="9"/>
  <c r="T34" i="9" s="1" a="1"/>
  <c r="T34" i="9" s="1"/>
  <c r="I114" i="9"/>
  <c r="X35" i="9" s="1" a="1"/>
  <c r="X35" i="9" s="1"/>
  <c r="M114" i="9"/>
  <c r="AB35" i="9" s="1" a="1"/>
  <c r="AB35" i="9" s="1"/>
  <c r="L112" i="9"/>
  <c r="AA33" i="9" s="1" a="1"/>
  <c r="AA33" i="9" s="1"/>
  <c r="F113" i="9"/>
  <c r="U34" i="9" s="1" a="1"/>
  <c r="U34" i="9" s="1"/>
  <c r="J114" i="9"/>
  <c r="Y35" i="9" s="1" a="1"/>
  <c r="Y35" i="9" s="1"/>
  <c r="H112" i="9"/>
  <c r="W33" i="9" s="1" a="1"/>
  <c r="W33" i="9" s="1"/>
  <c r="L114" i="9"/>
  <c r="AA35" i="9" s="1" a="1"/>
  <c r="AA35" i="9" s="1"/>
  <c r="D114" i="9"/>
  <c r="S35" i="9" s="1" a="1"/>
  <c r="S35" i="9" s="1"/>
  <c r="I113" i="9"/>
  <c r="X34" i="9" s="1" a="1"/>
  <c r="X34" i="9" s="1"/>
  <c r="I112" i="9"/>
  <c r="X33" i="9" s="1" a="1"/>
  <c r="X33" i="9" s="1"/>
  <c r="J113" i="9"/>
  <c r="Y34" i="9" s="1" a="1"/>
  <c r="Y34" i="9" s="1"/>
  <c r="J112" i="9"/>
  <c r="Y33" i="9" s="1" a="1"/>
  <c r="Y33" i="9" s="1"/>
  <c r="M113" i="9"/>
  <c r="AB34" i="9" s="1" a="1"/>
  <c r="AB34" i="9" s="1"/>
  <c r="G114" i="9"/>
  <c r="V35" i="9" s="1" a="1"/>
  <c r="V35" i="9" s="1"/>
  <c r="K114" i="9"/>
  <c r="Z35" i="9" s="1" a="1"/>
  <c r="Z35" i="9" s="1"/>
  <c r="O115" i="9"/>
  <c r="F112" i="9"/>
  <c r="U33" i="9" s="1" a="1"/>
  <c r="U33" i="9" s="1"/>
  <c r="C113" i="9"/>
  <c r="H114" i="9"/>
  <c r="W35" i="9" s="1" a="1"/>
  <c r="W35" i="9" s="1"/>
  <c r="C112" i="9"/>
  <c r="R33" i="9" s="1" a="1"/>
  <c r="R33" i="9" s="1"/>
  <c r="G113" i="9"/>
  <c r="V34" i="9" s="1" a="1"/>
  <c r="V34" i="9" s="1"/>
  <c r="G112" i="9"/>
  <c r="V33" i="9" s="1" a="1"/>
  <c r="V33" i="9" s="1"/>
  <c r="J76" i="9" a="1"/>
  <c r="J76" i="9" s="1"/>
  <c r="K76" i="9" a="1"/>
  <c r="K76" i="9" s="1"/>
  <c r="L76" i="9" a="1"/>
  <c r="L76" i="9" s="1"/>
  <c r="M76" i="9" a="1"/>
  <c r="M76" i="9" s="1"/>
  <c r="G76" i="9" a="1"/>
  <c r="G76" i="9" s="1"/>
  <c r="H76" i="9" a="1"/>
  <c r="H76" i="9" s="1"/>
  <c r="I76" i="9" a="1"/>
  <c r="I76" i="9" s="1"/>
  <c r="C111" i="9"/>
  <c r="R32" i="9" s="1" a="1"/>
  <c r="R32" i="9" s="1"/>
  <c r="I111" i="9"/>
  <c r="X32" i="9" s="1" a="1"/>
  <c r="X32" i="9" s="1"/>
  <c r="K111" i="9"/>
  <c r="Z32" i="9" s="1" a="1"/>
  <c r="Z32" i="9" s="1"/>
  <c r="L111" i="9"/>
  <c r="AA32" i="9" s="1" a="1"/>
  <c r="AA32" i="9" s="1"/>
  <c r="F111" i="9"/>
  <c r="U32" i="9" s="1" a="1"/>
  <c r="U32" i="9" s="1"/>
  <c r="O111" i="9"/>
  <c r="D111" i="9"/>
  <c r="G111" i="9"/>
  <c r="V32" i="9" s="1" a="1"/>
  <c r="V32" i="9" s="1"/>
  <c r="M111" i="9"/>
  <c r="AB32" i="9" s="1" a="1"/>
  <c r="AB32" i="9" s="1"/>
  <c r="J111" i="9"/>
  <c r="Y32" i="9" s="1" a="1"/>
  <c r="Y32" i="9" s="1"/>
  <c r="E111" i="9"/>
  <c r="T32" i="9" s="1" a="1"/>
  <c r="T32" i="9" s="1"/>
  <c r="H111" i="9"/>
  <c r="W32" i="9" s="1" a="1"/>
  <c r="W32"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I86" i="9"/>
  <c r="X7" i="9" s="1" a="1"/>
  <c r="X7" i="9" s="1"/>
  <c r="K100" i="9"/>
  <c r="Z21" i="9" s="1" a="1"/>
  <c r="Z21" i="9" s="1"/>
  <c r="E93" i="9"/>
  <c r="T14" i="9" s="1" a="1"/>
  <c r="T14" i="9" s="1"/>
  <c r="F106" i="9"/>
  <c r="U27" i="9" s="1" a="1"/>
  <c r="U27" i="9" s="1"/>
  <c r="L86" i="9"/>
  <c r="AA7" i="9" s="1" a="1"/>
  <c r="AA7" i="9" s="1"/>
  <c r="M99" i="9"/>
  <c r="AB20" i="9" s="1" a="1"/>
  <c r="AB20" i="9" s="1"/>
  <c r="H93" i="9"/>
  <c r="W14" i="9" s="1" a="1"/>
  <c r="W14" i="9" s="1"/>
  <c r="I106" i="9"/>
  <c r="X27" i="9" s="1" a="1"/>
  <c r="X27" i="9" s="1"/>
  <c r="C87" i="9"/>
  <c r="R8" i="9" s="1" a="1"/>
  <c r="R8" i="9" s="1"/>
  <c r="D100" i="9"/>
  <c r="S21" i="9" s="1" a="1"/>
  <c r="S21" i="9" s="1"/>
  <c r="K94" i="9"/>
  <c r="Z15" i="9" s="1" a="1"/>
  <c r="Z15" i="9" s="1"/>
  <c r="L107" i="9"/>
  <c r="AA28" i="9" s="1" a="1"/>
  <c r="AA28" i="9" s="1"/>
  <c r="F88" i="9"/>
  <c r="U9" i="9" s="1" a="1"/>
  <c r="U9" i="9" s="1"/>
  <c r="H102" i="9"/>
  <c r="W23" i="9" s="1" a="1"/>
  <c r="W23" i="9" s="1"/>
  <c r="O107" i="9"/>
  <c r="J85" i="9"/>
  <c r="Y6" i="9" s="1" a="1"/>
  <c r="Y6" i="9" s="1"/>
  <c r="D103" i="9"/>
  <c r="F87" i="9"/>
  <c r="U8" i="9" s="1" a="1"/>
  <c r="U8" i="9" s="1"/>
  <c r="H101" i="9"/>
  <c r="W22" i="9" s="1" a="1"/>
  <c r="W22" i="9" s="1"/>
  <c r="J90" i="9"/>
  <c r="Y11" i="9" s="1" a="1"/>
  <c r="Y11" i="9" s="1"/>
  <c r="E92" i="9"/>
  <c r="T13" i="9" s="1" a="1"/>
  <c r="T13" i="9" s="1"/>
  <c r="E96" i="9"/>
  <c r="T17" i="9" s="1" a="1"/>
  <c r="T17" i="9" s="1"/>
  <c r="E104" i="9"/>
  <c r="T25" i="9" s="1" a="1"/>
  <c r="T25" i="9" s="1"/>
  <c r="K101" i="9"/>
  <c r="Z22" i="9" s="1" a="1"/>
  <c r="Z22" i="9" s="1"/>
  <c r="H99" i="9"/>
  <c r="W20" i="9" s="1" a="1"/>
  <c r="W20" i="9" s="1"/>
  <c r="C108" i="9"/>
  <c r="R29" i="9" s="1" a="1"/>
  <c r="R29" i="9" s="1"/>
  <c r="M106" i="9"/>
  <c r="AB27" i="9" s="1" a="1"/>
  <c r="AB27" i="9" s="1"/>
  <c r="G109" i="9"/>
  <c r="V30" i="9" s="1" a="1"/>
  <c r="V30" i="9" s="1"/>
  <c r="D107" i="9"/>
  <c r="L104" i="9"/>
  <c r="AA25" i="9" s="1" a="1"/>
  <c r="AA25" i="9" s="1"/>
  <c r="H86" i="9"/>
  <c r="W7" i="9" s="1" a="1"/>
  <c r="W7" i="9" s="1"/>
  <c r="M94" i="9"/>
  <c r="AB15" i="9" s="1" a="1"/>
  <c r="AB15" i="9" s="1"/>
  <c r="J109" i="9"/>
  <c r="Y30" i="9" s="1" a="1"/>
  <c r="Y30" i="9" s="1"/>
  <c r="E107" i="9"/>
  <c r="T28" i="9" s="1" a="1"/>
  <c r="T28" i="9" s="1"/>
  <c r="H89" i="9"/>
  <c r="W10" i="9" s="1" a="1"/>
  <c r="W10" i="9" s="1"/>
  <c r="L99" i="9"/>
  <c r="AA20" i="9" s="1" a="1"/>
  <c r="AA20" i="9" s="1"/>
  <c r="J92" i="9"/>
  <c r="Y13" i="9" s="1" a="1"/>
  <c r="Y13" i="9" s="1"/>
  <c r="L106" i="9"/>
  <c r="AA27" i="9" s="1" a="1"/>
  <c r="AA27" i="9" s="1"/>
  <c r="D95" i="9"/>
  <c r="S16" i="9" s="1" a="1"/>
  <c r="S16" i="9" s="1"/>
  <c r="L108" i="9"/>
  <c r="AA29" i="9" s="1" a="1"/>
  <c r="AA29" i="9" s="1"/>
  <c r="G102" i="9"/>
  <c r="V23" i="9" s="1" a="1"/>
  <c r="V23" i="9" s="1"/>
  <c r="D110" i="9"/>
  <c r="S31" i="9" s="1" a="1"/>
  <c r="S31" i="9" s="1"/>
  <c r="C106" i="9"/>
  <c r="R27" i="9" s="1" a="1"/>
  <c r="R27" i="9" s="1"/>
  <c r="D108" i="9"/>
  <c r="S29" i="9" s="1" a="1"/>
  <c r="S29" i="9" s="1"/>
  <c r="D91" i="9"/>
  <c r="S12" i="9" s="1" a="1"/>
  <c r="S12" i="9" s="1"/>
  <c r="O103" i="9"/>
  <c r="L92" i="9"/>
  <c r="AA13" i="9" s="1" a="1"/>
  <c r="AA13" i="9" s="1"/>
  <c r="J91" i="9"/>
  <c r="Y12" i="9" s="1" a="1"/>
  <c r="Y12" i="9" s="1"/>
  <c r="I89" i="9"/>
  <c r="X10" i="9" s="1" a="1"/>
  <c r="X10" i="9" s="1"/>
  <c r="I110" i="9"/>
  <c r="X31" i="9" s="1" a="1"/>
  <c r="X31" i="9" s="1"/>
  <c r="O96" i="9"/>
  <c r="K109" i="9"/>
  <c r="Z30" i="9" s="1" a="1"/>
  <c r="Z30" i="9" s="1"/>
  <c r="F103" i="9"/>
  <c r="U24" i="9" s="1" a="1"/>
  <c r="U24" i="9" s="1"/>
  <c r="L96" i="9"/>
  <c r="AA17" i="9" s="1" a="1"/>
  <c r="AA17" i="9" s="1"/>
  <c r="C85" i="9"/>
  <c r="R6" i="9" s="1" a="1"/>
  <c r="R6" i="9" s="1"/>
  <c r="H85" i="9"/>
  <c r="W6" i="9" s="1" a="1"/>
  <c r="W6" i="9" s="1"/>
  <c r="J99" i="9"/>
  <c r="Y20" i="9" s="1" a="1"/>
  <c r="Y20" i="9" s="1"/>
  <c r="J87" i="9"/>
  <c r="Y8" i="9" s="1" a="1"/>
  <c r="Y8" i="9" s="1"/>
  <c r="L101" i="9"/>
  <c r="AA22" i="9" s="1" a="1"/>
  <c r="AA22" i="9" s="1"/>
  <c r="F94" i="9"/>
  <c r="U15" i="9" s="1" a="1"/>
  <c r="U15" i="9" s="1"/>
  <c r="G107" i="9"/>
  <c r="V28" i="9" s="1" a="1"/>
  <c r="V28" i="9" s="1"/>
  <c r="M87" i="9"/>
  <c r="AB8" i="9" s="1" a="1"/>
  <c r="AB8" i="9" s="1"/>
  <c r="C101" i="9"/>
  <c r="R22" i="9" s="1" a="1"/>
  <c r="R22" i="9" s="1"/>
  <c r="I94" i="9"/>
  <c r="X15" i="9" s="1" a="1"/>
  <c r="X15" i="9" s="1"/>
  <c r="J107" i="9"/>
  <c r="Y28" i="9" s="1" a="1"/>
  <c r="Y28" i="9" s="1"/>
  <c r="D88" i="9"/>
  <c r="S9" i="9" s="1" a="1"/>
  <c r="S9" i="9" s="1"/>
  <c r="E101" i="9"/>
  <c r="T22" i="9" s="1" a="1"/>
  <c r="T22" i="9" s="1"/>
  <c r="O87" i="9"/>
  <c r="AD8" i="9" s="1"/>
  <c r="B5" i="20" s="1"/>
  <c r="L95" i="9"/>
  <c r="AA16" i="9" s="1" a="1"/>
  <c r="AA16" i="9" s="1"/>
  <c r="M108" i="9"/>
  <c r="AB29" i="9" s="1" a="1"/>
  <c r="AB29" i="9" s="1"/>
  <c r="G89" i="9"/>
  <c r="V10" i="9" s="1" a="1"/>
  <c r="V10" i="9" s="1"/>
  <c r="I103" i="9"/>
  <c r="X24" i="9" s="1" a="1"/>
  <c r="X24" i="9" s="1"/>
  <c r="G87" i="9"/>
  <c r="V8" i="9" s="1" a="1"/>
  <c r="V8" i="9" s="1"/>
  <c r="L93" i="9"/>
  <c r="AA14" i="9" s="1" a="1"/>
  <c r="AA14" i="9" s="1"/>
  <c r="M105" i="9"/>
  <c r="AB26" i="9" s="1" a="1"/>
  <c r="AB26" i="9" s="1"/>
  <c r="G97" i="9"/>
  <c r="V18" i="9" s="1" a="1"/>
  <c r="V18" i="9" s="1"/>
  <c r="E109" i="9"/>
  <c r="T30" i="9" s="1" a="1"/>
  <c r="T30" i="9" s="1"/>
  <c r="C93" i="9"/>
  <c r="R14" i="9" s="1" a="1"/>
  <c r="R14" i="9" s="1"/>
  <c r="G100" i="9"/>
  <c r="V21" i="9" s="1" a="1"/>
  <c r="V21" i="9" s="1"/>
  <c r="I101" i="9"/>
  <c r="X22" i="9" s="1" a="1"/>
  <c r="X22" i="9" s="1"/>
  <c r="C107" i="9"/>
  <c r="R28" i="9" s="1" a="1"/>
  <c r="R28" i="9" s="1"/>
  <c r="K104" i="9"/>
  <c r="Z25" i="9" s="1" a="1"/>
  <c r="Z25" i="9" s="1"/>
  <c r="C102" i="9"/>
  <c r="R23" i="9" s="1" a="1"/>
  <c r="R23" i="9" s="1"/>
  <c r="O102" i="9"/>
  <c r="K86" i="9"/>
  <c r="Z7" i="9" s="1" a="1"/>
  <c r="Z7" i="9" s="1"/>
  <c r="F108" i="9"/>
  <c r="U29" i="9" s="1" a="1"/>
  <c r="U29" i="9" s="1"/>
  <c r="F105" i="9"/>
  <c r="U26" i="9" s="1" a="1"/>
  <c r="U26" i="9" s="1"/>
  <c r="C96" i="9"/>
  <c r="R17" i="9" s="1" a="1"/>
  <c r="R17" i="9" s="1"/>
  <c r="M100" i="9"/>
  <c r="AB21" i="9" s="1" a="1"/>
  <c r="AB21" i="9" s="1"/>
  <c r="O92" i="9"/>
  <c r="M95" i="9"/>
  <c r="AB16" i="9" s="1" a="1"/>
  <c r="AB16" i="9" s="1"/>
  <c r="F93" i="9"/>
  <c r="U14" i="9" s="1" a="1"/>
  <c r="U14" i="9" s="1"/>
  <c r="G86" i="9"/>
  <c r="V7" i="9" s="1" a="1"/>
  <c r="V7" i="9" s="1"/>
  <c r="I99" i="9"/>
  <c r="X20" i="9" s="1" a="1"/>
  <c r="X20" i="9" s="1"/>
  <c r="L105" i="9"/>
  <c r="AA26" i="9" s="1" a="1"/>
  <c r="AA26" i="9" s="1"/>
  <c r="H95" i="9"/>
  <c r="W16" i="9" s="1" a="1"/>
  <c r="W16" i="9" s="1"/>
  <c r="K110" i="9"/>
  <c r="Z31" i="9" s="1" a="1"/>
  <c r="Z31" i="9" s="1"/>
  <c r="E98" i="9"/>
  <c r="T19" i="9" s="1" a="1"/>
  <c r="T19" i="9" s="1"/>
  <c r="L98" i="9"/>
  <c r="AA19" i="9" s="1" a="1"/>
  <c r="AA19" i="9" s="1"/>
  <c r="K106" i="9"/>
  <c r="Z27" i="9" s="1" a="1"/>
  <c r="Z27" i="9" s="1"/>
  <c r="E87" i="9"/>
  <c r="T8" i="9" s="1" a="1"/>
  <c r="T8" i="9" s="1"/>
  <c r="F100" i="9"/>
  <c r="U21" i="9" s="1" a="1"/>
  <c r="U21" i="9" s="1"/>
  <c r="K88" i="9"/>
  <c r="Z9" i="9" s="1" a="1"/>
  <c r="Z9" i="9" s="1"/>
  <c r="M102" i="9"/>
  <c r="AB23" i="9" s="1" a="1"/>
  <c r="AB23" i="9" s="1"/>
  <c r="G95" i="9"/>
  <c r="V16" i="9" s="1" a="1"/>
  <c r="V16" i="9" s="1"/>
  <c r="H108" i="9"/>
  <c r="W29" i="9" s="1" a="1"/>
  <c r="W29" i="9" s="1"/>
  <c r="C89" i="9"/>
  <c r="R10" i="9" s="1" a="1"/>
  <c r="R10" i="9" s="1"/>
  <c r="D102" i="9"/>
  <c r="S23" i="9" s="1" a="1"/>
  <c r="S23" i="9" s="1"/>
  <c r="O85" i="9"/>
  <c r="J95" i="9"/>
  <c r="Y16" i="9" s="1" a="1"/>
  <c r="Y16" i="9" s="1"/>
  <c r="K108" i="9"/>
  <c r="Z29" i="9" s="1" a="1"/>
  <c r="Z29" i="9" s="1"/>
  <c r="E89" i="9"/>
  <c r="T10" i="9" s="1" a="1"/>
  <c r="T10" i="9" s="1"/>
  <c r="F102" i="9"/>
  <c r="U23" i="9" s="1" a="1"/>
  <c r="U23" i="9" s="1"/>
  <c r="O99" i="9"/>
  <c r="M96" i="9"/>
  <c r="AB17" i="9" s="1" a="1"/>
  <c r="AB17" i="9" s="1"/>
  <c r="C110" i="9"/>
  <c r="R31" i="9" s="1" a="1"/>
  <c r="R31" i="9" s="1"/>
  <c r="H90" i="9"/>
  <c r="W11" i="9" s="1" a="1"/>
  <c r="W11" i="9" s="1"/>
  <c r="J104" i="9"/>
  <c r="Y25" i="9" s="1" a="1"/>
  <c r="Y25" i="9" s="1"/>
  <c r="K89" i="9"/>
  <c r="Z10" i="9" s="1" a="1"/>
  <c r="Z10" i="9" s="1"/>
  <c r="K98" i="9"/>
  <c r="Z19" i="9" s="1" a="1"/>
  <c r="Z19" i="9" s="1"/>
  <c r="E110" i="9"/>
  <c r="T31" i="9" s="1" a="1"/>
  <c r="T31" i="9" s="1"/>
  <c r="L91" i="9"/>
  <c r="AA12" i="9" s="1" a="1"/>
  <c r="AA12" i="9" s="1"/>
  <c r="C105" i="9"/>
  <c r="R26" i="9" s="1" a="1"/>
  <c r="R26" i="9" s="1"/>
  <c r="L89" i="9"/>
  <c r="AA10" i="9" s="1" a="1"/>
  <c r="AA10" i="9" s="1"/>
  <c r="C104" i="9"/>
  <c r="R25" i="9" s="1" a="1"/>
  <c r="R25" i="9" s="1"/>
  <c r="O94" i="9"/>
  <c r="H96" i="9"/>
  <c r="W17" i="9" s="1" a="1"/>
  <c r="W17" i="9" s="1"/>
  <c r="I109" i="9"/>
  <c r="X30" i="9" s="1" a="1"/>
  <c r="X30" i="9" s="1"/>
  <c r="D90" i="9"/>
  <c r="S11" i="9" s="1" a="1"/>
  <c r="S11" i="9" s="1"/>
  <c r="E103" i="9"/>
  <c r="T24" i="9" s="1" a="1"/>
  <c r="T24" i="9" s="1"/>
  <c r="O97" i="9"/>
  <c r="K96" i="9"/>
  <c r="Z17" i="9" s="1" a="1"/>
  <c r="Z17" i="9" s="1"/>
  <c r="L109" i="9"/>
  <c r="AA30" i="9" s="1" a="1"/>
  <c r="AA30" i="9" s="1"/>
  <c r="F90" i="9"/>
  <c r="U11" i="9" s="1" a="1"/>
  <c r="U11" i="9" s="1"/>
  <c r="H104" i="9"/>
  <c r="W25" i="9" s="1" a="1"/>
  <c r="W25" i="9" s="1"/>
  <c r="C98" i="9"/>
  <c r="R19" i="9" s="1" a="1"/>
  <c r="R19" i="9" s="1"/>
  <c r="I91" i="9"/>
  <c r="X12" i="9" s="1" a="1"/>
  <c r="X12" i="9" s="1"/>
  <c r="K105" i="9"/>
  <c r="Z26" i="9" s="1" a="1"/>
  <c r="Z26" i="9" s="1"/>
  <c r="K92" i="9"/>
  <c r="Z13" i="9" s="1" a="1"/>
  <c r="Z13" i="9" s="1"/>
  <c r="M103" i="9"/>
  <c r="AB24" i="9" s="1" a="1"/>
  <c r="AB24" i="9" s="1"/>
  <c r="H110" i="9"/>
  <c r="W31" i="9" s="1" a="1"/>
  <c r="W31" i="9" s="1"/>
  <c r="O104" i="9"/>
  <c r="G98" i="9"/>
  <c r="V19" i="9" s="1" a="1"/>
  <c r="V19" i="9" s="1"/>
  <c r="O90" i="9"/>
  <c r="G94" i="9"/>
  <c r="V15" i="9" s="1" a="1"/>
  <c r="V15" i="9" s="1"/>
  <c r="G110" i="9"/>
  <c r="V31" i="9" s="1" a="1"/>
  <c r="V31" i="9" s="1"/>
  <c r="J94" i="9"/>
  <c r="Y15" i="9" s="1" a="1"/>
  <c r="Y15" i="9" s="1"/>
  <c r="F89" i="9"/>
  <c r="U10" i="9" s="1" a="1"/>
  <c r="U10" i="9" s="1"/>
  <c r="O88" i="9"/>
  <c r="L102" i="9"/>
  <c r="AA23" i="9" s="1" a="1"/>
  <c r="AA23" i="9" s="1"/>
  <c r="C90" i="9"/>
  <c r="R11" i="9" s="1" a="1"/>
  <c r="R11" i="9" s="1"/>
  <c r="M92" i="9"/>
  <c r="AB13" i="9" s="1" a="1"/>
  <c r="AB13" i="9" s="1"/>
  <c r="D109" i="9"/>
  <c r="S30" i="9" s="1" a="1"/>
  <c r="S30" i="9" s="1"/>
  <c r="J88" i="9"/>
  <c r="Y9" i="9" s="1" a="1"/>
  <c r="Y9" i="9" s="1"/>
  <c r="F96" i="9"/>
  <c r="U17" i="9" s="1" a="1"/>
  <c r="U17" i="9" s="1"/>
  <c r="K91" i="9"/>
  <c r="Z12" i="9" s="1" a="1"/>
  <c r="Z12" i="9" s="1"/>
  <c r="M91" i="9"/>
  <c r="AB12" i="9" s="1" a="1"/>
  <c r="AB12" i="9" s="1"/>
  <c r="M104" i="9"/>
  <c r="AB25" i="9" s="1" a="1"/>
  <c r="AB25" i="9" s="1"/>
  <c r="I98" i="9"/>
  <c r="X19" i="9" s="1" a="1"/>
  <c r="X19" i="9" s="1"/>
  <c r="C91" i="9"/>
  <c r="R12" i="9" s="1" a="1"/>
  <c r="R12" i="9" s="1"/>
  <c r="D104" i="9"/>
  <c r="S25" i="9" s="1" a="1"/>
  <c r="S25" i="9" s="1"/>
  <c r="O108" i="9"/>
  <c r="K97" i="9"/>
  <c r="Z18" i="9" s="1" a="1"/>
  <c r="Z18" i="9" s="1"/>
  <c r="L110" i="9"/>
  <c r="AA31" i="9" s="1" a="1"/>
  <c r="AA31" i="9" s="1"/>
  <c r="F91" i="9"/>
  <c r="U12" i="9" s="1" a="1"/>
  <c r="U12" i="9" s="1"/>
  <c r="G104" i="9"/>
  <c r="V25" i="9" s="1" a="1"/>
  <c r="V25" i="9" s="1"/>
  <c r="O110" i="9"/>
  <c r="AD31" i="9" s="1"/>
  <c r="B28" i="20" s="1"/>
  <c r="M97" i="9"/>
  <c r="AB18" i="9" s="1" a="1"/>
  <c r="AB18" i="9" s="1"/>
  <c r="I92" i="9"/>
  <c r="X13" i="9" s="1" a="1"/>
  <c r="X13" i="9" s="1"/>
  <c r="J105" i="9"/>
  <c r="Y26" i="9" s="1" a="1"/>
  <c r="Y26" i="9" s="1"/>
  <c r="D86" i="9"/>
  <c r="S7" i="9" s="1" a="1"/>
  <c r="S7" i="9" s="1"/>
  <c r="E99" i="9"/>
  <c r="T20" i="9" s="1" a="1"/>
  <c r="T20" i="9" s="1"/>
  <c r="D96" i="9"/>
  <c r="S17" i="9" s="1" a="1"/>
  <c r="S17" i="9" s="1"/>
  <c r="L87" i="9"/>
  <c r="AA8" i="9" s="1" a="1"/>
  <c r="AA8" i="9" s="1"/>
  <c r="F109" i="9"/>
  <c r="U30" i="9" s="1" a="1"/>
  <c r="U30" i="9" s="1"/>
  <c r="L90" i="9"/>
  <c r="AA11" i="9" s="1" a="1"/>
  <c r="AA11" i="9" s="1"/>
  <c r="J101" i="9"/>
  <c r="Y22" i="9" s="1" a="1"/>
  <c r="Y22" i="9" s="1"/>
  <c r="G99" i="9"/>
  <c r="V20" i="9" s="1" a="1"/>
  <c r="V20" i="9" s="1"/>
  <c r="D97" i="9"/>
  <c r="S18" i="9" s="1" a="1"/>
  <c r="S18" i="9" s="1"/>
  <c r="J102" i="9"/>
  <c r="Y23" i="9" s="1" a="1"/>
  <c r="Y23" i="9" s="1"/>
  <c r="F110" i="9"/>
  <c r="U31" i="9" s="1" a="1"/>
  <c r="U31" i="9" s="1"/>
  <c r="M90" i="9"/>
  <c r="AB11" i="9" s="1" a="1"/>
  <c r="AB11" i="9" s="1"/>
  <c r="D105" i="9"/>
  <c r="S26" i="9" s="1" a="1"/>
  <c r="S26" i="9" s="1"/>
  <c r="O106" i="9"/>
  <c r="I97" i="9"/>
  <c r="X18" i="9" s="1" a="1"/>
  <c r="X18" i="9" s="1"/>
  <c r="J110" i="9"/>
  <c r="Y31" i="9" s="1" a="1"/>
  <c r="Y31" i="9" s="1"/>
  <c r="E91" i="9"/>
  <c r="T12" i="9" s="1" a="1"/>
  <c r="T12" i="9" s="1"/>
  <c r="F104" i="9"/>
  <c r="U25" i="9" s="1" a="1"/>
  <c r="U25" i="9" s="1"/>
  <c r="O109" i="9"/>
  <c r="L97" i="9"/>
  <c r="AA18" i="9" s="1" a="1"/>
  <c r="AA18" i="9" s="1"/>
  <c r="M110" i="9"/>
  <c r="AB31" i="9" s="1" a="1"/>
  <c r="AB31" i="9" s="1"/>
  <c r="G91" i="9"/>
  <c r="V12" i="9" s="1" a="1"/>
  <c r="V12" i="9" s="1"/>
  <c r="I105" i="9"/>
  <c r="X26" i="9" s="1" a="1"/>
  <c r="X26" i="9" s="1"/>
  <c r="C86" i="9"/>
  <c r="R7" i="9" s="1" a="1"/>
  <c r="R7" i="9" s="1"/>
  <c r="D99" i="9"/>
  <c r="S20" i="9" s="1" a="1"/>
  <c r="S20" i="9" s="1"/>
  <c r="J89" i="9"/>
  <c r="Y10" i="9" s="1" a="1"/>
  <c r="Y10" i="9" s="1"/>
  <c r="G85" i="9"/>
  <c r="I102" i="9"/>
  <c r="X23" i="9" s="1" a="1"/>
  <c r="X23" i="9" s="1"/>
  <c r="H97" i="9"/>
  <c r="W18" i="9" s="1" a="1"/>
  <c r="W18" i="9" s="1"/>
  <c r="O98" i="9"/>
  <c r="I104" i="9"/>
  <c r="X25" i="9" s="1" a="1"/>
  <c r="X25" i="9" s="1"/>
  <c r="E108" i="9"/>
  <c r="T29" i="9" s="1" a="1"/>
  <c r="T29" i="9" s="1"/>
  <c r="J93" i="9"/>
  <c r="Y14" i="9" s="1" a="1"/>
  <c r="Y14" i="9" s="1"/>
  <c r="C92" i="9"/>
  <c r="R13" i="9" s="1" a="1"/>
  <c r="R13" i="9" s="1"/>
  <c r="E106" i="9"/>
  <c r="T27" i="9" s="1" a="1"/>
  <c r="T27" i="9" s="1"/>
  <c r="I85" i="9"/>
  <c r="X6" i="9" s="1" a="1"/>
  <c r="X6" i="9" s="1"/>
  <c r="J98" i="9"/>
  <c r="Y19" i="9" s="1" a="1"/>
  <c r="Y19" i="9" s="1"/>
  <c r="F92" i="9"/>
  <c r="U13" i="9" s="1" a="1"/>
  <c r="U13" i="9" s="1"/>
  <c r="G105" i="9"/>
  <c r="V26" i="9" s="1" a="1"/>
  <c r="V26" i="9" s="1"/>
  <c r="L85" i="9"/>
  <c r="AA6" i="9" s="1" a="1"/>
  <c r="AA6" i="9" s="1"/>
  <c r="M98" i="9"/>
  <c r="AB19" i="9" s="1" a="1"/>
  <c r="AB19" i="9" s="1"/>
  <c r="H92" i="9"/>
  <c r="W13" i="9" s="1" a="1"/>
  <c r="W13" i="9" s="1"/>
  <c r="J106" i="9"/>
  <c r="Y27" i="9" s="1" a="1"/>
  <c r="Y27" i="9" s="1"/>
  <c r="D87" i="9"/>
  <c r="S8" i="9" s="1" a="1"/>
  <c r="S8" i="9" s="1"/>
  <c r="E100" i="9"/>
  <c r="T21" i="9" s="1" a="1"/>
  <c r="T21" i="9" s="1"/>
  <c r="K93" i="9"/>
  <c r="Z14" i="9" s="1" a="1"/>
  <c r="Z14" i="9" s="1"/>
  <c r="M107" i="9"/>
  <c r="AB28" i="9" s="1" a="1"/>
  <c r="AB28" i="9" s="1"/>
  <c r="J97" i="9"/>
  <c r="Y18" i="9" s="1" a="1"/>
  <c r="Y18" i="9" s="1"/>
  <c r="D85" i="9"/>
  <c r="S6" i="9" s="1" a="1"/>
  <c r="S6" i="9" s="1"/>
  <c r="E85" i="9"/>
  <c r="T6" i="9" s="1" a="1"/>
  <c r="T6" i="9" s="1"/>
  <c r="I87" i="9"/>
  <c r="X8" i="9" s="1" a="1"/>
  <c r="X8" i="9" s="1"/>
  <c r="C95" i="9"/>
  <c r="R16" i="9" s="1" a="1"/>
  <c r="R16" i="9" s="1"/>
  <c r="K103" i="9"/>
  <c r="Z24" i="9" s="1" a="1"/>
  <c r="Z24" i="9" s="1"/>
  <c r="G88" i="9"/>
  <c r="V9" i="9" s="1" a="1"/>
  <c r="V9" i="9" s="1"/>
  <c r="E86" i="9"/>
  <c r="T7" i="9" s="1" a="1"/>
  <c r="T7" i="9" s="1"/>
  <c r="O95" i="9"/>
  <c r="C94" i="9"/>
  <c r="R15" i="9" s="1" a="1"/>
  <c r="R15" i="9" s="1"/>
  <c r="O105" i="9"/>
  <c r="I100" i="9"/>
  <c r="X21" i="9" s="1" a="1"/>
  <c r="X21" i="9" s="1"/>
  <c r="D93" i="9"/>
  <c r="S14" i="9" s="1" a="1"/>
  <c r="S14" i="9" s="1"/>
  <c r="F107" i="9"/>
  <c r="U28" i="9" s="1" a="1"/>
  <c r="U28" i="9" s="1"/>
  <c r="J86" i="9"/>
  <c r="Y7" i="9" s="1" a="1"/>
  <c r="Y7" i="9" s="1"/>
  <c r="K99" i="9"/>
  <c r="Z20" i="9" s="1" a="1"/>
  <c r="Z20" i="9" s="1"/>
  <c r="G93" i="9"/>
  <c r="V14" i="9" s="1" a="1"/>
  <c r="V14" i="9" s="1"/>
  <c r="H106" i="9"/>
  <c r="W27" i="9" s="1" a="1"/>
  <c r="W27" i="9" s="1"/>
  <c r="M86" i="9"/>
  <c r="AB7" i="9" s="1" a="1"/>
  <c r="AB7" i="9" s="1"/>
  <c r="C100" i="9"/>
  <c r="R21" i="9" s="1" a="1"/>
  <c r="R21" i="9" s="1"/>
  <c r="I93" i="9"/>
  <c r="X14" i="9" s="1" a="1"/>
  <c r="X14" i="9" s="1"/>
  <c r="K107" i="9"/>
  <c r="Z28" i="9" s="1" a="1"/>
  <c r="Z28" i="9" s="1"/>
  <c r="E88" i="9"/>
  <c r="T9" i="9" s="1" a="1"/>
  <c r="T9" i="9" s="1"/>
  <c r="F101" i="9"/>
  <c r="U22" i="9" s="1" a="1"/>
  <c r="U22" i="9" s="1"/>
  <c r="L94" i="9"/>
  <c r="AA15" i="9" s="1" a="1"/>
  <c r="AA15" i="9" s="1"/>
  <c r="C109" i="9"/>
  <c r="R30" i="9" s="1" a="1"/>
  <c r="R30" i="9" s="1"/>
  <c r="H100" i="9"/>
  <c r="W21" i="9" s="1" a="1"/>
  <c r="W21" i="9" s="1"/>
  <c r="H87" i="9"/>
  <c r="W8" i="9" s="1" a="1"/>
  <c r="W8" i="9" s="1"/>
  <c r="J103" i="9"/>
  <c r="Y24" i="9" s="1" a="1"/>
  <c r="Y24" i="9" s="1"/>
  <c r="I90" i="9"/>
  <c r="X11" i="9" s="1" a="1"/>
  <c r="X11" i="9" s="1"/>
  <c r="K102" i="9"/>
  <c r="Z23" i="9" s="1" a="1"/>
  <c r="Z23" i="9" s="1"/>
  <c r="D106" i="9"/>
  <c r="S27" i="9" s="1" a="1"/>
  <c r="S27" i="9" s="1"/>
  <c r="K90" i="9"/>
  <c r="Z11" i="9" s="1" a="1"/>
  <c r="Z11" i="9" s="1"/>
  <c r="I88" i="9"/>
  <c r="X9" i="9" s="1" a="1"/>
  <c r="X9" i="9" s="1"/>
  <c r="F86" i="9"/>
  <c r="U7" i="9" s="1" a="1"/>
  <c r="U7" i="9" s="1"/>
  <c r="O101" i="9"/>
  <c r="E97" i="9"/>
  <c r="T18" i="9" s="1" a="1"/>
  <c r="T18" i="9" s="1"/>
  <c r="E94" i="9"/>
  <c r="T15" i="9" s="1" a="1"/>
  <c r="T15" i="9" s="1"/>
  <c r="G108" i="9"/>
  <c r="V29" i="9" s="1" a="1"/>
  <c r="V29" i="9" s="1"/>
  <c r="K87" i="9"/>
  <c r="Z8" i="9" s="1" a="1"/>
  <c r="Z8" i="9" s="1"/>
  <c r="L100" i="9"/>
  <c r="AA21" i="9" s="1" a="1"/>
  <c r="AA21" i="9" s="1"/>
  <c r="I108" i="9"/>
  <c r="X29" i="9" s="1" a="1"/>
  <c r="X29" i="9" s="1"/>
  <c r="L103" i="9"/>
  <c r="AA24" i="9" s="1" a="1"/>
  <c r="AA24" i="9" s="1"/>
  <c r="M93" i="9"/>
  <c r="AB14" i="9" s="1" a="1"/>
  <c r="AB14" i="9" s="1"/>
  <c r="M88" i="9"/>
  <c r="AB9" i="9" s="1" a="1"/>
  <c r="AB9" i="9" s="1"/>
  <c r="O93" i="9"/>
  <c r="M89" i="9"/>
  <c r="AB10" i="9" s="1" a="1"/>
  <c r="AB10" i="9" s="1"/>
  <c r="C103" i="9"/>
  <c r="R24" i="9" s="1" a="1"/>
  <c r="R24" i="9" s="1"/>
  <c r="J96" i="9"/>
  <c r="Y17" i="9" s="1" a="1"/>
  <c r="Y17" i="9" s="1"/>
  <c r="E90" i="9"/>
  <c r="T11" i="9" s="1" a="1"/>
  <c r="T11" i="9" s="1"/>
  <c r="H91" i="9"/>
  <c r="W12" i="9" s="1" a="1"/>
  <c r="W12" i="9" s="1"/>
  <c r="D98" i="9"/>
  <c r="S19" i="9" s="1" a="1"/>
  <c r="S19" i="9" s="1"/>
  <c r="E95" i="9"/>
  <c r="T16" i="9" s="1" a="1"/>
  <c r="T16" i="9" s="1"/>
  <c r="F98" i="9"/>
  <c r="U19" i="9" s="1" a="1"/>
  <c r="U19" i="9" s="1"/>
  <c r="O89" i="9"/>
  <c r="J100" i="9"/>
  <c r="Y21" i="9" s="1" a="1"/>
  <c r="Y21" i="9" s="1"/>
  <c r="G106" i="9"/>
  <c r="V27" i="9" s="1" a="1"/>
  <c r="V27" i="9" s="1"/>
  <c r="O91" i="9"/>
  <c r="F99" i="9"/>
  <c r="U20" i="9" s="1" a="1"/>
  <c r="U20" i="9" s="1"/>
  <c r="D94" i="9"/>
  <c r="S15" i="9" s="1" a="1"/>
  <c r="S15" i="9" s="1"/>
  <c r="H107" i="9"/>
  <c r="W28" i="9" s="1" a="1"/>
  <c r="W28" i="9" s="1"/>
  <c r="E105" i="9"/>
  <c r="T26" i="9" s="1" a="1"/>
  <c r="T26" i="9" s="1"/>
  <c r="H94" i="9"/>
  <c r="W15" i="9" s="1" a="1"/>
  <c r="W15" i="9" s="1"/>
  <c r="I107" i="9"/>
  <c r="X28" i="9" s="1" a="1"/>
  <c r="X28" i="9" s="1"/>
  <c r="C88" i="9"/>
  <c r="R9" i="9" s="1" a="1"/>
  <c r="R9" i="9" s="1"/>
  <c r="D101" i="9"/>
  <c r="S22" i="9" s="1" a="1"/>
  <c r="S22" i="9" s="1"/>
  <c r="F85" i="9"/>
  <c r="U6" i="9" s="1" a="1"/>
  <c r="U6" i="9" s="1"/>
  <c r="I96" i="9"/>
  <c r="X17" i="9" s="1" a="1"/>
  <c r="X17" i="9" s="1"/>
  <c r="F97" i="9"/>
  <c r="U18" i="9" s="1" a="1"/>
  <c r="U18" i="9" s="1"/>
  <c r="D92" i="9"/>
  <c r="S13" i="9" s="1" a="1"/>
  <c r="S13" i="9" s="1"/>
  <c r="K85" i="9"/>
  <c r="Z6" i="9" s="1" a="1"/>
  <c r="Z6" i="9" s="1"/>
  <c r="G92" i="9"/>
  <c r="V13" i="9" s="1" a="1"/>
  <c r="V13" i="9" s="1"/>
  <c r="H105" i="9"/>
  <c r="W26" i="9" s="1" a="1"/>
  <c r="W26" i="9" s="1"/>
  <c r="M85" i="9"/>
  <c r="AB6" i="9" s="1" a="1"/>
  <c r="AB6" i="9" s="1"/>
  <c r="C99" i="9"/>
  <c r="R20" i="9" s="1" a="1"/>
  <c r="R20" i="9" s="1"/>
  <c r="F95" i="9"/>
  <c r="U16" i="9" s="1" a="1"/>
  <c r="U16" i="9" s="1"/>
  <c r="H109" i="9"/>
  <c r="W30" i="9" s="1" a="1"/>
  <c r="W30" i="9" s="1"/>
  <c r="L88" i="9"/>
  <c r="AA9" i="9" s="1" a="1"/>
  <c r="AA9" i="9" s="1"/>
  <c r="M101" i="9"/>
  <c r="AB22" i="9" s="1" a="1"/>
  <c r="AB22" i="9" s="1"/>
  <c r="I95" i="9"/>
  <c r="X16" i="9" s="1" a="1"/>
  <c r="X16" i="9" s="1"/>
  <c r="J108" i="9"/>
  <c r="Y29" i="9" s="1" a="1"/>
  <c r="Y29" i="9" s="1"/>
  <c r="D89" i="9"/>
  <c r="S10" i="9" s="1" a="1"/>
  <c r="S10" i="9" s="1"/>
  <c r="E102" i="9"/>
  <c r="T23" i="9" s="1" a="1"/>
  <c r="T23" i="9" s="1"/>
  <c r="O86" i="9"/>
  <c r="K95" i="9"/>
  <c r="Z16" i="9" s="1" a="1"/>
  <c r="Z16" i="9" s="1"/>
  <c r="M109" i="9"/>
  <c r="AB30" i="9" s="1" a="1"/>
  <c r="AB30" i="9" s="1"/>
  <c r="G90" i="9"/>
  <c r="V11" i="9" s="1" a="1"/>
  <c r="V11" i="9" s="1"/>
  <c r="H103" i="9"/>
  <c r="W24" i="9" s="1" a="1"/>
  <c r="W24" i="9" s="1"/>
  <c r="O100" i="9"/>
  <c r="C97" i="9"/>
  <c r="R18" i="9" s="1" a="1"/>
  <c r="R18" i="9" s="1"/>
  <c r="H88" i="9"/>
  <c r="W9" i="9" s="1" a="1"/>
  <c r="W9" i="9" s="1"/>
  <c r="H98" i="9"/>
  <c r="W19" i="9" s="1" a="1"/>
  <c r="W19" i="9" s="1"/>
  <c r="G101" i="9"/>
  <c r="V22" i="9" s="1" a="1"/>
  <c r="V22" i="9" s="1"/>
  <c r="G96" i="9"/>
  <c r="V17" i="9" s="1" a="1"/>
  <c r="V17" i="9" s="1"/>
  <c r="G103" i="9"/>
  <c r="V24" i="9" s="1" a="1"/>
  <c r="V24" i="9" s="1"/>
  <c r="J83" i="1" a="1"/>
  <c r="J83" i="1" s="1"/>
  <c r="E26" i="7"/>
  <c r="H25" i="15"/>
  <c r="H24" i="15"/>
  <c r="H71" i="2"/>
  <c r="I71" i="2" s="1"/>
  <c r="D71" i="2" s="1"/>
  <c r="G79" i="2"/>
  <c r="H76" i="1" s="1"/>
  <c r="G29" i="2"/>
  <c r="G11" i="2"/>
  <c r="G60" i="2"/>
  <c r="H71" i="1"/>
  <c r="G53" i="2"/>
  <c r="H75" i="1"/>
  <c r="G22" i="2"/>
  <c r="G26" i="2"/>
  <c r="G78" i="2"/>
  <c r="A33" i="20"/>
  <c r="K115" i="9"/>
  <c r="Z36" i="9" s="1" a="1"/>
  <c r="Z36" i="9" s="1"/>
  <c r="L115" i="9"/>
  <c r="AA36" i="9" s="1" a="1"/>
  <c r="AA36" i="9" s="1"/>
  <c r="I115" i="9"/>
  <c r="X36" i="9" s="1" a="1"/>
  <c r="X36" i="9" s="1"/>
  <c r="E115" i="9"/>
  <c r="T36" i="9" s="1" a="1"/>
  <c r="T36" i="9" s="1"/>
  <c r="D115" i="9"/>
  <c r="M115" i="9"/>
  <c r="AB36" i="9" s="1" a="1"/>
  <c r="AB36" i="9" s="1"/>
  <c r="J115" i="9"/>
  <c r="Y36" i="9" s="1" a="1"/>
  <c r="Y36" i="9" s="1"/>
  <c r="F115" i="9"/>
  <c r="U36" i="9" s="1" a="1"/>
  <c r="U36" i="9" s="1"/>
  <c r="H115" i="9"/>
  <c r="W36" i="9" s="1" a="1"/>
  <c r="W36" i="9" s="1"/>
  <c r="C115" i="9"/>
  <c r="G115" i="9"/>
  <c r="V36" i="9" s="1" a="1"/>
  <c r="V36" i="9" s="1"/>
  <c r="A20" i="20"/>
  <c r="A9" i="20"/>
  <c r="A27" i="20"/>
  <c r="A12" i="20"/>
  <c r="B7" i="9"/>
  <c r="C7" i="9" s="1"/>
  <c r="A30" i="20"/>
  <c r="A22" i="20"/>
  <c r="A5" i="20"/>
  <c r="O61" i="9"/>
  <c r="A15" i="20"/>
  <c r="A14" i="20"/>
  <c r="O70" i="9"/>
  <c r="B4" i="9"/>
  <c r="S28" i="9" a="1"/>
  <c r="S28" i="9" s="1"/>
  <c r="O66" i="9"/>
  <c r="S24" i="9" a="1"/>
  <c r="S24" i="9" s="1"/>
  <c r="B18" i="9"/>
  <c r="E18" i="9" s="1"/>
  <c r="A29" i="20"/>
  <c r="O51" i="9"/>
  <c r="A23" i="20"/>
  <c r="B5" i="9"/>
  <c r="O69" i="9"/>
  <c r="O78" i="9"/>
  <c r="B15" i="9"/>
  <c r="B14" i="9"/>
  <c r="O60" i="9"/>
  <c r="B3" i="9"/>
  <c r="O53" i="9"/>
  <c r="O57" i="9"/>
  <c r="O73" i="9"/>
  <c r="O67" i="9"/>
  <c r="B16" i="9"/>
  <c r="O56" i="9"/>
  <c r="B17" i="9"/>
  <c r="O50" i="9"/>
  <c r="O58" i="9"/>
  <c r="O76" i="9"/>
  <c r="S32" i="9" a="1"/>
  <c r="S32" i="9" s="1"/>
  <c r="O72" i="9"/>
  <c r="B12" i="9"/>
  <c r="O52" i="9"/>
  <c r="B49" i="9"/>
  <c r="O63" i="9"/>
  <c r="B10" i="9"/>
  <c r="B9" i="9"/>
  <c r="O68" i="9"/>
  <c r="B6" i="9"/>
  <c r="B13" i="9"/>
  <c r="O62" i="9"/>
  <c r="B8" i="9"/>
  <c r="R35" i="9" a="1"/>
  <c r="R35" i="9" s="1"/>
  <c r="O59" i="9"/>
  <c r="O64" i="9"/>
  <c r="O77" i="9"/>
  <c r="O54" i="9"/>
  <c r="R34" i="9" a="1"/>
  <c r="R34" i="9" s="1"/>
  <c r="O71" i="9"/>
  <c r="B11" i="9"/>
  <c r="O55" i="9"/>
  <c r="O75" i="9"/>
  <c r="O74" i="9"/>
  <c r="O65" i="9"/>
  <c r="A24" i="20"/>
  <c r="A31" i="20"/>
  <c r="A8" i="20"/>
  <c r="A26" i="20"/>
  <c r="A13" i="20"/>
  <c r="A7" i="20"/>
  <c r="A16" i="20"/>
  <c r="A6" i="20"/>
  <c r="A3" i="20"/>
  <c r="A10" i="20"/>
  <c r="A17" i="20"/>
  <c r="A11" i="20"/>
  <c r="A18" i="20"/>
  <c r="A32" i="20"/>
  <c r="A28" i="20"/>
  <c r="A19" i="20"/>
  <c r="A25" i="20"/>
  <c r="A4" i="20"/>
  <c r="F26" i="15"/>
  <c r="H9" i="15"/>
  <c r="E65" i="7"/>
  <c r="H21" i="7"/>
  <c r="D58" i="17"/>
  <c r="K5" i="17" s="1"/>
  <c r="C58" i="17"/>
  <c r="K4" i="17" s="1"/>
  <c r="N5" i="17"/>
  <c r="N7" i="17" s="1"/>
  <c r="C19" i="10" s="1"/>
  <c r="C12" i="10"/>
  <c r="I37" i="12"/>
  <c r="E44" i="18"/>
  <c r="D42" i="14"/>
  <c r="C10" i="8" s="1"/>
  <c r="C43" i="12"/>
  <c r="J43" i="14"/>
  <c r="C12" i="8" s="1"/>
  <c r="D44" i="18"/>
  <c r="G26" i="15"/>
  <c r="D2" i="2"/>
  <c r="AC31" i="9" l="1"/>
  <c r="AD26" i="9"/>
  <c r="B23" i="20" s="1"/>
  <c r="AD11" i="9"/>
  <c r="B8" i="20" s="1"/>
  <c r="AD23" i="9"/>
  <c r="B20" i="20" s="1"/>
  <c r="AD32" i="9"/>
  <c r="B29" i="20" s="1"/>
  <c r="AD28" i="9"/>
  <c r="B25" i="20" s="1"/>
  <c r="AD12" i="9"/>
  <c r="B9" i="20" s="1"/>
  <c r="AD14" i="9"/>
  <c r="B11" i="20" s="1"/>
  <c r="AD18" i="9"/>
  <c r="B15" i="20" s="1"/>
  <c r="AD27" i="9"/>
  <c r="B24" i="20" s="1"/>
  <c r="AD7" i="9"/>
  <c r="B4" i="20" s="1"/>
  <c r="AD16" i="9"/>
  <c r="B13" i="20" s="1"/>
  <c r="AD30" i="9"/>
  <c r="B27" i="20" s="1"/>
  <c r="AD36" i="9"/>
  <c r="B33" i="20" s="1"/>
  <c r="AD17" i="9"/>
  <c r="B14" i="20" s="1"/>
  <c r="AD10" i="9"/>
  <c r="B7" i="20" s="1"/>
  <c r="AD19" i="9"/>
  <c r="B16" i="20" s="1"/>
  <c r="AD35" i="9"/>
  <c r="B32" i="20" s="1"/>
  <c r="AD6" i="9"/>
  <c r="B3" i="20" s="1"/>
  <c r="AD25" i="9"/>
  <c r="B22" i="20" s="1"/>
  <c r="AD22" i="9"/>
  <c r="B19" i="20" s="1"/>
  <c r="AD24" i="9"/>
  <c r="B21" i="20" s="1"/>
  <c r="AD21" i="9"/>
  <c r="B18" i="20" s="1"/>
  <c r="AD29" i="9"/>
  <c r="B26" i="20" s="1"/>
  <c r="AD15" i="9"/>
  <c r="B12" i="20" s="1"/>
  <c r="AD20" i="9"/>
  <c r="B17" i="20" s="1"/>
  <c r="AD13" i="9"/>
  <c r="B10" i="20" s="1"/>
  <c r="V6" i="9" a="1"/>
  <c r="V6" i="9" s="1"/>
  <c r="AC6" i="9" s="1"/>
  <c r="N85" i="9"/>
  <c r="P85" i="9" s="1"/>
  <c r="AD9" i="9"/>
  <c r="B6" i="20" s="1"/>
  <c r="C18" i="9"/>
  <c r="G49" i="9" a="1"/>
  <c r="G49" i="9" s="1"/>
  <c r="L49" i="9" a="1"/>
  <c r="L49" i="9" s="1"/>
  <c r="J49" i="9" a="1"/>
  <c r="J49" i="9" s="1"/>
  <c r="I49" i="9" a="1"/>
  <c r="I49" i="9" s="1"/>
  <c r="M49" i="9" a="1"/>
  <c r="M49" i="9" s="1"/>
  <c r="K49" i="9" a="1"/>
  <c r="K49" i="9" s="1"/>
  <c r="H49" i="9" a="1"/>
  <c r="H49" i="9" s="1"/>
  <c r="E84" i="9"/>
  <c r="T5" i="9" s="1" a="1"/>
  <c r="T5" i="9" s="1"/>
  <c r="M84" i="9"/>
  <c r="AB5" i="9" s="1" a="1"/>
  <c r="AB5" i="9" s="1"/>
  <c r="F84" i="9"/>
  <c r="U5" i="9" s="1" a="1"/>
  <c r="U5" i="9" s="1"/>
  <c r="L84" i="9"/>
  <c r="AA5" i="9" s="1" a="1"/>
  <c r="AA5" i="9" s="1"/>
  <c r="D84" i="9"/>
  <c r="K84" i="9"/>
  <c r="Z5" i="9" s="1" a="1"/>
  <c r="Z5" i="9" s="1"/>
  <c r="O84" i="9"/>
  <c r="I84" i="9"/>
  <c r="X5" i="9" s="1" a="1"/>
  <c r="X5" i="9" s="1"/>
  <c r="H84" i="9"/>
  <c r="W5" i="9" s="1" a="1"/>
  <c r="W5" i="9" s="1"/>
  <c r="G84" i="9"/>
  <c r="V5" i="9" s="1" a="1"/>
  <c r="V5" i="9" s="1"/>
  <c r="C84" i="9"/>
  <c r="R5" i="9" s="1" a="1"/>
  <c r="R5" i="9" s="1"/>
  <c r="J84" i="9"/>
  <c r="Y5" i="9" s="1" a="1"/>
  <c r="Y5" i="9" s="1"/>
  <c r="E7" i="9" a="1"/>
  <c r="E7" i="9" s="1"/>
  <c r="E9" i="8"/>
  <c r="E12" i="8"/>
  <c r="E8" i="8"/>
  <c r="E13" i="8"/>
  <c r="E10" i="8"/>
  <c r="E6" i="8"/>
  <c r="E7" i="8"/>
  <c r="E5" i="8"/>
  <c r="H26" i="15"/>
  <c r="K6" i="17"/>
  <c r="H73" i="1"/>
  <c r="H74" i="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D10" i="19" a="1"/>
  <c r="D10" i="19" s="1"/>
  <c r="AC28" i="9"/>
  <c r="N69" i="9"/>
  <c r="P69" i="9" s="1"/>
  <c r="AC13" i="9"/>
  <c r="N64" i="9"/>
  <c r="P64" i="9" s="1"/>
  <c r="N98" i="9"/>
  <c r="P98" i="9" s="1"/>
  <c r="AC8" i="9"/>
  <c r="AE8" i="9" s="1"/>
  <c r="C5" i="20" s="1"/>
  <c r="N75" i="9"/>
  <c r="P75" i="9" s="1"/>
  <c r="AC12" i="9"/>
  <c r="AC26" i="9"/>
  <c r="AE26" i="9" s="1"/>
  <c r="C23" i="20" s="1"/>
  <c r="C4" i="9"/>
  <c r="E4" i="9"/>
  <c r="AC23" i="9"/>
  <c r="N52" i="9"/>
  <c r="P52" i="9" s="1"/>
  <c r="N58" i="9"/>
  <c r="P58" i="9" s="1"/>
  <c r="N91" i="9"/>
  <c r="P91" i="9" s="1"/>
  <c r="N71" i="9"/>
  <c r="P71" i="9" s="1"/>
  <c r="AE31" i="9"/>
  <c r="C28" i="20" s="1"/>
  <c r="N112" i="9"/>
  <c r="P112" i="9" s="1"/>
  <c r="N62" i="9"/>
  <c r="P62" i="9" s="1"/>
  <c r="AC35" i="9"/>
  <c r="N76" i="9"/>
  <c r="P76" i="9" s="1"/>
  <c r="N51" i="9"/>
  <c r="P51" i="9" s="1"/>
  <c r="AC25" i="9"/>
  <c r="E5" i="9"/>
  <c r="C5" i="9"/>
  <c r="N74" i="9"/>
  <c r="P74" i="9" s="1"/>
  <c r="N55" i="9"/>
  <c r="P55" i="9" s="1"/>
  <c r="AC30" i="9"/>
  <c r="AC29" i="9"/>
  <c r="AC10" i="9"/>
  <c r="AC27" i="9"/>
  <c r="AC14" i="9"/>
  <c r="AC7" i="9"/>
  <c r="AC11" i="9"/>
  <c r="AC32" i="9"/>
  <c r="AC21" i="9"/>
  <c r="AC16" i="9"/>
  <c r="AC18" i="9"/>
  <c r="N94" i="9"/>
  <c r="P94" i="9" s="1"/>
  <c r="C10" i="9"/>
  <c r="E10" i="9"/>
  <c r="N101" i="9"/>
  <c r="P101" i="9" s="1"/>
  <c r="N88" i="9"/>
  <c r="P88" i="9" s="1"/>
  <c r="N99" i="9"/>
  <c r="P99" i="9" s="1"/>
  <c r="AC20" i="9"/>
  <c r="AE20" i="9" s="1"/>
  <c r="C17" i="20" s="1"/>
  <c r="E15" i="9"/>
  <c r="C15" i="9"/>
  <c r="N102" i="9"/>
  <c r="P102" i="9" s="1"/>
  <c r="C14" i="9"/>
  <c r="E14" i="9"/>
  <c r="N105" i="9"/>
  <c r="P105" i="9" s="1"/>
  <c r="E6" i="9"/>
  <c r="C6" i="9"/>
  <c r="N104" i="9"/>
  <c r="P104" i="9" s="1"/>
  <c r="N107" i="9"/>
  <c r="P107" i="9" s="1"/>
  <c r="E8" i="9"/>
  <c r="C8" i="9"/>
  <c r="N90" i="9"/>
  <c r="P90" i="9" s="1"/>
  <c r="E13" i="9"/>
  <c r="C13" i="9"/>
  <c r="C49" i="9" a="1"/>
  <c r="C49" i="9" s="1"/>
  <c r="C12" i="19" a="1"/>
  <c r="C12" i="19" s="1"/>
  <c r="O49" i="9"/>
  <c r="E49" i="9" a="1"/>
  <c r="E49" i="9" s="1"/>
  <c r="S5" i="9" a="1"/>
  <c r="S5" i="9" s="1"/>
  <c r="F49" i="9" a="1"/>
  <c r="F49" i="9" s="1"/>
  <c r="B2" i="9"/>
  <c r="N86" i="9"/>
  <c r="P86" i="9" s="1"/>
  <c r="N113" i="9"/>
  <c r="P113" i="9" s="1"/>
  <c r="N111" i="9"/>
  <c r="P111" i="9" s="1"/>
  <c r="N106" i="9"/>
  <c r="P106" i="9" s="1"/>
  <c r="E9" i="9"/>
  <c r="C9" i="9"/>
  <c r="AC34" i="9"/>
  <c r="AE34" i="9" s="1"/>
  <c r="C31" i="20" s="1"/>
  <c r="AC24" i="9"/>
  <c r="N103" i="9"/>
  <c r="P103" i="9" s="1"/>
  <c r="AC19" i="9"/>
  <c r="N96" i="9"/>
  <c r="P96" i="9" s="1"/>
  <c r="AC33" i="9"/>
  <c r="AE33" i="9" s="1"/>
  <c r="C30" i="20" s="1"/>
  <c r="AC22" i="9"/>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AC17" i="9"/>
  <c r="AE17" i="9" s="1"/>
  <c r="C14" i="20" s="1"/>
  <c r="AC9" i="9"/>
  <c r="AC15" i="9"/>
  <c r="N108" i="9"/>
  <c r="P108" i="9" s="1"/>
  <c r="H26" i="7"/>
  <c r="F58" i="17"/>
  <c r="F44" i="18"/>
  <c r="P7" i="17"/>
  <c r="C11" i="8"/>
  <c r="AE29" i="9" l="1"/>
  <c r="C26" i="20" s="1"/>
  <c r="AE16" i="9"/>
  <c r="C13" i="20" s="1"/>
  <c r="AE13" i="9"/>
  <c r="C10" i="20" s="1"/>
  <c r="AE18" i="9"/>
  <c r="C15" i="20" s="1"/>
  <c r="AE10" i="9"/>
  <c r="C7" i="20" s="1"/>
  <c r="AE19" i="9"/>
  <c r="C16" i="20" s="1"/>
  <c r="AE28" i="9"/>
  <c r="C25" i="20" s="1"/>
  <c r="AE32" i="9"/>
  <c r="C29" i="20" s="1"/>
  <c r="AE14" i="9"/>
  <c r="C11" i="20" s="1"/>
  <c r="AE21" i="9"/>
  <c r="E20" i="19" s="1" a="1"/>
  <c r="E20" i="19" s="1"/>
  <c r="E18" i="19" a="1"/>
  <c r="E18" i="19" s="1"/>
  <c r="AE9" i="9"/>
  <c r="C6" i="20" s="1"/>
  <c r="AE25" i="9"/>
  <c r="C22" i="20" s="1"/>
  <c r="AE27" i="9"/>
  <c r="C24" i="20" s="1"/>
  <c r="AE24" i="9"/>
  <c r="C21" i="20" s="1"/>
  <c r="AE30" i="9"/>
  <c r="C27" i="20" s="1"/>
  <c r="AE23" i="9"/>
  <c r="C20" i="20" s="1"/>
  <c r="AE15" i="9"/>
  <c r="C12" i="20" s="1"/>
  <c r="AE22" i="9"/>
  <c r="C19" i="20" s="1"/>
  <c r="AE11" i="9"/>
  <c r="C8" i="20" s="1"/>
  <c r="AE6" i="9"/>
  <c r="C3" i="20" s="1"/>
  <c r="AD5" i="9"/>
  <c r="B2" i="20" s="1"/>
  <c r="AE7" i="9"/>
  <c r="C4" i="20" s="1"/>
  <c r="AE35" i="9"/>
  <c r="C32" i="20" s="1"/>
  <c r="AE12" i="9"/>
  <c r="C9" i="20" s="1"/>
  <c r="N49" i="9"/>
  <c r="E12" i="19"/>
  <c r="E16" i="19" s="1"/>
  <c r="E2" i="9"/>
  <c r="C2" i="9"/>
  <c r="AC5" i="9"/>
  <c r="N84" i="9"/>
  <c r="P84" i="9" s="1"/>
  <c r="C14" i="8"/>
  <c r="C4" i="10" s="1"/>
  <c r="C15" i="10" s="1"/>
  <c r="C17" i="10" s="1"/>
  <c r="E11" i="8"/>
  <c r="E14" i="8" s="1"/>
  <c r="C18" i="20" l="1"/>
  <c r="AE5" i="9"/>
  <c r="C2" i="20" s="1"/>
  <c r="C21" i="9"/>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<sst xmlns="http://schemas.openxmlformats.org/spreadsheetml/2006/main" count="991" uniqueCount="312">
  <si>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</si>
  <si>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</si>
  <si>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</si>
  <si>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</si>
  <si>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</si>
  <si>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</si>
  <si>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</si>
  <si>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</si>
  <si>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</si>
  <si>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</si>
  <si>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</si>
  <si>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</si>
  <si>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</si>
  <si>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</si>
  <si>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</si>
  <si>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</si>
  <si>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</si>
  <si>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</si>
  <si>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</si>
  <si>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</si>
  <si>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</si>
  <si>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</si>
  <si>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</si>
  <si>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</si>
  <si>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</si>
  <si>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</si>
  <si>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</si>
  <si>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</si>
  <si>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</si>
  <si>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</si>
  <si>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</si>
  <si>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</si>
  <si>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</si>
  <si>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</si>
  <si>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</si>
  <si>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</si>
  <si>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</si>
  <si>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</si>
  <si>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</si>
  <si>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</si>
  <si>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</si>
  <si>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</si>
  <si>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</si>
  <si>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</si>
  <si>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</si>
  <si>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</si>
  <si>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</si>
  <si>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</si>
  <si>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</si>
  <si>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</si>
  <si>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</si>
  <si>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</si>
  <si>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</si>
  <si>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</si>
  <si>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</si>
  <si>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</si>
  <si>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</si>
  <si>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</si>
  <si>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</si>
  <si>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</si>
  <si>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</si>
  <si>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</si>
  <si>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</si>
  <si>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</si>
  <si>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</si>
  <si>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</si>
  <si>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</si>
  <si>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</si>
  <si>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</si>
  <si>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</si>
  <si>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</si>
  <si>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</si>
  <si>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</si>
  <si>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</si>
  <si>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</si>
  <si>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</si>
  <si>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</si>
  <si>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</si>
  <si>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</si>
  <si>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</si>
  <si>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</si>
  <si>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</si>
  <si>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</si>
  <si>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</si>
  <si>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</si>
  <si>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</si>
  <si>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</si>
  <si>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</si>
  <si>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</si>
  <si>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</si>
  <si>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</si>
  <si>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</si>
  <si>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</si>
  <si>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</si>
  <si>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</si>
  <si>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</si>
  <si>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</si>
  <si>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</si>
  <si>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</si>
  <si>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</si>
  <si>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</si>
  <si>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</si>
  <si>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</si>
  <si>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</si>
  <si>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</si>
  <si>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</si>
  <si>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</si>
  <si>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</si>
  <si>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</si>
  <si>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</si>
  <si>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</si>
  <si>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</si>
  <si>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</si>
  <si>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</si>
  <si>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</si>
  <si>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</si>
  <si>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</si>
  <si>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</si>
  <si>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</si>
  <si>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</si>
  <si>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</si>
  <si>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</si>
  <si>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</si>
  <si>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</si>
  <si>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</si>
  <si>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</si>
  <si>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</si>
  <si>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</si>
  <si>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</si>
  <si>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</si>
  <si>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</si>
  <si>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</si>
  <si>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</si>
  <si>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</si>
  <si>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</si>
  <si>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</si>
  <si>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</si>
  <si>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</si>
  <si>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</si>
  <si>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</si>
  <si>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</si>
  <si>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</si>
  <si>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</si>
  <si>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</si>
  <si>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</si>
  <si>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</si>
  <si>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</si>
  <si>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</si>
  <si>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</si>
  <si>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</si>
  <si>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</si>
  <si>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</si>
  <si>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</si>
  <si>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</si>
  <si>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</si>
  <si>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</si>
  <si>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</si>
  <si>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</si>
  <si>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</si>
  <si>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</si>
  <si>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</si>
  <si>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</si>
  <si>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</si>
  <si>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</si>
  <si>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</si>
  <si>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</si>
  <si>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</si>
  <si>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</si>
  <si>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</si>
  <si>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</si>
  <si>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</si>
  <si>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</si>
  <si>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</si>
  <si>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</si>
  <si>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</si>
  <si>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</si>
  <si>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</si>
  <si>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</si>
  <si>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</si>
  <si>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</si>
  <si>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</si>
  <si>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</si>
  <si>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</si>
  <si>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</si>
  <si>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</si>
  <si>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</si>
  <si>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</si>
  <si>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</si>
  <si>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</si>
  <si>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</si>
  <si>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</si>
  <si>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</si>
  <si>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</si>
  <si>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</si>
  <si>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</si>
  <si>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</si>
  <si>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</si>
  <si>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</si>
  <si>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</si>
  <si>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</si>
  <si>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</si>
  <si>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</si>
  <si>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</si>
  <si>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</si>
  <si>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</si>
  <si>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</si>
  <si>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</si>
  <si>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</si>
  <si>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</si>
  <si>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</si>
  <si>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</si>
  <si>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</si>
  <si>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</si>
  <si>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</si>
  <si>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</si>
  <si>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</si>
  <si>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</si>
  <si>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</si>
  <si>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</si>
  <si>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</si>
  <si>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</si>
  <si>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Arb Dasti</t>
  </si>
  <si>
    <t>Dasti</t>
  </si>
  <si>
    <t>Advance salary</t>
  </si>
  <si>
    <t>rashan</t>
  </si>
  <si>
    <t>salman Zaffar</t>
  </si>
  <si>
    <t>ubaidullah</t>
  </si>
  <si>
    <t>loom ac</t>
  </si>
  <si>
    <t>shahid Qasayi</t>
  </si>
  <si>
    <t>irfan Punjabi</t>
  </si>
  <si>
    <t>Aslam Multani</t>
  </si>
  <si>
    <t>Dec Balance</t>
  </si>
  <si>
    <t>Malik zaheer</t>
  </si>
  <si>
    <t>Ejaz sahab</t>
  </si>
  <si>
    <t>sajad khan</t>
  </si>
  <si>
    <t>2035-b</t>
  </si>
  <si>
    <t>Shengtai</t>
  </si>
  <si>
    <t>Rehman Ali</t>
  </si>
  <si>
    <t>2053+2038</t>
  </si>
  <si>
    <t>Shani Badshah</t>
  </si>
  <si>
    <t>temp</t>
  </si>
  <si>
    <t>arshad</t>
  </si>
  <si>
    <t>E 3628</t>
  </si>
  <si>
    <t>MAK dyes</t>
  </si>
  <si>
    <t>Lot Number</t>
  </si>
  <si>
    <t>Gazana</t>
  </si>
  <si>
    <t>Zahid Ejaz</t>
  </si>
  <si>
    <t>Crinkle</t>
  </si>
  <si>
    <t>Amjad Sohail</t>
  </si>
  <si>
    <t>chamki</t>
  </si>
  <si>
    <t>Temp</t>
  </si>
  <si>
    <t>Ahmad shafique</t>
  </si>
  <si>
    <t>Badshah</t>
  </si>
  <si>
    <t>loom</t>
  </si>
  <si>
    <t>kataan</t>
  </si>
  <si>
    <t>952/2</t>
  </si>
  <si>
    <t>Adjustment</t>
  </si>
  <si>
    <t>Freight</t>
  </si>
  <si>
    <t>Faisal Dyes</t>
  </si>
  <si>
    <t>Ahmad Shafique</t>
  </si>
  <si>
    <t>Shoaib Folding</t>
  </si>
  <si>
    <t>Wazir Dyes</t>
  </si>
  <si>
    <t>Hafiz qureshi</t>
  </si>
  <si>
    <t>misc</t>
  </si>
  <si>
    <t>2035-a</t>
  </si>
  <si>
    <t>Mazdoor</t>
  </si>
  <si>
    <t>Hafiz Shawl</t>
  </si>
  <si>
    <t>2046-b</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</si>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</sst>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43" fontId="0" fillId="0" borderId="0" xfId="1" applyNumberFormat="1" applyFont="1"/>
    <xf numFmtId="0" fontId="1" fillId="0" borderId="0" xfId="1" applyNumberFormat="1" applyFont="1" applyBorder="1"/>
    <xf numFmtId="165" fontId="1" fillId="0" borderId="0" xfId="1" applyNumberFormat="1" applyFont="1" applyBorder="1"/>
  </cellXfs>
  <cellStyles count="2">
    <cellStyle name="Comma" xfId="1" builtinId="3"/>
    <cellStyle name="Normal" xfId="0" builtinId="0"/>
  </cellStyles>
  <dxfs count="135">
    <dxf>
      <numFmt numFmtId="165" formatCode="_-* #,##0.0_-;\-* #,##0.0_-;_-* &quot;-&quot;??_-;_-@_-"/>
    </dxf>
    <dxf>
      <numFmt numFmtId="164" formatCode="_-* #,##0_-;\-* #,##0_-;_-* &quot;-&quot;??_-;_-@_-"/>
    </dxf>
    <dxf>
      <numFmt numFmtId="19" formatCode="dd/mm/yyyy"/>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9" formatCode="dd/mm/yyyy"/>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5">
      <pivotArea field="0" grandRow="1" outline="0" collapsedLevelsAreSubtotals="1" axis="axisRow" fieldPosition="0">
        <references count="1">
          <reference field="4294967294" count="1" selected="0">
            <x v="1"/>
          </reference>
        </references>
      </pivotArea>
    </format>
    <format dxfId="124">
      <pivotArea field="0" grandRow="1" outline="0" collapsedLevelsAreSubtotals="1" axis="axisRow" fieldPosition="0">
        <references count="1">
          <reference field="4294967294" count="1" selected="0">
            <x v="0"/>
          </reference>
        </references>
      </pivotArea>
    </format>
    <format dxfId="123">
      <pivotArea collapsedLevelsAreSubtotals="1" fieldPosition="0">
        <references count="2">
          <reference field="4294967294" count="1" selected="0">
            <x v="1"/>
          </reference>
          <reference field="0" count="0"/>
        </references>
      </pivotArea>
    </format>
    <format dxfId="12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0">
      <pivotArea dataOnly="0" labelOnly="1" outline="0" fieldPosition="0">
        <references count="1">
          <reference field="1" count="1">
            <x v="1"/>
          </reference>
        </references>
      </pivotArea>
    </format>
    <format dxfId="9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8">
      <pivotArea type="all" dataOnly="0" outline="0" fieldPosition="0"/>
    </format>
    <format dxfId="57">
      <pivotArea outline="0" collapsedLevelsAreSubtotals="1" fieldPosition="0"/>
    </format>
    <format dxfId="56">
      <pivotArea field="4" type="button" dataOnly="0" labelOnly="1" outline="0" axis="axisRow" fieldPosition="0"/>
    </format>
    <format dxfId="55">
      <pivotArea dataOnly="0" labelOnly="1" fieldPosition="0">
        <references count="1">
          <reference field="4" count="0"/>
        </references>
      </pivotArea>
    </format>
    <format dxfId="54">
      <pivotArea dataOnly="0" labelOnly="1" grandRow="1" outline="0" fieldPosition="0"/>
    </format>
    <format dxfId="53">
      <pivotArea dataOnly="0" labelOnly="1" outline="0" fieldPosition="0">
        <references count="1">
          <reference field="4294967294" count="2">
            <x v="0"/>
            <x v="1"/>
          </reference>
        </references>
      </pivotArea>
    </format>
    <format dxfId="52">
      <pivotArea grandRow="1" outline="0" collapsedLevelsAreSubtotals="1" fieldPosition="0"/>
    </format>
    <format dxfId="51">
      <pivotArea field="4" type="button" dataOnly="0" labelOnly="1" outline="0" axis="axisRow" fieldPosition="0"/>
    </format>
    <format dxfId="5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1">
      <calculatedColumnFormula>B49</calculatedColumnFormula>
    </tableColumn>
    <tableColumn id="2" xr3:uid="{7EDCC2ED-0339-42B3-9633-FFEA7A3DD9F3}" name="Tiyaar" dataDxfId="120">
      <calculatedColumnFormula>SUMIFS(ledger!G:G, ledger!B:B, B2, ledger!E:E, "&lt;&gt;*RD*") / 1.0936</calculatedColumnFormula>
    </tableColumn>
    <tableColumn id="3" xr3:uid="{CC1535DD-3FE7-4F55-8040-E7643388A78E}" name="Rate"/>
    <tableColumn id="4" xr3:uid="{059CB70B-ADAD-4985-84AA-0D530BAC5567}" name="Total" dataDxfId="11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8" dataDxfId="117">
  <autoFilter ref="B7:E20" xr:uid="{449E5D32-DF9C-4018-96AB-CA98E118D910}"/>
  <tableColumns count="4">
    <tableColumn id="1" xr3:uid="{F663704C-91DD-4BB9-B7EB-EEB0C5EDED6C}" name="Description" dataDxfId="116"/>
    <tableColumn id="2" xr3:uid="{6D94D495-CD0B-4FD3-9771-81D731982A97}" name="Rate" dataDxfId="115" dataCellStyle="Comma"/>
    <tableColumn id="3" xr3:uid="{2D14CEAD-3602-40E7-A488-3584EBC9141E}" name="gazana" dataDxfId="114" dataCellStyle="Comma"/>
    <tableColumn id="4" xr3:uid="{06FEE63C-6480-4079-8426-51BC26B38B34}" name="sum" dataDxfId="11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2" totalsRowDxfId="1" dataCellStyle="Comma">
      <totalsRowFormula>SUM(Table12[Amount])</totalsRowFormula>
    </tableColumn>
    <tableColumn id="3" xr3:uid="{12F975D1-A51D-47BD-82DF-F0C35A709016}" name="Description"/>
    <tableColumn id="4" xr3:uid="{96712812-B120-49C2-B905-59FC86A743E8}" name="cost per meter" totalsRowFunction="custom" dataDxfId="111" totalsRowDxfId="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0" dataDxfId="109" headerRowCellStyle="Comma" dataCellStyle="Comma">
  <autoFilter ref="B2:C5" xr:uid="{136E8F7F-D03F-4198-8335-91A003EA9E45}"/>
  <tableColumns count="2">
    <tableColumn id="1" xr3:uid="{279FA697-9952-479A-AC05-0D4992B41374}" name="Column1" dataDxfId="108" dataCellStyle="Comma"/>
    <tableColumn id="2" xr3:uid="{8A64998B-65EF-41CD-BCB0-3DDB7B359C54}" name="Column2" dataDxfId="10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6"/>
    <tableColumn id="2" xr3:uid="{51D27FA2-8DDF-4369-BAF7-7D1FE90E16A0}" name="Column2" dataDxfId="10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4" totalsRowDxfId="2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83" totalsRowCount="1" headerRowDxfId="102" dataDxfId="101" headerRowCellStyle="Comma" dataCellStyle="Comma">
  <autoFilter ref="A1:K82" xr:uid="{11DACEC6-751B-4B1D-817F-5C5BCD38EF6D}"/>
  <tableColumns count="11">
    <tableColumn id="1" xr3:uid="{2FCE3FA8-A48C-4685-8919-AE44C6C71FD9}" name="Date" dataDxfId="35" dataCellStyle="Comma"/>
    <tableColumn id="2" xr3:uid="{5780FD5F-0890-44E6-B59C-8E37A559FE36}" name="Party Name" dataDxfId="34" dataCellStyle="Comma"/>
    <tableColumn id="3" xr3:uid="{5B3ECD85-9174-40AC-BFBD-49CAC97A83D3}" name="Bill Number" dataDxfId="33" dataCellStyle="Comma"/>
    <tableColumn id="4" xr3:uid="{11B50761-04B6-4262-AD4D-7182450037D1}" name="Quality" dataDxfId="32" dataCellStyle="Comma"/>
    <tableColumn id="5" xr3:uid="{2C556969-B713-4967-BD24-466AACCBE5F5}" name="Shipment Number" dataDxfId="31" totalsRowDxfId="23" dataCellStyle="Comma"/>
    <tableColumn id="6" xr3:uid="{F4E1FD2B-9017-4DEB-B772-BF447ECE56F7}" name="Kora/metre" dataDxfId="30" totalsRowDxfId="22" dataCellStyle="Comma"/>
    <tableColumn id="7" xr3:uid="{52ACC1DA-7A76-4A90-B809-3A1AE728E7EA}" name="Tiyaar/gaz" dataDxfId="29" totalsRowDxfId="21" dataCellStyle="Comma"/>
    <tableColumn id="8" xr3:uid="{31A0FF5E-56F0-44D1-9865-73256B964660}" name="shortage %" dataDxfId="28" totalsRowDxfId="20" dataCellStyle="Comma">
      <calculatedColumnFormula>_xlfn.XLOOKUP(Table1[[#This Row],[Shipment Number]], 'pivot '!A:A,'pivot '!G:G, "NF")</calculatedColumnFormula>
    </tableColumn>
    <tableColumn id="9" xr3:uid="{F99075E0-AC8E-094D-BB85-272AD2C6C568}" name="tiyar/meters" totalsRowFunction="custom" dataDxfId="27" totalsRowDxfId="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26" totalsRowDxfId="1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25" totalsRowDxfId="1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98" headerRowBorderDxfId="97" tableBorderDxfId="96">
  <autoFilter ref="A1:I122" xr:uid="{F8E8C957-ABE7-4E4F-8D4E-7D44E26B334F}"/>
  <tableColumns count="9">
    <tableColumn id="1" xr3:uid="{C2E817D6-AB98-4DDD-8890-736B27F261CD}" name="Date" dataDxfId="95" totalsRowDxfId="11"/>
    <tableColumn id="2" xr3:uid="{CFB51890-CCDC-463C-81C9-3F8BD7469CB9}" name="Party Name"/>
    <tableColumn id="3" xr3:uid="{A113D971-1C9D-4733-99C4-BD0CC4333209}" name="Vehicle Number"/>
    <tableColumn id="4" xr3:uid="{49780304-3DD1-4AE9-98EE-2BC7EB8F3B57}" name="Weight" dataDxfId="94" totalsRowDxfId="10" dataCellStyle="Comma"/>
    <tableColumn id="5" xr3:uid="{FCAF1BC6-1D8C-42AD-8BBC-F924BF2DC7FE}" name="Rate" dataDxfId="93" totalsRowDxfId="9" dataCellStyle="Comma"/>
    <tableColumn id="6" xr3:uid="{8C70A624-4134-410C-9C45-9FDEB51D51BF}" name="Rent" dataDxfId="92" totalsRowDxfId="8" dataCellStyle="Comma"/>
    <tableColumn id="7" xr3:uid="{EBCE10AE-9634-4982-9C95-37ABC8A7078C}" name="Total" totalsRowFunction="sum" dataDxfId="91" totalsRowDxfId="7" dataCellStyle="Comma">
      <calculatedColumnFormula>D2*E2</calculatedColumnFormula>
    </tableColumn>
    <tableColumn id="9" xr3:uid="{D4788559-C94A-44D9-B9AE-E72B214355AC}" name="Paid" totalsRowFunction="sum" dataDxfId="90" totalsRowDxfId="6" dataCellStyle="Comma"/>
    <tableColumn id="8" xr3:uid="{E26F5BF0-1875-4FC6-994D-49F202ED562B}" name="balance" totalsRowFunction="sum" dataDxfId="89" totalsRowDxfId="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8" totalsRowCount="1">
  <autoFilter ref="A1:G57" xr:uid="{CB032221-B416-47A8-9A76-693DE76CFD04}"/>
  <tableColumns count="7">
    <tableColumn id="1" xr3:uid="{554B1EED-65B6-4E9A-B646-82727FAC40DE}" name="Date" dataDxfId="44" totalsRowDxfId="40"/>
    <tableColumn id="2" xr3:uid="{32259059-42CF-4947-83DE-115AA430BE2B}" name="Party"/>
    <tableColumn id="3" xr3:uid="{A1320223-D55D-483C-91C3-AB19B95CC9D8}" name="Debit" totalsRowFunction="sum" dataDxfId="43" totalsRowDxfId="39" dataCellStyle="Comma"/>
    <tableColumn id="4" xr3:uid="{E9745767-9FF0-4B1C-9052-FF335D1D7588}" name="Credit" totalsRowFunction="sum" dataDxfId="42" totalsRowDxfId="38" dataCellStyle="Comma"/>
    <tableColumn id="5" xr3:uid="{5C88A48E-2467-4E6D-B626-2442B7FD0BE4}" name="Description"/>
    <tableColumn id="6" xr3:uid="{63CA4666-144E-4BE6-8B7C-7CB992BD3041}" name="Mode" totalsRowFunction="custom" dataDxfId="41" totalsRowDxfId="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7" tableBorderDxfId="86" totalsRowBorderDxfId="85">
  <autoFilter ref="J3:K6" xr:uid="{DCE01694-23ED-48BF-8B92-4186B9ED10A8}"/>
  <tableColumns count="2">
    <tableColumn id="1" xr3:uid="{C8484DAF-2989-4C2F-9AEC-A6917E1C57F6}" name="Type" dataDxfId="84"/>
    <tableColumn id="2" xr3:uid="{B07B7A2A-4D4E-4654-BED6-FE2F0A7BEC34}" name="Amount" dataDxfId="8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2" headerRowBorderDxfId="81" tableBorderDxfId="80" totalsRowBorderDxfId="79">
  <autoFilter ref="M3:O6" xr:uid="{D166BDD1-ACD7-45D7-8AE9-7350373F8CEB}"/>
  <tableColumns count="3">
    <tableColumn id="1" xr3:uid="{64F0205E-DEA7-4571-BA86-E4374A5FEE28}" name="Type" totalsRowLabel="Total" dataDxfId="78" totalsRowDxfId="77"/>
    <tableColumn id="2" xr3:uid="{15FA05F9-789C-4459-9BE0-5C1EC84D3365}" name="amount" totalsRowFunction="custom" dataDxfId="76" totalsRowDxfId="75">
      <totalsRowFormula>SUM(N5:N6)</totalsRowFormula>
    </tableColumn>
    <tableColumn id="3" xr3:uid="{3681D409-90C6-44D0-BDE2-4B5943A516F0}" name="Actual" totalsRowFunction="custom" totalsRowDxfId="7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34" totalsRowDxfId="133"/>
    <tableColumn id="2" xr3:uid="{5B9D0FEE-4304-4C5C-A05C-5B27CF7841D3}" name="Type"/>
    <tableColumn id="3" xr3:uid="{6A91CA0D-C802-4C6F-9F39-CA53687E8EDE}" name="Description"/>
    <tableColumn id="4" xr3:uid="{A251D40C-AB87-4BB4-85F8-444B20E32FDF}" name="Total" totalsRowFunction="custom" dataDxfId="132" totalsRowDxfId="13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130" headerRowBorderDxfId="129">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28"/>
    <tableColumn id="4" xr3:uid="{1889A312-9B41-4EC4-BD8F-05252F27084A}" name="Price" totalsRowFunction="sum"/>
    <tableColumn id="6" xr3:uid="{8B974B20-F003-4E67-8660-024FA4F324A9}" name="Party"/>
    <tableColumn id="7" xr3:uid="{0A5A5C21-FD61-47DA-9F54-66A6479FA557}" name="Paid" dataDxfId="127">
      <calculatedColumnFormula>SUMIFS(Table14[Debit], Table14[Date], Table8[[#This Row],[Date]], Table14[Party], Table8[[#This Row],[Party]])</calculatedColumnFormula>
    </tableColumn>
    <tableColumn id="8" xr3:uid="{8DCB3B43-2161-4081-82EC-CDB0F4DE4E6F}" name="Balance" totalsRowFunction="sum" dataDxfId="12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73" headerRowBorderDxfId="72">
  <autoFilter ref="A4:H25" xr:uid="{A4C80688-A8BA-4BA7-90B4-791CD99446B4}"/>
  <sortState xmlns:xlrd2="http://schemas.microsoft.com/office/spreadsheetml/2017/richdata2" ref="A5:H6">
    <sortCondition ref="A4:A6"/>
  </sortState>
  <tableColumns count="8">
    <tableColumn id="1" xr3:uid="{4A818912-918E-4111-ACFC-BC93FEF7C1AD}" name="Date" dataDxfId="71" totalsRowDxfId="4"/>
    <tableColumn id="8" xr3:uid="{477ACFD5-62AF-4F69-974B-E9B974C11D7D}" name="Party Name" dataDxfId="7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9">
      <calculatedColumnFormula>Table2[[#This Row],[Quantity]]*200*Table2[[#This Row],[Boxes]]</calculatedColumnFormula>
    </tableColumn>
    <tableColumn id="6" xr3:uid="{30432929-CBD4-4BA8-B63F-CD0F6CF6405F}" name="Paid" totalsRowFunction="sum" dataDxfId="68">
      <calculatedColumnFormula>SUMIFS(Table14[Debit], Table14[Date], Table2[[#This Row],[Date]], Table14[Party], Table2[[#This Row],[Party Name]])</calculatedColumnFormula>
    </tableColumn>
    <tableColumn id="7" xr3:uid="{BB689DF2-5D1E-436D-84C4-9745D88E8F3D}" name="Balance" totalsRowFunction="sum" dataDxfId="6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6" totalsRowDxfId="6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4" totalsRowDxfId="63"/>
    <tableColumn id="2" xr3:uid="{053BFC14-4828-417C-9F9F-95B6E232A945}" name="Amount" totalsRowFunction="custom" dataDxfId="62" totalsRowDxfId="6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0" totalsRowDxfId="5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49" totalsRowDxfId="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8" totalsRowDxfId="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47">
      <calculatedColumnFormula>Billing!O5</calculatedColumnFormula>
    </tableColumn>
    <tableColumn id="2" xr3:uid="{7093A59E-B58F-487D-888A-9AA8156B5F9A}" name="Amount Paid" dataDxfId="46">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5">
      <calculatedColumnFormula>G2</calculatedColumnFormula>
    </tableColumn>
    <tableColumn id="2" xr3:uid="{F72CFEEB-BA11-4A49-BD19-88592EB6A27C}" name="Credit" dataDxfId="36" dataCellStyle="Comma">
      <calculatedColumnFormula>_xlfn.XLOOKUP($A2,[2]Billing!$Q$5:$Q$40,[2]Billing!$AD$5:$AD$40)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5" zoomScaleNormal="100" workbookViewId="0">
      <selection activeCell="AE36" sqref="AE3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64825.347476225317</v>
      </c>
      <c r="D2">
        <v>10</v>
      </c>
      <c r="E2" s="14">
        <f>(SUMIFS(ledger!G:G, ledger!B:B, B2, ledger!E:E, "&lt;&gt;*RD*",ledger!D:D, "Silky") / 1.0936)*12 + (SUMIFS(ledger!G:G, ledger!B:B, B2, ledger!E:E, "&lt;&gt;*RD*",ledger!D:D, "Chamki") / 1.0936)*10</f>
        <v>212783.46744696418</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22724.030724213608</v>
      </c>
      <c r="D4">
        <v>10</v>
      </c>
      <c r="E4" s="14">
        <f>(SUMIFS(ledger!G:G, ledger!B:B, B4, ledger!E:E, "&lt;&gt;*RD*",ledger!D:D, "Silky") / 1.0936)*12 + (SUMIFS(ledger!G:G, ledger!B:B, B4, ledger!E:E, "&lt;&gt;*RD*",ledger!D:D, "Chamki") / 1.0936)*10</f>
        <v>227240.30724213607</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O5" s="24" t="str" cm="1">
        <f t="array" ref="O5:O34">_xlfn.UNIQUE([2]!Table1[Party Name])</f>
        <v>BSC</v>
      </c>
      <c r="Q5" t="str" cm="1">
        <f t="array" ref="Q5:Q35">_xlfn.UNIQUE(Table1[Party Name])</f>
        <v>BSC</v>
      </c>
      <c r="R5" s="22" cm="1">
        <f t="array" ref="R5">_xlfn.BYROW(B49,_xlfn.LAMBDA(_xlpm.party,SUMIFS(ledger!G:G,ledger!B:B,_xlpm.party,ledger!E:E,"&lt;&gt;*RD*")))+_xlfn.IFNA(C84,0)</f>
        <v>3723659.8824</v>
      </c>
      <c r="S5" s="22" cm="1">
        <f t="array" ref="S5">_xlfn.BYROW(B49, _xlfn.LAMBDA(_xlpm.party, SUMIFS(ledger!G:G, ledger!B:B, _xlpm.party, ledger!E:E, "&lt;&gt;*RD*") / 1.0936 ))+_xlfn.IFNA(D84,0)</f>
        <v>3404956.0007315292</v>
      </c>
      <c r="T5" s="22" cm="1">
        <f t="array" ref="T5">(_xlfn.BYROW(B49,_xlfn.LAMBDA(_xlpm.party,SUMIFS(ledger!G:G,ledger!B:B,_xlpm.party,ledger!E:E,"&lt;&gt;*RD*",ledger!D:D,"Chamki")+SUMIFS(ledger!G:G, ledger!B:B, _xlpm.party, ledger!E:E, "&lt;&gt;*RD*", ledger!D:D, "Crinkle")))/1.0936)+_xlfn.IFNA(E84,0)</f>
        <v>2795183.6891002199</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(SUMIFS(ledger!J:J,ledger!B:B,_xlpm.party,ledger!E:E,"&lt;&gt;*RD*",ledger!D:D,"Chamki",ledger!C:C,"&lt;&gt;January Closing CF")+
SUMIFS(ledger!J:J,ledger!B:B,_xlpm.party,ledger!E:E,"&lt;&gt;*RD*",ledger!D:D,"Crinkle",ledger!C:C,"&lt;&gt;January Closing CF")
)+_xlfn.IFNA(G84,0))))</f>
        <v>27951836.891002201</v>
      </c>
      <c r="W5" s="70" cm="1">
        <f t="array" ref="W5">_xlfn.BYROW(B49, _xlfn.LAMBDA(_xlpm.party,
   SUMIFS(ledger!J:J, ledger!B:B, _xlpm.party, ledger!E:E, "&lt;&gt;*RD*", ledger!D:D, "Silky", ledger!C:C, "&lt;&gt;January Closing CF")
)) + _xlfn.IFNA(H84, 0)</f>
        <v>7205053.0358449165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536149.41477688379</v>
      </c>
      <c r="AB5" s="70" cm="1">
        <f t="array" ref="AB5">_xlfn.BYROW(B49, _xlfn.LAMBDA(_xlpm.party,
   SUMIFS(ledger!J:J, ledger!B:B, _xlpm.party, ledger!E:E, "&lt;&gt;*RD*", ledger!D:D, "Munaar", ledger!C:C, "&lt;&gt;January Closing CF")
))+ _xlfn.IFNA(M84, 0)</f>
        <v>0</v>
      </c>
      <c r="AC5" s="39">
        <f>V5+W5+X5+Y5+Z5+AA5+AB5</f>
        <v>35693039.341623999</v>
      </c>
      <c r="AD5" s="22">
        <f>(SUMIF(Table14[Party],Q5,Table14[Credit]))+_xlfn.IFNA(O84,0)</f>
        <v>19750734</v>
      </c>
      <c r="AE5" s="33">
        <f>AC5-AD5</f>
        <v>15942305.341623999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t="str">
        <v>Ejaz Sahab</v>
      </c>
      <c r="Q6"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4915317.3006583769</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6396773.0431602057</v>
      </c>
      <c r="AD6" s="22">
        <f>(SUMIF(Table14[Party],Q6,Table14[Credit]))+_xlfn.IFNA(O85,0)</f>
        <v>6396773</v>
      </c>
      <c r="AE6" s="33">
        <f t="shared" ref="AE6:AE35" si="2">AC6-AD6</f>
        <v>4.3160205706954002E-2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t="str">
        <v>Arshad</v>
      </c>
      <c r="Q7" t="str">
        <v>Arshad</v>
      </c>
      <c r="R7" s="22" cm="1">
        <f t="array" ref="R7">_xlfn.BYROW(B51,_xlfn.LAMBDA(_xlpm.party,SUMIFS(ledger!G:G,ledger!B:B,_xlpm.party,ledger!E:E,"&lt;&gt;*RD*")))+_xlfn.IFNA(C86,0)</f>
        <v>919444</v>
      </c>
      <c r="S7" s="22" cm="1">
        <f t="array" ref="S7">_xlfn.BYROW(B51, _xlfn.LAMBDA(_xlpm.party, SUMIFS(ledger!G:G, ledger!B:B, _xlpm.party, ledger!E:E, "&lt;&gt;*RD*") / 1.0936 ))+_xlfn.IFNA(D86,0)</f>
        <v>840749.81711777626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1885504.7549378201</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8831234.4550109729</v>
      </c>
      <c r="AD7" s="22">
        <f>(SUMIF(Table14[Party],Q7,Table14[Credit]))+_xlfn.IFNA(O86,0)</f>
        <v>8692501</v>
      </c>
      <c r="AE7" s="33">
        <f t="shared" si="2"/>
        <v>138733.45501097292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O8" s="24" t="str">
        <v>Shehzad Kamoki</v>
      </c>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t="str">
        <v>Sufi Nawaz Sahab</v>
      </c>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t="str">
        <v>Sajad Khan</v>
      </c>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t="str">
        <v>Raaz Fabrics</v>
      </c>
      <c r="Q11"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1626380.7607900514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49224.579370885156</v>
      </c>
      <c r="E12" s="14">
        <f>(SUMIFS(ledger!G:G, ledger!B:B, B12, ledger!E:E, "&lt;&gt;*RD*",ledger!D:D, "Silky") / 1.0936)*12 + (SUMIFS(ledger!G:G, ledger!B:B, B12, ledger!E:E, "&lt;&gt;*RD*",ledger!D:D, "Chamki") / 1.0936)*10</f>
        <v>492245.79370885156</v>
      </c>
      <c r="I12" t="s">
        <v>27</v>
      </c>
      <c r="O12" s="24" t="str">
        <v>Azam</v>
      </c>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t="str">
        <v>Ubaidullah</v>
      </c>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t="str">
        <v>Ashraf Zia</v>
      </c>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t="str">
        <v>Hafiz Qureshi</v>
      </c>
      <c r="Q15" t="str">
        <v>Hafiz Qureshi</v>
      </c>
      <c r="R15" s="22" cm="1">
        <f t="array" ref="R15">_xlfn.BYROW(B59,_xlfn.LAMBDA(_xlpm.party,SUMIFS(ledger!G:G,ledger!B:B,_xlpm.party,ledger!E:E,"&lt;&gt;*RD*")))+_xlfn.IFNA(C94,0)</f>
        <v>508459</v>
      </c>
      <c r="S15" s="22" cm="1">
        <f t="array" ref="S15">_xlfn.BYROW(B59, _xlfn.LAMBDA(_xlpm.party, SUMIFS(ledger!G:G, ledger!B:B, _xlpm.party, ledger!E:E, "&lt;&gt;*RD*") / 1.0936 ))+_xlfn.IFNA(D94,0)</f>
        <v>464940.56327724952</v>
      </c>
      <c r="T15" s="22" cm="1">
        <f t="array" ref="T15">(_xlfn.BYROW(B59,_xlfn.LAMBDA(_xlpm.party,SUMIFS(ledger!G:G,ledger!B:B,_xlpm.party,ledger!E:E,"&lt;&gt;*RD*",ledger!D:D,"Chamki")+SUMIFS(ledger!G:G, ledger!B:B, _xlpm.party, ledger!E:E, "&lt;&gt;*RD*", ledger!D:D, "Crinkle")))/1.0936)+_xlfn.IFNA(E94,0)</f>
        <v>464940.56327724952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4649405.632772495</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4649405.632772495</v>
      </c>
      <c r="AD15" s="22">
        <f>(SUMIF(Table14[Party],Q15,Table14[Credit]))+_xlfn.IFNA(O94,0)</f>
        <v>4496179</v>
      </c>
      <c r="AE15" s="33">
        <f t="shared" si="2"/>
        <v>153226.63277249504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t="str">
        <v>Badshah Fabrics</v>
      </c>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t="str">
        <v>Gauhar Kashif</v>
      </c>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t="str">
        <v>Amjad 7up</v>
      </c>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t="str">
        <v>Hazrat Khan</v>
      </c>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t="str">
        <v>Haseeb Shamsi</v>
      </c>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2067553.9502560354</v>
      </c>
      <c r="D21" t="s">
        <v>30</v>
      </c>
      <c r="I21" t="s">
        <v>183</v>
      </c>
      <c r="O21" s="99" t="str">
        <v>Faizan</v>
      </c>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t="str">
        <v>Shafique Ansari</v>
      </c>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2106832.4798829556</v>
      </c>
      <c r="D23" t="s">
        <v>32</v>
      </c>
      <c r="I23" t="s">
        <v>193</v>
      </c>
      <c r="O23" s="21" t="str">
        <v>Amjad sohail</v>
      </c>
      <c r="Q23"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3607973.6649597664</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O24" t="str">
        <v>Salman Zaffar</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O25" t="str">
        <v>Shahid Qasayi</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O26" t="str">
        <v>Hameed corporation</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O27" t="str">
        <v>ibraheem behraam</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O28" t="str">
        <v>Zia-ullah karachi</v>
      </c>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O29" t="str">
        <v>ZA</v>
      </c>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O30" t="str">
        <v>Ahmad Javaid</v>
      </c>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O31" t="str">
        <v>Rehman Ali</v>
      </c>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1500000</v>
      </c>
      <c r="AE31" s="33">
        <f t="shared" si="2"/>
        <v>589305.96196049778</v>
      </c>
      <c r="AF31" s="21">
        <v>10</v>
      </c>
      <c r="AG31" s="21">
        <v>13</v>
      </c>
    </row>
    <row r="32" spans="2:33" x14ac:dyDescent="0.3">
      <c r="O32" t="str">
        <v>Shani Badshah</v>
      </c>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O33" t="str">
        <v>Ahmad Shafique</v>
      </c>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O34" t="str">
        <v>Hafiz Shawl</v>
      </c>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0</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0</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0</v>
      </c>
      <c r="AB36" s="70" cm="1">
        <f t="array" ref="AB36">_xlfn.BYROW(B80, _xlfn.LAMBDA(_xlpm.party,
   SUMIFS(ledger!J:J, ledger!B:B, _xlpm.party, ledger!E:E, "&lt;&gt;*RD*", ledger!D:D, "Munaar", ledger!C:C, "&lt;&gt;January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70893</v>
      </c>
      <c r="D49" s="22" cm="1">
        <f t="array" ref="D49:D79">_xlfn.BYROW(_xlfn.ANCHORARRAY(B49), _xlfn.LAMBDA(_xlpm.party, SUMIFS(ledger!G:G, ledger!B:B, _xlpm.party, ledger!E:E, "&lt;&gt;*RD*") / 1.0936 ))</f>
        <v>64825.347476225317</v>
      </c>
      <c r="E49" s="63" cm="1">
        <f t="array" ref="E49:E79">(_xlfn.BYROW(_xlfn.ANCHORARRAY(B49),_xlfn.LAMBDA(_xlpm.party,SUMIFS(ledger!G:G,ledger!B:B,_xlpm.party,ledger!E:E,"&lt;&gt;*RD*",ledger!D:D,"Chamki")+SUMIFS(ledger!G:G, ledger!B:B, _xlpm.party, ledger!E:E, "&lt;&gt;*RD*", ledger!D:D, "Crinkle")))/1.0936)</f>
        <v>27599.670811997075</v>
      </c>
      <c r="F49" s="63" cm="1">
        <f t="array" ref="F49:F79">(_xlfn.BYROW(_xlfn.ANCHORARRAY(B49),_xlfn.LAMBDA(_xlpm.party,SUMIFS(ledger!G:G,ledger!B:B,_xlpm.party,ledger!E:E,"&lt;&gt;*RD*",ledger!D:D,"Silky")))/1.0936)</f>
        <v>0</v>
      </c>
      <c r="G49" s="22" cm="1">
        <f t="array" ref="G49">(_xlfn.BYROW(B49,_xlfn.LAMBDA(_xlpm.party,
(SUMIFS(ledger!J:J,ledger!B:B,_xlpm.party,ledger!E:E,"&lt;&gt;*RD*",ledger!D:D,"Chamki",ledger!C:C,"&lt;&gt;January Closing CF")+
SUMIFS(ledger!J:J,ledger!B:B,_xlpm.party,ledger!E:E,"&lt;&gt;*RD*",ledger!D:D,"Crinkle",ledger!C:C,"&lt;&gt;January Closing CF")
))))</f>
        <v>275996.70811997075</v>
      </c>
      <c r="H49" s="22" cm="1">
        <f t="array" ref="H49">_xlfn.BYROW(B49, _xlfn.LAMBDA(_xlpm.party,
   SUMIFS(ledger!J:J, ledger!B:B, _xlpm.party, ledger!E:E, "&lt;&gt;*RD*", ledger!D:D, "Silky", ledger!C:C, "&lt;&gt;January Closing CF")
))</f>
        <v>0</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409482.44330651063</v>
      </c>
      <c r="M49" s="70" cm="1">
        <f t="array" ref="M49">_xlfn.BYROW(B49, _xlfn.LAMBDA(_xlpm.party,
   SUMIFS(ledger!J:J, ledger!B:B, _xlpm.party, ledger!E:E, "&lt;&gt;*RD*", ledger!D:D, "Munaar", ledger!C:C, "&lt;&gt;January Closing CF")
))</f>
        <v>0</v>
      </c>
      <c r="N49" s="39">
        <f>SUM(G49:M49)</f>
        <v>685479.15142648132</v>
      </c>
      <c r="O49" s="22">
        <f>(SUMIF(Table14[Party],B49,Table14[Credit]))</f>
        <v>0</v>
      </c>
      <c r="P49" s="37">
        <f>N49-O49</f>
        <v>685479.15142648132</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0</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ref="N50:N75" si="4">SUM(G50:M50)</f>
        <v>0</v>
      </c>
      <c r="O50" s="22">
        <f>(SUMIF(Table14[Party],B50,Table14[Credit]))</f>
        <v>329454</v>
      </c>
      <c r="P50" s="37">
        <f t="shared" ref="P50:P75" si="5">N50-O50</f>
        <v>-329454</v>
      </c>
      <c r="Q50" s="21">
        <v>10</v>
      </c>
      <c r="R50" s="21">
        <v>12</v>
      </c>
    </row>
    <row r="51" spans="1:23" x14ac:dyDescent="0.3">
      <c r="B51" s="24" t="str">
        <v>Arshad</v>
      </c>
      <c r="C51" s="22">
        <v>24851</v>
      </c>
      <c r="D51" s="22">
        <v>22724.030724213608</v>
      </c>
      <c r="E51" s="63">
        <v>22724.030724213608</v>
      </c>
      <c r="F51" s="63">
        <v>0</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0</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4"/>
        <v>227240.30724213607</v>
      </c>
      <c r="O51" s="22">
        <f>(SUMIF(Table14[Party],B51,Table14[Credit]))</f>
        <v>200000</v>
      </c>
      <c r="P51" s="37">
        <f t="shared" si="5"/>
        <v>27240.30724213607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(SUMIFS(ledger!J:J,ledger!B:B,_xlpm.party,ledger!E:E,"&lt;&gt;*RD*",ledger!D:D,"Chamki",ledger!C:C,"&lt;&gt;January Closing CF")+
SUMIFS(ledger!J:J,ledger!B:B,_xlpm.party,ledger!E:E,"&lt;&gt;*RD*",ledger!D:D,"Crinkle",ledger!C:C,"&lt;&gt;January Closing CF")
))))</f>
        <v>0</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4"/>
        <v>0</v>
      </c>
      <c r="O55" s="22">
        <f>(SUMIF(Table14[Party],B55,Table14[Credit]))</f>
        <v>0</v>
      </c>
      <c r="P55" s="37">
        <f t="shared"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4"/>
        <v>0</v>
      </c>
      <c r="O56" s="22">
        <f>(SUMIF(Table14[Party],B56,Table14[Credit]))</f>
        <v>0</v>
      </c>
      <c r="P56" s="37">
        <f t="shared" si="5"/>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4"/>
        <v>0</v>
      </c>
      <c r="O57" s="22">
        <f>(SUMIF(Table14[Party],B57,Table14[Credit]))</f>
        <v>0</v>
      </c>
      <c r="P57" s="37">
        <f t="shared" si="5"/>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53832</v>
      </c>
      <c r="D59" s="22">
        <v>49224.579370885156</v>
      </c>
      <c r="E59" s="63">
        <v>49224.579370885156</v>
      </c>
      <c r="F59" s="63">
        <v>0</v>
      </c>
      <c r="G59" s="22" cm="1">
        <f t="array" ref="G59">(_xlfn.BYROW(B59,_xlfn.LAMBDA(_xlpm.party,
(SUMIFS(ledger!J:J,ledger!B:B,_xlpm.party,ledger!E:E,"&lt;&gt;*RD*",ledger!D:D,"Chamki",ledger!C:C,"&lt;&gt;January Closing CF")+
SUMIFS(ledger!J:J,ledger!B:B,_xlpm.party,ledger!E:E,"&lt;&gt;*RD*",ledger!D:D,"Crinkle",ledger!C:C,"&lt;&gt;January Closing CF")
))))</f>
        <v>492245.79370885156</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4"/>
        <v>492245.79370885156</v>
      </c>
      <c r="O59" s="22">
        <f>(SUMIF(Table14[Party],B59,Table14[Credit]))</f>
        <v>350000</v>
      </c>
      <c r="P59" s="37">
        <f t="shared" si="5"/>
        <v>142245.79370885156</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4"/>
        <v>0</v>
      </c>
      <c r="O61" s="22">
        <f>(SUMIF(Table14[Party],B61,Table14[Credit]))</f>
        <v>0</v>
      </c>
      <c r="P61" s="37">
        <f t="shared" si="5"/>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4"/>
        <v>662588.69787856634</v>
      </c>
      <c r="O65" s="22">
        <f>(SUMIF(Table14[Party],B65,Table14[Credit]))</f>
        <v>704000</v>
      </c>
      <c r="P65" s="37">
        <f t="shared" si="5"/>
        <v>-41411.302121433662</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(SUMIFS(ledger!J:J,ledger!B:B,_xlpm.party,ledger!E:E,"&lt;&gt;*RD*",ledger!D:D,"Chamki",ledger!C:C,"&lt;&gt;January Closing CF")+
SUMIFS(ledger!J:J,ledger!B:B,_xlpm.party,ledger!E:E,"&lt;&gt;*RD*",ledger!D:D,"Crinkle",ledger!C:C,"&lt;&gt;January Closing CF")
))))</f>
        <v>0</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4"/>
        <v>0</v>
      </c>
      <c r="O68" s="22">
        <f>(SUMIF(Table14[Party],B68,Table14[Credit]))</f>
        <v>0</v>
      </c>
      <c r="P68" s="37">
        <f t="shared" si="5"/>
        <v>0</v>
      </c>
      <c r="Q68" s="21">
        <v>10</v>
      </c>
      <c r="R68" s="21">
        <v>12</v>
      </c>
      <c r="U68" s="4" t="s">
        <v>27</v>
      </c>
      <c r="V68" s="5">
        <v>176970.55596196052</v>
      </c>
      <c r="W68" s="18">
        <v>1769705.5596196051</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4"/>
        <v>0</v>
      </c>
      <c r="O69" s="22">
        <f>(SUMIF(Table14[Party],B69,Table14[Credit]))</f>
        <v>0</v>
      </c>
      <c r="P69" s="37">
        <f t="shared" si="5"/>
        <v>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4"/>
        <v>0</v>
      </c>
      <c r="O74" s="22">
        <f>(SUMIF(Table14[Party],B74,Table14[Credit]))</f>
        <v>0</v>
      </c>
      <c r="P74" s="37">
        <f t="shared" si="5"/>
        <v>0</v>
      </c>
      <c r="U74" s="4" t="s">
        <v>219</v>
      </c>
      <c r="V74" s="5">
        <v>70997.62253108999</v>
      </c>
      <c r="W74" s="18">
        <v>709976.2253108999</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4"/>
        <v>0</v>
      </c>
      <c r="O75" s="22">
        <f>(SUMIF(Table14[Party],B75,Table14[Credit]))</f>
        <v>200000</v>
      </c>
      <c r="P75" s="37">
        <f t="shared" si="5"/>
        <v>-200000</v>
      </c>
      <c r="U75" s="4" t="s">
        <v>28</v>
      </c>
      <c r="V75" s="14">
        <v>1462918.8002926116</v>
      </c>
      <c r="W75" s="14">
        <v>14887589.612289688</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ref="N76:N79" si="6">SUM(G76:M76)</f>
        <v>0</v>
      </c>
      <c r="O76" s="22">
        <f>SUMIF(Table14[Party], B76, Table14[Credit])</f>
        <v>0</v>
      </c>
      <c r="P76" s="37">
        <f t="shared" ref="P76:P78" si="7">N76-O76</f>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ref="P79:P80" si="8">N79-O79</f>
        <v>0.52962692026630975</v>
      </c>
    </row>
    <row r="80" spans="2:23" x14ac:dyDescent="0.3">
      <c r="O80" s="22">
        <f>SUMIF(Table14[Party], B80, Table14[Credit])</f>
        <v>0</v>
      </c>
      <c r="P80" s="37">
        <f t="shared" si="8"/>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_xlfn.XLOOKUP($B49,[2]Billing!$Q$5:$Q$40,[2]Billing!$R$5:$R$40)</f>
        <v>3652766.8824</v>
      </c>
      <c r="D84" s="22">
        <f>_xlfn.XLOOKUP($B49,[2]Billing!$Q$5:$Q$40,[2]Billing!$S$5:$S$40)</f>
        <v>3340130.6532553039</v>
      </c>
      <c r="E84" s="22">
        <f>_xlfn.XLOOKUP($B49,[2]Billing!$Q$5:$Q$40,[2]Billing!$T$5:$T$40)</f>
        <v>2767584.0182882226</v>
      </c>
      <c r="F84" s="22">
        <f>_xlfn.XLOOKUP($B49,[2]Billing!$Q$5:$Q$40,[2]Billing!$U$5:$U$40)</f>
        <v>561031.45574250189</v>
      </c>
      <c r="G84" s="22">
        <f>_xlfn.XLOOKUP($B49,[2]Billing!$Q$5:$Q$40,[2]Billing!$V$5:$V$40)</f>
        <v>27675840.182882231</v>
      </c>
      <c r="H84" s="22">
        <f>_xlfn.XLOOKUP($B49,[2]Billing!$Q$5:$Q$40,[2]Billing!$W$5:$W$40)</f>
        <v>7205053.0358449165</v>
      </c>
      <c r="I84" s="22">
        <f>_xlfn.XLOOKUP($B49,[2]Billing!$Q$5:$Q$40,[2]Billing!$X$5:$X$40)</f>
        <v>0</v>
      </c>
      <c r="J84" s="22">
        <f>_xlfn.XLOOKUP($B49,[2]Billing!$Q$5:$Q$40,[2]Billing!$Y$5:$Y$40)</f>
        <v>0</v>
      </c>
      <c r="K84">
        <f>_xlfn.XLOOKUP($B49,[2]Billing!$Q$5:$Q$40,[2]Billing!$Z$5:$Z$40)</f>
        <v>0</v>
      </c>
      <c r="L84">
        <f>_xlfn.XLOOKUP($B49,[2]Billing!$Q$5:$Q$40,[2]Billing!$AA$5:$AA$40)</f>
        <v>126666.9714703731</v>
      </c>
      <c r="M84">
        <f>_xlfn.XLOOKUP($B49,[2]Billing!$Q$5:$Q$40,[2]Billing!$AB$5:$AB$40)</f>
        <v>0</v>
      </c>
      <c r="N84" s="39">
        <f>G84+H84+I84+J84+K84+L84+M84</f>
        <v>35007560.19019752</v>
      </c>
      <c r="O84" s="22">
        <f>_xlfn.XLOOKUP($B49,[2]Billing!$Q$5:$Q$40,[2]Billing!$AD$5:$AD$40)</f>
        <v>19750734</v>
      </c>
      <c r="P84" s="37">
        <f>N84-O84</f>
        <v>15256826.19019752</v>
      </c>
      <c r="Q84" s="21">
        <v>10</v>
      </c>
      <c r="R84" s="21">
        <v>13</v>
      </c>
    </row>
    <row r="85" spans="2:18" x14ac:dyDescent="0.3">
      <c r="B85" s="24" t="str">
        <v>Ejaz Sahab</v>
      </c>
      <c r="C85" s="22">
        <f>_xlfn.XLOOKUP($B50,[2]Billing!$Q$5:$Q$40,[2]Billing!$R$5:$R$40)</f>
        <v>580479</v>
      </c>
      <c r="D85" s="22">
        <f>_xlfn.XLOOKUP($B50,[2]Billing!$Q$5:$Q$40,[2]Billing!$S$5:$S$40)</f>
        <v>530796.45208485739</v>
      </c>
      <c r="E85" s="22">
        <f>_xlfn.XLOOKUP($B50,[2]Billing!$Q$5:$Q$40,[2]Billing!$T$5:$T$40)</f>
        <v>148145.57425018289</v>
      </c>
      <c r="F85" s="22">
        <f>_xlfn.XLOOKUP($B50,[2]Billing!$Q$5:$Q$40,[2]Billing!$U$5:$U$40)</f>
        <v>382650.87783467449</v>
      </c>
      <c r="G85" s="22">
        <f>_xlfn.XLOOKUP($B50,[2]Billing!$Q$5:$Q$40,[2]Billing!$V$5:$V$40)</f>
        <v>1481455.7425018288</v>
      </c>
      <c r="H85" s="22">
        <f>_xlfn.XLOOKUP($B50,[2]Billing!$Q$5:$Q$40,[2]Billing!$W$5:$W$40)</f>
        <v>4915317.3006583769</v>
      </c>
      <c r="I85" s="22">
        <f>_xlfn.XLOOKUP($B50,[2]Billing!$Q$5:$Q$40,[2]Billing!$X$5:$X$40)</f>
        <v>0</v>
      </c>
      <c r="J85" s="22">
        <f>_xlfn.XLOOKUP($B50,[2]Billing!$Q$5:$Q$40,[2]Billing!$Y$5:$Y$40)</f>
        <v>0</v>
      </c>
      <c r="K85">
        <f>_xlfn.XLOOKUP($B50,[2]Billing!$Q$5:$Q$40,[2]Billing!$Z$5:$Z$40)</f>
        <v>0</v>
      </c>
      <c r="L85">
        <f>_xlfn.XLOOKUP($B50,[2]Billing!$Q$5:$Q$40,[2]Billing!$AA$5:$AA$40)</f>
        <v>0</v>
      </c>
      <c r="M85">
        <f>_xlfn.XLOOKUP($B50,[2]Billing!$Q$5:$Q$40,[2]Billing!$AB$5:$AB$40)</f>
        <v>0</v>
      </c>
      <c r="N85" s="39">
        <f>G85+H85+I85+J85+K85+L85+M85</f>
        <v>6396773.0431602057</v>
      </c>
      <c r="O85" s="22">
        <f>_xlfn.XLOOKUP($B50,[2]Billing!$Q$5:$Q$40,[2]Billing!$AD$5:$AD$40)</f>
        <v>6067319</v>
      </c>
      <c r="P85" s="37">
        <f t="shared" ref="P85:P115" si="9">N85-O85</f>
        <v>329454.04316020571</v>
      </c>
      <c r="Q85" s="21">
        <v>10</v>
      </c>
      <c r="R85" s="21">
        <v>13</v>
      </c>
    </row>
    <row r="86" spans="2:18" x14ac:dyDescent="0.3">
      <c r="B86" s="24" t="str">
        <v>Arshad</v>
      </c>
      <c r="C86" s="22">
        <f>_xlfn.XLOOKUP($B51,[2]Billing!$Q$5:$Q$40,[2]Billing!$R$5:$R$40)</f>
        <v>894593</v>
      </c>
      <c r="D86" s="22">
        <f>_xlfn.XLOOKUP($B51,[2]Billing!$Q$5:$Q$40,[2]Billing!$S$5:$S$40)</f>
        <v>818025.78639356268</v>
      </c>
      <c r="E86" s="22">
        <f>_xlfn.XLOOKUP($B51,[2]Billing!$Q$5:$Q$40,[2]Billing!$T$5:$T$40)</f>
        <v>671848.9392831017</v>
      </c>
      <c r="F86" s="22">
        <f>_xlfn.XLOOKUP($B51,[2]Billing!$Q$5:$Q$40,[2]Billing!$U$5:$U$40)</f>
        <v>146176.84711046086</v>
      </c>
      <c r="G86" s="22">
        <f>_xlfn.XLOOKUP($B51,[2]Billing!$Q$5:$Q$40,[2]Billing!$V$5:$V$40)</f>
        <v>6718489.3928310173</v>
      </c>
      <c r="H86" s="22">
        <f>_xlfn.XLOOKUP($B51,[2]Billing!$Q$5:$Q$40,[2]Billing!$W$5:$W$40)</f>
        <v>1885504.7549378201</v>
      </c>
      <c r="I86" s="22">
        <f>_xlfn.XLOOKUP($B51,[2]Billing!$Q$5:$Q$40,[2]Billing!$X$5:$X$40)</f>
        <v>0</v>
      </c>
      <c r="J86" s="22">
        <f>_xlfn.XLOOKUP($B51,[2]Billing!$Q$5:$Q$40,[2]Billing!$Y$5:$Y$40)</f>
        <v>0</v>
      </c>
      <c r="K86">
        <f>_xlfn.XLOOKUP($B51,[2]Billing!$Q$5:$Q$40,[2]Billing!$Z$5:$Z$40)</f>
        <v>0</v>
      </c>
      <c r="L86">
        <f>_xlfn.XLOOKUP($B51,[2]Billing!$Q$5:$Q$40,[2]Billing!$AA$5:$AA$40)</f>
        <v>0</v>
      </c>
      <c r="M86">
        <f>_xlfn.XLOOKUP($B51,[2]Billing!$Q$5:$Q$40,[2]Billing!$AB$5:$AB$40)</f>
        <v>0</v>
      </c>
      <c r="N86" s="39">
        <f t="shared" ref="N85:N115" si="10">G86+H86+I86+J86+K86+L86+M86</f>
        <v>8603994.1477688365</v>
      </c>
      <c r="O86" s="22">
        <f>_xlfn.XLOOKUP($B51,[2]Billing!$Q$5:$Q$40,[2]Billing!$AD$5:$AD$40)</f>
        <v>8492501</v>
      </c>
      <c r="P86" s="37">
        <f t="shared" si="9"/>
        <v>111493.14776883647</v>
      </c>
      <c r="Q86" s="21">
        <v>10</v>
      </c>
      <c r="R86" s="21">
        <v>13</v>
      </c>
    </row>
    <row r="87" spans="2:18" x14ac:dyDescent="0.3">
      <c r="B87" s="24" t="str">
        <v>Shehzad Kamoki</v>
      </c>
      <c r="C87" s="22">
        <f>_xlfn.XLOOKUP($B52,[2]Billing!$Q$5:$Q$40,[2]Billing!$R$5:$R$40)</f>
        <v>143457</v>
      </c>
      <c r="D87" s="22">
        <f>_xlfn.XLOOKUP($B52,[2]Billing!$Q$5:$Q$40,[2]Billing!$S$5:$S$40)</f>
        <v>131178.67593269935</v>
      </c>
      <c r="E87" s="22">
        <f>_xlfn.XLOOKUP($B52,[2]Billing!$Q$5:$Q$40,[2]Billing!$T$5:$T$40)</f>
        <v>131178.67593269935</v>
      </c>
      <c r="F87" s="22">
        <f>_xlfn.XLOOKUP($B52,[2]Billing!$Q$5:$Q$40,[2]Billing!$U$5:$U$40)</f>
        <v>0</v>
      </c>
      <c r="G87" s="22">
        <f>_xlfn.XLOOKUP($B52,[2]Billing!$Q$5:$Q$40,[2]Billing!$V$5:$V$40)</f>
        <v>1354241.9972933433</v>
      </c>
      <c r="H87" s="22">
        <f>_xlfn.XLOOKUP($B52,[2]Billing!$Q$5:$Q$40,[2]Billing!$W$5:$W$40)</f>
        <v>0</v>
      </c>
      <c r="I87" s="22">
        <f>_xlfn.XLOOKUP($B52,[2]Billing!$Q$5:$Q$40,[2]Billing!$X$5:$X$40)</f>
        <v>0</v>
      </c>
      <c r="J87" s="22">
        <f>_xlfn.XLOOKUP($B52,[2]Billing!$Q$5:$Q$40,[2]Billing!$Y$5:$Y$40)</f>
        <v>0</v>
      </c>
      <c r="K87">
        <f>_xlfn.XLOOKUP($B52,[2]Billing!$Q$5:$Q$40,[2]Billing!$Z$5:$Z$40)</f>
        <v>0</v>
      </c>
      <c r="L87">
        <f>_xlfn.XLOOKUP($B52,[2]Billing!$Q$5:$Q$40,[2]Billing!$AA$5:$AA$40)</f>
        <v>0</v>
      </c>
      <c r="M87">
        <f>_xlfn.XLOOKUP($B52,[2]Billing!$Q$5:$Q$40,[2]Billing!$AB$5:$AB$40)</f>
        <v>0</v>
      </c>
      <c r="N87" s="39">
        <f t="shared" si="10"/>
        <v>1354241.9972933433</v>
      </c>
      <c r="O87" s="22">
        <f>_xlfn.XLOOKUP($B52,[2]Billing!$Q$5:$Q$40,[2]Billing!$AD$5:$AD$40)</f>
        <v>1353710</v>
      </c>
      <c r="P87" s="37">
        <f t="shared" si="9"/>
        <v>531.99729334330186</v>
      </c>
      <c r="Q87" s="21">
        <v>10.5</v>
      </c>
      <c r="R87" s="21">
        <v>13</v>
      </c>
    </row>
    <row r="88" spans="2:18" x14ac:dyDescent="0.3">
      <c r="B88" s="24" t="str">
        <v>Sufi Nawaz Sahab</v>
      </c>
      <c r="C88" s="22">
        <f>_xlfn.XLOOKUP($B53,[2]Billing!$Q$5:$Q$40,[2]Billing!$R$5:$R$40)</f>
        <v>1212967</v>
      </c>
      <c r="D88" s="22">
        <f>_xlfn.XLOOKUP($B53,[2]Billing!$Q$5:$Q$40,[2]Billing!$S$5:$S$40)</f>
        <v>1109150.5120702267</v>
      </c>
      <c r="E88" s="22">
        <f>_xlfn.XLOOKUP($B53,[2]Billing!$Q$5:$Q$40,[2]Billing!$T$5:$T$40)</f>
        <v>599330.65106071695</v>
      </c>
      <c r="F88" s="22">
        <f>_xlfn.XLOOKUP($B53,[2]Billing!$Q$5:$Q$40,[2]Billing!$U$5:$U$40)</f>
        <v>485823.88441843458</v>
      </c>
      <c r="G88" s="22">
        <f>_xlfn.XLOOKUP($B53,[2]Billing!$Q$5:$Q$40,[2]Billing!$V$5:$V$40)</f>
        <v>5408917.8595464528</v>
      </c>
      <c r="H88" s="22">
        <f>_xlfn.XLOOKUP($B53,[2]Billing!$Q$5:$Q$40,[2]Billing!$W$5:$W$40)</f>
        <v>5829886.6130212145</v>
      </c>
      <c r="I88" s="22">
        <f>_xlfn.XLOOKUP($B53,[2]Billing!$Q$5:$Q$40,[2]Billing!$X$5:$X$40)</f>
        <v>0</v>
      </c>
      <c r="J88" s="22">
        <f>_xlfn.XLOOKUP($B53,[2]Billing!$Q$5:$Q$40,[2]Billing!$Y$5:$Y$40)</f>
        <v>239959.76591075349</v>
      </c>
      <c r="K88">
        <f>_xlfn.XLOOKUP($B53,[2]Billing!$Q$5:$Q$40,[2]Billing!$Z$5:$Z$40)</f>
        <v>0</v>
      </c>
      <c r="L88">
        <f>_xlfn.XLOOKUP($B53,[2]Billing!$Q$5:$Q$40,[2]Billing!$AA$5:$AA$40)</f>
        <v>0</v>
      </c>
      <c r="M88">
        <f>_xlfn.XLOOKUP($B53,[2]Billing!$Q$5:$Q$40,[2]Billing!$AB$5:$AB$40)</f>
        <v>0</v>
      </c>
      <c r="N88" s="39">
        <f t="shared" si="10"/>
        <v>11478764.23847842</v>
      </c>
      <c r="O88" s="22">
        <f>_xlfn.XLOOKUP($B53,[2]Billing!$Q$5:$Q$40,[2]Billing!$AD$5:$AD$40)</f>
        <v>11478764</v>
      </c>
      <c r="P88" s="37">
        <f t="shared" si="9"/>
        <v>0.23847842030227184</v>
      </c>
      <c r="Q88" s="21">
        <v>10</v>
      </c>
      <c r="R88" s="21">
        <v>13</v>
      </c>
    </row>
    <row r="89" spans="2:18" x14ac:dyDescent="0.3">
      <c r="B89" s="24" t="str">
        <v>Sajad Khan</v>
      </c>
      <c r="C89" s="22">
        <f>_xlfn.XLOOKUP($B54,[2]Billing!$Q$5:$Q$40,[2]Billing!$R$5:$R$40)</f>
        <v>1065869</v>
      </c>
      <c r="D89" s="22">
        <f>_xlfn.XLOOKUP($B54,[2]Billing!$Q$5:$Q$40,[2]Billing!$S$5:$S$40)</f>
        <v>974642.46525237767</v>
      </c>
      <c r="E89" s="22">
        <f>_xlfn.XLOOKUP($B54,[2]Billing!$Q$5:$Q$40,[2]Billing!$T$5:$T$40)</f>
        <v>942295.17190929048</v>
      </c>
      <c r="F89" s="22">
        <f>_xlfn.XLOOKUP($B54,[2]Billing!$Q$5:$Q$40,[2]Billing!$U$5:$U$40)</f>
        <v>0</v>
      </c>
      <c r="G89" s="22">
        <f>_xlfn.XLOOKUP($B54,[2]Billing!$Q$5:$Q$40,[2]Billing!$V$5:$V$40)</f>
        <v>9422951.7190929055</v>
      </c>
      <c r="H89" s="22">
        <f>_xlfn.XLOOKUP($B54,[2]Billing!$Q$5:$Q$40,[2]Billing!$W$5:$W$40)</f>
        <v>0</v>
      </c>
      <c r="I89" s="22">
        <f>_xlfn.XLOOKUP($B54,[2]Billing!$Q$5:$Q$40,[2]Billing!$X$5:$X$40)</f>
        <v>71359.729334308722</v>
      </c>
      <c r="J89" s="22">
        <f>_xlfn.XLOOKUP($B54,[2]Billing!$Q$5:$Q$40,[2]Billing!$Y$5:$Y$40)</f>
        <v>0</v>
      </c>
      <c r="K89">
        <f>_xlfn.XLOOKUP($B54,[2]Billing!$Q$5:$Q$40,[2]Billing!$Z$5:$Z$40)</f>
        <v>322297.00073152891</v>
      </c>
      <c r="L89">
        <f>_xlfn.XLOOKUP($B54,[2]Billing!$Q$5:$Q$40,[2]Billing!$AA$5:$AA$40)</f>
        <v>0</v>
      </c>
      <c r="M89">
        <f>_xlfn.XLOOKUP($B54,[2]Billing!$Q$5:$Q$40,[2]Billing!$AB$5:$AB$40)</f>
        <v>0</v>
      </c>
      <c r="N89" s="39">
        <f t="shared" si="10"/>
        <v>9816608.449158743</v>
      </c>
      <c r="O89" s="22">
        <f>_xlfn.XLOOKUP($B54,[2]Billing!$Q$5:$Q$40,[2]Billing!$AD$5:$AD$40)</f>
        <v>9609871</v>
      </c>
      <c r="P89" s="37">
        <f t="shared" si="9"/>
        <v>206737.44915874302</v>
      </c>
      <c r="Q89" s="21">
        <v>10</v>
      </c>
      <c r="R89" s="21">
        <v>13</v>
      </c>
    </row>
    <row r="90" spans="2:18" x14ac:dyDescent="0.3">
      <c r="B90" s="24" t="str">
        <v>Raaz Fabrics</v>
      </c>
      <c r="C90" s="22">
        <f>_xlfn.XLOOKUP($B55,[2]Billing!$Q$5:$Q$40,[2]Billing!$R$5:$R$40)</f>
        <v>177861</v>
      </c>
      <c r="D90" s="22">
        <f>_xlfn.XLOOKUP($B55,[2]Billing!$Q$5:$Q$40,[2]Billing!$S$5:$S$40)</f>
        <v>162638.07607900514</v>
      </c>
      <c r="E90" s="22">
        <f>_xlfn.XLOOKUP($B55,[2]Billing!$Q$5:$Q$40,[2]Billing!$T$5:$T$40)</f>
        <v>162638.07607900514</v>
      </c>
      <c r="F90" s="22">
        <f>_xlfn.XLOOKUP($B55,[2]Billing!$Q$5:$Q$40,[2]Billing!$U$5:$U$40)</f>
        <v>0</v>
      </c>
      <c r="G90" s="22">
        <f>_xlfn.XLOOKUP($B55,[2]Billing!$Q$5:$Q$40,[2]Billing!$V$5:$V$40)</f>
        <v>1626380.7607900514</v>
      </c>
      <c r="H90" s="22">
        <f>_xlfn.XLOOKUP($B55,[2]Billing!$Q$5:$Q$40,[2]Billing!$W$5:$W$40)</f>
        <v>0</v>
      </c>
      <c r="I90" s="22">
        <f>_xlfn.XLOOKUP($B55,[2]Billing!$Q$5:$Q$40,[2]Billing!$X$5:$X$40)</f>
        <v>0</v>
      </c>
      <c r="J90" s="22">
        <f>_xlfn.XLOOKUP($B55,[2]Billing!$Q$5:$Q$40,[2]Billing!$Y$5:$Y$40)</f>
        <v>0</v>
      </c>
      <c r="K90">
        <f>_xlfn.XLOOKUP($B55,[2]Billing!$Q$5:$Q$40,[2]Billing!$Z$5:$Z$40)</f>
        <v>0</v>
      </c>
      <c r="L90">
        <f>_xlfn.XLOOKUP($B55,[2]Billing!$Q$5:$Q$40,[2]Billing!$AA$5:$AA$40)</f>
        <v>0</v>
      </c>
      <c r="M90">
        <f>_xlfn.XLOOKUP($B55,[2]Billing!$Q$5:$Q$40,[2]Billing!$AB$5:$AB$40)</f>
        <v>0</v>
      </c>
      <c r="N90" s="39">
        <f t="shared" si="10"/>
        <v>1626380.7607900514</v>
      </c>
      <c r="O90" s="22">
        <f>_xlfn.XLOOKUP($B55,[2]Billing!$Q$5:$Q$40,[2]Billing!$AD$5:$AD$40)</f>
        <v>1526321</v>
      </c>
      <c r="P90" s="37">
        <f t="shared" si="9"/>
        <v>100059.76079005143</v>
      </c>
      <c r="Q90" s="21">
        <v>10</v>
      </c>
      <c r="R90" s="21">
        <v>13</v>
      </c>
    </row>
    <row r="91" spans="2:18" x14ac:dyDescent="0.3">
      <c r="B91" s="24" t="str">
        <v>Azam</v>
      </c>
      <c r="C91" s="22">
        <f>_xlfn.XLOOKUP($B56,[2]Billing!$Q$5:$Q$40,[2]Billing!$R$5:$R$40)</f>
        <v>749236</v>
      </c>
      <c r="D91" s="22">
        <f>_xlfn.XLOOKUP($B56,[2]Billing!$Q$5:$Q$40,[2]Billing!$S$5:$S$40)</f>
        <v>685109.72933430877</v>
      </c>
      <c r="E91" s="22">
        <f>_xlfn.XLOOKUP($B56,[2]Billing!$Q$5:$Q$40,[2]Billing!$T$5:$T$40)</f>
        <v>501118.32479882962</v>
      </c>
      <c r="F91" s="22">
        <f>_xlfn.XLOOKUP($B56,[2]Billing!$Q$5:$Q$40,[2]Billing!$U$5:$U$40)</f>
        <v>183991.40453547917</v>
      </c>
      <c r="G91" s="22">
        <f>_xlfn.XLOOKUP($B56,[2]Billing!$Q$5:$Q$40,[2]Billing!$V$5:$V$40)</f>
        <v>5011183.2479882967</v>
      </c>
      <c r="H91" s="22">
        <f>_xlfn.XLOOKUP($B56,[2]Billing!$Q$5:$Q$40,[2]Billing!$W$5:$W$40)</f>
        <v>2391888.2589612291</v>
      </c>
      <c r="I91" s="22">
        <f>_xlfn.XLOOKUP($B56,[2]Billing!$Q$5:$Q$40,[2]Billing!$X$5:$X$40)</f>
        <v>0</v>
      </c>
      <c r="J91" s="22">
        <f>_xlfn.XLOOKUP($B56,[2]Billing!$Q$5:$Q$40,[2]Billing!$Y$5:$Y$40)</f>
        <v>0</v>
      </c>
      <c r="K91">
        <f>_xlfn.XLOOKUP($B56,[2]Billing!$Q$5:$Q$40,[2]Billing!$Z$5:$Z$40)</f>
        <v>0</v>
      </c>
      <c r="L91">
        <f>_xlfn.XLOOKUP($B56,[2]Billing!$Q$5:$Q$40,[2]Billing!$AA$5:$AA$40)</f>
        <v>0</v>
      </c>
      <c r="M91">
        <f>_xlfn.XLOOKUP($B56,[2]Billing!$Q$5:$Q$40,[2]Billing!$AB$5:$AB$40)</f>
        <v>0</v>
      </c>
      <c r="N91" s="39">
        <f t="shared" si="10"/>
        <v>7403071.5069495253</v>
      </c>
      <c r="O91" s="22">
        <f>_xlfn.XLOOKUP($B56,[2]Billing!$Q$5:$Q$40,[2]Billing!$AD$5:$AD$40)</f>
        <v>7402540</v>
      </c>
      <c r="P91" s="37">
        <f t="shared" si="9"/>
        <v>531.50694952532649</v>
      </c>
      <c r="Q91" s="21">
        <v>10</v>
      </c>
      <c r="R91" s="21">
        <v>13</v>
      </c>
    </row>
    <row r="92" spans="2:18" x14ac:dyDescent="0.3">
      <c r="B92" s="24" t="str">
        <v>Ubaidullah</v>
      </c>
      <c r="C92" s="22">
        <f>_xlfn.XLOOKUP($B57,[2]Billing!$Q$5:$Q$40,[2]Billing!$R$5:$R$40)</f>
        <v>173534</v>
      </c>
      <c r="D92" s="22">
        <f>_xlfn.XLOOKUP($B57,[2]Billing!$Q$5:$Q$40,[2]Billing!$S$5:$S$40)</f>
        <v>158681.41916605708</v>
      </c>
      <c r="E92" s="22">
        <f>_xlfn.XLOOKUP($B57,[2]Billing!$Q$5:$Q$40,[2]Billing!$T$5:$T$40)</f>
        <v>46132.955376737387</v>
      </c>
      <c r="F92" s="22">
        <f>_xlfn.XLOOKUP($B57,[2]Billing!$Q$5:$Q$40,[2]Billing!$U$5:$U$40)</f>
        <v>112548.46378931969</v>
      </c>
      <c r="G92" s="22">
        <f>_xlfn.XLOOKUP($B57,[2]Billing!$Q$5:$Q$40,[2]Billing!$V$5:$V$40)</f>
        <v>461329.5537673739</v>
      </c>
      <c r="H92" s="22">
        <f>_xlfn.XLOOKUP($B57,[2]Billing!$Q$5:$Q$40,[2]Billing!$W$5:$W$40)</f>
        <v>1448134.6013167519</v>
      </c>
      <c r="I92" s="22">
        <f>_xlfn.XLOOKUP($B57,[2]Billing!$Q$5:$Q$40,[2]Billing!$X$5:$X$40)</f>
        <v>0</v>
      </c>
      <c r="J92" s="22">
        <f>_xlfn.XLOOKUP($B57,[2]Billing!$Q$5:$Q$40,[2]Billing!$Y$5:$Y$40)</f>
        <v>0</v>
      </c>
      <c r="K92">
        <f>_xlfn.XLOOKUP($B57,[2]Billing!$Q$5:$Q$40,[2]Billing!$Z$5:$Z$40)</f>
        <v>0</v>
      </c>
      <c r="L92">
        <f>_xlfn.XLOOKUP($B57,[2]Billing!$Q$5:$Q$40,[2]Billing!$AA$5:$AA$40)</f>
        <v>0</v>
      </c>
      <c r="M92">
        <f>_xlfn.XLOOKUP($B57,[2]Billing!$Q$5:$Q$40,[2]Billing!$AB$5:$AB$40)</f>
        <v>0</v>
      </c>
      <c r="N92" s="39">
        <f t="shared" si="10"/>
        <v>1909464.1550841257</v>
      </c>
      <c r="O92" s="22">
        <f>_xlfn.XLOOKUP($B57,[2]Billing!$Q$5:$Q$40,[2]Billing!$AD$5:$AD$40)</f>
        <v>1908190</v>
      </c>
      <c r="P92" s="37">
        <f t="shared" si="9"/>
        <v>1274.1550841256976</v>
      </c>
      <c r="Q92" s="21">
        <v>10</v>
      </c>
      <c r="R92" s="21">
        <v>13</v>
      </c>
    </row>
    <row r="93" spans="2:18" x14ac:dyDescent="0.3">
      <c r="B93" s="24" t="str">
        <v>Ashraf Zia</v>
      </c>
      <c r="C93" s="22">
        <f>_xlfn.XLOOKUP($B58,[2]Billing!$Q$5:$Q$40,[2]Billing!$R$5:$R$40)</f>
        <v>23305</v>
      </c>
      <c r="D93" s="22">
        <f>_xlfn.XLOOKUP($B58,[2]Billing!$Q$5:$Q$40,[2]Billing!$S$5:$S$40)</f>
        <v>21310.35113386979</v>
      </c>
      <c r="E93" s="22">
        <f>_xlfn.XLOOKUP($B58,[2]Billing!$Q$5:$Q$40,[2]Billing!$T$5:$T$40)</f>
        <v>21310.35113386979</v>
      </c>
      <c r="F93" s="22">
        <f>_xlfn.XLOOKUP($B58,[2]Billing!$Q$5:$Q$40,[2]Billing!$U$5:$U$40)</f>
        <v>0</v>
      </c>
      <c r="G93" s="22">
        <f>_xlfn.XLOOKUP($B58,[2]Billing!$Q$5:$Q$40,[2]Billing!$V$5:$V$40)</f>
        <v>255724.21360643749</v>
      </c>
      <c r="H93" s="22">
        <f>_xlfn.XLOOKUP($B58,[2]Billing!$Q$5:$Q$40,[2]Billing!$W$5:$W$40)</f>
        <v>0</v>
      </c>
      <c r="I93" s="22">
        <f>_xlfn.XLOOKUP($B58,[2]Billing!$Q$5:$Q$40,[2]Billing!$X$5:$X$40)</f>
        <v>0</v>
      </c>
      <c r="J93" s="22">
        <f>_xlfn.XLOOKUP($B58,[2]Billing!$Q$5:$Q$40,[2]Billing!$Y$5:$Y$40)</f>
        <v>0</v>
      </c>
      <c r="K93">
        <f>_xlfn.XLOOKUP($B58,[2]Billing!$Q$5:$Q$40,[2]Billing!$Z$5:$Z$40)</f>
        <v>0</v>
      </c>
      <c r="L93">
        <f>_xlfn.XLOOKUP($B58,[2]Billing!$Q$5:$Q$40,[2]Billing!$AA$5:$AA$40)</f>
        <v>0</v>
      </c>
      <c r="M93">
        <f>_xlfn.XLOOKUP($B58,[2]Billing!$Q$5:$Q$40,[2]Billing!$AB$5:$AB$40)</f>
        <v>0</v>
      </c>
      <c r="N93" s="39">
        <f t="shared" si="10"/>
        <v>255724.21360643749</v>
      </c>
      <c r="O93" s="22">
        <f>_xlfn.XLOOKUP($B58,[2]Billing!$Q$5:$Q$40,[2]Billing!$AD$5:$AD$40)</f>
        <v>130000</v>
      </c>
      <c r="P93" s="37">
        <f t="shared" si="9"/>
        <v>125724.21360643749</v>
      </c>
      <c r="Q93" s="21">
        <v>12</v>
      </c>
      <c r="R93" s="21">
        <v>13</v>
      </c>
    </row>
    <row r="94" spans="2:18" x14ac:dyDescent="0.3">
      <c r="B94" s="24" t="str">
        <v>Hafiz Qureshi</v>
      </c>
      <c r="C94" s="22">
        <f>_xlfn.XLOOKUP($B59,[2]Billing!$Q$5:$Q$40,[2]Billing!$R$5:$R$40)</f>
        <v>454627</v>
      </c>
      <c r="D94" s="22">
        <f>_xlfn.XLOOKUP($B59,[2]Billing!$Q$5:$Q$40,[2]Billing!$S$5:$S$40)</f>
        <v>415715.98390636436</v>
      </c>
      <c r="E94" s="22">
        <f>_xlfn.XLOOKUP($B59,[2]Billing!$Q$5:$Q$40,[2]Billing!$T$5:$T$40)</f>
        <v>415715.98390636436</v>
      </c>
      <c r="F94" s="22">
        <f>_xlfn.XLOOKUP($B59,[2]Billing!$Q$5:$Q$40,[2]Billing!$U$5:$U$40)</f>
        <v>0</v>
      </c>
      <c r="G94" s="22">
        <f>_xlfn.XLOOKUP($B59,[2]Billing!$Q$5:$Q$40,[2]Billing!$V$5:$V$40)</f>
        <v>4157159.8390636435</v>
      </c>
      <c r="H94" s="22">
        <f>_xlfn.XLOOKUP($B59,[2]Billing!$Q$5:$Q$40,[2]Billing!$W$5:$W$40)</f>
        <v>0</v>
      </c>
      <c r="I94" s="22">
        <f>_xlfn.XLOOKUP($B59,[2]Billing!$Q$5:$Q$40,[2]Billing!$X$5:$X$40)</f>
        <v>0</v>
      </c>
      <c r="J94" s="22">
        <f>_xlfn.XLOOKUP($B59,[2]Billing!$Q$5:$Q$40,[2]Billing!$Y$5:$Y$40)</f>
        <v>0</v>
      </c>
      <c r="K94">
        <f>_xlfn.XLOOKUP($B59,[2]Billing!$Q$5:$Q$40,[2]Billing!$Z$5:$Z$40)</f>
        <v>0</v>
      </c>
      <c r="L94">
        <f>_xlfn.XLOOKUP($B59,[2]Billing!$Q$5:$Q$40,[2]Billing!$AA$5:$AA$40)</f>
        <v>0</v>
      </c>
      <c r="M94">
        <f>_xlfn.XLOOKUP($B59,[2]Billing!$Q$5:$Q$40,[2]Billing!$AB$5:$AB$40)</f>
        <v>0</v>
      </c>
      <c r="N94" s="39">
        <f t="shared" si="10"/>
        <v>4157159.8390636435</v>
      </c>
      <c r="O94" s="22">
        <f>_xlfn.XLOOKUP($B59,[2]Billing!$Q$5:$Q$40,[2]Billing!$AD$5:$AD$40)</f>
        <v>4146179</v>
      </c>
      <c r="P94" s="37">
        <f t="shared" si="9"/>
        <v>10980.839063643478</v>
      </c>
      <c r="Q94" s="21">
        <v>10</v>
      </c>
      <c r="R94" s="21">
        <v>13</v>
      </c>
    </row>
    <row r="95" spans="2:18" x14ac:dyDescent="0.3">
      <c r="B95" s="24" t="str">
        <v>Badshah Fabrics</v>
      </c>
      <c r="C95" s="22">
        <f>_xlfn.XLOOKUP($B60,[2]Billing!$Q$5:$Q$40,[2]Billing!$R$5:$R$40)</f>
        <v>681314</v>
      </c>
      <c r="D95" s="22">
        <f>_xlfn.XLOOKUP($B60,[2]Billing!$Q$5:$Q$40,[2]Billing!$S$5:$S$40)</f>
        <v>623001.09729334316</v>
      </c>
      <c r="E95" s="22">
        <f>_xlfn.XLOOKUP($B60,[2]Billing!$Q$5:$Q$40,[2]Billing!$T$5:$T$40)</f>
        <v>481526.15215801029</v>
      </c>
      <c r="F95" s="22">
        <f>_xlfn.XLOOKUP($B60,[2]Billing!$Q$5:$Q$40,[2]Billing!$U$5:$U$40)</f>
        <v>141474.94513533285</v>
      </c>
      <c r="G95" s="22">
        <f>_xlfn.XLOOKUP($B60,[2]Billing!$Q$5:$Q$40,[2]Billing!$V$5:$V$40)</f>
        <v>4861679.7732260432</v>
      </c>
      <c r="H95" s="22">
        <f>_xlfn.XLOOKUP($B60,[2]Billing!$Q$5:$Q$40,[2]Billing!$W$5:$W$40)</f>
        <v>1776019.5683979518</v>
      </c>
      <c r="I95" s="22">
        <f>_xlfn.XLOOKUP($B60,[2]Billing!$Q$5:$Q$40,[2]Billing!$X$5:$X$40)</f>
        <v>0</v>
      </c>
      <c r="J95" s="22">
        <f>_xlfn.XLOOKUP($B60,[2]Billing!$Q$5:$Q$40,[2]Billing!$Y$5:$Y$40)</f>
        <v>0</v>
      </c>
      <c r="K95">
        <f>_xlfn.XLOOKUP($B60,[2]Billing!$Q$5:$Q$40,[2]Billing!$Z$5:$Z$40)</f>
        <v>0</v>
      </c>
      <c r="L95">
        <f>_xlfn.XLOOKUP($B60,[2]Billing!$Q$5:$Q$40,[2]Billing!$AA$5:$AA$40)</f>
        <v>0</v>
      </c>
      <c r="M95">
        <f>_xlfn.XLOOKUP($B60,[2]Billing!$Q$5:$Q$40,[2]Billing!$AB$5:$AB$40)</f>
        <v>0</v>
      </c>
      <c r="N95" s="39">
        <f t="shared" si="10"/>
        <v>6637699.3416239955</v>
      </c>
      <c r="O95" s="22">
        <f>_xlfn.XLOOKUP($B60,[2]Billing!$Q$5:$Q$40,[2]Billing!$AD$5:$AD$40)</f>
        <v>6545761</v>
      </c>
      <c r="P95" s="37">
        <f t="shared" si="9"/>
        <v>91938.341623995453</v>
      </c>
      <c r="Q95" s="21">
        <v>10</v>
      </c>
      <c r="R95" s="21">
        <v>13</v>
      </c>
    </row>
    <row r="96" spans="2:18" x14ac:dyDescent="0.3">
      <c r="B96" s="24" t="str">
        <v>Gauhar Kashif</v>
      </c>
      <c r="C96" s="22">
        <f>_xlfn.XLOOKUP($B61,[2]Billing!$Q$5:$Q$40,[2]Billing!$R$5:$R$40)</f>
        <v>132768</v>
      </c>
      <c r="D96" s="22">
        <f>_xlfn.XLOOKUP($B61,[2]Billing!$Q$5:$Q$40,[2]Billing!$S$5:$S$40)</f>
        <v>121404.53547915144</v>
      </c>
      <c r="E96" s="22">
        <f>_xlfn.XLOOKUP($B61,[2]Billing!$Q$5:$Q$40,[2]Billing!$T$5:$T$40)</f>
        <v>121404.53547915144</v>
      </c>
      <c r="F96" s="22">
        <f>_xlfn.XLOOKUP($B61,[2]Billing!$Q$5:$Q$40,[2]Billing!$U$5:$U$40)</f>
        <v>0</v>
      </c>
      <c r="G96" s="22">
        <f>_xlfn.XLOOKUP($B61,[2]Billing!$Q$5:$Q$40,[2]Billing!$V$5:$V$40)</f>
        <v>1214045.3547915143</v>
      </c>
      <c r="H96" s="22">
        <f>_xlfn.XLOOKUP($B61,[2]Billing!$Q$5:$Q$40,[2]Billing!$W$5:$W$40)</f>
        <v>0</v>
      </c>
      <c r="I96" s="22">
        <f>_xlfn.XLOOKUP($B61,[2]Billing!$Q$5:$Q$40,[2]Billing!$X$5:$X$40)</f>
        <v>0</v>
      </c>
      <c r="J96" s="22">
        <f>_xlfn.XLOOKUP($B61,[2]Billing!$Q$5:$Q$40,[2]Billing!$Y$5:$Y$40)</f>
        <v>0</v>
      </c>
      <c r="K96">
        <f>_xlfn.XLOOKUP($B61,[2]Billing!$Q$5:$Q$40,[2]Billing!$Z$5:$Z$40)</f>
        <v>0</v>
      </c>
      <c r="L96">
        <f>_xlfn.XLOOKUP($B61,[2]Billing!$Q$5:$Q$40,[2]Billing!$AA$5:$AA$40)</f>
        <v>0</v>
      </c>
      <c r="M96">
        <f>_xlfn.XLOOKUP($B61,[2]Billing!$Q$5:$Q$40,[2]Billing!$AB$5:$AB$40)</f>
        <v>0</v>
      </c>
      <c r="N96" s="39">
        <f t="shared" si="10"/>
        <v>1214045.3547915143</v>
      </c>
      <c r="O96" s="22">
        <f>_xlfn.XLOOKUP($B61,[2]Billing!$Q$5:$Q$40,[2]Billing!$AD$5:$AD$40)</f>
        <v>1214045</v>
      </c>
      <c r="P96" s="37">
        <f t="shared" si="9"/>
        <v>0.35479151434265077</v>
      </c>
      <c r="Q96" s="21">
        <v>10</v>
      </c>
      <c r="R96" s="21">
        <v>13</v>
      </c>
    </row>
    <row r="97" spans="2:18" x14ac:dyDescent="0.3">
      <c r="B97" s="24" t="str">
        <v>Amjad 7up</v>
      </c>
      <c r="C97" s="22">
        <f>_xlfn.XLOOKUP($B62,[2]Billing!$Q$5:$Q$40,[2]Billing!$R$5:$R$40)</f>
        <v>52914</v>
      </c>
      <c r="D97" s="22">
        <f>_xlfn.XLOOKUP($B62,[2]Billing!$Q$5:$Q$40,[2]Billing!$S$5:$S$40)</f>
        <v>48385.149963423559</v>
      </c>
      <c r="E97" s="22">
        <f>_xlfn.XLOOKUP($B62,[2]Billing!$Q$5:$Q$40,[2]Billing!$T$5:$T$40)</f>
        <v>48385.149963423559</v>
      </c>
      <c r="F97" s="22">
        <f>_xlfn.XLOOKUP($B62,[2]Billing!$Q$5:$Q$40,[2]Billing!$U$5:$U$40)</f>
        <v>0</v>
      </c>
      <c r="G97" s="22">
        <f>_xlfn.XLOOKUP($B62,[2]Billing!$Q$5:$Q$40,[2]Billing!$V$5:$V$40)</f>
        <v>483851.49963423557</v>
      </c>
      <c r="H97" s="22">
        <f>_xlfn.XLOOKUP($B62,[2]Billing!$Q$5:$Q$40,[2]Billing!$W$5:$W$40)</f>
        <v>0</v>
      </c>
      <c r="I97" s="22">
        <f>_xlfn.XLOOKUP($B62,[2]Billing!$Q$5:$Q$40,[2]Billing!$X$5:$X$40)</f>
        <v>0</v>
      </c>
      <c r="J97" s="22">
        <f>_xlfn.XLOOKUP($B62,[2]Billing!$Q$5:$Q$40,[2]Billing!$Y$5:$Y$40)</f>
        <v>0</v>
      </c>
      <c r="K97">
        <f>_xlfn.XLOOKUP($B62,[2]Billing!$Q$5:$Q$40,[2]Billing!$Z$5:$Z$40)</f>
        <v>0</v>
      </c>
      <c r="L97">
        <f>_xlfn.XLOOKUP($B62,[2]Billing!$Q$5:$Q$40,[2]Billing!$AA$5:$AA$40)</f>
        <v>0</v>
      </c>
      <c r="M97">
        <f>_xlfn.XLOOKUP($B62,[2]Billing!$Q$5:$Q$40,[2]Billing!$AB$5:$AB$40)</f>
        <v>0</v>
      </c>
      <c r="N97" s="39">
        <f t="shared" si="10"/>
        <v>483851.49963423557</v>
      </c>
      <c r="O97" s="22">
        <f>_xlfn.XLOOKUP($B62,[2]Billing!$Q$5:$Q$40,[2]Billing!$AD$5:$AD$40)</f>
        <v>480000</v>
      </c>
      <c r="P97" s="37">
        <f t="shared" si="9"/>
        <v>3851.4996342355735</v>
      </c>
      <c r="Q97" s="21">
        <v>10</v>
      </c>
      <c r="R97" s="21">
        <v>13</v>
      </c>
    </row>
    <row r="98" spans="2:18" x14ac:dyDescent="0.3">
      <c r="B98" s="24" t="str">
        <v>Hazrat Khan</v>
      </c>
      <c r="C98" s="22">
        <f>_xlfn.XLOOKUP($B63,[2]Billing!$Q$5:$Q$40,[2]Billing!$R$5:$R$40)</f>
        <v>9750</v>
      </c>
      <c r="D98" s="22">
        <f>_xlfn.XLOOKUP($B63,[2]Billing!$Q$5:$Q$40,[2]Billing!$S$5:$S$40)</f>
        <v>8915.5084125822978</v>
      </c>
      <c r="E98" s="22">
        <f>_xlfn.XLOOKUP($B63,[2]Billing!$Q$5:$Q$40,[2]Billing!$T$5:$T$40)</f>
        <v>8915.5084125822978</v>
      </c>
      <c r="F98" s="22">
        <f>_xlfn.XLOOKUP($B63,[2]Billing!$Q$5:$Q$40,[2]Billing!$U$5:$U$40)</f>
        <v>0</v>
      </c>
      <c r="G98" s="22">
        <f>_xlfn.XLOOKUP($B63,[2]Billing!$Q$5:$Q$40,[2]Billing!$V$5:$V$40)</f>
        <v>89155.084125822978</v>
      </c>
      <c r="H98" s="22">
        <f>_xlfn.XLOOKUP($B63,[2]Billing!$Q$5:$Q$40,[2]Billing!$W$5:$W$40)</f>
        <v>0</v>
      </c>
      <c r="I98" s="22">
        <f>_xlfn.XLOOKUP($B63,[2]Billing!$Q$5:$Q$40,[2]Billing!$X$5:$X$40)</f>
        <v>0</v>
      </c>
      <c r="J98" s="22">
        <f>_xlfn.XLOOKUP($B63,[2]Billing!$Q$5:$Q$40,[2]Billing!$Y$5:$Y$40)</f>
        <v>0</v>
      </c>
      <c r="K98">
        <f>_xlfn.XLOOKUP($B63,[2]Billing!$Q$5:$Q$40,[2]Billing!$Z$5:$Z$40)</f>
        <v>0</v>
      </c>
      <c r="L98">
        <f>_xlfn.XLOOKUP($B63,[2]Billing!$Q$5:$Q$40,[2]Billing!$AA$5:$AA$40)</f>
        <v>0</v>
      </c>
      <c r="M98">
        <f>_xlfn.XLOOKUP($B63,[2]Billing!$Q$5:$Q$40,[2]Billing!$AB$5:$AB$40)</f>
        <v>0</v>
      </c>
      <c r="N98" s="39">
        <f t="shared" si="10"/>
        <v>89155.084125822978</v>
      </c>
      <c r="O98" s="22">
        <f>_xlfn.XLOOKUP($B63,[2]Billing!$Q$5:$Q$40,[2]Billing!$AD$5:$AD$40)</f>
        <v>95000</v>
      </c>
      <c r="P98" s="37">
        <f t="shared" si="9"/>
        <v>-5844.9158741770225</v>
      </c>
      <c r="Q98" s="21">
        <v>10</v>
      </c>
      <c r="R98" s="21">
        <v>13</v>
      </c>
    </row>
    <row r="99" spans="2:18" x14ac:dyDescent="0.3">
      <c r="B99" s="24" t="str">
        <v>Haseeb Shamsi</v>
      </c>
      <c r="C99" s="22">
        <f>_xlfn.XLOOKUP($B64,[2]Billing!$Q$5:$Q$40,[2]Billing!$R$5:$R$40)</f>
        <v>61975</v>
      </c>
      <c r="D99" s="22">
        <f>_xlfn.XLOOKUP($B64,[2]Billing!$Q$5:$Q$40,[2]Billing!$S$5:$S$40)</f>
        <v>56670.629114850046</v>
      </c>
      <c r="E99" s="22">
        <f>_xlfn.XLOOKUP($B64,[2]Billing!$Q$5:$Q$40,[2]Billing!$T$5:$T$40)</f>
        <v>47437.820043891741</v>
      </c>
      <c r="F99" s="22">
        <f>_xlfn.XLOOKUP($B64,[2]Billing!$Q$5:$Q$40,[2]Billing!$U$5:$U$40)</f>
        <v>9232.809070958303</v>
      </c>
      <c r="G99" s="22">
        <f>_xlfn.XLOOKUP($B64,[2]Billing!$Q$5:$Q$40,[2]Billing!$V$5:$V$40)</f>
        <v>474378.20043891744</v>
      </c>
      <c r="H99" s="22">
        <f>_xlfn.XLOOKUP($B64,[2]Billing!$Q$5:$Q$40,[2]Billing!$W$5:$W$40)</f>
        <v>120026.51792245793</v>
      </c>
      <c r="I99" s="22">
        <f>_xlfn.XLOOKUP($B64,[2]Billing!$Q$5:$Q$40,[2]Billing!$X$5:$X$40)</f>
        <v>0</v>
      </c>
      <c r="J99" s="22">
        <f>_xlfn.XLOOKUP($B64,[2]Billing!$Q$5:$Q$40,[2]Billing!$Y$5:$Y$40)</f>
        <v>0</v>
      </c>
      <c r="K99">
        <f>_xlfn.XLOOKUP($B64,[2]Billing!$Q$5:$Q$40,[2]Billing!$Z$5:$Z$40)</f>
        <v>0</v>
      </c>
      <c r="L99">
        <f>_xlfn.XLOOKUP($B64,[2]Billing!$Q$5:$Q$40,[2]Billing!$AA$5:$AA$40)</f>
        <v>0</v>
      </c>
      <c r="M99">
        <f>_xlfn.XLOOKUP($B64,[2]Billing!$Q$5:$Q$40,[2]Billing!$AB$5:$AB$40)</f>
        <v>0</v>
      </c>
      <c r="N99" s="39">
        <f t="shared" si="10"/>
        <v>594404.71836137539</v>
      </c>
      <c r="O99" s="22">
        <f>_xlfn.XLOOKUP($B64,[2]Billing!$Q$5:$Q$40,[2]Billing!$AD$5:$AD$40)</f>
        <v>594405</v>
      </c>
      <c r="P99" s="37">
        <f t="shared" si="9"/>
        <v>-0.28163862461224198</v>
      </c>
      <c r="Q99" s="21">
        <v>10</v>
      </c>
      <c r="R99" s="21">
        <v>13</v>
      </c>
    </row>
    <row r="100" spans="2:18" x14ac:dyDescent="0.3">
      <c r="B100" s="81" t="str">
        <v>Faizan</v>
      </c>
      <c r="C100" s="22">
        <f>_xlfn.XLOOKUP($B65,[2]Billing!$Q$5:$Q$40,[2]Billing!$R$5:$R$40)</f>
        <v>509411</v>
      </c>
      <c r="D100" s="22">
        <f>_xlfn.XLOOKUP($B65,[2]Billing!$Q$5:$Q$40,[2]Billing!$S$5:$S$40)</f>
        <v>465811.08266276523</v>
      </c>
      <c r="E100" s="22">
        <f>_xlfn.XLOOKUP($B65,[2]Billing!$Q$5:$Q$40,[2]Billing!$T$5:$T$40)</f>
        <v>0</v>
      </c>
      <c r="F100" s="22">
        <f>_xlfn.XLOOKUP($B65,[2]Billing!$Q$5:$Q$40,[2]Billing!$U$5:$U$40)</f>
        <v>462841.07534747623</v>
      </c>
      <c r="G100" s="22">
        <f>_xlfn.XLOOKUP($B65,[2]Billing!$Q$5:$Q$40,[2]Billing!$V$5:$V$40)</f>
        <v>30000</v>
      </c>
      <c r="H100" s="22">
        <f>_xlfn.XLOOKUP($B65,[2]Billing!$Q$5:$Q$40,[2]Billing!$W$5:$W$40)</f>
        <v>6016933.9795171916</v>
      </c>
      <c r="I100" s="22">
        <f>_xlfn.XLOOKUP($B65,[2]Billing!$Q$5:$Q$40,[2]Billing!$X$5:$X$40)</f>
        <v>44550.109729334312</v>
      </c>
      <c r="J100" s="22">
        <f>_xlfn.XLOOKUP($B65,[2]Billing!$Q$5:$Q$40,[2]Billing!$Y$5:$Y$40)</f>
        <v>0</v>
      </c>
      <c r="K100">
        <f>_xlfn.XLOOKUP($B65,[2]Billing!$Q$5:$Q$40,[2]Billing!$Z$5:$Z$40)</f>
        <v>0</v>
      </c>
      <c r="L100">
        <f>_xlfn.XLOOKUP($B65,[2]Billing!$Q$5:$Q$40,[2]Billing!$AA$5:$AA$40)</f>
        <v>0</v>
      </c>
      <c r="M100">
        <f>_xlfn.XLOOKUP($B65,[2]Billing!$Q$5:$Q$40,[2]Billing!$AB$5:$AB$40)</f>
        <v>0</v>
      </c>
      <c r="N100" s="39">
        <f t="shared" si="10"/>
        <v>6091484.0892465264</v>
      </c>
      <c r="O100" s="22">
        <f>_xlfn.XLOOKUP($B65,[2]Billing!$Q$5:$Q$40,[2]Billing!$AD$5:$AD$40)</f>
        <v>6024187</v>
      </c>
      <c r="P100" s="37">
        <f t="shared" si="9"/>
        <v>67297.089246526361</v>
      </c>
      <c r="Q100" s="21">
        <v>10</v>
      </c>
      <c r="R100" s="21">
        <v>13</v>
      </c>
    </row>
    <row r="101" spans="2:18" x14ac:dyDescent="0.3">
      <c r="B101" s="81" t="str">
        <v>Shafique Ansari</v>
      </c>
      <c r="C101" s="22">
        <f>_xlfn.XLOOKUP($B66,[2]Billing!$Q$5:$Q$40,[2]Billing!$R$5:$R$40)</f>
        <v>82290</v>
      </c>
      <c r="D101" s="22">
        <f>_xlfn.XLOOKUP($B66,[2]Billing!$Q$5:$Q$40,[2]Billing!$S$5:$S$40)</f>
        <v>75246.891002194592</v>
      </c>
      <c r="E101" s="22">
        <f>_xlfn.XLOOKUP($B66,[2]Billing!$Q$5:$Q$40,[2]Billing!$T$5:$T$40)</f>
        <v>64300.475493782011</v>
      </c>
      <c r="F101" s="22">
        <f>_xlfn.XLOOKUP($B66,[2]Billing!$Q$5:$Q$40,[2]Billing!$U$5:$U$40)</f>
        <v>7565.8376005852242</v>
      </c>
      <c r="G101" s="22">
        <f>_xlfn.XLOOKUP($B66,[2]Billing!$Q$5:$Q$40,[2]Billing!$V$5:$V$40)</f>
        <v>643004.75493782014</v>
      </c>
      <c r="H101" s="22">
        <f>_xlfn.XLOOKUP($B66,[2]Billing!$Q$5:$Q$40,[2]Billing!$W$5:$W$40)</f>
        <v>98355.888807607917</v>
      </c>
      <c r="I101" s="22">
        <f>_xlfn.XLOOKUP($B66,[2]Billing!$Q$5:$Q$40,[2]Billing!$X$5:$X$40)</f>
        <v>0</v>
      </c>
      <c r="J101" s="22">
        <f>_xlfn.XLOOKUP($B66,[2]Billing!$Q$5:$Q$40,[2]Billing!$Y$5:$Y$40)</f>
        <v>94656.181419166067</v>
      </c>
      <c r="K101">
        <f>_xlfn.XLOOKUP($B66,[2]Billing!$Q$5:$Q$40,[2]Billing!$Z$5:$Z$40)</f>
        <v>0</v>
      </c>
      <c r="L101">
        <f>_xlfn.XLOOKUP($B66,[2]Billing!$Q$5:$Q$40,[2]Billing!$AA$5:$AA$40)</f>
        <v>0</v>
      </c>
      <c r="M101">
        <f>_xlfn.XLOOKUP($B66,[2]Billing!$Q$5:$Q$40,[2]Billing!$AB$5:$AB$40)</f>
        <v>0</v>
      </c>
      <c r="N101" s="39">
        <f t="shared" si="10"/>
        <v>836016.82516459411</v>
      </c>
      <c r="O101" s="22">
        <f>_xlfn.XLOOKUP($B66,[2]Billing!$Q$5:$Q$40,[2]Billing!$AD$5:$AD$40)</f>
        <v>835660</v>
      </c>
      <c r="P101" s="37">
        <f t="shared" si="9"/>
        <v>356.82516459410544</v>
      </c>
      <c r="Q101" s="21">
        <v>10</v>
      </c>
      <c r="R101" s="21">
        <v>13</v>
      </c>
    </row>
    <row r="102" spans="2:18" x14ac:dyDescent="0.3">
      <c r="B102" s="81" t="str">
        <v>Amjad sohail</v>
      </c>
      <c r="C102" s="22">
        <f>_xlfn.XLOOKUP($B67,[2]Billing!$Q$5:$Q$40,[2]Billing!$R$5:$R$40)</f>
        <v>445530</v>
      </c>
      <c r="D102" s="22">
        <f>_xlfn.XLOOKUP($B67,[2]Billing!$Q$5:$Q$40,[2]Billing!$S$5:$S$40)</f>
        <v>407397.58595464518</v>
      </c>
      <c r="E102" s="22">
        <f>_xlfn.XLOOKUP($B67,[2]Billing!$Q$5:$Q$40,[2]Billing!$T$5:$T$40)</f>
        <v>360797.36649597657</v>
      </c>
      <c r="F102" s="22">
        <f>_xlfn.XLOOKUP($B67,[2]Billing!$Q$5:$Q$40,[2]Billing!$U$5:$U$40)</f>
        <v>46600.219458668624</v>
      </c>
      <c r="G102" s="22">
        <f>_xlfn.XLOOKUP($B67,[2]Billing!$Q$5:$Q$40,[2]Billing!$V$5:$V$40)</f>
        <v>3607973.6649597664</v>
      </c>
      <c r="H102" s="22">
        <f>_xlfn.XLOOKUP($B67,[2]Billing!$Q$5:$Q$40,[2]Billing!$W$5:$W$40)</f>
        <v>605802.85296269215</v>
      </c>
      <c r="I102" s="22">
        <f>_xlfn.XLOOKUP($B67,[2]Billing!$Q$5:$Q$40,[2]Billing!$X$5:$X$40)</f>
        <v>0</v>
      </c>
      <c r="J102" s="22">
        <f>_xlfn.XLOOKUP($B67,[2]Billing!$Q$5:$Q$40,[2]Billing!$Y$5:$Y$40)</f>
        <v>0</v>
      </c>
      <c r="K102">
        <f>_xlfn.XLOOKUP($B67,[2]Billing!$Q$5:$Q$40,[2]Billing!$Z$5:$Z$40)</f>
        <v>0</v>
      </c>
      <c r="L102">
        <f>_xlfn.XLOOKUP($B67,[2]Billing!$Q$5:$Q$40,[2]Billing!$AA$5:$AA$40)</f>
        <v>0</v>
      </c>
      <c r="M102">
        <f>_xlfn.XLOOKUP($B67,[2]Billing!$Q$5:$Q$40,[2]Billing!$AB$5:$AB$40)</f>
        <v>0</v>
      </c>
      <c r="N102" s="39">
        <f t="shared" si="10"/>
        <v>4213776.5179224582</v>
      </c>
      <c r="O102" s="22">
        <f>_xlfn.XLOOKUP($B67,[2]Billing!$Q$5:$Q$40,[2]Billing!$AD$5:$AD$40)</f>
        <v>4417830</v>
      </c>
      <c r="P102" s="37">
        <f t="shared" si="9"/>
        <v>-204053.48207754176</v>
      </c>
      <c r="Q102" s="21">
        <v>10</v>
      </c>
      <c r="R102" s="21">
        <v>13</v>
      </c>
    </row>
    <row r="103" spans="2:18" x14ac:dyDescent="0.3">
      <c r="B103" s="81" t="str">
        <v>Salman Zaffar</v>
      </c>
      <c r="C103" s="22">
        <f>_xlfn.XLOOKUP($B68,[2]Billing!$Q$5:$Q$40,[2]Billing!$R$5:$R$40)</f>
        <v>344332</v>
      </c>
      <c r="D103" s="22">
        <f>_xlfn.XLOOKUP($B68,[2]Billing!$Q$5:$Q$40,[2]Billing!$S$5:$S$40)</f>
        <v>314861.00950987567</v>
      </c>
      <c r="E103" s="22">
        <f>_xlfn.XLOOKUP($B68,[2]Billing!$Q$5:$Q$40,[2]Billing!$T$5:$T$40)</f>
        <v>72939.831748354074</v>
      </c>
      <c r="F103" s="22">
        <f>_xlfn.XLOOKUP($B68,[2]Billing!$Q$5:$Q$40,[2]Billing!$U$5:$U$40)</f>
        <v>31409.107534747625</v>
      </c>
      <c r="G103" s="22">
        <f>_xlfn.XLOOKUP($B68,[2]Billing!$Q$5:$Q$40,[2]Billing!$V$5:$V$40)</f>
        <v>729398.31748354062</v>
      </c>
      <c r="H103" s="22">
        <f>_xlfn.XLOOKUP($B68,[2]Billing!$Q$5:$Q$40,[2]Billing!$W$5:$W$40)</f>
        <v>408318.39795171918</v>
      </c>
      <c r="I103" s="22">
        <f>_xlfn.XLOOKUP($B68,[2]Billing!$Q$5:$Q$40,[2]Billing!$X$5:$X$40)</f>
        <v>0</v>
      </c>
      <c r="J103" s="22">
        <f>_xlfn.XLOOKUP($B68,[2]Billing!$Q$5:$Q$40,[2]Billing!$Y$5:$Y$40)</f>
        <v>0</v>
      </c>
      <c r="K103">
        <f>_xlfn.XLOOKUP($B68,[2]Billing!$Q$5:$Q$40,[2]Billing!$Z$5:$Z$40)</f>
        <v>161653.2553035845</v>
      </c>
      <c r="L103">
        <f>_xlfn.XLOOKUP($B68,[2]Billing!$Q$5:$Q$40,[2]Billing!$AA$5:$AA$40)</f>
        <v>1970409.6561814193</v>
      </c>
      <c r="M103">
        <f>_xlfn.XLOOKUP($B68,[2]Billing!$Q$5:$Q$40,[2]Billing!$AB$5:$AB$40)</f>
        <v>0</v>
      </c>
      <c r="N103" s="39">
        <f t="shared" si="10"/>
        <v>3269779.6269202633</v>
      </c>
      <c r="O103" s="22">
        <f>_xlfn.XLOOKUP($B68,[2]Billing!$Q$5:$Q$40,[2]Billing!$AD$5:$AD$40)</f>
        <v>3296025</v>
      </c>
      <c r="P103" s="37">
        <f t="shared" si="9"/>
        <v>-26245.373079736717</v>
      </c>
      <c r="Q103" s="21">
        <v>10</v>
      </c>
      <c r="R103" s="21">
        <v>13</v>
      </c>
    </row>
    <row r="104" spans="2:18" x14ac:dyDescent="0.3">
      <c r="B104" s="81" t="str">
        <v>Shahid Qasayi</v>
      </c>
      <c r="C104" s="22">
        <f>_xlfn.XLOOKUP($B69,[2]Billing!$Q$5:$Q$40,[2]Billing!$R$5:$R$40)</f>
        <v>394284</v>
      </c>
      <c r="D104" s="22">
        <f>_xlfn.XLOOKUP($B69,[2]Billing!$Q$5:$Q$40,[2]Billing!$S$5:$S$40)</f>
        <v>360537.67373811267</v>
      </c>
      <c r="E104" s="22">
        <f>_xlfn.XLOOKUP($B69,[2]Billing!$Q$5:$Q$40,[2]Billing!$T$5:$T$40)</f>
        <v>310998.53694220923</v>
      </c>
      <c r="F104" s="22">
        <f>_xlfn.XLOOKUP($B69,[2]Billing!$Q$5:$Q$40,[2]Billing!$U$5:$U$40)</f>
        <v>0</v>
      </c>
      <c r="G104" s="22">
        <f>_xlfn.XLOOKUP($B69,[2]Billing!$Q$5:$Q$40,[2]Billing!$V$5:$V$40)</f>
        <v>3109985.3694220926</v>
      </c>
      <c r="H104" s="22">
        <f>_xlfn.XLOOKUP($B69,[2]Billing!$Q$5:$Q$40,[2]Billing!$W$5:$W$40)</f>
        <v>0</v>
      </c>
      <c r="I104" s="22">
        <f>_xlfn.XLOOKUP($B69,[2]Billing!$Q$5:$Q$40,[2]Billing!$X$5:$X$40)</f>
        <v>0</v>
      </c>
      <c r="J104" s="22">
        <f>_xlfn.XLOOKUP($B69,[2]Billing!$Q$5:$Q$40,[2]Billing!$Y$5:$Y$40)</f>
        <v>0</v>
      </c>
      <c r="K104">
        <f>_xlfn.XLOOKUP($B69,[2]Billing!$Q$5:$Q$40,[2]Billing!$Z$5:$Z$40)</f>
        <v>23767.373811265548</v>
      </c>
      <c r="L104">
        <f>_xlfn.XLOOKUP($B69,[2]Billing!$Q$5:$Q$40,[2]Billing!$AA$5:$AA$40)</f>
        <v>523143.74542794435</v>
      </c>
      <c r="M104">
        <f>_xlfn.XLOOKUP($B69,[2]Billing!$Q$5:$Q$40,[2]Billing!$AB$5:$AB$40)</f>
        <v>0</v>
      </c>
      <c r="N104" s="39">
        <f t="shared" si="10"/>
        <v>3656896.4886613023</v>
      </c>
      <c r="O104" s="22">
        <f>_xlfn.XLOOKUP($B69,[2]Billing!$Q$5:$Q$40,[2]Billing!$AD$5:$AD$40)</f>
        <v>3625137</v>
      </c>
      <c r="P104" s="37">
        <f t="shared" si="9"/>
        <v>31759.488661302254</v>
      </c>
    </row>
    <row r="105" spans="2:18" x14ac:dyDescent="0.3">
      <c r="B105" s="81" t="str">
        <v>Hameed corporation</v>
      </c>
      <c r="C105" s="22">
        <f>_xlfn.XLOOKUP($B70,[2]Billing!$Q$5:$Q$40,[2]Billing!$R$5:$R$40)</f>
        <v>46404</v>
      </c>
      <c r="D105" s="22">
        <f>_xlfn.XLOOKUP($B70,[2]Billing!$Q$5:$Q$40,[2]Billing!$S$5:$S$40)</f>
        <v>42432.333577176301</v>
      </c>
      <c r="E105" s="22">
        <f>_xlfn.XLOOKUP($B70,[2]Billing!$Q$5:$Q$40,[2]Billing!$T$5:$T$40)</f>
        <v>42432.333577176301</v>
      </c>
      <c r="F105" s="22">
        <f>_xlfn.XLOOKUP($B70,[2]Billing!$Q$5:$Q$40,[2]Billing!$U$5:$U$40)</f>
        <v>0</v>
      </c>
      <c r="G105" s="22">
        <f>_xlfn.XLOOKUP($B70,[2]Billing!$Q$5:$Q$40,[2]Billing!$V$5:$V$40)</f>
        <v>424323.335771763</v>
      </c>
      <c r="H105" s="22">
        <f>_xlfn.XLOOKUP($B70,[2]Billing!$Q$5:$Q$40,[2]Billing!$W$5:$W$40)</f>
        <v>0</v>
      </c>
      <c r="I105" s="22">
        <f>_xlfn.XLOOKUP($B70,[2]Billing!$Q$5:$Q$40,[2]Billing!$X$5:$X$40)</f>
        <v>0</v>
      </c>
      <c r="J105" s="22">
        <f>_xlfn.XLOOKUP($B70,[2]Billing!$Q$5:$Q$40,[2]Billing!$Y$5:$Y$40)</f>
        <v>0</v>
      </c>
      <c r="K105">
        <f>_xlfn.XLOOKUP($B70,[2]Billing!$Q$5:$Q$40,[2]Billing!$Z$5:$Z$40)</f>
        <v>0</v>
      </c>
      <c r="L105">
        <f>_xlfn.XLOOKUP($B70,[2]Billing!$Q$5:$Q$40,[2]Billing!$AA$5:$AA$40)</f>
        <v>0</v>
      </c>
      <c r="M105">
        <f>_xlfn.XLOOKUP($B70,[2]Billing!$Q$5:$Q$40,[2]Billing!$AB$5:$AB$40)</f>
        <v>0</v>
      </c>
      <c r="N105" s="39">
        <f t="shared" si="10"/>
        <v>424323.335771763</v>
      </c>
      <c r="O105" s="22">
        <f>_xlfn.XLOOKUP($B70,[2]Billing!$Q$5:$Q$40,[2]Billing!$AD$5:$AD$40)</f>
        <v>424323</v>
      </c>
      <c r="P105" s="37">
        <f t="shared" si="9"/>
        <v>0.33577176299877465</v>
      </c>
    </row>
    <row r="106" spans="2:18" x14ac:dyDescent="0.3">
      <c r="B106" s="81" t="str">
        <v>ibraheem behraam</v>
      </c>
      <c r="C106" s="22">
        <f>_xlfn.XLOOKUP($B71,[2]Billing!$Q$5:$Q$40,[2]Billing!$R$5:$R$40)</f>
        <v>122386</v>
      </c>
      <c r="D106" s="22">
        <f>_xlfn.XLOOKUP($B71,[2]Billing!$Q$5:$Q$40,[2]Billing!$S$5:$S$40)</f>
        <v>111911.11923920995</v>
      </c>
      <c r="E106" s="22">
        <f>_xlfn.XLOOKUP($B71,[2]Billing!$Q$5:$Q$40,[2]Billing!$T$5:$T$40)</f>
        <v>0</v>
      </c>
      <c r="F106" s="22">
        <f>_xlfn.XLOOKUP($B71,[2]Billing!$Q$5:$Q$40,[2]Billing!$U$5:$U$40)</f>
        <v>111911.11923920995</v>
      </c>
      <c r="G106" s="22">
        <f>_xlfn.XLOOKUP($B71,[2]Billing!$Q$5:$Q$40,[2]Billing!$V$5:$V$40)</f>
        <v>0</v>
      </c>
      <c r="H106" s="22">
        <f>_xlfn.XLOOKUP($B71,[2]Billing!$Q$5:$Q$40,[2]Billing!$W$5:$W$40)</f>
        <v>1454844.5501097296</v>
      </c>
      <c r="I106" s="22">
        <f>_xlfn.XLOOKUP($B71,[2]Billing!$Q$5:$Q$40,[2]Billing!$X$5:$X$40)</f>
        <v>0</v>
      </c>
      <c r="J106" s="22">
        <f>_xlfn.XLOOKUP($B71,[2]Billing!$Q$5:$Q$40,[2]Billing!$Y$5:$Y$40)</f>
        <v>0</v>
      </c>
      <c r="K106">
        <f>_xlfn.XLOOKUP($B71,[2]Billing!$Q$5:$Q$40,[2]Billing!$Z$5:$Z$40)</f>
        <v>0</v>
      </c>
      <c r="L106">
        <f>_xlfn.XLOOKUP($B71,[2]Billing!$Q$5:$Q$40,[2]Billing!$AA$5:$AA$40)</f>
        <v>0</v>
      </c>
      <c r="M106">
        <f>_xlfn.XLOOKUP($B71,[2]Billing!$Q$5:$Q$40,[2]Billing!$AB$5:$AB$40)</f>
        <v>0</v>
      </c>
      <c r="N106" s="39">
        <f t="shared" si="10"/>
        <v>1454844.5501097296</v>
      </c>
      <c r="O106" s="22">
        <f>_xlfn.XLOOKUP($B71,[2]Billing!$Q$5:$Q$40,[2]Billing!$AD$5:$AD$40)</f>
        <v>1415500</v>
      </c>
      <c r="P106" s="37">
        <f t="shared" si="9"/>
        <v>39344.550109729636</v>
      </c>
    </row>
    <row r="107" spans="2:18" x14ac:dyDescent="0.3">
      <c r="B107" s="81" t="str">
        <v>Zia-ullah karachi</v>
      </c>
      <c r="C107" s="22">
        <f>_xlfn.XLOOKUP($B72,[2]Billing!$Q$5:$Q$40,[2]Billing!$R$5:$R$40)</f>
        <v>13622</v>
      </c>
      <c r="D107" s="22">
        <f>_xlfn.XLOOKUP($B72,[2]Billing!$Q$5:$Q$40,[2]Billing!$S$5:$S$40)</f>
        <v>12456.108266276518</v>
      </c>
      <c r="E107" s="22">
        <f>_xlfn.XLOOKUP($B72,[2]Billing!$Q$5:$Q$40,[2]Billing!$T$5:$T$40)</f>
        <v>12456.108266276518</v>
      </c>
      <c r="F107" s="22">
        <f>_xlfn.XLOOKUP($B72,[2]Billing!$Q$5:$Q$40,[2]Billing!$U$5:$U$40)</f>
        <v>0</v>
      </c>
      <c r="G107" s="22">
        <f>_xlfn.XLOOKUP($B72,[2]Billing!$Q$5:$Q$40,[2]Billing!$V$5:$V$40)</f>
        <v>124561.08266276518</v>
      </c>
      <c r="H107" s="22">
        <f>_xlfn.XLOOKUP($B72,[2]Billing!$Q$5:$Q$40,[2]Billing!$W$5:$W$40)</f>
        <v>0</v>
      </c>
      <c r="I107" s="22">
        <f>_xlfn.XLOOKUP($B72,[2]Billing!$Q$5:$Q$40,[2]Billing!$X$5:$X$40)</f>
        <v>0</v>
      </c>
      <c r="J107" s="22">
        <f>_xlfn.XLOOKUP($B72,[2]Billing!$Q$5:$Q$40,[2]Billing!$Y$5:$Y$40)</f>
        <v>0</v>
      </c>
      <c r="K107">
        <f>_xlfn.XLOOKUP($B72,[2]Billing!$Q$5:$Q$40,[2]Billing!$Z$5:$Z$40)</f>
        <v>0</v>
      </c>
      <c r="L107">
        <f>_xlfn.XLOOKUP($B72,[2]Billing!$Q$5:$Q$40,[2]Billing!$AA$5:$AA$40)</f>
        <v>0</v>
      </c>
      <c r="M107">
        <f>_xlfn.XLOOKUP($B72,[2]Billing!$Q$5:$Q$40,[2]Billing!$AB$5:$AB$40)</f>
        <v>0</v>
      </c>
      <c r="N107" s="39">
        <f t="shared" si="10"/>
        <v>124561.08266276518</v>
      </c>
      <c r="O107" s="22">
        <f>_xlfn.XLOOKUP($B72,[2]Billing!$Q$5:$Q$40,[2]Billing!$AD$5:$AD$40)</f>
        <v>124560</v>
      </c>
      <c r="P107" s="37">
        <f t="shared" si="9"/>
        <v>1.0826627651840681</v>
      </c>
    </row>
    <row r="108" spans="2:18" x14ac:dyDescent="0.3">
      <c r="B108" s="81" t="str">
        <v>ZA</v>
      </c>
      <c r="C108" s="22">
        <f>_xlfn.XLOOKUP($B73,[2]Billing!$Q$5:$Q$40,[2]Billing!$R$5:$R$40)</f>
        <v>32399</v>
      </c>
      <c r="D108" s="22">
        <f>_xlfn.XLOOKUP($B73,[2]Billing!$Q$5:$Q$40,[2]Billing!$S$5:$S$40)</f>
        <v>29626.005852231167</v>
      </c>
      <c r="E108" s="22">
        <f>_xlfn.XLOOKUP($B73,[2]Billing!$Q$5:$Q$40,[2]Billing!$T$5:$T$40)</f>
        <v>0</v>
      </c>
      <c r="F108" s="22">
        <f>_xlfn.XLOOKUP($B73,[2]Billing!$Q$5:$Q$40,[2]Billing!$U$5:$U$40)</f>
        <v>29626.005852231167</v>
      </c>
      <c r="G108" s="22">
        <f>_xlfn.XLOOKUP($B73,[2]Billing!$Q$5:$Q$40,[2]Billing!$V$5:$V$40)</f>
        <v>0</v>
      </c>
      <c r="H108" s="22">
        <f>_xlfn.XLOOKUP($B73,[2]Billing!$Q$5:$Q$40,[2]Billing!$W$5:$W$40)</f>
        <v>385138.07607900514</v>
      </c>
      <c r="I108" s="22">
        <f>_xlfn.XLOOKUP($B73,[2]Billing!$Q$5:$Q$40,[2]Billing!$X$5:$X$40)</f>
        <v>0</v>
      </c>
      <c r="J108" s="22">
        <f>_xlfn.XLOOKUP($B73,[2]Billing!$Q$5:$Q$40,[2]Billing!$Y$5:$Y$40)</f>
        <v>0</v>
      </c>
      <c r="K108">
        <f>_xlfn.XLOOKUP($B73,[2]Billing!$Q$5:$Q$40,[2]Billing!$Z$5:$Z$40)</f>
        <v>0</v>
      </c>
      <c r="L108">
        <f>_xlfn.XLOOKUP($B73,[2]Billing!$Q$5:$Q$40,[2]Billing!$AA$5:$AA$40)</f>
        <v>0</v>
      </c>
      <c r="M108">
        <f>_xlfn.XLOOKUP($B73,[2]Billing!$Q$5:$Q$40,[2]Billing!$AB$5:$AB$40)</f>
        <v>0</v>
      </c>
      <c r="N108" s="39">
        <f t="shared" si="10"/>
        <v>385138.07607900514</v>
      </c>
      <c r="O108" s="22">
        <f>_xlfn.XLOOKUP($B73,[2]Billing!$Q$5:$Q$40,[2]Billing!$AD$5:$AD$40)</f>
        <v>250000</v>
      </c>
      <c r="P108" s="37">
        <f t="shared" si="9"/>
        <v>135138.07607900514</v>
      </c>
    </row>
    <row r="109" spans="2:18" x14ac:dyDescent="0.3">
      <c r="B109" s="81" t="str">
        <v>Ahmad Javaid</v>
      </c>
      <c r="C109" s="22">
        <f>_xlfn.XLOOKUP($B74,[2]Billing!$Q$5:$Q$40,[2]Billing!$R$5:$R$40)</f>
        <v>12745</v>
      </c>
      <c r="D109" s="22">
        <f>_xlfn.XLOOKUP($B74,[2]Billing!$Q$5:$Q$40,[2]Billing!$S$5:$S$40)</f>
        <v>11654.16971470373</v>
      </c>
      <c r="E109" s="22">
        <f>_xlfn.XLOOKUP($B74,[2]Billing!$Q$5:$Q$40,[2]Billing!$T$5:$T$40)</f>
        <v>0</v>
      </c>
      <c r="F109" s="22">
        <f>_xlfn.XLOOKUP($B74,[2]Billing!$Q$5:$Q$40,[2]Billing!$U$5:$U$40)</f>
        <v>0</v>
      </c>
      <c r="G109" s="22">
        <f>_xlfn.XLOOKUP($B74,[2]Billing!$Q$5:$Q$40,[2]Billing!$V$5:$V$40)</f>
        <v>0</v>
      </c>
      <c r="H109" s="22">
        <f>_xlfn.XLOOKUP($B74,[2]Billing!$Q$5:$Q$40,[2]Billing!$W$5:$W$40)</f>
        <v>0</v>
      </c>
      <c r="I109" s="22">
        <f>_xlfn.XLOOKUP($B74,[2]Billing!$Q$5:$Q$40,[2]Billing!$X$5:$X$40)</f>
        <v>0</v>
      </c>
      <c r="J109" s="22">
        <f>_xlfn.XLOOKUP($B74,[2]Billing!$Q$5:$Q$40,[2]Billing!$Y$5:$Y$40)</f>
        <v>0</v>
      </c>
      <c r="K109">
        <f>_xlfn.XLOOKUP($B74,[2]Billing!$Q$5:$Q$40,[2]Billing!$Z$5:$Z$40)</f>
        <v>0</v>
      </c>
      <c r="L109">
        <f>_xlfn.XLOOKUP($B74,[2]Billing!$Q$5:$Q$40,[2]Billing!$AA$5:$AA$40)</f>
        <v>0</v>
      </c>
      <c r="M109">
        <f>_xlfn.XLOOKUP($B74,[2]Billing!$Q$5:$Q$40,[2]Billing!$AB$5:$AB$40)</f>
        <v>151504.2062911485</v>
      </c>
      <c r="N109" s="39">
        <f t="shared" si="10"/>
        <v>151504.2062911485</v>
      </c>
      <c r="O109" s="22">
        <f>_xlfn.XLOOKUP($B74,[2]Billing!$Q$5:$Q$40,[2]Billing!$AD$5:$AD$40)</f>
        <v>0</v>
      </c>
      <c r="P109" s="37">
        <f t="shared" si="9"/>
        <v>151504.2062911485</v>
      </c>
    </row>
    <row r="110" spans="2:18" x14ac:dyDescent="0.3">
      <c r="B110" s="81" t="str">
        <v>Shani Badshah</v>
      </c>
      <c r="C110" s="22">
        <f>_xlfn.XLOOKUP($B75,[2]Billing!$Q$5:$Q$40,[2]Billing!$R$5:$R$40)</f>
        <v>200033</v>
      </c>
      <c r="D110" s="22">
        <f>_xlfn.XLOOKUP($B75,[2]Billing!$Q$5:$Q$40,[2]Billing!$S$5:$S$40)</f>
        <v>182912.39941477691</v>
      </c>
      <c r="E110" s="22">
        <f>_xlfn.XLOOKUP($B75,[2]Billing!$Q$5:$Q$40,[2]Billing!$T$5:$T$40)</f>
        <v>96185.076810534025</v>
      </c>
      <c r="F110" s="22">
        <f>_xlfn.XLOOKUP($B75,[2]Billing!$Q$5:$Q$40,[2]Billing!$U$5:$U$40)</f>
        <v>86727.322604242872</v>
      </c>
      <c r="G110" s="22">
        <f>_xlfn.XLOOKUP($B75,[2]Billing!$Q$5:$Q$40,[2]Billing!$V$5:$V$40)</f>
        <v>961850.76810534031</v>
      </c>
      <c r="H110" s="22">
        <f>_xlfn.XLOOKUP($B75,[2]Billing!$Q$5:$Q$40,[2]Billing!$W$5:$W$40)</f>
        <v>1127455.1938551574</v>
      </c>
      <c r="I110" s="22">
        <f>_xlfn.XLOOKUP($B75,[2]Billing!$Q$5:$Q$40,[2]Billing!$X$5:$X$40)</f>
        <v>0</v>
      </c>
      <c r="J110" s="22">
        <f>_xlfn.XLOOKUP($B75,[2]Billing!$Q$5:$Q$40,[2]Billing!$Y$5:$Y$40)</f>
        <v>0</v>
      </c>
      <c r="K110">
        <f>_xlfn.XLOOKUP($B75,[2]Billing!$Q$5:$Q$40,[2]Billing!$Z$5:$Z$40)</f>
        <v>0</v>
      </c>
      <c r="L110">
        <f>_xlfn.XLOOKUP($B75,[2]Billing!$Q$5:$Q$40,[2]Billing!$AA$5:$AA$40)</f>
        <v>0</v>
      </c>
      <c r="M110">
        <f>_xlfn.XLOOKUP($B75,[2]Billing!$Q$5:$Q$40,[2]Billing!$AB$5:$AB$40)</f>
        <v>0</v>
      </c>
      <c r="N110" s="39">
        <f t="shared" si="10"/>
        <v>2089305.9619604978</v>
      </c>
      <c r="O110" s="22">
        <f>_xlfn.XLOOKUP($B75,[2]Billing!$Q$5:$Q$40,[2]Billing!$AD$5:$AD$40)</f>
        <v>1300000</v>
      </c>
      <c r="P110" s="37">
        <f t="shared" si="9"/>
        <v>789305.96196049778</v>
      </c>
    </row>
    <row r="111" spans="2:18" x14ac:dyDescent="0.3">
      <c r="B111" t="str">
        <v>Rehman Ali</v>
      </c>
      <c r="C111" s="22">
        <f>_xlfn.XLOOKUP($B76,[2]Billing!$Q$5:$Q$40,[2]Billing!$R$5:$R$40)</f>
        <v>50131</v>
      </c>
      <c r="D111" s="22">
        <f>_xlfn.XLOOKUP($B76,[2]Billing!$Q$5:$Q$40,[2]Billing!$S$5:$S$40)</f>
        <v>45840.343818580841</v>
      </c>
      <c r="E111" s="22">
        <f>_xlfn.XLOOKUP($B76,[2]Billing!$Q$5:$Q$40,[2]Billing!$T$5:$T$40)</f>
        <v>0</v>
      </c>
      <c r="F111" s="22">
        <f>_xlfn.XLOOKUP($B76,[2]Billing!$Q$5:$Q$40,[2]Billing!$U$5:$U$40)</f>
        <v>45840.343818580841</v>
      </c>
      <c r="G111" s="22">
        <f>_xlfn.XLOOKUP($B76,[2]Billing!$Q$5:$Q$40,[2]Billing!$V$5:$V$40)</f>
        <v>0</v>
      </c>
      <c r="H111" s="22">
        <f>_xlfn.XLOOKUP($B76,[2]Billing!$Q$5:$Q$40,[2]Billing!$W$5:$W$40)</f>
        <v>595924.46964155091</v>
      </c>
      <c r="I111" s="22">
        <f>_xlfn.XLOOKUP($B76,[2]Billing!$Q$5:$Q$40,[2]Billing!$X$5:$X$40)</f>
        <v>0</v>
      </c>
      <c r="J111" s="22">
        <f>_xlfn.XLOOKUP($B76,[2]Billing!$Q$5:$Q$40,[2]Billing!$Y$5:$Y$40)</f>
        <v>0</v>
      </c>
      <c r="K111">
        <f>_xlfn.XLOOKUP($B76,[2]Billing!$Q$5:$Q$40,[2]Billing!$Z$5:$Z$40)</f>
        <v>0</v>
      </c>
      <c r="L111">
        <f>_xlfn.XLOOKUP($B76,[2]Billing!$Q$5:$Q$40,[2]Billing!$AA$5:$AA$40)</f>
        <v>0</v>
      </c>
      <c r="M111">
        <f>_xlfn.XLOOKUP($B76,[2]Billing!$Q$5:$Q$40,[2]Billing!$AB$5:$AB$40)</f>
        <v>0</v>
      </c>
      <c r="N111" s="39">
        <f t="shared" si="10"/>
        <v>595924.46964155091</v>
      </c>
      <c r="O111" s="22">
        <f>_xlfn.XLOOKUP($B76,[2]Billing!$Q$5:$Q$40,[2]Billing!$AD$5:$AD$40)</f>
        <v>550000</v>
      </c>
      <c r="P111" s="37">
        <f t="shared" si="9"/>
        <v>45924.46964155091</v>
      </c>
    </row>
    <row r="112" spans="2:18" x14ac:dyDescent="0.3">
      <c r="B112" t="str">
        <v>Ahmad Shafique</v>
      </c>
      <c r="C112" s="22">
        <f>_xlfn.XLOOKUP($B77,[2]Billing!$Q$5:$Q$40,[2]Billing!$R$5:$R$40)</f>
        <v>53541</v>
      </c>
      <c r="D112" s="22">
        <f>_xlfn.XLOOKUP($B77,[2]Billing!$Q$5:$Q$40,[2]Billing!$S$5:$S$40)</f>
        <v>48958.485735186543</v>
      </c>
      <c r="E112" s="22">
        <f>_xlfn.XLOOKUP($B77,[2]Billing!$Q$5:$Q$40,[2]Billing!$T$5:$T$40)</f>
        <v>0</v>
      </c>
      <c r="F112" s="22">
        <f>_xlfn.XLOOKUP($B77,[2]Billing!$Q$5:$Q$40,[2]Billing!$U$5:$U$40)</f>
        <v>48958.485735186543</v>
      </c>
      <c r="G112" s="22">
        <f>_xlfn.XLOOKUP($B77,[2]Billing!$Q$5:$Q$40,[2]Billing!$V$5:$V$40)</f>
        <v>0</v>
      </c>
      <c r="H112" s="22">
        <f>_xlfn.XLOOKUP($B77,[2]Billing!$Q$5:$Q$40,[2]Billing!$W$5:$W$40)</f>
        <v>636460.3145574251</v>
      </c>
      <c r="I112" s="22">
        <f>_xlfn.XLOOKUP($B77,[2]Billing!$Q$5:$Q$40,[2]Billing!$X$5:$X$40)</f>
        <v>0</v>
      </c>
      <c r="J112" s="22">
        <f>_xlfn.XLOOKUP($B77,[2]Billing!$Q$5:$Q$40,[2]Billing!$Y$5:$Y$40)</f>
        <v>0</v>
      </c>
      <c r="K112">
        <f>_xlfn.XLOOKUP($B77,[2]Billing!$Q$5:$Q$40,[2]Billing!$Z$5:$Z$40)</f>
        <v>0</v>
      </c>
      <c r="L112">
        <f>_xlfn.XLOOKUP($B77,[2]Billing!$Q$5:$Q$40,[2]Billing!$AA$5:$AA$40)</f>
        <v>0</v>
      </c>
      <c r="M112">
        <f>_xlfn.XLOOKUP($B77,[2]Billing!$Q$5:$Q$40,[2]Billing!$AB$5:$AB$40)</f>
        <v>0</v>
      </c>
      <c r="N112" s="39">
        <f t="shared" si="10"/>
        <v>636460.3145574251</v>
      </c>
      <c r="O112" s="22">
        <f>_xlfn.XLOOKUP($B77,[2]Billing!$Q$5:$Q$40,[2]Billing!$AD$5:$AD$40)</f>
        <v>636000</v>
      </c>
      <c r="P112" s="37">
        <f t="shared" si="9"/>
        <v>460.3145574250957</v>
      </c>
    </row>
    <row r="113" spans="2:16" x14ac:dyDescent="0.3">
      <c r="B113" t="str">
        <v>Hafiz Shawl</v>
      </c>
      <c r="C113" s="22">
        <f>_xlfn.XLOOKUP($B78,[2]Billing!$Q$5:$Q$40,[2]Billing!$R$5:$R$40)</f>
        <v>1445</v>
      </c>
      <c r="D113" s="22">
        <f>_xlfn.XLOOKUP($B78,[2]Billing!$Q$5:$Q$40,[2]Billing!$S$5:$S$40)</f>
        <v>1321.3240673006585</v>
      </c>
      <c r="E113" s="22">
        <f>_xlfn.XLOOKUP($B78,[2]Billing!$Q$5:$Q$40,[2]Billing!$T$5:$T$40)</f>
        <v>0</v>
      </c>
      <c r="F113" s="22">
        <f>_xlfn.XLOOKUP($B78,[2]Billing!$Q$5:$Q$40,[2]Billing!$U$5:$U$40)</f>
        <v>1321.3240673006585</v>
      </c>
      <c r="G113" s="22">
        <f>_xlfn.XLOOKUP($B78,[2]Billing!$Q$5:$Q$40,[2]Billing!$V$5:$V$40)</f>
        <v>0</v>
      </c>
      <c r="H113" s="22">
        <f>_xlfn.XLOOKUP($B78,[2]Billing!$Q$5:$Q$40,[2]Billing!$W$5:$W$40)</f>
        <v>15855.888807607902</v>
      </c>
      <c r="I113" s="22">
        <f>_xlfn.XLOOKUP($B78,[2]Billing!$Q$5:$Q$40,[2]Billing!$X$5:$X$40)</f>
        <v>0</v>
      </c>
      <c r="J113" s="22">
        <f>_xlfn.XLOOKUP($B78,[2]Billing!$Q$5:$Q$40,[2]Billing!$Y$5:$Y$40)</f>
        <v>0</v>
      </c>
      <c r="K113">
        <f>_xlfn.XLOOKUP($B78,[2]Billing!$Q$5:$Q$40,[2]Billing!$Z$5:$Z$40)</f>
        <v>0</v>
      </c>
      <c r="L113">
        <f>_xlfn.XLOOKUP($B78,[2]Billing!$Q$5:$Q$40,[2]Billing!$AA$5:$AA$40)</f>
        <v>0</v>
      </c>
      <c r="M113">
        <f>_xlfn.XLOOKUP($B78,[2]Billing!$Q$5:$Q$40,[2]Billing!$AB$5:$AB$40)</f>
        <v>0</v>
      </c>
      <c r="N113" s="39">
        <f t="shared" si="10"/>
        <v>15855.888807607902</v>
      </c>
      <c r="O113" s="22">
        <f>_xlfn.XLOOKUP($B78,[2]Billing!$Q$5:$Q$40,[2]Billing!$AD$5:$AD$40)</f>
        <v>15855</v>
      </c>
      <c r="P113" s="37">
        <f t="shared" si="9"/>
        <v>0.8888076079019811</v>
      </c>
    </row>
    <row r="114" spans="2:16" x14ac:dyDescent="0.3">
      <c r="B114" t="str">
        <v>Zahid Ejaz</v>
      </c>
      <c r="C114" s="22" t="e">
        <f>_xlfn.XLOOKUP($B79,[2]Billing!$Q$5:$Q$40,[2]Billing!$R$5:$R$40)</f>
        <v>#N/A</v>
      </c>
      <c r="D114" s="22" t="e">
        <f>_xlfn.XLOOKUP($B79,[2]Billing!$Q$5:$Q$40,[2]Billing!$S$5:$S$40)</f>
        <v>#N/A</v>
      </c>
      <c r="E114" s="22" t="e">
        <f>_xlfn.XLOOKUP($B79,[2]Billing!$Q$5:$Q$40,[2]Billing!$T$5:$T$40)</f>
        <v>#N/A</v>
      </c>
      <c r="F114" s="22" t="e">
        <f>_xlfn.XLOOKUP($B79,[2]Billing!$Q$5:$Q$40,[2]Billing!$U$5:$U$40)</f>
        <v>#N/A</v>
      </c>
      <c r="G114" s="22" t="e">
        <f>_xlfn.XLOOKUP($B79,[2]Billing!$Q$5:$Q$40,[2]Billing!$V$5:$V$40)</f>
        <v>#N/A</v>
      </c>
      <c r="H114" s="22" t="e">
        <f>_xlfn.XLOOKUP($B79,[2]Billing!$Q$5:$Q$40,[2]Billing!$W$5:$W$40)</f>
        <v>#N/A</v>
      </c>
      <c r="I114" s="22" t="e">
        <f>_xlfn.XLOOKUP($B79,[2]Billing!$Q$5:$Q$40,[2]Billing!$X$5:$X$40)</f>
        <v>#N/A</v>
      </c>
      <c r="J114" s="22" t="e">
        <f>_xlfn.XLOOKUP($B79,[2]Billing!$Q$5:$Q$40,[2]Billing!$Y$5:$Y$40)</f>
        <v>#N/A</v>
      </c>
      <c r="K114" t="e">
        <f>_xlfn.XLOOKUP($B79,[2]Billing!$Q$5:$Q$40,[2]Billing!$Z$5:$Z$40)</f>
        <v>#N/A</v>
      </c>
      <c r="L114" t="e">
        <f>_xlfn.XLOOKUP($B79,[2]Billing!$Q$5:$Q$40,[2]Billing!$AA$5:$AA$40)</f>
        <v>#N/A</v>
      </c>
      <c r="M114" t="e">
        <f>_xlfn.XLOOKUP($B79,[2]Billing!$Q$5:$Q$40,[2]Billing!$AB$5:$AB$40)</f>
        <v>#N/A</v>
      </c>
      <c r="N114" s="39" t="e">
        <f t="shared" si="10"/>
        <v>#N/A</v>
      </c>
      <c r="O114" s="22" t="e">
        <f>_xlfn.XLOOKUP($B79,[2]Billing!$Q$5:$Q$40,[2]Billing!$AD$5:$AD$40)</f>
        <v>#N/A</v>
      </c>
      <c r="P114" s="37" t="e">
        <f t="shared" si="9"/>
        <v>#N/A</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10"/>
        <v>0</v>
      </c>
      <c r="O115" s="22">
        <f>_xlfn.XLOOKUP($B80,[2]Billing!$Q$5:$Q$40,[2]Billing!$AD$5:$AD$40)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Billing!O5), INDEX(Billing!R5:R25, _xlfn.SEQUENCE(ROWS(_xlfn.ANCHORARRAY(Billing!$O$5)))), "Not Found")</f>
        <v>565150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Billing!$O$5), INDEX(Billing!S5:S25, _xlfn.SEQUENCE(ROWS(_xlfn.ANCHORARRAY(Billing!$O$5)))), "Not Found")</f>
        <v>516779.44403803954</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Billing!$O$5), INDEX(Billing!T5:T25, _xlfn.SEQUENCE(ROWS(_xlfn.ANCHORARRAY(Billing!$O$5)))),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Billing!$O$5), INDEX(Billing!U5:U25, _xlfn.SEQUENCE(ROWS(_xlfn.ANCHORARRAY(Billing!$O$5)))), "Not Found")</f>
        <v>513809.43672275054</v>
      </c>
      <c r="E14" s="66">
        <f>Table21[[#This Row],[gazana]]*Table21[[#This Row],[Rate]]</f>
        <v>6679522.6773957573</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6679522.6773957573</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Billing!O5), OFFSET(Billing!AD5, 0, 0, ROWS(_xlfn.ANCHORARRAY(Billing!O5))), "Not Found")</f>
        <v>6728187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Billing!O5), OFFSET(Billing!AE5, 0, 0, ROWS(_xlfn.ANCHORARRAY(Billing!O5))), "Not Found")</f>
        <v>25885.787125092931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sheetData>
  <conditionalFormatting sqref="E20">
    <cfRule type="cellIs" dxfId="16" priority="1" operator="lessThan">
      <formula>20000</formula>
    </cfRule>
    <cfRule type="cellIs" dxfId="1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1829920</v>
      </c>
      <c r="D4" t="s">
        <v>189</v>
      </c>
      <c r="E4" s="43">
        <f ca="1">Table12[[#This Row],[Amount]]/Table1[[#Totals],[tiyar/meters]]</f>
        <v>9.5650535895229893</v>
      </c>
    </row>
    <row r="5" spans="1:5" x14ac:dyDescent="0.3">
      <c r="B5" t="s">
        <v>48</v>
      </c>
      <c r="C5" s="11">
        <f>SUM(Table8[Price])+(301660)</f>
        <v>401660</v>
      </c>
      <c r="E5" s="43">
        <f ca="1">Table12[[#This Row],[Amount]]/Table1[[#Totals],[tiyar/meters]]</f>
        <v>2.0994903737692381</v>
      </c>
    </row>
    <row r="6" spans="1:5" x14ac:dyDescent="0.3">
      <c r="B6" t="s">
        <v>49</v>
      </c>
      <c r="C6" s="11">
        <f>SUM(Table2[Price])</f>
        <v>138000</v>
      </c>
      <c r="D6" t="s">
        <v>188</v>
      </c>
      <c r="E6" s="43">
        <f ca="1">Table12[[#This Row],[Amount]]/Table1[[#Totals],[tiyar/meters]]</f>
        <v>0.72133065672497843</v>
      </c>
    </row>
    <row r="7" spans="1:5" x14ac:dyDescent="0.3">
      <c r="B7" t="s">
        <v>50</v>
      </c>
      <c r="C7" s="11">
        <f>SUMIFS(Table14[Debit], Table14[Party],Table12[[#This Row],[Type]])</f>
        <v>820</v>
      </c>
      <c r="E7" s="43">
        <f ca="1">Table12[[#This Row],[Amount]]/Table1[[#Totals],[tiyar/meters]]</f>
        <v>4.2861676703947992E-3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52000</v>
      </c>
      <c r="E9" s="43">
        <f ca="1">Table12[[#This Row],[Amount]]/Table1[[#Totals],[tiyar/meters]]</f>
        <v>0.27180575470796292</v>
      </c>
    </row>
    <row r="10" spans="1:5" x14ac:dyDescent="0.3">
      <c r="B10" t="s">
        <v>53</v>
      </c>
      <c r="C10" s="11">
        <f>Table5[[#Totals],[Amount]]</f>
        <v>0</v>
      </c>
      <c r="E10" s="43">
        <f ca="1">Table12[[#This Row],[Amount]]/Table1[[#Totals],[tiyar/meters]]</f>
        <v>0</v>
      </c>
    </row>
    <row r="11" spans="1:5" x14ac:dyDescent="0.3">
      <c r="B11" t="s">
        <v>54</v>
      </c>
      <c r="C11" s="11">
        <f>Table13[[#Totals],[Debit]]</f>
        <v>22600</v>
      </c>
      <c r="E11" s="43">
        <f ca="1">Table12[[#This Row],[Amount]]/Table1[[#Totals],[tiyar/meters]]</f>
        <v>0.11813096262307618</v>
      </c>
    </row>
    <row r="12" spans="1:5" x14ac:dyDescent="0.3">
      <c r="B12" t="s">
        <v>55</v>
      </c>
      <c r="C12" s="11">
        <f>Table15[[#Totals],[Amount]]</f>
        <v>193155</v>
      </c>
      <c r="E12" s="43">
        <f ca="1">Table12[[#This Row],[Amount]]/Table1[[#Totals],[tiyar/meters]]</f>
        <v>1.0096277028964726</v>
      </c>
    </row>
    <row r="13" spans="1:5" x14ac:dyDescent="0.3">
      <c r="C13" s="11"/>
      <c r="E13" s="43">
        <f ca="1">Table12[[#This Row],[Amount]]/Table1[[#Totals],[tiyar/meters]]</f>
        <v>0</v>
      </c>
    </row>
    <row r="14" spans="1:5" x14ac:dyDescent="0.3">
      <c r="C14" s="14">
        <f>SUM(Table12[Amount])</f>
        <v>2638155</v>
      </c>
      <c r="E14" s="43">
        <f ca="1">SUM(Table12[cost per meter])</f>
        <v>13.789725207915112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8" sqref="G18"/>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2106832.4798829556</v>
      </c>
    </row>
    <row r="4" spans="1:3" x14ac:dyDescent="0.3">
      <c r="B4" s="11" t="s">
        <v>44</v>
      </c>
      <c r="C4" s="11">
        <f>Table12[[#Totals],[Amount]]</f>
        <v>2638155</v>
      </c>
    </row>
    <row r="5" spans="1:3" x14ac:dyDescent="0.3">
      <c r="A5" s="6"/>
      <c r="B5" s="15" t="s">
        <v>68</v>
      </c>
      <c r="C5" s="15">
        <f>C3-C4</f>
        <v>-531322.52011704445</v>
      </c>
    </row>
    <row r="10" spans="1:3" ht="15" thickBot="1" x14ac:dyDescent="0.35">
      <c r="B10" t="s">
        <v>66</v>
      </c>
      <c r="C10" s="14" t="s">
        <v>67</v>
      </c>
    </row>
    <row r="11" spans="1:3" x14ac:dyDescent="0.3">
      <c r="B11" s="56" t="s">
        <v>0</v>
      </c>
      <c r="C11" s="57">
        <f>C3</f>
        <v>2106832.4798829556</v>
      </c>
    </row>
    <row r="12" spans="1:3" x14ac:dyDescent="0.3">
      <c r="B12" s="58" t="s">
        <v>69</v>
      </c>
      <c r="C12" s="59">
        <f>SUM(Table14[Credit])</f>
        <v>11028661</v>
      </c>
    </row>
    <row r="13" spans="1:3" ht="15" thickBot="1" x14ac:dyDescent="0.35">
      <c r="B13" s="74" t="s">
        <v>93</v>
      </c>
      <c r="C13" s="73">
        <f>(C11-C12)</f>
        <v>-8921828.5201170444</v>
      </c>
    </row>
    <row r="14" spans="1:3" ht="15" thickBot="1" x14ac:dyDescent="0.35">
      <c r="B14" s="58"/>
      <c r="C14" s="59"/>
    </row>
    <row r="15" spans="1:3" x14ac:dyDescent="0.3">
      <c r="B15" s="56" t="s">
        <v>44</v>
      </c>
      <c r="C15" s="57">
        <f>C4</f>
        <v>2638155</v>
      </c>
    </row>
    <row r="16" spans="1:3" x14ac:dyDescent="0.3">
      <c r="B16" s="58" t="s">
        <v>70</v>
      </c>
      <c r="C16" s="59">
        <f>SUM(Table14[Debit])</f>
        <v>10992876</v>
      </c>
    </row>
    <row r="17" spans="2:6" ht="15" thickBot="1" x14ac:dyDescent="0.35">
      <c r="B17" s="74" t="s">
        <v>71</v>
      </c>
      <c r="C17" s="73">
        <f>C15-C16</f>
        <v>-8354721</v>
      </c>
    </row>
    <row r="18" spans="2:6" ht="15" thickBot="1" x14ac:dyDescent="0.35">
      <c r="B18" s="58"/>
      <c r="C18" s="59"/>
    </row>
    <row r="19" spans="2:6" ht="15" thickBot="1" x14ac:dyDescent="0.35">
      <c r="B19" s="75" t="s">
        <v>72</v>
      </c>
      <c r="C19" s="76">
        <f>Table18[[#Totals],[amount]]</f>
        <v>35785</v>
      </c>
    </row>
    <row r="20" spans="2:6" ht="15" thickBot="1" x14ac:dyDescent="0.35">
      <c r="B20" s="71"/>
      <c r="C20" s="72"/>
    </row>
    <row r="21" spans="2:6" ht="15" thickBot="1" x14ac:dyDescent="0.35">
      <c r="B21" s="60" t="s">
        <v>73</v>
      </c>
      <c r="C21" s="61">
        <f>(C13-C17)+C19</f>
        <v>-531322.52011704445</v>
      </c>
      <c r="E21" s="79" t="s">
        <v>74</v>
      </c>
      <c r="F21" s="80">
        <f>C5*0.05</f>
        <v>-26566.126005852224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22600</v>
      </c>
      <c r="E44">
        <f>SUBTOTAL(109,Table13[Credit])</f>
        <v>0</v>
      </c>
      <c r="F44">
        <f>Table13[[#Totals],[Debit]]-Table13[[#Totals],[Credit]]</f>
        <v>22600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H1" zoomScale="107" zoomScaleNormal="107" workbookViewId="0">
      <selection activeCell="I8" sqref="I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309</v>
      </c>
      <c r="D2" s="108" t="s">
        <v>85</v>
      </c>
      <c r="E2" s="109"/>
      <c r="F2" s="37"/>
      <c r="G2" s="37"/>
      <c r="H2" s="110" t="e">
        <f>_xlfn.XLOOKUP(Table1[[#This Row],[Shipment Number]], 'pivot '!A:A,'pivot '!G:G, "NF")</f>
        <v>#DIV/0!</v>
      </c>
      <c r="I2" s="110">
        <f>_xlfn.XLOOKUP(Table1[[#This Row],[Party Name]],
[2]Billing!$Q$5:$Q$40,
[2]Billing!$T$5:$T$40)</f>
        <v>2767584.0182882226</v>
      </c>
      <c r="J2" s="110">
        <f>_xlfn.XLOOKUP(Table1[[#This Row],[Party Name]],
[2]Billing!$Q$5:$Q$40,
[2]Billing!$V$5:$V$40)</f>
        <v>27675840.182882231</v>
      </c>
      <c r="K2" s="108"/>
      <c r="M2" s="10" t="str" cm="1">
        <f t="array" ref="M2:M32">_xlfn.UNIQUE(Table1[Party Name])</f>
        <v>BSC</v>
      </c>
    </row>
    <row r="3" spans="1:28" x14ac:dyDescent="0.3">
      <c r="A3" s="107">
        <v>46072</v>
      </c>
      <c r="B3" s="81" t="s">
        <v>22</v>
      </c>
      <c r="C3" s="108" t="s">
        <v>309</v>
      </c>
      <c r="D3" s="108" t="s">
        <v>85</v>
      </c>
      <c r="E3" s="109"/>
      <c r="F3" s="37"/>
      <c r="G3" s="37"/>
      <c r="H3" s="110" t="e">
        <f>_xlfn.XLOOKUP(Table1[[#This Row],[Shipment Number]], 'pivot '!A:A,'pivot '!G:G, "NF")</f>
        <v>#DIV/0!</v>
      </c>
      <c r="I3" s="110">
        <f>_xlfn.XLOOKUP(Table1[[#This Row],[Party Name]],
[2]Billing!$Q$5:$Q$40,
[2]Billing!$T$5:$T$40)</f>
        <v>148145.57425018289</v>
      </c>
      <c r="J3" s="110">
        <f>_xlfn.XLOOKUP(Table1[[#This Row],[Party Name]],
[2]Billing!$Q$5:$Q$40,
[2]Billing!$V$5:$V$40)</f>
        <v>1481455.7425018288</v>
      </c>
      <c r="K3" s="108"/>
      <c r="M3" s="10" t="str">
        <v>Ejaz Sahab</v>
      </c>
    </row>
    <row r="4" spans="1:28" x14ac:dyDescent="0.3">
      <c r="A4" s="107">
        <v>46072</v>
      </c>
      <c r="B4" s="81" t="s">
        <v>9</v>
      </c>
      <c r="C4" s="108" t="s">
        <v>309</v>
      </c>
      <c r="D4" s="108" t="s">
        <v>85</v>
      </c>
      <c r="E4" s="109"/>
      <c r="F4" s="37"/>
      <c r="G4" s="37"/>
      <c r="H4" s="110" t="e">
        <f>_xlfn.XLOOKUP(Table1[[#This Row],[Shipment Number]], 'pivot '!A:A,'pivot '!G:G, "NF")</f>
        <v>#DIV/0!</v>
      </c>
      <c r="I4" s="110">
        <f>_xlfn.XLOOKUP(Table1[[#This Row],[Party Name]],
[2]Billing!$Q$5:$Q$40,
[2]Billing!$T$5:$T$40)</f>
        <v>671848.9392831017</v>
      </c>
      <c r="J4" s="110">
        <f>_xlfn.XLOOKUP(Table1[[#This Row],[Party Name]],
[2]Billing!$Q$5:$Q$40,
[2]Billing!$V$5:$V$40)</f>
        <v>6718489.3928310173</v>
      </c>
      <c r="K4" s="108"/>
      <c r="M4" s="10" t="str">
        <v>Arshad</v>
      </c>
    </row>
    <row r="5" spans="1:28" x14ac:dyDescent="0.3">
      <c r="A5" s="107">
        <v>46072</v>
      </c>
      <c r="B5" s="81" t="s">
        <v>23</v>
      </c>
      <c r="C5" s="108" t="s">
        <v>309</v>
      </c>
      <c r="D5" s="108" t="s">
        <v>85</v>
      </c>
      <c r="E5" s="109"/>
      <c r="F5" s="37"/>
      <c r="G5" s="37"/>
      <c r="H5" s="110" t="e">
        <f>_xlfn.XLOOKUP(Table1[[#This Row],[Shipment Number]], 'pivot '!A:A,'pivot '!G:G, "NF")</f>
        <v>#DIV/0!</v>
      </c>
      <c r="I5" s="110">
        <f>_xlfn.XLOOKUP(Table1[[#This Row],[Party Name]],
[2]Billing!$Q$5:$Q$40,
[2]Billing!$T$5:$T$40)</f>
        <v>131178.67593269935</v>
      </c>
      <c r="J5" s="110">
        <f>_xlfn.XLOOKUP(Table1[[#This Row],[Party Name]],
[2]Billing!$Q$5:$Q$40,
[2]Billing!$V$5:$V$40)</f>
        <v>1354241.9972933433</v>
      </c>
      <c r="K5" s="108"/>
      <c r="M5" s="10" t="str">
        <v>Shehzad Kamoki</v>
      </c>
    </row>
    <row r="6" spans="1:28" x14ac:dyDescent="0.3">
      <c r="A6" s="107">
        <v>46072</v>
      </c>
      <c r="B6" s="81" t="s">
        <v>24</v>
      </c>
      <c r="C6" s="108" t="s">
        <v>309</v>
      </c>
      <c r="D6" s="108" t="s">
        <v>85</v>
      </c>
      <c r="E6" s="109"/>
      <c r="F6" s="37"/>
      <c r="G6" s="37"/>
      <c r="H6" s="110" t="e">
        <f>_xlfn.XLOOKUP(Table1[[#This Row],[Shipment Number]], 'pivot '!A:A,'pivot '!G:G, "NF")</f>
        <v>#DIV/0!</v>
      </c>
      <c r="I6" s="110">
        <f>_xlfn.XLOOKUP(Table1[[#This Row],[Party Name]],
[2]Billing!$Q$5:$Q$40,
[2]Billing!$T$5:$T$40)</f>
        <v>599330.65106071695</v>
      </c>
      <c r="J6" s="110">
        <f>_xlfn.XLOOKUP(Table1[[#This Row],[Party Name]],
[2]Billing!$Q$5:$Q$40,
[2]Billing!$V$5:$V$40)</f>
        <v>5408917.8595464528</v>
      </c>
      <c r="K6" s="108"/>
      <c r="M6" s="10" t="str">
        <v>Sufi Nawaz Sahab</v>
      </c>
      <c r="X6"/>
      <c r="Y6"/>
      <c r="Z6"/>
      <c r="AA6"/>
      <c r="AB6"/>
    </row>
    <row r="7" spans="1:28" x14ac:dyDescent="0.3">
      <c r="A7" s="107">
        <v>46072</v>
      </c>
      <c r="B7" s="81" t="s">
        <v>25</v>
      </c>
      <c r="C7" s="108" t="s">
        <v>309</v>
      </c>
      <c r="D7" s="108" t="s">
        <v>85</v>
      </c>
      <c r="E7" s="109"/>
      <c r="F7" s="37"/>
      <c r="G7" s="37"/>
      <c r="H7" s="110" t="e">
        <f>_xlfn.XLOOKUP(Table1[[#This Row],[Shipment Number]], 'pivot '!A:A,'pivot '!G:G, "NF")</f>
        <v>#DIV/0!</v>
      </c>
      <c r="I7" s="110">
        <f>_xlfn.XLOOKUP(Table1[[#This Row],[Party Name]],
[2]Billing!$Q$5:$Q$40,
[2]Billing!$T$5:$T$40)</f>
        <v>942295.17190929048</v>
      </c>
      <c r="J7" s="110">
        <f>_xlfn.XLOOKUP(Table1[[#This Row],[Party Name]],
[2]Billing!$Q$5:$Q$40,
[2]Billing!$V$5:$V$40)</f>
        <v>9422951.7190929055</v>
      </c>
      <c r="K7" s="108"/>
      <c r="M7" s="10" t="str">
        <v>Sajad Khan</v>
      </c>
      <c r="X7"/>
      <c r="Y7"/>
      <c r="Z7"/>
      <c r="AA7"/>
      <c r="AB7"/>
    </row>
    <row r="8" spans="1:28" x14ac:dyDescent="0.3">
      <c r="A8" s="107">
        <v>46072</v>
      </c>
      <c r="B8" s="81" t="s">
        <v>26</v>
      </c>
      <c r="C8" s="108" t="s">
        <v>309</v>
      </c>
      <c r="D8" s="108" t="s">
        <v>85</v>
      </c>
      <c r="E8" s="109"/>
      <c r="F8" s="37"/>
      <c r="G8" s="37"/>
      <c r="H8" s="110" t="e">
        <f>_xlfn.XLOOKUP(Table1[[#This Row],[Shipment Number]], 'pivot '!A:A,'pivot '!G:G, "NF")</f>
        <v>#DIV/0!</v>
      </c>
      <c r="I8" s="110">
        <f>_xlfn.XLOOKUP(Table1[[#This Row],[Party Name]],
[2]Billing!$Q$5:$Q$40,
[2]Billing!$T$5:$T$40)</f>
        <v>162638.07607900514</v>
      </c>
      <c r="J8" s="110">
        <f>_xlfn.XLOOKUP(Table1[[#This Row],[Party Name]],
[2]Billing!$Q$5:$Q$40,
[2]Billing!$V$5:$V$40)</f>
        <v>1626380.7607900514</v>
      </c>
      <c r="K8" s="108"/>
      <c r="M8" s="10" t="str">
        <v>Raaz Fabrics</v>
      </c>
      <c r="X8"/>
      <c r="Y8"/>
      <c r="Z8"/>
      <c r="AA8"/>
      <c r="AB8"/>
    </row>
    <row r="9" spans="1:28" x14ac:dyDescent="0.3">
      <c r="A9" s="107">
        <v>46072</v>
      </c>
      <c r="B9" s="81" t="s">
        <v>152</v>
      </c>
      <c r="C9" s="108" t="s">
        <v>309</v>
      </c>
      <c r="D9" s="108" t="s">
        <v>85</v>
      </c>
      <c r="E9" s="109"/>
      <c r="F9" s="37"/>
      <c r="G9" s="37"/>
      <c r="H9" s="110" t="e">
        <f>_xlfn.XLOOKUP(Table1[[#This Row],[Shipment Number]], 'pivot '!A:A,'pivot '!G:G, "NF")</f>
        <v>#DIV/0!</v>
      </c>
      <c r="I9" s="110">
        <f>_xlfn.XLOOKUP(Table1[[#This Row],[Party Name]],
[2]Billing!$Q$5:$Q$40,
[2]Billing!$T$5:$T$40)</f>
        <v>501118.32479882962</v>
      </c>
      <c r="J9" s="110">
        <f>_xlfn.XLOOKUP(Table1[[#This Row],[Party Name]],
[2]Billing!$Q$5:$Q$40,
[2]Billing!$V$5:$V$40)</f>
        <v>5011183.2479882967</v>
      </c>
      <c r="K9" s="108"/>
      <c r="M9" s="10" t="str">
        <v>Azam</v>
      </c>
      <c r="X9"/>
      <c r="Y9"/>
      <c r="Z9"/>
      <c r="AA9"/>
      <c r="AB9"/>
    </row>
    <row r="10" spans="1:28" x14ac:dyDescent="0.3">
      <c r="A10" s="107">
        <v>46072</v>
      </c>
      <c r="B10" s="81" t="s">
        <v>35</v>
      </c>
      <c r="C10" s="108" t="s">
        <v>309</v>
      </c>
      <c r="D10" s="108" t="s">
        <v>85</v>
      </c>
      <c r="E10" s="109"/>
      <c r="F10" s="37"/>
      <c r="G10" s="37"/>
      <c r="H10" s="110" t="e">
        <f>_xlfn.XLOOKUP(Table1[[#This Row],[Shipment Number]], 'pivot '!A:A,'pivot '!G:G, "NF")</f>
        <v>#DIV/0!</v>
      </c>
      <c r="I10" s="110">
        <f>_xlfn.XLOOKUP(Table1[[#This Row],[Party Name]],
[2]Billing!$Q$5:$Q$40,
[2]Billing!$T$5:$T$40)</f>
        <v>46132.955376737387</v>
      </c>
      <c r="J10" s="110">
        <f>_xlfn.XLOOKUP(Table1[[#This Row],[Party Name]],
[2]Billing!$Q$5:$Q$40,
[2]Billing!$V$5:$V$40)</f>
        <v>461329.5537673739</v>
      </c>
      <c r="K10" s="108"/>
      <c r="M10" s="10" t="str">
        <v>Ubaidullah</v>
      </c>
      <c r="X10"/>
      <c r="Y10"/>
    </row>
    <row r="11" spans="1:28" x14ac:dyDescent="0.3">
      <c r="A11" s="107">
        <v>46072</v>
      </c>
      <c r="B11" s="81" t="s">
        <v>148</v>
      </c>
      <c r="C11" s="108" t="s">
        <v>309</v>
      </c>
      <c r="D11" s="108" t="s">
        <v>85</v>
      </c>
      <c r="E11" s="109"/>
      <c r="F11" s="37"/>
      <c r="G11" s="37"/>
      <c r="H11" s="110" t="e">
        <f>_xlfn.XLOOKUP(Table1[[#This Row],[Shipment Number]], 'pivot '!A:A,'pivot '!G:G, "NF")</f>
        <v>#DIV/0!</v>
      </c>
      <c r="I11" s="110">
        <f>_xlfn.XLOOKUP(Table1[[#This Row],[Party Name]],
[2]Billing!$Q$5:$Q$40,
[2]Billing!$T$5:$T$40)</f>
        <v>21310.35113386979</v>
      </c>
      <c r="J11" s="110">
        <f>_xlfn.XLOOKUP(Table1[[#This Row],[Party Name]],
[2]Billing!$Q$5:$Q$40,
[2]Billing!$V$5:$V$40)</f>
        <v>255724.21360643749</v>
      </c>
      <c r="K11" s="108"/>
      <c r="M11" s="10" t="str">
        <v>Ashraf Zia</v>
      </c>
      <c r="P11"/>
      <c r="Q11"/>
      <c r="R11"/>
      <c r="S11"/>
      <c r="T11"/>
      <c r="U11"/>
      <c r="V11"/>
      <c r="W11"/>
      <c r="X11"/>
      <c r="Y11"/>
    </row>
    <row r="12" spans="1:28" x14ac:dyDescent="0.3">
      <c r="A12" s="107">
        <v>46072</v>
      </c>
      <c r="B12" s="81" t="s">
        <v>27</v>
      </c>
      <c r="C12" s="108" t="s">
        <v>309</v>
      </c>
      <c r="D12" s="108" t="s">
        <v>85</v>
      </c>
      <c r="E12" s="109"/>
      <c r="F12" s="37"/>
      <c r="G12" s="37"/>
      <c r="H12" s="110" t="e">
        <f>_xlfn.XLOOKUP(Table1[[#This Row],[Shipment Number]], 'pivot '!A:A,'pivot '!G:G, "NF")</f>
        <v>#DIV/0!</v>
      </c>
      <c r="I12" s="110">
        <f>_xlfn.XLOOKUP(Table1[[#This Row],[Party Name]],
[2]Billing!$Q$5:$Q$40,
[2]Billing!$T$5:$T$40)</f>
        <v>415715.98390636436</v>
      </c>
      <c r="J12" s="110">
        <f>_xlfn.XLOOKUP(Table1[[#This Row],[Party Name]],
[2]Billing!$Q$5:$Q$40,
[2]Billing!$V$5:$V$40)</f>
        <v>4157159.8390636435</v>
      </c>
      <c r="K12" s="108"/>
      <c r="M12" s="10" t="str">
        <v>Hafiz Qureshi</v>
      </c>
      <c r="P12"/>
      <c r="Q12"/>
      <c r="R12"/>
      <c r="S12"/>
      <c r="T12"/>
      <c r="U12"/>
      <c r="V12"/>
      <c r="W12"/>
      <c r="X12"/>
      <c r="Y12"/>
    </row>
    <row r="13" spans="1:28" x14ac:dyDescent="0.3">
      <c r="A13" s="107">
        <v>46072</v>
      </c>
      <c r="B13" s="81" t="s">
        <v>166</v>
      </c>
      <c r="C13" s="108" t="s">
        <v>309</v>
      </c>
      <c r="D13" s="108" t="s">
        <v>85</v>
      </c>
      <c r="E13" s="37"/>
      <c r="F13" s="37"/>
      <c r="G13" s="37"/>
      <c r="H13" s="110" t="e">
        <f>_xlfn.XLOOKUP(Table1[[#This Row],[Shipment Number]], 'pivot '!A:A,'pivot '!G:G, "NF")</f>
        <v>#DIV/0!</v>
      </c>
      <c r="I13" s="110">
        <f>_xlfn.XLOOKUP(Table1[[#This Row],[Party Name]],
[2]Billing!$Q$5:$Q$40,
[2]Billing!$T$5:$T$40)</f>
        <v>481526.15215801029</v>
      </c>
      <c r="J13" s="110">
        <f>_xlfn.XLOOKUP(Table1[[#This Row],[Party Name]],
[2]Billing!$Q$5:$Q$40,
[2]Billing!$V$5:$V$40)</f>
        <v>4861679.7732260432</v>
      </c>
      <c r="K13" s="108"/>
      <c r="M13" s="10" t="str">
        <v>Badshah Fabrics</v>
      </c>
      <c r="P13"/>
      <c r="Q13"/>
      <c r="R13"/>
      <c r="S13"/>
      <c r="T13"/>
      <c r="U13"/>
      <c r="V13"/>
      <c r="W13"/>
      <c r="X13"/>
      <c r="Y13"/>
    </row>
    <row r="14" spans="1:28" x14ac:dyDescent="0.3">
      <c r="A14" s="107">
        <v>46072</v>
      </c>
      <c r="B14" s="81" t="s">
        <v>219</v>
      </c>
      <c r="C14" s="108" t="s">
        <v>309</v>
      </c>
      <c r="D14" s="108" t="s">
        <v>85</v>
      </c>
      <c r="E14" s="37"/>
      <c r="F14" s="37"/>
      <c r="G14" s="37"/>
      <c r="H14" s="110" t="e">
        <f>_xlfn.XLOOKUP(Table1[[#This Row],[Shipment Number]], 'pivot '!A:A,'pivot '!G:G, "NF")</f>
        <v>#DIV/0!</v>
      </c>
      <c r="I14" s="110">
        <f>_xlfn.XLOOKUP(Table1[[#This Row],[Party Name]],
[2]Billing!$Q$5:$Q$40,
[2]Billing!$T$5:$T$40)</f>
        <v>121404.53547915144</v>
      </c>
      <c r="J14" s="110">
        <f>_xlfn.XLOOKUP(Table1[[#This Row],[Party Name]],
[2]Billing!$Q$5:$Q$40,
[2]Billing!$V$5:$V$40)</f>
        <v>1214045.3547915143</v>
      </c>
      <c r="K14" s="108"/>
      <c r="M14" s="10" t="str">
        <v>Gauhar Kashif</v>
      </c>
      <c r="P14"/>
      <c r="Q14"/>
      <c r="R14"/>
      <c r="S14"/>
      <c r="T14"/>
      <c r="U14"/>
      <c r="V14"/>
      <c r="W14"/>
      <c r="X14"/>
      <c r="Y14"/>
    </row>
    <row r="15" spans="1:28" x14ac:dyDescent="0.3">
      <c r="A15" s="107">
        <v>46072</v>
      </c>
      <c r="B15" s="81" t="s">
        <v>170</v>
      </c>
      <c r="C15" s="108" t="s">
        <v>309</v>
      </c>
      <c r="D15" s="108" t="s">
        <v>85</v>
      </c>
      <c r="E15" s="37"/>
      <c r="F15" s="37"/>
      <c r="G15" s="37"/>
      <c r="H15" s="110" t="e">
        <f>_xlfn.XLOOKUP(Table1[[#This Row],[Shipment Number]], 'pivot '!A:A,'pivot '!G:G, "NF")</f>
        <v>#DIV/0!</v>
      </c>
      <c r="I15" s="110">
        <f>_xlfn.XLOOKUP(Table1[[#This Row],[Party Name]],
[2]Billing!$Q$5:$Q$40,
[2]Billing!$T$5:$T$40)</f>
        <v>48385.149963423559</v>
      </c>
      <c r="J15" s="110">
        <f>_xlfn.XLOOKUP(Table1[[#This Row],[Party Name]],
[2]Billing!$Q$5:$Q$40,
[2]Billing!$V$5:$V$40)</f>
        <v>483851.49963423557</v>
      </c>
      <c r="K15" s="108"/>
      <c r="M15" s="10" t="str">
        <v>Amjad 7up</v>
      </c>
      <c r="P15"/>
      <c r="Q15"/>
      <c r="R15"/>
      <c r="S15"/>
      <c r="T15"/>
      <c r="U15"/>
      <c r="V15"/>
      <c r="W15"/>
      <c r="X15"/>
      <c r="Y15"/>
    </row>
    <row r="16" spans="1:28" x14ac:dyDescent="0.3">
      <c r="A16" s="107">
        <v>46072</v>
      </c>
      <c r="B16" s="81" t="s">
        <v>171</v>
      </c>
      <c r="C16" s="108" t="s">
        <v>309</v>
      </c>
      <c r="D16" s="108" t="s">
        <v>85</v>
      </c>
      <c r="E16" s="37"/>
      <c r="F16" s="37"/>
      <c r="G16" s="37"/>
      <c r="H16" s="110" t="e">
        <f>_xlfn.XLOOKUP(Table1[[#This Row],[Shipment Number]], 'pivot '!A:A,'pivot '!G:G, "NF")</f>
        <v>#DIV/0!</v>
      </c>
      <c r="I16" s="110">
        <f>_xlfn.XLOOKUP(Table1[[#This Row],[Party Name]],
[2]Billing!$Q$5:$Q$40,
[2]Billing!$T$5:$T$40)</f>
        <v>8915.5084125822978</v>
      </c>
      <c r="J16" s="110">
        <f>_xlfn.XLOOKUP(Table1[[#This Row],[Party Name]],
[2]Billing!$Q$5:$Q$40,
[2]Billing!$V$5:$V$40)</f>
        <v>89155.084125822978</v>
      </c>
      <c r="K16" s="108"/>
      <c r="M16" s="10" t="str">
        <v>Hazrat Khan</v>
      </c>
      <c r="P16"/>
      <c r="Q16"/>
      <c r="R16"/>
      <c r="S16"/>
      <c r="T16"/>
      <c r="U16"/>
      <c r="V16"/>
      <c r="W16"/>
      <c r="X16"/>
      <c r="Y16"/>
    </row>
    <row r="17" spans="1:25" x14ac:dyDescent="0.3">
      <c r="A17" s="107">
        <v>46072</v>
      </c>
      <c r="B17" s="81" t="s">
        <v>173</v>
      </c>
      <c r="C17" s="108" t="s">
        <v>309</v>
      </c>
      <c r="D17" s="108" t="s">
        <v>85</v>
      </c>
      <c r="E17" s="37"/>
      <c r="F17" s="37"/>
      <c r="G17" s="37"/>
      <c r="H17" s="110" t="e">
        <f>_xlfn.XLOOKUP(Table1[[#This Row],[Shipment Number]], 'pivot '!A:A,'pivot '!G:G, "NF")</f>
        <v>#DIV/0!</v>
      </c>
      <c r="I17" s="110">
        <f>_xlfn.XLOOKUP(Table1[[#This Row],[Party Name]],
[2]Billing!$Q$5:$Q$40,
[2]Billing!$T$5:$T$40)</f>
        <v>47437.820043891741</v>
      </c>
      <c r="J17" s="110">
        <f>_xlfn.XLOOKUP(Table1[[#This Row],[Party Name]],
[2]Billing!$Q$5:$Q$40,
[2]Billing!$V$5:$V$40)</f>
        <v>474378.20043891744</v>
      </c>
      <c r="K17" s="108"/>
      <c r="M17" s="10" t="str">
        <v>Haseeb Shamsi</v>
      </c>
      <c r="P17"/>
      <c r="Q17"/>
      <c r="R17"/>
      <c r="S17"/>
      <c r="T17"/>
      <c r="U17"/>
      <c r="V17"/>
      <c r="W17"/>
      <c r="X17"/>
      <c r="Y17"/>
    </row>
    <row r="18" spans="1:25" x14ac:dyDescent="0.3">
      <c r="A18" s="107">
        <v>46072</v>
      </c>
      <c r="B18" s="81" t="s">
        <v>175</v>
      </c>
      <c r="C18" s="108" t="s">
        <v>309</v>
      </c>
      <c r="D18" s="108" t="s">
        <v>85</v>
      </c>
      <c r="E18" s="37"/>
      <c r="F18" s="37"/>
      <c r="G18" s="37"/>
      <c r="H18" s="110" t="e">
        <f>_xlfn.XLOOKUP(Table1[[#This Row],[Shipment Number]], 'pivot '!A:A,'pivot '!G:G, "NF")</f>
        <v>#DIV/0!</v>
      </c>
      <c r="I18" s="110">
        <f>_xlfn.XLOOKUP(Table1[[#This Row],[Party Name]],
[2]Billing!$Q$5:$Q$40,
[2]Billing!$T$5:$T$40)</f>
        <v>0</v>
      </c>
      <c r="J18" s="110">
        <f>_xlfn.XLOOKUP(Table1[[#This Row],[Party Name]],
[2]Billing!$Q$5:$Q$40,
[2]Billing!$V$5:$V$40)</f>
        <v>30000</v>
      </c>
      <c r="K18" s="108"/>
      <c r="M18" s="10" t="str">
        <v>Faizan</v>
      </c>
      <c r="P18"/>
      <c r="Q18"/>
      <c r="R18"/>
      <c r="S18"/>
      <c r="T18"/>
      <c r="U18"/>
      <c r="V18"/>
      <c r="W18"/>
      <c r="X18"/>
      <c r="Y18"/>
    </row>
    <row r="19" spans="1:25" x14ac:dyDescent="0.3">
      <c r="A19" s="107">
        <v>46072</v>
      </c>
      <c r="B19" s="81" t="s">
        <v>177</v>
      </c>
      <c r="C19" s="108" t="s">
        <v>309</v>
      </c>
      <c r="D19" s="108" t="s">
        <v>85</v>
      </c>
      <c r="E19" s="37"/>
      <c r="F19" s="37"/>
      <c r="G19" s="37"/>
      <c r="H19" s="110" t="e">
        <f>_xlfn.XLOOKUP(Table1[[#This Row],[Shipment Number]], 'pivot '!A:A,'pivot '!G:G, "NF")</f>
        <v>#DIV/0!</v>
      </c>
      <c r="I19" s="110">
        <f>_xlfn.XLOOKUP(Table1[[#This Row],[Party Name]],
[2]Billing!$Q$5:$Q$40,
[2]Billing!$T$5:$T$40)</f>
        <v>64300.475493782011</v>
      </c>
      <c r="J19" s="110">
        <f>_xlfn.XLOOKUP(Table1[[#This Row],[Party Name]],
[2]Billing!$Q$5:$Q$40,
[2]Billing!$V$5:$V$40)</f>
        <v>643004.75493782014</v>
      </c>
      <c r="K19" s="108"/>
      <c r="M19" s="10" t="str">
        <v>Shafique Ansari</v>
      </c>
      <c r="P19"/>
      <c r="Q19"/>
      <c r="R19"/>
      <c r="S19"/>
      <c r="T19"/>
      <c r="U19"/>
      <c r="V19"/>
      <c r="W19"/>
      <c r="X19"/>
      <c r="Y19"/>
    </row>
    <row r="20" spans="1:25" x14ac:dyDescent="0.3">
      <c r="A20" s="107">
        <v>46072</v>
      </c>
      <c r="B20" s="81" t="s">
        <v>178</v>
      </c>
      <c r="C20" s="108" t="s">
        <v>309</v>
      </c>
      <c r="D20" s="108" t="s">
        <v>85</v>
      </c>
      <c r="E20" s="37"/>
      <c r="F20" s="37"/>
      <c r="G20" s="37"/>
      <c r="H20" s="110" t="e">
        <f>_xlfn.XLOOKUP(Table1[[#This Row],[Shipment Number]], 'pivot '!A:A,'pivot '!G:G, "NF")</f>
        <v>#DIV/0!</v>
      </c>
      <c r="I20" s="110">
        <f>_xlfn.XLOOKUP(Table1[[#This Row],[Party Name]],
[2]Billing!$Q$5:$Q$40,
[2]Billing!$T$5:$T$40)</f>
        <v>360797.36649597657</v>
      </c>
      <c r="J20" s="110">
        <f>_xlfn.XLOOKUP(Table1[[#This Row],[Party Name]],
[2]Billing!$Q$5:$Q$40,
[2]Billing!$V$5:$V$40)</f>
        <v>3607973.6649597664</v>
      </c>
      <c r="K20" s="108"/>
      <c r="M20" s="10" t="str">
        <v>Amjad sohail</v>
      </c>
      <c r="P20"/>
      <c r="Q20"/>
      <c r="R20"/>
      <c r="S20"/>
      <c r="T20"/>
      <c r="U20"/>
      <c r="V20"/>
      <c r="W20"/>
      <c r="X20"/>
      <c r="Y20"/>
    </row>
    <row r="21" spans="1:25" x14ac:dyDescent="0.3">
      <c r="A21" s="107">
        <v>46072</v>
      </c>
      <c r="B21" s="81" t="s">
        <v>183</v>
      </c>
      <c r="C21" s="108" t="s">
        <v>309</v>
      </c>
      <c r="D21" s="108" t="s">
        <v>85</v>
      </c>
      <c r="E21" s="37"/>
      <c r="F21" s="37"/>
      <c r="G21" s="37"/>
      <c r="H21" s="110" t="e">
        <f>_xlfn.XLOOKUP(Table1[[#This Row],[Shipment Number]], 'pivot '!A:A,'pivot '!G:G, "NF")</f>
        <v>#DIV/0!</v>
      </c>
      <c r="I21" s="110">
        <f>_xlfn.XLOOKUP(Table1[[#This Row],[Party Name]],
[2]Billing!$Q$5:$Q$40,
[2]Billing!$T$5:$T$40)</f>
        <v>72939.831748354074</v>
      </c>
      <c r="J21" s="110">
        <f>_xlfn.XLOOKUP(Table1[[#This Row],[Party Name]],
[2]Billing!$Q$5:$Q$40,
[2]Billing!$V$5:$V$40)</f>
        <v>729398.31748354062</v>
      </c>
      <c r="K21" s="108"/>
      <c r="M21" s="10" t="str">
        <v>Salman Zaffar</v>
      </c>
      <c r="P21"/>
      <c r="Q21"/>
      <c r="R21"/>
      <c r="S21"/>
      <c r="T21"/>
      <c r="U21"/>
      <c r="V21"/>
      <c r="W21"/>
      <c r="X21"/>
      <c r="Y21"/>
    </row>
    <row r="22" spans="1:25" x14ac:dyDescent="0.3">
      <c r="A22" s="107">
        <v>46072</v>
      </c>
      <c r="B22" s="81" t="s">
        <v>190</v>
      </c>
      <c r="C22" s="108" t="s">
        <v>309</v>
      </c>
      <c r="D22" s="108" t="s">
        <v>85</v>
      </c>
      <c r="E22" s="37"/>
      <c r="F22" s="37"/>
      <c r="G22" s="37"/>
      <c r="H22" s="110" t="e">
        <f>_xlfn.XLOOKUP(Table1[[#This Row],[Shipment Number]], 'pivot '!A:A,'pivot '!G:G, "NF")</f>
        <v>#DIV/0!</v>
      </c>
      <c r="I22" s="110">
        <f>_xlfn.XLOOKUP(Table1[[#This Row],[Party Name]],
[2]Billing!$Q$5:$Q$40,
[2]Billing!$T$5:$T$40)</f>
        <v>310998.53694220923</v>
      </c>
      <c r="J22" s="110">
        <f>_xlfn.XLOOKUP(Table1[[#This Row],[Party Name]],
[2]Billing!$Q$5:$Q$40,
[2]Billing!$V$5:$V$40)</f>
        <v>3109985.3694220926</v>
      </c>
      <c r="K22" s="108"/>
      <c r="M22" s="10" t="str">
        <v>Shahid Qasayi</v>
      </c>
      <c r="P22"/>
      <c r="Q22"/>
      <c r="R22"/>
      <c r="S22"/>
      <c r="T22"/>
      <c r="U22"/>
      <c r="V22"/>
      <c r="W22"/>
      <c r="X22"/>
      <c r="Y22"/>
    </row>
    <row r="23" spans="1:25" x14ac:dyDescent="0.3">
      <c r="A23" s="107">
        <v>46072</v>
      </c>
      <c r="B23" s="81" t="s">
        <v>193</v>
      </c>
      <c r="C23" s="108" t="s">
        <v>309</v>
      </c>
      <c r="D23" s="108" t="s">
        <v>85</v>
      </c>
      <c r="E23" s="37"/>
      <c r="F23" s="37"/>
      <c r="G23" s="37"/>
      <c r="H23" s="110" t="e">
        <f>_xlfn.XLOOKUP(Table1[[#This Row],[Shipment Number]], 'pivot '!A:A,'pivot '!G:G, "NF")</f>
        <v>#DIV/0!</v>
      </c>
      <c r="I23" s="110">
        <f>_xlfn.XLOOKUP(Table1[[#This Row],[Party Name]],
[2]Billing!$Q$5:$Q$40,
[2]Billing!$T$5:$T$40)</f>
        <v>42432.333577176301</v>
      </c>
      <c r="J23" s="110">
        <f>_xlfn.XLOOKUP(Table1[[#This Row],[Party Name]],
[2]Billing!$Q$5:$Q$40,
[2]Billing!$V$5:$V$40)</f>
        <v>424323.335771763</v>
      </c>
      <c r="K23" s="108"/>
      <c r="M23" s="10" t="str">
        <v>Hameed corporation</v>
      </c>
      <c r="P23"/>
      <c r="Q23"/>
      <c r="R23"/>
      <c r="S23"/>
      <c r="T23"/>
      <c r="U23"/>
      <c r="V23"/>
      <c r="W23"/>
      <c r="X23"/>
      <c r="Y23"/>
    </row>
    <row r="24" spans="1:25" x14ac:dyDescent="0.3">
      <c r="A24" s="107">
        <v>46072</v>
      </c>
      <c r="B24" s="81" t="s">
        <v>192</v>
      </c>
      <c r="C24" s="108" t="s">
        <v>309</v>
      </c>
      <c r="D24" s="108" t="s">
        <v>85</v>
      </c>
      <c r="E24" s="37"/>
      <c r="F24" s="37"/>
      <c r="G24" s="37"/>
      <c r="H24" s="110" t="e">
        <f>_xlfn.XLOOKUP(Table1[[#This Row],[Shipment Number]], 'pivot '!A:A,'pivot '!G:G, "NF")</f>
        <v>#DIV/0!</v>
      </c>
      <c r="I24" s="110">
        <f>_xlfn.XLOOKUP(Table1[[#This Row],[Party Name]],
[2]Billing!$Q$5:$Q$40,
[2]Billing!$T$5:$T$40)</f>
        <v>0</v>
      </c>
      <c r="J24" s="110">
        <f>_xlfn.XLOOKUP(Table1[[#This Row],[Party Name]],
[2]Billing!$Q$5:$Q$40,
[2]Billing!$V$5:$V$40)</f>
        <v>0</v>
      </c>
      <c r="K24" s="108"/>
      <c r="M24" s="10" t="str">
        <v>ibraheem behraam</v>
      </c>
      <c r="P24"/>
      <c r="Q24"/>
      <c r="R24"/>
      <c r="S24"/>
      <c r="T24"/>
      <c r="U24"/>
      <c r="V24"/>
      <c r="W24"/>
      <c r="X24"/>
      <c r="Y24"/>
    </row>
    <row r="25" spans="1:25" x14ac:dyDescent="0.3">
      <c r="A25" s="107">
        <v>46072</v>
      </c>
      <c r="B25" s="81" t="s">
        <v>197</v>
      </c>
      <c r="C25" s="108" t="s">
        <v>309</v>
      </c>
      <c r="D25" s="108" t="s">
        <v>85</v>
      </c>
      <c r="E25" s="37"/>
      <c r="F25" s="37"/>
      <c r="G25" s="37"/>
      <c r="H25" s="110" t="e">
        <f>_xlfn.XLOOKUP(Table1[[#This Row],[Shipment Number]], 'pivot '!A:A,'pivot '!G:G, "NF")</f>
        <v>#DIV/0!</v>
      </c>
      <c r="I25" s="110">
        <f>_xlfn.XLOOKUP(Table1[[#This Row],[Party Name]],
[2]Billing!$Q$5:$Q$40,
[2]Billing!$T$5:$T$40)</f>
        <v>12456.108266276518</v>
      </c>
      <c r="J25" s="110">
        <f>_xlfn.XLOOKUP(Table1[[#This Row],[Party Name]],
[2]Billing!$Q$5:$Q$40,
[2]Billing!$V$5:$V$40)</f>
        <v>124561.08266276518</v>
      </c>
      <c r="K25" s="108"/>
      <c r="M25" s="10" t="str">
        <v>Zia-ullah karachi</v>
      </c>
      <c r="P25"/>
      <c r="Q25"/>
      <c r="R25"/>
      <c r="S25"/>
      <c r="T25"/>
      <c r="U25"/>
      <c r="V25"/>
      <c r="W25"/>
      <c r="X25"/>
      <c r="Y25"/>
    </row>
    <row r="26" spans="1:25" x14ac:dyDescent="0.3">
      <c r="A26" s="107">
        <v>46072</v>
      </c>
      <c r="B26" s="81" t="s">
        <v>202</v>
      </c>
      <c r="C26" s="108" t="s">
        <v>309</v>
      </c>
      <c r="D26" s="108" t="s">
        <v>85</v>
      </c>
      <c r="E26" s="37"/>
      <c r="F26" s="37"/>
      <c r="G26" s="37"/>
      <c r="H26" s="110" t="e">
        <f>_xlfn.XLOOKUP(Table1[[#This Row],[Shipment Number]], 'pivot '!A:A,'pivot '!G:G, "NF")</f>
        <v>#DIV/0!</v>
      </c>
      <c r="I26" s="110">
        <f>_xlfn.XLOOKUP(Table1[[#This Row],[Party Name]],
[2]Billing!$Q$5:$Q$40,
[2]Billing!$T$5:$T$40)</f>
        <v>0</v>
      </c>
      <c r="J26" s="110">
        <f>_xlfn.XLOOKUP(Table1[[#This Row],[Party Name]],
[2]Billing!$Q$5:$Q$40,
[2]Billing!$V$5:$V$40)</f>
        <v>0</v>
      </c>
      <c r="K26" s="108"/>
      <c r="M26" s="10" t="str">
        <v>ZA</v>
      </c>
      <c r="P26"/>
      <c r="Q26"/>
      <c r="R26"/>
      <c r="S26"/>
      <c r="T26"/>
      <c r="U26"/>
      <c r="V26"/>
      <c r="W26"/>
      <c r="X26"/>
      <c r="Y26"/>
    </row>
    <row r="27" spans="1:25" x14ac:dyDescent="0.3">
      <c r="A27" s="107">
        <v>46072</v>
      </c>
      <c r="B27" s="117" t="s">
        <v>204</v>
      </c>
      <c r="C27" s="108" t="s">
        <v>309</v>
      </c>
      <c r="D27" s="108" t="s">
        <v>85</v>
      </c>
      <c r="E27" s="37"/>
      <c r="F27" s="37"/>
      <c r="G27" s="37"/>
      <c r="H27" s="110" t="e">
        <f>_xlfn.XLOOKUP(Table1[[#This Row],[Shipment Number]], 'pivot '!A:A,'pivot '!G:G, "NF")</f>
        <v>#DIV/0!</v>
      </c>
      <c r="I27" s="110">
        <f>_xlfn.XLOOKUP(Table1[[#This Row],[Party Name]],
[2]Billing!$Q$5:$Q$40,
[2]Billing!$T$5:$T$40)</f>
        <v>0</v>
      </c>
      <c r="J27" s="110">
        <f>_xlfn.XLOOKUP(Table1[[#This Row],[Party Name]],
[2]Billing!$Q$5:$Q$40,
[2]Billing!$V$5:$V$40)</f>
        <v>0</v>
      </c>
      <c r="K27" s="108"/>
      <c r="M27" s="10" t="str">
        <v>Ahmad Javaid</v>
      </c>
      <c r="P27"/>
      <c r="Q27"/>
      <c r="R27"/>
      <c r="S27"/>
      <c r="T27"/>
      <c r="U27"/>
      <c r="V27"/>
      <c r="W27"/>
      <c r="X27"/>
      <c r="Y27"/>
    </row>
    <row r="28" spans="1:25" x14ac:dyDescent="0.3">
      <c r="A28" s="107">
        <v>46072</v>
      </c>
      <c r="B28" s="121" t="s">
        <v>239</v>
      </c>
      <c r="C28" s="108" t="s">
        <v>309</v>
      </c>
      <c r="D28" s="118" t="s">
        <v>85</v>
      </c>
      <c r="E28" s="84"/>
      <c r="F28" s="84"/>
      <c r="G28" s="84"/>
      <c r="H28" s="127" t="e">
        <f>_xlfn.XLOOKUP(Table1[[#This Row],[Shipment Number]], 'pivot '!A:A,'pivot '!G:G, "NF")</f>
        <v>#DIV/0!</v>
      </c>
      <c r="I28" s="110">
        <f>_xlfn.XLOOKUP(Table1[[#This Row],[Party Name]],
[2]Billing!$Q$5:$Q$40,
[2]Billing!$T$5:$T$40)</f>
        <v>96185.076810534025</v>
      </c>
      <c r="J28" s="110">
        <f>_xlfn.XLOOKUP(Table1[[#This Row],[Party Name]],
[2]Billing!$Q$5:$Q$40,
[2]Billing!$V$5:$V$40)</f>
        <v>961850.76810534031</v>
      </c>
      <c r="K28" s="126"/>
      <c r="M28" s="10" t="str">
        <v>Shani Badshah</v>
      </c>
      <c r="P28"/>
      <c r="Q28"/>
      <c r="R28"/>
      <c r="S28"/>
      <c r="T28"/>
      <c r="U28"/>
      <c r="V28"/>
      <c r="W28"/>
      <c r="X28"/>
      <c r="Y28"/>
    </row>
    <row r="29" spans="1:25" x14ac:dyDescent="0.3">
      <c r="A29" s="107">
        <v>46072</v>
      </c>
      <c r="B29" s="81" t="s">
        <v>21</v>
      </c>
      <c r="C29" s="108" t="s">
        <v>309</v>
      </c>
      <c r="D29" s="112" t="s">
        <v>86</v>
      </c>
      <c r="E29" s="13"/>
      <c r="F29" s="13"/>
      <c r="G29" s="13"/>
      <c r="H29" s="113" t="e">
        <f>_xlfn.XLOOKUP(Table1[[#This Row],[Shipment Number]], 'pivot '!A:A,'pivot '!G:G, "NF")</f>
        <v>#DIV/0!</v>
      </c>
      <c r="I29" s="113">
        <f>_xlfn.XLOOKUP(Table1[[#This Row],[Party Name]],
[2]Billing!$Q$5:$Q$40,
[2]Billing!$U$5:$U$40)</f>
        <v>561031.45574250189</v>
      </c>
      <c r="J29" s="113">
        <f>_xlfn.XLOOKUP(Table1[[#This Row],[Party Name]],
[2]Billing!$Q$5:$Q$40,
[2]Billing!$W$5:$W$40)</f>
        <v>7205053.0358449165</v>
      </c>
      <c r="K29" s="112"/>
      <c r="M29" s="10" t="str">
        <v>Rehman Ali</v>
      </c>
      <c r="P29"/>
      <c r="Q29"/>
      <c r="R29"/>
      <c r="S29"/>
      <c r="T29"/>
      <c r="U29"/>
      <c r="V29"/>
      <c r="W29"/>
      <c r="X29"/>
      <c r="Y29"/>
    </row>
    <row r="30" spans="1:25" x14ac:dyDescent="0.3">
      <c r="A30" s="107">
        <v>46072</v>
      </c>
      <c r="B30" s="81" t="s">
        <v>22</v>
      </c>
      <c r="C30" s="108" t="s">
        <v>309</v>
      </c>
      <c r="D30" s="108" t="s">
        <v>86</v>
      </c>
      <c r="E30" s="37"/>
      <c r="F30" s="37"/>
      <c r="G30" s="37"/>
      <c r="H30" s="110" t="e">
        <f>_xlfn.XLOOKUP(Table1[[#This Row],[Shipment Number]], 'pivot '!A:A,'pivot '!G:G, "NF")</f>
        <v>#DIV/0!</v>
      </c>
      <c r="I30" s="113">
        <f>_xlfn.XLOOKUP(Table1[[#This Row],[Party Name]],
[2]Billing!$Q$5:$Q$40,
[2]Billing!$U$5:$U$40)</f>
        <v>382650.87783467449</v>
      </c>
      <c r="J30" s="113">
        <f>_xlfn.XLOOKUP(Table1[[#This Row],[Party Name]],
[2]Billing!$Q$5:$Q$40,
[2]Billing!$W$5:$W$40)</f>
        <v>4915317.3006583769</v>
      </c>
      <c r="K30" s="108"/>
      <c r="M30" s="10" t="str">
        <v>Ahmad Shafique</v>
      </c>
      <c r="P30"/>
      <c r="Q30"/>
      <c r="R30"/>
      <c r="S30"/>
      <c r="T30"/>
      <c r="U30"/>
      <c r="V30"/>
      <c r="W30"/>
      <c r="X30"/>
      <c r="Y30"/>
    </row>
    <row r="31" spans="1:25" x14ac:dyDescent="0.3">
      <c r="A31" s="107">
        <v>46072</v>
      </c>
      <c r="B31" s="81" t="s">
        <v>9</v>
      </c>
      <c r="C31" s="108" t="s">
        <v>309</v>
      </c>
      <c r="D31" s="112" t="s">
        <v>86</v>
      </c>
      <c r="E31" s="37"/>
      <c r="F31" s="37"/>
      <c r="G31" s="37"/>
      <c r="H31" s="110" t="e">
        <f>_xlfn.XLOOKUP(Table1[[#This Row],[Shipment Number]], 'pivot '!A:A,'pivot '!G:G, "NF")</f>
        <v>#DIV/0!</v>
      </c>
      <c r="I31" s="113">
        <f>_xlfn.XLOOKUP(Table1[[#This Row],[Party Name]],
[2]Billing!$Q$5:$Q$40,
[2]Billing!$U$5:$U$40)</f>
        <v>146176.84711046086</v>
      </c>
      <c r="J31" s="113">
        <f>_xlfn.XLOOKUP(Table1[[#This Row],[Party Name]],
[2]Billing!$Q$5:$Q$40,
[2]Billing!$W$5:$W$40)</f>
        <v>1885504.7549378201</v>
      </c>
      <c r="K31" s="108"/>
      <c r="M31" s="10" t="str">
        <v>Hafiz Shawl</v>
      </c>
      <c r="P31"/>
      <c r="Q31"/>
      <c r="R31"/>
      <c r="S31"/>
      <c r="T31"/>
      <c r="U31"/>
      <c r="V31"/>
      <c r="W31"/>
      <c r="X31"/>
      <c r="Y31"/>
    </row>
    <row r="32" spans="1:25" x14ac:dyDescent="0.3">
      <c r="A32" s="107">
        <v>46072</v>
      </c>
      <c r="B32" s="81" t="s">
        <v>23</v>
      </c>
      <c r="C32" s="108" t="s">
        <v>309</v>
      </c>
      <c r="D32" s="108" t="s">
        <v>86</v>
      </c>
      <c r="E32" s="37"/>
      <c r="F32" s="37"/>
      <c r="G32" s="37"/>
      <c r="H32" s="110" t="e">
        <f>_xlfn.XLOOKUP(Table1[[#This Row],[Shipment Number]], 'pivot '!A:A,'pivot '!G:G, "NF")</f>
        <v>#DIV/0!</v>
      </c>
      <c r="I32" s="113">
        <f>_xlfn.XLOOKUP(Table1[[#This Row],[Party Name]],
[2]Billing!$Q$5:$Q$40,
[2]Billing!$U$5:$U$40)</f>
        <v>0</v>
      </c>
      <c r="J32" s="113">
        <f>_xlfn.XLOOKUP(Table1[[#This Row],[Party Name]],
[2]Billing!$Q$5:$Q$40,
[2]Billing!$W$5:$W$40)</f>
        <v>0</v>
      </c>
      <c r="K32" s="108"/>
      <c r="M32" s="10" t="str">
        <v>Zahid Ejaz</v>
      </c>
      <c r="P32"/>
      <c r="Q32"/>
      <c r="R32"/>
      <c r="S32"/>
      <c r="T32"/>
      <c r="U32"/>
      <c r="V32"/>
      <c r="W32"/>
      <c r="X32"/>
      <c r="Y32"/>
    </row>
    <row r="33" spans="1:25" x14ac:dyDescent="0.3">
      <c r="A33" s="107">
        <v>46072</v>
      </c>
      <c r="B33" s="81" t="s">
        <v>24</v>
      </c>
      <c r="C33" s="108" t="s">
        <v>309</v>
      </c>
      <c r="D33" s="112" t="s">
        <v>86</v>
      </c>
      <c r="E33" s="37"/>
      <c r="F33" s="37"/>
      <c r="G33" s="37"/>
      <c r="H33" s="110" t="e">
        <f>_xlfn.XLOOKUP(Table1[[#This Row],[Shipment Number]], 'pivot '!A:A,'pivot '!G:G, "NF")</f>
        <v>#DIV/0!</v>
      </c>
      <c r="I33" s="113">
        <f>_xlfn.XLOOKUP(Table1[[#This Row],[Party Name]],
[2]Billing!$Q$5:$Q$40,
[2]Billing!$U$5:$U$40)</f>
        <v>485823.88441843458</v>
      </c>
      <c r="J33" s="113">
        <f>_xlfn.XLOOKUP(Table1[[#This Row],[Party Name]],
[2]Billing!$Q$5:$Q$40,
[2]Billing!$W$5:$W$40)</f>
        <v>5829886.6130212145</v>
      </c>
      <c r="K33" s="108"/>
      <c r="P33"/>
      <c r="Q33"/>
      <c r="R33"/>
      <c r="S33"/>
      <c r="T33"/>
      <c r="U33"/>
      <c r="V33"/>
      <c r="W33"/>
      <c r="X33"/>
      <c r="Y33"/>
    </row>
    <row r="34" spans="1:25" x14ac:dyDescent="0.3">
      <c r="A34" s="107">
        <v>46072</v>
      </c>
      <c r="B34" s="81" t="s">
        <v>25</v>
      </c>
      <c r="C34" s="108" t="s">
        <v>309</v>
      </c>
      <c r="D34" s="108" t="s">
        <v>86</v>
      </c>
      <c r="E34" s="37"/>
      <c r="F34" s="37"/>
      <c r="G34" s="37"/>
      <c r="H34" s="110" t="e">
        <f>_xlfn.XLOOKUP(Table1[[#This Row],[Shipment Number]], 'pivot '!A:A,'pivot '!G:G, "NF")</f>
        <v>#DIV/0!</v>
      </c>
      <c r="I34" s="113">
        <f>_xlfn.XLOOKUP(Table1[[#This Row],[Party Name]],
[2]Billing!$Q$5:$Q$40,
[2]Billing!$U$5:$U$40)</f>
        <v>0</v>
      </c>
      <c r="J34" s="113">
        <f>_xlfn.XLOOKUP(Table1[[#This Row],[Party Name]],
[2]Billing!$Q$5:$Q$40,
[2]Billing!$W$5:$W$40)</f>
        <v>0</v>
      </c>
      <c r="K34" s="108"/>
      <c r="P34"/>
      <c r="Q34"/>
      <c r="R34"/>
      <c r="S34"/>
      <c r="T34"/>
      <c r="U34"/>
      <c r="V34"/>
      <c r="W34"/>
      <c r="X34"/>
      <c r="Y34"/>
    </row>
    <row r="35" spans="1:25" x14ac:dyDescent="0.3">
      <c r="A35" s="107">
        <v>46072</v>
      </c>
      <c r="B35" s="81" t="s">
        <v>26</v>
      </c>
      <c r="C35" s="108" t="s">
        <v>309</v>
      </c>
      <c r="D35" s="112" t="s">
        <v>86</v>
      </c>
      <c r="E35" s="37"/>
      <c r="F35" s="37"/>
      <c r="G35" s="37"/>
      <c r="H35" s="110" t="e">
        <f>_xlfn.XLOOKUP(Table1[[#This Row],[Shipment Number]], 'pivot '!A:A,'pivot '!G:G, "NF")</f>
        <v>#DIV/0!</v>
      </c>
      <c r="I35" s="113">
        <f>_xlfn.XLOOKUP(Table1[[#This Row],[Party Name]],
[2]Billing!$Q$5:$Q$40,
[2]Billing!$U$5:$U$40)</f>
        <v>0</v>
      </c>
      <c r="J35" s="113">
        <f>_xlfn.XLOOKUP(Table1[[#This Row],[Party Name]],
[2]Billing!$Q$5:$Q$40,
[2]Billing!$W$5:$W$40)</f>
        <v>0</v>
      </c>
      <c r="K35" s="108"/>
      <c r="P35"/>
      <c r="Q35"/>
      <c r="R35"/>
      <c r="S35"/>
      <c r="T35"/>
      <c r="U35"/>
      <c r="V35"/>
      <c r="W35"/>
      <c r="X35"/>
      <c r="Y35"/>
    </row>
    <row r="36" spans="1:25" x14ac:dyDescent="0.3">
      <c r="A36" s="107">
        <v>46072</v>
      </c>
      <c r="B36" s="81" t="s">
        <v>152</v>
      </c>
      <c r="C36" s="108" t="s">
        <v>309</v>
      </c>
      <c r="D36" s="108" t="s">
        <v>86</v>
      </c>
      <c r="E36" s="37"/>
      <c r="F36" s="37"/>
      <c r="G36" s="37"/>
      <c r="H36" s="110" t="e">
        <f>_xlfn.XLOOKUP(Table1[[#This Row],[Shipment Number]], 'pivot '!A:A,'pivot '!G:G, "NF")</f>
        <v>#DIV/0!</v>
      </c>
      <c r="I36" s="113">
        <f>_xlfn.XLOOKUP(Table1[[#This Row],[Party Name]],
[2]Billing!$Q$5:$Q$40,
[2]Billing!$U$5:$U$40)</f>
        <v>183991.40453547917</v>
      </c>
      <c r="J36" s="113">
        <f>_xlfn.XLOOKUP(Table1[[#This Row],[Party Name]],
[2]Billing!$Q$5:$Q$40,
[2]Billing!$W$5:$W$40)</f>
        <v>2391888.2589612291</v>
      </c>
      <c r="K36" s="108"/>
      <c r="P36"/>
      <c r="Q36"/>
      <c r="R36"/>
      <c r="S36"/>
      <c r="T36"/>
      <c r="U36"/>
      <c r="V36"/>
      <c r="W36"/>
      <c r="X36"/>
      <c r="Y36"/>
    </row>
    <row r="37" spans="1:25" x14ac:dyDescent="0.3">
      <c r="A37" s="107">
        <v>46072</v>
      </c>
      <c r="B37" s="81" t="s">
        <v>35</v>
      </c>
      <c r="C37" s="108" t="s">
        <v>309</v>
      </c>
      <c r="D37" s="112" t="s">
        <v>86</v>
      </c>
      <c r="E37" s="37"/>
      <c r="F37" s="37"/>
      <c r="G37" s="37"/>
      <c r="H37" s="110" t="e">
        <f>_xlfn.XLOOKUP(Table1[[#This Row],[Shipment Number]], 'pivot '!A:A,'pivot '!G:G, "NF")</f>
        <v>#DIV/0!</v>
      </c>
      <c r="I37" s="113">
        <f>_xlfn.XLOOKUP(Table1[[#This Row],[Party Name]],
[2]Billing!$Q$5:$Q$40,
[2]Billing!$U$5:$U$40)</f>
        <v>112548.46378931969</v>
      </c>
      <c r="J37" s="113">
        <f>_xlfn.XLOOKUP(Table1[[#This Row],[Party Name]],
[2]Billing!$Q$5:$Q$40,
[2]Billing!$W$5:$W$40)</f>
        <v>1448134.6013167519</v>
      </c>
      <c r="K37" s="108"/>
      <c r="P37"/>
      <c r="Q37"/>
      <c r="R37"/>
      <c r="S37"/>
      <c r="T37"/>
      <c r="U37"/>
      <c r="V37"/>
      <c r="W37"/>
      <c r="X37"/>
      <c r="Y37"/>
    </row>
    <row r="38" spans="1:25" x14ac:dyDescent="0.3">
      <c r="A38" s="107">
        <v>46072</v>
      </c>
      <c r="B38" s="81" t="s">
        <v>148</v>
      </c>
      <c r="C38" s="108" t="s">
        <v>309</v>
      </c>
      <c r="D38" s="108" t="s">
        <v>86</v>
      </c>
      <c r="E38" s="37"/>
      <c r="F38" s="37"/>
      <c r="G38" s="37"/>
      <c r="H38" s="110" t="e">
        <f>_xlfn.XLOOKUP(Table1[[#This Row],[Shipment Number]], 'pivot '!A:A,'pivot '!G:G, "NF")</f>
        <v>#DIV/0!</v>
      </c>
      <c r="I38" s="113">
        <f>_xlfn.XLOOKUP(Table1[[#This Row],[Party Name]],
[2]Billing!$Q$5:$Q$40,
[2]Billing!$U$5:$U$40)</f>
        <v>0</v>
      </c>
      <c r="J38" s="113">
        <f>_xlfn.XLOOKUP(Table1[[#This Row],[Party Name]],
[2]Billing!$Q$5:$Q$40,
[2]Billing!$W$5:$W$40)</f>
        <v>0</v>
      </c>
      <c r="K38" s="108"/>
      <c r="P38"/>
      <c r="Q38"/>
      <c r="R38"/>
      <c r="S38"/>
      <c r="T38"/>
      <c r="U38"/>
      <c r="V38"/>
      <c r="W38"/>
      <c r="X38"/>
      <c r="Y38"/>
    </row>
    <row r="39" spans="1:25" x14ac:dyDescent="0.3">
      <c r="A39" s="107">
        <v>46072</v>
      </c>
      <c r="B39" s="81" t="s">
        <v>27</v>
      </c>
      <c r="C39" s="108" t="s">
        <v>309</v>
      </c>
      <c r="D39" s="112" t="s">
        <v>86</v>
      </c>
      <c r="E39" s="37"/>
      <c r="F39" s="37"/>
      <c r="G39" s="37"/>
      <c r="H39" s="110" t="e">
        <f>_xlfn.XLOOKUP(Table1[[#This Row],[Shipment Number]], 'pivot '!A:A,'pivot '!G:G, "NF")</f>
        <v>#DIV/0!</v>
      </c>
      <c r="I39" s="113">
        <f>_xlfn.XLOOKUP(Table1[[#This Row],[Party Name]],
[2]Billing!$Q$5:$Q$40,
[2]Billing!$U$5:$U$40)</f>
        <v>0</v>
      </c>
      <c r="J39" s="113">
        <f>_xlfn.XLOOKUP(Table1[[#This Row],[Party Name]],
[2]Billing!$Q$5:$Q$40,
[2]Billing!$W$5:$W$40)</f>
        <v>0</v>
      </c>
      <c r="K39" s="108"/>
      <c r="P39"/>
      <c r="Q39"/>
      <c r="R39"/>
      <c r="S39"/>
      <c r="T39"/>
      <c r="U39"/>
      <c r="V39"/>
      <c r="W39"/>
      <c r="X39"/>
      <c r="Y39"/>
    </row>
    <row r="40" spans="1:25" x14ac:dyDescent="0.3">
      <c r="A40" s="107">
        <v>46072</v>
      </c>
      <c r="B40" s="81" t="s">
        <v>166</v>
      </c>
      <c r="C40" s="108" t="s">
        <v>309</v>
      </c>
      <c r="D40" s="108" t="s">
        <v>86</v>
      </c>
      <c r="E40" s="37"/>
      <c r="F40" s="37"/>
      <c r="G40" s="37"/>
      <c r="H40" s="110" t="e">
        <f>_xlfn.XLOOKUP(Table1[[#This Row],[Shipment Number]], 'pivot '!A:A,'pivot '!G:G, "NF")</f>
        <v>#DIV/0!</v>
      </c>
      <c r="I40" s="113">
        <f>_xlfn.XLOOKUP(Table1[[#This Row],[Party Name]],
[2]Billing!$Q$5:$Q$40,
[2]Billing!$U$5:$U$40)</f>
        <v>141474.94513533285</v>
      </c>
      <c r="J40" s="113">
        <f>_xlfn.XLOOKUP(Table1[[#This Row],[Party Name]],
[2]Billing!$Q$5:$Q$40,
[2]Billing!$W$5:$W$40)</f>
        <v>1776019.5683979518</v>
      </c>
      <c r="K40" s="108"/>
      <c r="P40"/>
      <c r="Q40"/>
      <c r="R40"/>
      <c r="S40"/>
      <c r="T40"/>
      <c r="U40"/>
      <c r="V40"/>
      <c r="W40"/>
      <c r="X40"/>
      <c r="Y40"/>
    </row>
    <row r="41" spans="1:25" x14ac:dyDescent="0.3">
      <c r="A41" s="107">
        <v>46072</v>
      </c>
      <c r="B41" s="81" t="s">
        <v>219</v>
      </c>
      <c r="C41" s="108" t="s">
        <v>309</v>
      </c>
      <c r="D41" s="112" t="s">
        <v>86</v>
      </c>
      <c r="E41" s="37"/>
      <c r="F41" s="37"/>
      <c r="G41" s="37"/>
      <c r="H41" s="110" t="e">
        <f>_xlfn.XLOOKUP(Table1[[#This Row],[Shipment Number]], 'pivot '!A:A,'pivot '!G:G, "NF")</f>
        <v>#DIV/0!</v>
      </c>
      <c r="I41" s="113">
        <f>_xlfn.XLOOKUP(Table1[[#This Row],[Party Name]],
[2]Billing!$Q$5:$Q$40,
[2]Billing!$U$5:$U$40)</f>
        <v>0</v>
      </c>
      <c r="J41" s="113">
        <f>_xlfn.XLOOKUP(Table1[[#This Row],[Party Name]],
[2]Billing!$Q$5:$Q$40,
[2]Billing!$W$5:$W$40)</f>
        <v>0</v>
      </c>
      <c r="K41" s="108"/>
      <c r="P41"/>
      <c r="Q41"/>
      <c r="R41"/>
      <c r="S41"/>
      <c r="T41"/>
      <c r="U41"/>
      <c r="V41"/>
      <c r="W41"/>
      <c r="X41"/>
      <c r="Y41"/>
    </row>
    <row r="42" spans="1:25" x14ac:dyDescent="0.3">
      <c r="A42" s="107">
        <v>46072</v>
      </c>
      <c r="B42" s="81" t="s">
        <v>170</v>
      </c>
      <c r="C42" s="108" t="s">
        <v>309</v>
      </c>
      <c r="D42" s="108" t="s">
        <v>86</v>
      </c>
      <c r="E42" s="37"/>
      <c r="F42" s="37"/>
      <c r="G42" s="37"/>
      <c r="H42" s="110" t="e">
        <f>_xlfn.XLOOKUP(Table1[[#This Row],[Shipment Number]], 'pivot '!A:A,'pivot '!G:G, "NF")</f>
        <v>#DIV/0!</v>
      </c>
      <c r="I42" s="113">
        <f>_xlfn.XLOOKUP(Table1[[#This Row],[Party Name]],
[2]Billing!$Q$5:$Q$40,
[2]Billing!$U$5:$U$40)</f>
        <v>0</v>
      </c>
      <c r="J42" s="113">
        <f>_xlfn.XLOOKUP(Table1[[#This Row],[Party Name]],
[2]Billing!$Q$5:$Q$40,
[2]Billing!$W$5:$W$40)</f>
        <v>0</v>
      </c>
      <c r="K42" s="108"/>
      <c r="P42"/>
      <c r="Q42"/>
      <c r="R42"/>
      <c r="S42"/>
      <c r="T42"/>
      <c r="U42"/>
      <c r="V42"/>
      <c r="W42"/>
      <c r="X42"/>
      <c r="Y42"/>
    </row>
    <row r="43" spans="1:25" x14ac:dyDescent="0.3">
      <c r="A43" s="107">
        <v>46072</v>
      </c>
      <c r="B43" s="81" t="s">
        <v>171</v>
      </c>
      <c r="C43" s="108" t="s">
        <v>309</v>
      </c>
      <c r="D43" s="112" t="s">
        <v>86</v>
      </c>
      <c r="E43" s="37"/>
      <c r="F43" s="37"/>
      <c r="G43" s="37"/>
      <c r="H43" s="110" t="e">
        <f>_xlfn.XLOOKUP(Table1[[#This Row],[Shipment Number]], 'pivot '!A:A,'pivot '!G:G, "NF")</f>
        <v>#DIV/0!</v>
      </c>
      <c r="I43" s="113">
        <f>_xlfn.XLOOKUP(Table1[[#This Row],[Party Name]],
[2]Billing!$Q$5:$Q$40,
[2]Billing!$U$5:$U$40)</f>
        <v>0</v>
      </c>
      <c r="J43" s="113">
        <f>_xlfn.XLOOKUP(Table1[[#This Row],[Party Name]],
[2]Billing!$Q$5:$Q$40,
[2]Billing!$W$5:$W$40)</f>
        <v>0</v>
      </c>
      <c r="K43" s="108"/>
      <c r="P43"/>
      <c r="Q43"/>
      <c r="R43"/>
      <c r="S43"/>
      <c r="T43"/>
      <c r="U43"/>
      <c r="V43"/>
      <c r="W43"/>
      <c r="X43"/>
      <c r="Y43"/>
    </row>
    <row r="44" spans="1:25" x14ac:dyDescent="0.3">
      <c r="A44" s="107">
        <v>46072</v>
      </c>
      <c r="B44" s="81" t="s">
        <v>173</v>
      </c>
      <c r="C44" s="108" t="s">
        <v>309</v>
      </c>
      <c r="D44" s="108" t="s">
        <v>86</v>
      </c>
      <c r="E44" s="37"/>
      <c r="F44" s="37"/>
      <c r="G44" s="37"/>
      <c r="H44" s="110" t="e">
        <f>_xlfn.XLOOKUP(Table1[[#This Row],[Shipment Number]], 'pivot '!A:A,'pivot '!G:G, "NF")</f>
        <v>#DIV/0!</v>
      </c>
      <c r="I44" s="113">
        <f>_xlfn.XLOOKUP(Table1[[#This Row],[Party Name]],
[2]Billing!$Q$5:$Q$40,
[2]Billing!$U$5:$U$40)</f>
        <v>9232.809070958303</v>
      </c>
      <c r="J44" s="113">
        <f>_xlfn.XLOOKUP(Table1[[#This Row],[Party Name]],
[2]Billing!$Q$5:$Q$40,
[2]Billing!$W$5:$W$40)</f>
        <v>120026.51792245793</v>
      </c>
      <c r="K44" s="108"/>
      <c r="P44"/>
      <c r="Q44"/>
      <c r="R44"/>
      <c r="S44"/>
      <c r="T44"/>
      <c r="U44"/>
      <c r="V44"/>
      <c r="W44"/>
      <c r="X44"/>
      <c r="Y44"/>
    </row>
    <row r="45" spans="1:25" x14ac:dyDescent="0.3">
      <c r="A45" s="107">
        <v>46072</v>
      </c>
      <c r="B45" s="81" t="s">
        <v>175</v>
      </c>
      <c r="C45" s="108" t="s">
        <v>309</v>
      </c>
      <c r="D45" s="112" t="s">
        <v>86</v>
      </c>
      <c r="E45" s="37"/>
      <c r="F45" s="37"/>
      <c r="G45" s="37"/>
      <c r="H45" s="110" t="e">
        <f>_xlfn.XLOOKUP(Table1[[#This Row],[Shipment Number]], 'pivot '!A:A,'pivot '!G:G, "NF")</f>
        <v>#DIV/0!</v>
      </c>
      <c r="I45" s="113">
        <f>_xlfn.XLOOKUP(Table1[[#This Row],[Party Name]],
[2]Billing!$Q$5:$Q$40,
[2]Billing!$U$5:$U$40)</f>
        <v>462841.07534747623</v>
      </c>
      <c r="J45" s="113">
        <f>_xlfn.XLOOKUP(Table1[[#This Row],[Party Name]],
[2]Billing!$Q$5:$Q$40,
[2]Billing!$W$5:$W$40)</f>
        <v>6016933.9795171916</v>
      </c>
      <c r="K45" s="108"/>
      <c r="P45"/>
      <c r="Q45"/>
      <c r="R45"/>
      <c r="S45"/>
      <c r="T45"/>
      <c r="U45"/>
      <c r="V45"/>
      <c r="W45"/>
      <c r="X45"/>
      <c r="Y45"/>
    </row>
    <row r="46" spans="1:25" x14ac:dyDescent="0.3">
      <c r="A46" s="107">
        <v>46072</v>
      </c>
      <c r="B46" s="81" t="s">
        <v>177</v>
      </c>
      <c r="C46" s="108" t="s">
        <v>309</v>
      </c>
      <c r="D46" s="108" t="s">
        <v>86</v>
      </c>
      <c r="E46" s="37"/>
      <c r="F46" s="37"/>
      <c r="G46" s="37"/>
      <c r="H46" s="110" t="e">
        <f>_xlfn.XLOOKUP(Table1[[#This Row],[Shipment Number]], 'pivot '!A:A,'pivot '!G:G, "NF")</f>
        <v>#DIV/0!</v>
      </c>
      <c r="I46" s="113">
        <f>_xlfn.XLOOKUP(Table1[[#This Row],[Party Name]],
[2]Billing!$Q$5:$Q$40,
[2]Billing!$U$5:$U$40)</f>
        <v>7565.8376005852242</v>
      </c>
      <c r="J46" s="113">
        <f>_xlfn.XLOOKUP(Table1[[#This Row],[Party Name]],
[2]Billing!$Q$5:$Q$40,
[2]Billing!$W$5:$W$40)</f>
        <v>98355.888807607917</v>
      </c>
      <c r="K46" s="108"/>
      <c r="P46"/>
      <c r="Q46"/>
      <c r="R46"/>
      <c r="S46"/>
      <c r="T46"/>
      <c r="U46"/>
      <c r="V46"/>
      <c r="W46"/>
      <c r="X46"/>
      <c r="Y46"/>
    </row>
    <row r="47" spans="1:25" x14ac:dyDescent="0.3">
      <c r="A47" s="107">
        <v>46072</v>
      </c>
      <c r="B47" s="81" t="s">
        <v>178</v>
      </c>
      <c r="C47" s="108" t="s">
        <v>309</v>
      </c>
      <c r="D47" s="112" t="s">
        <v>86</v>
      </c>
      <c r="E47" s="37"/>
      <c r="F47" s="37"/>
      <c r="G47" s="37"/>
      <c r="H47" s="110" t="e">
        <f>_xlfn.XLOOKUP(Table1[[#This Row],[Shipment Number]], 'pivot '!A:A,'pivot '!G:G, "NF")</f>
        <v>#DIV/0!</v>
      </c>
      <c r="I47" s="113">
        <f>_xlfn.XLOOKUP(Table1[[#This Row],[Party Name]],
[2]Billing!$Q$5:$Q$40,
[2]Billing!$U$5:$U$40)</f>
        <v>46600.219458668624</v>
      </c>
      <c r="J47" s="113">
        <f>_xlfn.XLOOKUP(Table1[[#This Row],[Party Name]],
[2]Billing!$Q$5:$Q$40,
[2]Billing!$W$5:$W$40)</f>
        <v>605802.85296269215</v>
      </c>
      <c r="K47" s="108"/>
      <c r="P47"/>
      <c r="Q47"/>
      <c r="R47"/>
      <c r="S47"/>
      <c r="T47"/>
      <c r="U47"/>
      <c r="V47"/>
      <c r="W47"/>
      <c r="X47"/>
      <c r="Y47"/>
    </row>
    <row r="48" spans="1:25" x14ac:dyDescent="0.3">
      <c r="A48" s="107">
        <v>46072</v>
      </c>
      <c r="B48" s="81" t="s">
        <v>183</v>
      </c>
      <c r="C48" s="108" t="s">
        <v>309</v>
      </c>
      <c r="D48" s="108" t="s">
        <v>86</v>
      </c>
      <c r="E48" s="37"/>
      <c r="F48" s="37"/>
      <c r="G48" s="37"/>
      <c r="H48" s="110" t="e">
        <f>_xlfn.XLOOKUP(Table1[[#This Row],[Shipment Number]], 'pivot '!A:A,'pivot '!G:G, "NF")</f>
        <v>#DIV/0!</v>
      </c>
      <c r="I48" s="113">
        <f>_xlfn.XLOOKUP(Table1[[#This Row],[Party Name]],
[2]Billing!$Q$5:$Q$40,
[2]Billing!$U$5:$U$40)</f>
        <v>31409.107534747625</v>
      </c>
      <c r="J48" s="113">
        <f>_xlfn.XLOOKUP(Table1[[#This Row],[Party Name]],
[2]Billing!$Q$5:$Q$40,
[2]Billing!$W$5:$W$40)</f>
        <v>408318.39795171918</v>
      </c>
      <c r="K48" s="108"/>
      <c r="P48"/>
      <c r="Q48"/>
      <c r="R48"/>
      <c r="S48"/>
      <c r="T48"/>
      <c r="U48"/>
      <c r="V48"/>
      <c r="W48"/>
      <c r="X48"/>
      <c r="Y48"/>
    </row>
    <row r="49" spans="1:25" x14ac:dyDescent="0.3">
      <c r="A49" s="107">
        <v>46072</v>
      </c>
      <c r="B49" s="126" t="s">
        <v>237</v>
      </c>
      <c r="C49" s="108" t="s">
        <v>309</v>
      </c>
      <c r="D49" s="126" t="s">
        <v>86</v>
      </c>
      <c r="E49" s="84"/>
      <c r="F49" s="84"/>
      <c r="G49" s="84"/>
      <c r="H49" s="127" t="e">
        <f>_xlfn.XLOOKUP(Table1[[#This Row],[Shipment Number]], 'pivot '!A:A,'pivot '!G:G, "NF")</f>
        <v>#DIV/0!</v>
      </c>
      <c r="I49" s="113">
        <f>_xlfn.XLOOKUP(Table1[[#This Row],[Party Name]],
[2]Billing!$Q$5:$Q$40,
[2]Billing!$U$5:$U$40)</f>
        <v>45840.343818580841</v>
      </c>
      <c r="J49" s="113">
        <f>_xlfn.XLOOKUP(Table1[[#This Row],[Party Name]],
[2]Billing!$Q$5:$Q$40,
[2]Billing!$W$5:$W$40)</f>
        <v>595924.46964155091</v>
      </c>
      <c r="K49" s="126"/>
      <c r="P49"/>
      <c r="Q49"/>
      <c r="R49"/>
      <c r="S49"/>
      <c r="T49"/>
      <c r="U49"/>
      <c r="V49"/>
      <c r="W49"/>
      <c r="X49"/>
      <c r="Y49"/>
    </row>
    <row r="50" spans="1:25" x14ac:dyDescent="0.3">
      <c r="A50" s="107">
        <v>46072</v>
      </c>
      <c r="B50" s="126" t="s">
        <v>239</v>
      </c>
      <c r="C50" s="108" t="s">
        <v>309</v>
      </c>
      <c r="D50" s="126" t="s">
        <v>86</v>
      </c>
      <c r="E50" s="84"/>
      <c r="F50" s="84"/>
      <c r="G50" s="84"/>
      <c r="H50" s="127" t="e">
        <f>_xlfn.XLOOKUP(Table1[[#This Row],[Shipment Number]], 'pivot '!A:A,'pivot '!G:G, "NF")</f>
        <v>#DIV/0!</v>
      </c>
      <c r="I50" s="113">
        <f>_xlfn.XLOOKUP(Table1[[#This Row],[Party Name]],
[2]Billing!$Q$5:$Q$40,
[2]Billing!$U$5:$U$40)</f>
        <v>86727.322604242872</v>
      </c>
      <c r="J50" s="113">
        <f>_xlfn.XLOOKUP(Table1[[#This Row],[Party Name]],
[2]Billing!$Q$5:$Q$40,
[2]Billing!$W$5:$W$40)</f>
        <v>1127455.1938551574</v>
      </c>
      <c r="K50" s="126"/>
      <c r="P50"/>
      <c r="Q50"/>
      <c r="R50"/>
      <c r="S50"/>
      <c r="T50"/>
      <c r="U50"/>
      <c r="V50"/>
      <c r="W50"/>
      <c r="X50"/>
      <c r="Y50"/>
    </row>
    <row r="51" spans="1:25" x14ac:dyDescent="0.3">
      <c r="A51" s="107">
        <v>46072</v>
      </c>
      <c r="B51" s="126" t="s">
        <v>259</v>
      </c>
      <c r="C51" s="108" t="s">
        <v>309</v>
      </c>
      <c r="D51" s="126" t="s">
        <v>86</v>
      </c>
      <c r="E51" s="84"/>
      <c r="F51" s="84"/>
      <c r="G51" s="84"/>
      <c r="H51" s="127" t="e">
        <f>_xlfn.XLOOKUP(Table1[[#This Row],[Shipment Number]], 'pivot '!A:A,'pivot '!G:G, "NF")</f>
        <v>#DIV/0!</v>
      </c>
      <c r="I51" s="113">
        <f>_xlfn.XLOOKUP(Table1[[#This Row],[Party Name]],
[2]Billing!$Q$5:$Q$40,
[2]Billing!$U$5:$U$40)</f>
        <v>48958.485735186543</v>
      </c>
      <c r="J51" s="113">
        <f>_xlfn.XLOOKUP(Table1[[#This Row],[Party Name]],
[2]Billing!$Q$5:$Q$40,
[2]Billing!$W$5:$W$40)</f>
        <v>636460.3145574251</v>
      </c>
      <c r="K51" s="126"/>
      <c r="P51"/>
      <c r="Q51"/>
      <c r="R51"/>
      <c r="S51"/>
      <c r="T51"/>
      <c r="U51"/>
      <c r="V51"/>
      <c r="W51"/>
      <c r="X51"/>
      <c r="Y51"/>
    </row>
    <row r="52" spans="1:25" x14ac:dyDescent="0.3">
      <c r="A52" s="107">
        <v>46072</v>
      </c>
      <c r="B52" s="126" t="s">
        <v>266</v>
      </c>
      <c r="C52" s="108" t="s">
        <v>309</v>
      </c>
      <c r="D52" s="126" t="s">
        <v>86</v>
      </c>
      <c r="E52" s="84"/>
      <c r="F52" s="84"/>
      <c r="G52" s="84"/>
      <c r="H52" s="127" t="e">
        <f>_xlfn.XLOOKUP(Table1[[#This Row],[Shipment Number]], 'pivot '!A:A,'pivot '!G:G, "NF")</f>
        <v>#DIV/0!</v>
      </c>
      <c r="I52" s="113">
        <f>_xlfn.XLOOKUP(Table1[[#This Row],[Party Name]],
[2]Billing!$Q$5:$Q$40,
[2]Billing!$U$5:$U$40)</f>
        <v>1321.3240673006585</v>
      </c>
      <c r="J52" s="113">
        <f>_xlfn.XLOOKUP(Table1[[#This Row],[Party Name]],
[2]Billing!$Q$5:$Q$40,
[2]Billing!$W$5:$W$40)</f>
        <v>15855.888807607902</v>
      </c>
      <c r="K52" s="126"/>
      <c r="P52"/>
      <c r="Q52"/>
      <c r="R52"/>
      <c r="S52"/>
      <c r="T52"/>
      <c r="U52"/>
      <c r="V52"/>
      <c r="W52"/>
      <c r="X52"/>
      <c r="Y52"/>
    </row>
    <row r="53" spans="1:25" x14ac:dyDescent="0.3">
      <c r="A53" s="107">
        <v>46072</v>
      </c>
      <c r="B53" s="81" t="s">
        <v>190</v>
      </c>
      <c r="C53" s="108" t="s">
        <v>309</v>
      </c>
      <c r="D53" s="112" t="s">
        <v>86</v>
      </c>
      <c r="E53" s="37"/>
      <c r="F53" s="37"/>
      <c r="G53" s="37"/>
      <c r="H53" s="110" t="e">
        <f>_xlfn.XLOOKUP(Table1[[#This Row],[Shipment Number]], 'pivot '!A:A,'pivot '!G:G, "NF")</f>
        <v>#DIV/0!</v>
      </c>
      <c r="I53" s="113">
        <f>_xlfn.XLOOKUP(Table1[[#This Row],[Party Name]],
[2]Billing!$Q$5:$Q$40,
[2]Billing!$U$5:$U$40)</f>
        <v>0</v>
      </c>
      <c r="J53" s="113">
        <f>_xlfn.XLOOKUP(Table1[[#This Row],[Party Name]],
[2]Billing!$Q$5:$Q$40,
[2]Billing!$W$5:$W$40)</f>
        <v>0</v>
      </c>
      <c r="K53" s="108"/>
      <c r="P53"/>
      <c r="Q53"/>
      <c r="R53"/>
      <c r="S53"/>
      <c r="T53"/>
      <c r="U53"/>
      <c r="V53"/>
      <c r="W53"/>
      <c r="X53"/>
      <c r="Y53"/>
    </row>
    <row r="54" spans="1:25" x14ac:dyDescent="0.3">
      <c r="A54" s="107">
        <v>46072</v>
      </c>
      <c r="B54" s="81" t="s">
        <v>193</v>
      </c>
      <c r="C54" s="108" t="s">
        <v>309</v>
      </c>
      <c r="D54" s="108" t="s">
        <v>86</v>
      </c>
      <c r="E54" s="37"/>
      <c r="F54" s="37"/>
      <c r="G54" s="37"/>
      <c r="H54" s="110" t="e">
        <f>_xlfn.XLOOKUP(Table1[[#This Row],[Shipment Number]], 'pivot '!A:A,'pivot '!G:G, "NF")</f>
        <v>#DIV/0!</v>
      </c>
      <c r="I54" s="113">
        <f>_xlfn.XLOOKUP(Table1[[#This Row],[Party Name]],
[2]Billing!$Q$5:$Q$40,
[2]Billing!$U$5:$U$40)</f>
        <v>0</v>
      </c>
      <c r="J54" s="113">
        <f>_xlfn.XLOOKUP(Table1[[#This Row],[Party Name]],
[2]Billing!$Q$5:$Q$40,
[2]Billing!$W$5:$W$40)</f>
        <v>0</v>
      </c>
      <c r="K54" s="108"/>
      <c r="P54"/>
      <c r="Q54"/>
      <c r="R54"/>
      <c r="S54"/>
      <c r="T54"/>
      <c r="U54"/>
      <c r="V54"/>
      <c r="W54"/>
      <c r="X54"/>
      <c r="Y54"/>
    </row>
    <row r="55" spans="1:25" x14ac:dyDescent="0.3">
      <c r="A55" s="107">
        <v>46072</v>
      </c>
      <c r="B55" s="81" t="s">
        <v>192</v>
      </c>
      <c r="C55" s="108" t="s">
        <v>309</v>
      </c>
      <c r="D55" s="112" t="s">
        <v>86</v>
      </c>
      <c r="E55" s="37"/>
      <c r="F55" s="37"/>
      <c r="G55" s="37"/>
      <c r="H55" s="110" t="e">
        <f>_xlfn.XLOOKUP(Table1[[#This Row],[Shipment Number]], 'pivot '!A:A,'pivot '!G:G, "NF")</f>
        <v>#DIV/0!</v>
      </c>
      <c r="I55" s="113">
        <f>_xlfn.XLOOKUP(Table1[[#This Row],[Party Name]],
[2]Billing!$Q$5:$Q$40,
[2]Billing!$U$5:$U$40)</f>
        <v>111911.11923920995</v>
      </c>
      <c r="J55" s="113">
        <f>_xlfn.XLOOKUP(Table1[[#This Row],[Party Name]],
[2]Billing!$Q$5:$Q$40,
[2]Billing!$W$5:$W$40)</f>
        <v>1454844.5501097296</v>
      </c>
      <c r="K55" s="108"/>
      <c r="P55"/>
      <c r="Q55"/>
      <c r="R55"/>
      <c r="S55"/>
      <c r="T55"/>
      <c r="U55"/>
      <c r="V55"/>
      <c r="W55"/>
      <c r="X55"/>
      <c r="Y55"/>
    </row>
    <row r="56" spans="1:25" x14ac:dyDescent="0.3">
      <c r="A56" s="107">
        <v>46072</v>
      </c>
      <c r="B56" s="81" t="s">
        <v>197</v>
      </c>
      <c r="C56" s="108" t="s">
        <v>309</v>
      </c>
      <c r="D56" s="108" t="s">
        <v>86</v>
      </c>
      <c r="E56" s="37"/>
      <c r="F56" s="37"/>
      <c r="G56" s="37"/>
      <c r="H56" s="110" t="e">
        <f>_xlfn.XLOOKUP(Table1[[#This Row],[Shipment Number]], 'pivot '!A:A,'pivot '!G:G, "NF")</f>
        <v>#DIV/0!</v>
      </c>
      <c r="I56" s="113">
        <f>_xlfn.XLOOKUP(Table1[[#This Row],[Party Name]],
[2]Billing!$Q$5:$Q$40,
[2]Billing!$U$5:$U$40)</f>
        <v>0</v>
      </c>
      <c r="J56" s="113">
        <f>_xlfn.XLOOKUP(Table1[[#This Row],[Party Name]],
[2]Billing!$Q$5:$Q$40,
[2]Billing!$W$5:$W$40)</f>
        <v>0</v>
      </c>
      <c r="K56" s="108"/>
      <c r="P56"/>
      <c r="Q56"/>
      <c r="R56"/>
      <c r="S56"/>
      <c r="T56"/>
      <c r="U56"/>
      <c r="V56"/>
      <c r="W56"/>
      <c r="X56"/>
      <c r="Y56"/>
    </row>
    <row r="57" spans="1:25" x14ac:dyDescent="0.3">
      <c r="A57" s="107">
        <v>46072</v>
      </c>
      <c r="B57" s="81" t="s">
        <v>202</v>
      </c>
      <c r="C57" s="108" t="s">
        <v>309</v>
      </c>
      <c r="D57" s="112" t="s">
        <v>86</v>
      </c>
      <c r="E57" s="37"/>
      <c r="F57" s="37"/>
      <c r="G57" s="37"/>
      <c r="H57" s="110" t="e">
        <f>_xlfn.XLOOKUP(Table1[[#This Row],[Shipment Number]], 'pivot '!A:A,'pivot '!G:G, "NF")</f>
        <v>#DIV/0!</v>
      </c>
      <c r="I57" s="113">
        <f>_xlfn.XLOOKUP(Table1[[#This Row],[Party Name]],
[2]Billing!$Q$5:$Q$40,
[2]Billing!$U$5:$U$40)</f>
        <v>29626.005852231167</v>
      </c>
      <c r="J57" s="113">
        <f>_xlfn.XLOOKUP(Table1[[#This Row],[Party Name]],
[2]Billing!$Q$5:$Q$40,
[2]Billing!$W$5:$W$40)</f>
        <v>385138.07607900514</v>
      </c>
      <c r="K57" s="108"/>
      <c r="P57"/>
      <c r="Q57"/>
      <c r="R57"/>
      <c r="S57"/>
      <c r="T57"/>
      <c r="U57"/>
      <c r="V57"/>
      <c r="W57"/>
      <c r="X57"/>
      <c r="Y57"/>
    </row>
    <row r="58" spans="1:25" x14ac:dyDescent="0.3">
      <c r="A58" s="107">
        <v>46072</v>
      </c>
      <c r="B58" s="81" t="s">
        <v>204</v>
      </c>
      <c r="C58" s="108" t="s">
        <v>309</v>
      </c>
      <c r="D58" s="108" t="s">
        <v>86</v>
      </c>
      <c r="E58" s="37"/>
      <c r="F58" s="37"/>
      <c r="G58" s="37"/>
      <c r="H58" s="110" t="e">
        <f>_xlfn.XLOOKUP(Table1[[#This Row],[Shipment Number]], 'pivot '!A:A,'pivot '!G:G, "NF")</f>
        <v>#DIV/0!</v>
      </c>
      <c r="I58" s="113">
        <f>_xlfn.XLOOKUP(Table1[[#This Row],[Party Name]],
[2]Billing!$Q$5:$Q$40,
[2]Billing!$U$5:$U$40)</f>
        <v>0</v>
      </c>
      <c r="J58" s="113">
        <f>_xlfn.XLOOKUP(Table1[[#This Row],[Party Name]],
[2]Billing!$Q$5:$Q$40,
[2]Billing!$W$5:$W$40)</f>
        <v>0</v>
      </c>
      <c r="K58" s="108"/>
      <c r="P58"/>
      <c r="Q58"/>
      <c r="R58"/>
      <c r="S58"/>
      <c r="T58"/>
      <c r="U58"/>
      <c r="V58"/>
      <c r="W58"/>
    </row>
    <row r="59" spans="1:25" x14ac:dyDescent="0.3">
      <c r="A59" s="107">
        <v>46072</v>
      </c>
      <c r="B59" s="24" t="s">
        <v>25</v>
      </c>
      <c r="C59" s="108" t="s">
        <v>309</v>
      </c>
      <c r="D59" s="108" t="s">
        <v>184</v>
      </c>
      <c r="E59" s="37"/>
      <c r="F59" s="37"/>
      <c r="G59" s="37"/>
      <c r="H59" s="110" t="e">
        <f>_xlfn.XLOOKUP(Table1[[#This Row],[Shipment Number]], 'pivot '!A:A,'pivot '!G:G, "NF")</f>
        <v>#DIV/0!</v>
      </c>
      <c r="I59" s="110"/>
      <c r="J59" s="110">
        <f>_xlfn.XLOOKUP(Table1[[#This Row],[Party Name]],
[2]Billing!$Q$5:$Q$40,
[2]Billing!$X$5:$X$40)</f>
        <v>71359.729334308722</v>
      </c>
      <c r="K59" s="108"/>
      <c r="P59"/>
      <c r="Q59"/>
      <c r="R59"/>
      <c r="S59"/>
      <c r="T59"/>
      <c r="U59"/>
    </row>
    <row r="60" spans="1:25" x14ac:dyDescent="0.3">
      <c r="A60" s="107">
        <v>46072</v>
      </c>
      <c r="B60" s="24" t="s">
        <v>175</v>
      </c>
      <c r="C60" s="108" t="s">
        <v>309</v>
      </c>
      <c r="D60" s="108" t="s">
        <v>184</v>
      </c>
      <c r="E60" s="37"/>
      <c r="F60" s="37"/>
      <c r="G60" s="37"/>
      <c r="H60" s="110" t="e">
        <f>_xlfn.XLOOKUP(Table1[[#This Row],[Shipment Number]], 'pivot '!A:A,'pivot '!G:G, "NF")</f>
        <v>#DIV/0!</v>
      </c>
      <c r="I60" s="110"/>
      <c r="J60" s="110">
        <f>_xlfn.XLOOKUP(Table1[[#This Row],[Party Name]],
[2]Billing!$Q$5:$Q$40,
[2]Billing!$X$5:$X$40)</f>
        <v>44550.109729334312</v>
      </c>
      <c r="K60" s="108"/>
      <c r="M60"/>
      <c r="P60"/>
      <c r="Q60"/>
      <c r="R60"/>
      <c r="S60"/>
      <c r="T60"/>
      <c r="U60"/>
    </row>
    <row r="61" spans="1:25" x14ac:dyDescent="0.3">
      <c r="A61" s="107">
        <v>46072</v>
      </c>
      <c r="B61" s="24" t="s">
        <v>177</v>
      </c>
      <c r="C61" s="108" t="s">
        <v>309</v>
      </c>
      <c r="D61" s="108" t="s">
        <v>185</v>
      </c>
      <c r="E61" s="37"/>
      <c r="F61" s="37"/>
      <c r="G61" s="37"/>
      <c r="H61" s="110" t="e">
        <f>_xlfn.XLOOKUP(Table1[[#This Row],[Shipment Number]], 'pivot '!A:A,'pivot '!G:G, "NF")</f>
        <v>#DIV/0!</v>
      </c>
      <c r="I61" s="110"/>
      <c r="J61" s="110">
        <f>_xlfn.XLOOKUP(Table1[[#This Row],[Party Name]],
[2]Billing!$Q$5:$Q$40,
[2]Billing!$Y$5:$Y$40)</f>
        <v>94656.181419166067</v>
      </c>
      <c r="K61" s="108"/>
      <c r="M61"/>
      <c r="P61"/>
      <c r="Q61"/>
      <c r="R61"/>
      <c r="S61"/>
    </row>
    <row r="62" spans="1:25" x14ac:dyDescent="0.3">
      <c r="A62" s="107">
        <v>46072</v>
      </c>
      <c r="B62" s="108" t="s">
        <v>24</v>
      </c>
      <c r="C62" s="108" t="s">
        <v>309</v>
      </c>
      <c r="D62" s="108" t="s">
        <v>185</v>
      </c>
      <c r="E62" s="37"/>
      <c r="F62" s="37"/>
      <c r="G62" s="37"/>
      <c r="H62" s="110" t="e">
        <f>_xlfn.XLOOKUP(Table1[[#This Row],[Shipment Number]], 'pivot '!A:A,'pivot '!G:G, "NF")</f>
        <v>#DIV/0!</v>
      </c>
      <c r="I62" s="110"/>
      <c r="J62" s="110">
        <f>_xlfn.XLOOKUP(Table1[[#This Row],[Party Name]],
[2]Billing!$Q$5:$Q$40,
[2]Billing!$Y$5:$Y$40)</f>
        <v>239959.76591075349</v>
      </c>
      <c r="K62" s="108"/>
      <c r="M62"/>
      <c r="P62"/>
      <c r="Q62"/>
      <c r="R62"/>
      <c r="S62"/>
    </row>
    <row r="63" spans="1:25" x14ac:dyDescent="0.3">
      <c r="A63" s="107">
        <v>46072</v>
      </c>
      <c r="B63" s="24" t="s">
        <v>183</v>
      </c>
      <c r="C63" s="108" t="s">
        <v>309</v>
      </c>
      <c r="D63" s="108" t="s">
        <v>199</v>
      </c>
      <c r="E63" s="37"/>
      <c r="F63" s="37"/>
      <c r="G63" s="37"/>
      <c r="H63" s="110" t="e">
        <f>_xlfn.XLOOKUP(Table1[[#This Row],[Shipment Number]], 'pivot '!A:A,'pivot '!G:G, "NF")</f>
        <v>#DIV/0!</v>
      </c>
      <c r="I63" s="110"/>
      <c r="J63" s="110">
        <f>_xlfn.XLOOKUP(Table1[[#This Row],[Party Name]],
[2]Billing!$Q$5:$Q$40,
[2]Billing!$Z$5:$Z$40)</f>
        <v>161653.2553035845</v>
      </c>
      <c r="K63" s="108"/>
      <c r="S63"/>
    </row>
    <row r="64" spans="1:25" x14ac:dyDescent="0.3">
      <c r="A64" s="107">
        <v>46072</v>
      </c>
      <c r="B64" s="108" t="s">
        <v>190</v>
      </c>
      <c r="C64" s="108" t="s">
        <v>309</v>
      </c>
      <c r="D64" s="108" t="s">
        <v>199</v>
      </c>
      <c r="E64" s="37"/>
      <c r="F64" s="37"/>
      <c r="G64" s="37"/>
      <c r="H64" s="110" t="e">
        <f>_xlfn.XLOOKUP(Table1[[#This Row],[Shipment Number]], 'pivot '!A:A,'pivot '!G:G, "NF")</f>
        <v>#DIV/0!</v>
      </c>
      <c r="I64" s="110"/>
      <c r="J64" s="110">
        <f>_xlfn.XLOOKUP(Table1[[#This Row],[Party Name]],
[2]Billing!$Q$5:$Q$40,
[2]Billing!$Z$5:$Z$40)</f>
        <v>23767.373811265548</v>
      </c>
      <c r="K64" s="108"/>
      <c r="S64"/>
    </row>
    <row r="65" spans="1:19" x14ac:dyDescent="0.3">
      <c r="A65" s="107">
        <v>46072</v>
      </c>
      <c r="B65" s="121" t="s">
        <v>25</v>
      </c>
      <c r="C65" s="108" t="s">
        <v>309</v>
      </c>
      <c r="D65" s="108" t="s">
        <v>199</v>
      </c>
      <c r="E65" s="84"/>
      <c r="F65" s="84"/>
      <c r="G65" s="84"/>
      <c r="H65" s="127" t="e">
        <f>_xlfn.XLOOKUP(Table1[[#This Row],[Shipment Number]], 'pivot '!A:A,'pivot '!G:G, "NF")</f>
        <v>#DIV/0!</v>
      </c>
      <c r="I65" s="127"/>
      <c r="J65" s="110">
        <f>_xlfn.XLOOKUP(Table1[[#This Row],[Party Name]],
[2]Billing!$Q$5:$Q$40,
[2]Billing!$Z$5:$Z$40)</f>
        <v>322297.00073152891</v>
      </c>
      <c r="K65" s="126"/>
      <c r="S65"/>
    </row>
    <row r="66" spans="1:19" x14ac:dyDescent="0.3">
      <c r="A66" s="107">
        <v>46072</v>
      </c>
      <c r="B66" s="108" t="s">
        <v>183</v>
      </c>
      <c r="C66" s="108" t="s">
        <v>309</v>
      </c>
      <c r="D66" s="108" t="s">
        <v>207</v>
      </c>
      <c r="E66" s="37"/>
      <c r="F66" s="37"/>
      <c r="G66" s="37"/>
      <c r="H66" s="110" t="e">
        <f>_xlfn.XLOOKUP(Table1[[#This Row],[Shipment Number]], 'pivot '!A:A,'pivot '!G:G, "NF")</f>
        <v>#DIV/0!</v>
      </c>
      <c r="I66" s="110"/>
      <c r="J66" s="110">
        <f>_xlfn.XLOOKUP(Table1[[#This Row],[Party Name]],
[2]Billing!$Q$5:$Q$40,
[2]Billing!$AA$5:$AA$40)</f>
        <v>1970409.6561814193</v>
      </c>
      <c r="K66" s="108"/>
      <c r="S66"/>
    </row>
    <row r="67" spans="1:19" x14ac:dyDescent="0.3">
      <c r="A67" s="107">
        <v>46072</v>
      </c>
      <c r="B67" s="24" t="s">
        <v>190</v>
      </c>
      <c r="C67" s="108" t="s">
        <v>309</v>
      </c>
      <c r="D67" s="108" t="s">
        <v>207</v>
      </c>
      <c r="E67" s="37"/>
      <c r="F67" s="37"/>
      <c r="G67" s="37"/>
      <c r="H67" s="110" t="e">
        <f>_xlfn.XLOOKUP(Table1[[#This Row],[Shipment Number]], 'pivot '!A:A,'pivot '!G:G, "NF")</f>
        <v>#DIV/0!</v>
      </c>
      <c r="I67" s="110"/>
      <c r="J67" s="110">
        <f>_xlfn.XLOOKUP(Table1[[#This Row],[Party Name]],
[2]Billing!$Q$5:$Q$40,
[2]Billing!$AA$5:$AA$40)</f>
        <v>523143.74542794435</v>
      </c>
      <c r="K67" s="108"/>
      <c r="S67"/>
    </row>
    <row r="68" spans="1:19" x14ac:dyDescent="0.3">
      <c r="A68" s="107">
        <v>46072</v>
      </c>
      <c r="B68" s="121" t="s">
        <v>21</v>
      </c>
      <c r="C68" s="108" t="s">
        <v>309</v>
      </c>
      <c r="D68" s="108" t="s">
        <v>207</v>
      </c>
      <c r="E68" s="11"/>
      <c r="F68" s="11"/>
      <c r="G68" s="11"/>
      <c r="H68" s="119" t="e">
        <f>_xlfn.XLOOKUP(Table1[[#This Row],[Shipment Number]], 'pivot '!A:A,'pivot '!G:G, "NF")</f>
        <v>#DIV/0!</v>
      </c>
      <c r="I68" s="120"/>
      <c r="J68" s="110">
        <f>_xlfn.XLOOKUP(Table1[[#This Row],[Party Name]],
[2]Billing!$Q$5:$Q$40,
[2]Billing!$AA$5:$AA$40)</f>
        <v>126666.9714703731</v>
      </c>
      <c r="K68" s="118"/>
      <c r="S68"/>
    </row>
    <row r="69" spans="1:19" x14ac:dyDescent="0.3">
      <c r="A69" s="107">
        <v>46072</v>
      </c>
      <c r="B69" s="24" t="s">
        <v>204</v>
      </c>
      <c r="C69" s="108" t="s">
        <v>309</v>
      </c>
      <c r="D69" s="108" t="s">
        <v>205</v>
      </c>
      <c r="E69" s="37"/>
      <c r="F69" s="37"/>
      <c r="G69" s="37"/>
      <c r="H69" s="110" t="e">
        <f>_xlfn.XLOOKUP(Table1[[#This Row],[Shipment Number]], 'pivot '!A:A,'pivot '!G:G, "NF")</f>
        <v>#DIV/0!</v>
      </c>
      <c r="I69" s="110"/>
      <c r="J69" s="110">
        <f>_xlfn.XLOOKUP(Table1[[#This Row],[Party Name]],
[2]Billing!$Q$5:$Q$40,
[2]Billing!$AB$5:$AB$40)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8.0777461360749641</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8.0777461360749641</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246</v>
      </c>
      <c r="C76" s="118">
        <v>1515</v>
      </c>
      <c r="D76" s="118" t="s">
        <v>247</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247</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2.1832714289227937</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2.4389859618344332</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2.3629283599976247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39.034829396650508</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c r="B83"/>
      <c r="C83"/>
      <c r="D83"/>
      <c r="E83" s="14"/>
      <c r="F83" s="14"/>
      <c r="G83" s="14"/>
      <c r="H83" s="43"/>
      <c r="I83" s="94" cm="1">
        <f t="array" aca="1" ref="I83" ca="1">SUMPRODUCT( SUBTOTAL(109, OFFSET(Table1[tiyar/meters], ROW(Table1[tiyar/meters])-MIN(ROW(Table1[tiyar/meters])), 0, 1)), --(Table1[Bill Number]&lt;&gt;"January Closing CF") )</f>
        <v>191313.09436722752</v>
      </c>
      <c r="J83" s="43" cm="1">
        <f t="array" aca="1" ref="J83" ca="1">SUMPRODUCT( SUBTOTAL(109, OFFSET(Table1[billing], ROW(Table1[billing])-MIN(ROW(Table1[billing])), 0, 1)), --(Table1[Bill Number]&lt;&gt;"January Closing CF") )</f>
        <v>2106832.4798829556</v>
      </c>
      <c r="K83" s="14">
        <f>SUMIFS(Table1[billing], Table1[Bill Number], "&lt;&gt;January Closing CF")</f>
        <v>2106832.4798829556</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83">
    <cfRule type="cellIs" dxfId="1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244</v>
      </c>
      <c r="D1" t="s">
        <v>245</v>
      </c>
      <c r="E1" t="s">
        <v>78</v>
      </c>
    </row>
    <row r="2" spans="1:5" x14ac:dyDescent="0.3">
      <c r="A2" s="1">
        <v>46046</v>
      </c>
      <c r="B2" t="s">
        <v>246</v>
      </c>
      <c r="C2">
        <v>2069</v>
      </c>
      <c r="D2">
        <v>3875</v>
      </c>
      <c r="E2" t="s">
        <v>247</v>
      </c>
    </row>
    <row r="3" spans="1:5" x14ac:dyDescent="0.3">
      <c r="A3" s="1">
        <v>46048</v>
      </c>
      <c r="B3" t="s">
        <v>248</v>
      </c>
      <c r="C3">
        <v>2070</v>
      </c>
      <c r="D3">
        <v>60945</v>
      </c>
      <c r="E3" t="s">
        <v>249</v>
      </c>
    </row>
    <row r="4" spans="1:5" x14ac:dyDescent="0.3">
      <c r="A4" s="1">
        <v>46048</v>
      </c>
      <c r="C4">
        <v>2071</v>
      </c>
    </row>
    <row r="5" spans="1:5" x14ac:dyDescent="0.3">
      <c r="A5" s="1">
        <v>46048</v>
      </c>
      <c r="B5" t="s">
        <v>248</v>
      </c>
      <c r="C5">
        <v>2072</v>
      </c>
      <c r="D5">
        <v>15104</v>
      </c>
      <c r="E5" t="s">
        <v>249</v>
      </c>
    </row>
    <row r="6" spans="1:5" x14ac:dyDescent="0.3">
      <c r="A6" s="1">
        <v>46049</v>
      </c>
      <c r="B6" t="s">
        <v>9</v>
      </c>
      <c r="C6">
        <v>2073</v>
      </c>
      <c r="D6">
        <v>20111</v>
      </c>
      <c r="E6" t="s">
        <v>249</v>
      </c>
    </row>
    <row r="7" spans="1:5" x14ac:dyDescent="0.3">
      <c r="A7" s="1">
        <v>46049</v>
      </c>
      <c r="B7" t="s">
        <v>250</v>
      </c>
      <c r="C7">
        <v>2074</v>
      </c>
      <c r="D7">
        <v>1519</v>
      </c>
      <c r="E7" t="s">
        <v>249</v>
      </c>
    </row>
    <row r="8" spans="1:5" x14ac:dyDescent="0.3">
      <c r="A8" s="1">
        <v>46049</v>
      </c>
      <c r="B8" t="s">
        <v>250</v>
      </c>
      <c r="C8">
        <v>2075</v>
      </c>
      <c r="D8">
        <v>1519</v>
      </c>
      <c r="E8" t="s">
        <v>249</v>
      </c>
    </row>
    <row r="9" spans="1:5" x14ac:dyDescent="0.3">
      <c r="A9" s="1">
        <v>46053</v>
      </c>
      <c r="B9" t="s">
        <v>251</v>
      </c>
      <c r="C9">
        <v>2076</v>
      </c>
      <c r="D9">
        <v>50784</v>
      </c>
      <c r="E9" t="s">
        <v>86</v>
      </c>
    </row>
    <row r="10" spans="1:5" x14ac:dyDescent="0.3">
      <c r="A10" s="1">
        <v>46053</v>
      </c>
      <c r="B10" t="s">
        <v>252</v>
      </c>
      <c r="C10">
        <v>2077</v>
      </c>
      <c r="D10">
        <v>62470</v>
      </c>
      <c r="E10" t="s">
        <v>86</v>
      </c>
    </row>
    <row r="11" spans="1:5" x14ac:dyDescent="0.3">
      <c r="A11" s="1">
        <v>46053</v>
      </c>
      <c r="B11" t="s">
        <v>9</v>
      </c>
      <c r="C11">
        <v>2078</v>
      </c>
      <c r="D11">
        <v>25072</v>
      </c>
      <c r="E11" t="s">
        <v>249</v>
      </c>
    </row>
    <row r="12" spans="1:5" x14ac:dyDescent="0.3">
      <c r="A12" s="1">
        <v>46053</v>
      </c>
      <c r="B12" t="s">
        <v>21</v>
      </c>
      <c r="C12">
        <v>2079</v>
      </c>
      <c r="D12">
        <v>7968</v>
      </c>
      <c r="E12" t="s">
        <v>253</v>
      </c>
    </row>
    <row r="13" spans="1:5" x14ac:dyDescent="0.3">
      <c r="A13" s="1">
        <v>46056</v>
      </c>
      <c r="B13" t="s">
        <v>21</v>
      </c>
      <c r="C13">
        <v>2080</v>
      </c>
      <c r="D13">
        <v>53024</v>
      </c>
      <c r="E13" t="s">
        <v>254</v>
      </c>
    </row>
    <row r="14" spans="1:5" x14ac:dyDescent="0.3">
      <c r="A14" s="1">
        <v>46056</v>
      </c>
      <c r="B14" t="s">
        <v>21</v>
      </c>
      <c r="C14">
        <v>2081</v>
      </c>
      <c r="D14">
        <v>68014</v>
      </c>
      <c r="E14" t="s">
        <v>254</v>
      </c>
    </row>
    <row r="15" spans="1:5" x14ac:dyDescent="0.3">
      <c r="A15" s="1">
        <v>46056</v>
      </c>
      <c r="B15" t="s">
        <v>21</v>
      </c>
      <c r="C15">
        <v>2082</v>
      </c>
      <c r="D15">
        <v>83635</v>
      </c>
      <c r="E15" t="s">
        <v>254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249</v>
      </c>
    </row>
    <row r="19" spans="1:5" x14ac:dyDescent="0.3">
      <c r="A19" s="1">
        <v>46057</v>
      </c>
      <c r="B19" t="s">
        <v>250</v>
      </c>
      <c r="C19">
        <v>2086</v>
      </c>
      <c r="D19" t="s">
        <v>255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3" zoomScale="145" zoomScaleNormal="90" workbookViewId="0">
      <selection activeCell="A2" sqref="A2:A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232</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209920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v>46073</v>
      </c>
      <c r="B14" t="s">
        <v>277</v>
      </c>
      <c r="D14" s="11">
        <v>256</v>
      </c>
      <c r="E14" s="11">
        <v>820</v>
      </c>
      <c r="F14" s="11">
        <v>64290</v>
      </c>
      <c r="G14" s="11">
        <f>D14*E14</f>
        <v>209920</v>
      </c>
      <c r="H14" s="11"/>
      <c r="I14" s="11">
        <f>(D14*E14)-[2]!Table3[[#This Row],[Paid]]</f>
        <v>209920</v>
      </c>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c r="D19" s="11"/>
      <c r="E19" s="11"/>
      <c r="F19" s="11"/>
      <c r="G19" s="11"/>
      <c r="H19" s="11"/>
      <c r="I19" s="11"/>
      <c r="L19" s="26">
        <v>46050</v>
      </c>
      <c r="M19" s="14">
        <v>201</v>
      </c>
      <c r="N19" s="14">
        <v>129840</v>
      </c>
      <c r="O19" s="14"/>
      <c r="P19" s="14">
        <v>129840</v>
      </c>
    </row>
    <row r="20" spans="1:16" x14ac:dyDescent="0.3">
      <c r="A20" s="1"/>
      <c r="D20" s="11"/>
      <c r="E20" s="11"/>
      <c r="F20" s="11"/>
      <c r="G20" s="11"/>
      <c r="H20" s="11"/>
      <c r="I20" s="11"/>
      <c r="L20" s="42" t="s">
        <v>103</v>
      </c>
      <c r="M20" s="14">
        <v>201</v>
      </c>
      <c r="N20" s="14">
        <v>129840</v>
      </c>
      <c r="O20" s="14"/>
      <c r="P20" s="14">
        <v>129840</v>
      </c>
    </row>
    <row r="21" spans="1:16" x14ac:dyDescent="0.3">
      <c r="A21" s="1"/>
      <c r="D21" s="11"/>
      <c r="E21" s="11"/>
      <c r="F21" s="11"/>
      <c r="G21" s="11"/>
      <c r="H21" s="11"/>
      <c r="I21" s="11"/>
      <c r="L21" s="26">
        <v>46052</v>
      </c>
      <c r="M21" s="14">
        <v>533</v>
      </c>
      <c r="N21" s="14">
        <v>493025</v>
      </c>
      <c r="O21" s="14"/>
      <c r="P21" s="14">
        <v>493025</v>
      </c>
    </row>
    <row r="22" spans="1:16" x14ac:dyDescent="0.3">
      <c r="A22" s="1"/>
      <c r="D22" s="11"/>
      <c r="E22" s="11"/>
      <c r="F22" s="11"/>
      <c r="G22" s="11"/>
      <c r="H22" s="11"/>
      <c r="I22" s="11"/>
      <c r="L22" s="42" t="s">
        <v>103</v>
      </c>
      <c r="M22" s="14">
        <v>533</v>
      </c>
      <c r="N22" s="14">
        <v>493025</v>
      </c>
      <c r="O22" s="14"/>
      <c r="P22" s="14">
        <v>493025</v>
      </c>
    </row>
    <row r="23" spans="1:16" x14ac:dyDescent="0.3">
      <c r="A23" s="1"/>
      <c r="D23" s="11"/>
      <c r="E23" s="11"/>
      <c r="F23" s="11"/>
      <c r="G23" s="11"/>
      <c r="H23" s="11"/>
      <c r="I23" s="11"/>
      <c r="L23" s="26">
        <v>46054</v>
      </c>
      <c r="M23" s="14">
        <v>317</v>
      </c>
      <c r="N23" s="14">
        <v>263825</v>
      </c>
      <c r="O23" s="14"/>
      <c r="P23" s="14">
        <v>263825</v>
      </c>
    </row>
    <row r="24" spans="1:16" x14ac:dyDescent="0.3">
      <c r="A24" s="1"/>
      <c r="D24" s="11"/>
      <c r="E24" s="11"/>
      <c r="F24" s="11"/>
      <c r="G24" s="11"/>
      <c r="H24" s="11"/>
      <c r="I24" s="11"/>
      <c r="L24" s="42" t="s">
        <v>103</v>
      </c>
      <c r="M24" s="14">
        <v>75</v>
      </c>
      <c r="N24" s="14">
        <v>58125</v>
      </c>
      <c r="O24" s="14"/>
      <c r="P24" s="14">
        <v>58125</v>
      </c>
    </row>
    <row r="25" spans="1:16" x14ac:dyDescent="0.3">
      <c r="A25" s="1"/>
      <c r="D25" s="11"/>
      <c r="E25" s="11"/>
      <c r="F25" s="11"/>
      <c r="G25" s="11"/>
      <c r="H25" s="11"/>
      <c r="I25" s="11"/>
      <c r="L25" s="42" t="s">
        <v>242</v>
      </c>
      <c r="M25" s="14">
        <v>242</v>
      </c>
      <c r="N25" s="14">
        <v>205700</v>
      </c>
      <c r="O25" s="14"/>
      <c r="P25" s="14">
        <v>205700</v>
      </c>
    </row>
    <row r="26" spans="1:16" x14ac:dyDescent="0.3">
      <c r="A26" s="1"/>
      <c r="D26" s="11"/>
      <c r="E26" s="11"/>
      <c r="F26" s="11"/>
      <c r="G26" s="11"/>
      <c r="H26" s="11"/>
      <c r="I26" s="11"/>
      <c r="L26" s="26">
        <v>46053</v>
      </c>
      <c r="M26" s="14">
        <v>73</v>
      </c>
      <c r="N26" s="14">
        <v>56575</v>
      </c>
      <c r="O26" s="14"/>
      <c r="P26" s="14">
        <v>56575</v>
      </c>
    </row>
    <row r="27" spans="1:16" x14ac:dyDescent="0.3">
      <c r="A27" s="1"/>
      <c r="D27" s="11"/>
      <c r="E27" s="11"/>
      <c r="F27" s="11"/>
      <c r="G27" s="11"/>
      <c r="H27" s="11"/>
      <c r="I27" s="11"/>
      <c r="L27" s="42" t="s">
        <v>103</v>
      </c>
      <c r="M27" s="14">
        <v>73</v>
      </c>
      <c r="N27" s="14">
        <v>56575</v>
      </c>
      <c r="O27" s="14"/>
      <c r="P27" s="14">
        <v>56575</v>
      </c>
    </row>
    <row r="28" spans="1:16" x14ac:dyDescent="0.3">
      <c r="A28" s="1"/>
      <c r="D28" s="11"/>
      <c r="E28" s="11"/>
      <c r="F28" s="11"/>
      <c r="G28" s="11"/>
      <c r="H28" s="11"/>
      <c r="I28" s="11"/>
      <c r="L28" s="26">
        <v>46055</v>
      </c>
      <c r="M28" s="14">
        <v>132</v>
      </c>
      <c r="N28" s="14">
        <v>95865</v>
      </c>
      <c r="O28" s="14"/>
      <c r="P28" s="14">
        <v>95865</v>
      </c>
    </row>
    <row r="29" spans="1:16" x14ac:dyDescent="0.3">
      <c r="A29" s="1"/>
      <c r="D29" s="11"/>
      <c r="E29" s="11"/>
      <c r="F29" s="11"/>
      <c r="G29" s="11"/>
      <c r="H29" s="11"/>
      <c r="I29" s="11"/>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c r="D31" s="11"/>
      <c r="E31" s="11"/>
      <c r="F31" s="11"/>
      <c r="G31" s="11"/>
      <c r="H31" s="11"/>
      <c r="I31" s="11"/>
      <c r="L31" s="42" t="s">
        <v>103</v>
      </c>
      <c r="M31" s="14">
        <v>140</v>
      </c>
      <c r="N31" s="14">
        <v>81200</v>
      </c>
      <c r="O31" s="14"/>
      <c r="P31" s="14">
        <v>81200</v>
      </c>
    </row>
    <row r="32" spans="1:16" x14ac:dyDescent="0.3">
      <c r="A32" s="1"/>
      <c r="D32" s="11"/>
      <c r="E32" s="11"/>
      <c r="F32" s="11"/>
      <c r="G32" s="11"/>
      <c r="H32" s="11"/>
      <c r="I32" s="11"/>
      <c r="L32" s="26">
        <v>46059</v>
      </c>
      <c r="M32" s="14">
        <v>472</v>
      </c>
      <c r="N32" s="14">
        <v>368275</v>
      </c>
      <c r="O32" s="14"/>
      <c r="P32" s="14">
        <v>368275</v>
      </c>
    </row>
    <row r="33" spans="1:16" x14ac:dyDescent="0.3">
      <c r="A33" s="1"/>
      <c r="D33" s="11"/>
      <c r="E33" s="122"/>
      <c r="F33" s="11"/>
      <c r="G33" s="11"/>
      <c r="H33" s="11"/>
      <c r="I33" s="11"/>
      <c r="L33" s="42" t="s">
        <v>103</v>
      </c>
      <c r="M33" s="14">
        <v>472</v>
      </c>
      <c r="N33" s="14">
        <v>368275</v>
      </c>
      <c r="O33" s="14"/>
      <c r="P33" s="14">
        <v>368275</v>
      </c>
    </row>
    <row r="34" spans="1:16" x14ac:dyDescent="0.3">
      <c r="A34" s="1"/>
      <c r="D34" s="11"/>
      <c r="E34" s="11"/>
      <c r="F34" s="11"/>
      <c r="G34" s="11"/>
      <c r="H34" s="11"/>
      <c r="I34" s="11"/>
      <c r="L34" s="26">
        <v>46056</v>
      </c>
      <c r="M34" s="14">
        <v>250</v>
      </c>
      <c r="N34" s="14">
        <v>212500</v>
      </c>
      <c r="O34" s="14"/>
      <c r="P34" s="14">
        <v>212500</v>
      </c>
    </row>
    <row r="35" spans="1:16" x14ac:dyDescent="0.3">
      <c r="A35" s="1"/>
      <c r="D35" s="11"/>
      <c r="E35" s="11"/>
      <c r="F35" s="11"/>
      <c r="G35" s="11"/>
      <c r="H35" s="11"/>
      <c r="I35" s="11"/>
      <c r="L35" s="42" t="s">
        <v>103</v>
      </c>
      <c r="M35" s="14">
        <v>250</v>
      </c>
      <c r="N35" s="14">
        <v>212500</v>
      </c>
      <c r="O35" s="14"/>
      <c r="P35" s="14">
        <v>212500</v>
      </c>
    </row>
    <row r="36" spans="1:16" x14ac:dyDescent="0.3">
      <c r="A36" s="1"/>
      <c r="D36" s="11"/>
      <c r="E36" s="11"/>
      <c r="F36" s="11"/>
      <c r="G36" s="11"/>
      <c r="H36" s="11"/>
      <c r="I36" s="11"/>
      <c r="L36" s="26">
        <v>46060</v>
      </c>
      <c r="M36" s="14">
        <v>242</v>
      </c>
      <c r="N36" s="14">
        <v>200860</v>
      </c>
      <c r="O36" s="14"/>
      <c r="P36" s="14">
        <v>200860</v>
      </c>
    </row>
    <row r="37" spans="1:16" x14ac:dyDescent="0.3">
      <c r="A37" s="1"/>
      <c r="D37" s="11"/>
      <c r="E37" s="11"/>
      <c r="F37" s="11"/>
      <c r="G37" s="11"/>
      <c r="H37" s="11"/>
      <c r="I37" s="11"/>
      <c r="L37" s="42" t="s">
        <v>103</v>
      </c>
      <c r="M37" s="14">
        <v>242</v>
      </c>
      <c r="N37" s="14">
        <v>200860</v>
      </c>
      <c r="O37" s="14"/>
      <c r="P37" s="14">
        <v>200860</v>
      </c>
    </row>
    <row r="38" spans="1:16" x14ac:dyDescent="0.3">
      <c r="A38" s="1"/>
      <c r="D38" s="11"/>
      <c r="E38" s="11"/>
      <c r="F38" s="11"/>
      <c r="G38" s="11"/>
      <c r="H38" s="11"/>
      <c r="I38" s="11"/>
      <c r="L38" s="26">
        <v>46061</v>
      </c>
      <c r="M38" s="14">
        <v>604</v>
      </c>
      <c r="N38" s="14">
        <v>495280</v>
      </c>
      <c r="O38" s="14"/>
      <c r="P38" s="14">
        <v>495280</v>
      </c>
    </row>
    <row r="39" spans="1:16" x14ac:dyDescent="0.3">
      <c r="A39" s="1"/>
      <c r="D39" s="11"/>
      <c r="E39" s="11"/>
      <c r="F39" s="11"/>
      <c r="G39" s="11"/>
      <c r="H39" s="11"/>
      <c r="I39" s="11"/>
      <c r="L39" s="42" t="s">
        <v>103</v>
      </c>
      <c r="M39" s="14">
        <v>604</v>
      </c>
      <c r="N39" s="14">
        <v>495280</v>
      </c>
      <c r="O39" s="14"/>
      <c r="P39" s="14">
        <v>495280</v>
      </c>
    </row>
    <row r="40" spans="1:16" x14ac:dyDescent="0.3">
      <c r="A40" s="1"/>
      <c r="D40" s="11"/>
      <c r="E40" s="11"/>
      <c r="F40" s="11"/>
      <c r="G40" s="11"/>
      <c r="H40" s="11"/>
      <c r="I40" s="11"/>
      <c r="L40" s="26">
        <v>46062</v>
      </c>
      <c r="M40" s="14">
        <v>215</v>
      </c>
      <c r="N40" s="14">
        <v>176300</v>
      </c>
      <c r="O40" s="14"/>
      <c r="P40" s="14">
        <v>176300</v>
      </c>
    </row>
    <row r="41" spans="1:16" x14ac:dyDescent="0.3">
      <c r="A41" s="1"/>
      <c r="D41" s="11"/>
      <c r="E41" s="11"/>
      <c r="F41" s="11"/>
      <c r="G41" s="11"/>
      <c r="H41" s="11"/>
      <c r="I41" s="11"/>
      <c r="L41" s="42" t="s">
        <v>103</v>
      </c>
      <c r="M41" s="14">
        <v>215</v>
      </c>
      <c r="N41" s="14">
        <v>176300</v>
      </c>
      <c r="O41" s="14"/>
      <c r="P41" s="14">
        <v>176300</v>
      </c>
    </row>
    <row r="42" spans="1:16" x14ac:dyDescent="0.3">
      <c r="A42" s="1"/>
      <c r="D42" s="11"/>
      <c r="E42" s="11"/>
      <c r="F42" s="11"/>
      <c r="G42" s="11"/>
      <c r="H42" s="11"/>
      <c r="I42" s="11"/>
      <c r="L42" s="26">
        <v>46063</v>
      </c>
      <c r="M42" s="14">
        <v>670</v>
      </c>
      <c r="N42" s="14">
        <v>455940</v>
      </c>
      <c r="O42" s="14"/>
      <c r="P42" s="14">
        <v>455940</v>
      </c>
    </row>
    <row r="43" spans="1:16" x14ac:dyDescent="0.3">
      <c r="A43" s="1"/>
      <c r="D43" s="11"/>
      <c r="E43" s="11"/>
      <c r="F43" s="11"/>
      <c r="G43" s="11"/>
      <c r="H43" s="11"/>
      <c r="I43" s="11"/>
      <c r="L43" s="42" t="s">
        <v>103</v>
      </c>
      <c r="M43" s="14">
        <v>670</v>
      </c>
      <c r="N43" s="14">
        <v>455940</v>
      </c>
      <c r="O43" s="14"/>
      <c r="P43" s="14">
        <v>455940</v>
      </c>
    </row>
    <row r="44" spans="1:16" x14ac:dyDescent="0.3">
      <c r="A44" s="1"/>
      <c r="D44" s="11"/>
      <c r="E44" s="11"/>
      <c r="F44" s="11"/>
      <c r="G44" s="11"/>
      <c r="H44" s="11"/>
      <c r="I44" s="11"/>
      <c r="L44" s="26">
        <v>46064</v>
      </c>
      <c r="M44" s="14">
        <v>157</v>
      </c>
      <c r="N44" s="14">
        <v>128740</v>
      </c>
      <c r="O44" s="14"/>
      <c r="P44" s="14">
        <v>128740</v>
      </c>
    </row>
    <row r="45" spans="1:16" x14ac:dyDescent="0.3">
      <c r="A45" s="1"/>
      <c r="D45" s="11"/>
      <c r="E45" s="11"/>
      <c r="F45" s="11"/>
      <c r="G45" s="11"/>
      <c r="H45" s="11"/>
      <c r="I45" s="11"/>
      <c r="L45" s="42" t="s">
        <v>103</v>
      </c>
      <c r="M45" s="14">
        <v>157</v>
      </c>
      <c r="N45" s="14">
        <v>128740</v>
      </c>
      <c r="O45" s="14"/>
      <c r="P45" s="14">
        <v>128740</v>
      </c>
    </row>
    <row r="46" spans="1:16" x14ac:dyDescent="0.3">
      <c r="A46" s="1"/>
      <c r="D46" s="11"/>
      <c r="E46" s="11"/>
      <c r="F46" s="11"/>
      <c r="G46" s="11"/>
      <c r="H46" s="11"/>
      <c r="I46" s="11"/>
      <c r="L46" s="26">
        <v>46066</v>
      </c>
      <c r="M46" s="14">
        <v>441</v>
      </c>
      <c r="N46" s="14">
        <v>361620</v>
      </c>
      <c r="O46" s="14"/>
      <c r="P46" s="14">
        <v>361620</v>
      </c>
    </row>
    <row r="47" spans="1:16" x14ac:dyDescent="0.3">
      <c r="A47" s="1"/>
      <c r="D47" s="11"/>
      <c r="E47" s="11"/>
      <c r="F47" s="11"/>
      <c r="G47" s="11"/>
      <c r="H47" s="11"/>
      <c r="I47" s="11"/>
      <c r="L47" s="42" t="s">
        <v>103</v>
      </c>
      <c r="M47" s="14">
        <v>441</v>
      </c>
      <c r="N47" s="14">
        <v>361620</v>
      </c>
      <c r="O47" s="14"/>
      <c r="P47" s="14">
        <v>361620</v>
      </c>
    </row>
    <row r="48" spans="1:16" x14ac:dyDescent="0.3">
      <c r="A48" s="1"/>
      <c r="D48" s="11"/>
      <c r="E48" s="11"/>
      <c r="F48" s="11"/>
      <c r="G48" s="11"/>
      <c r="H48" s="11"/>
      <c r="I48" s="11"/>
      <c r="L48" s="26">
        <v>46067</v>
      </c>
      <c r="M48" s="14">
        <v>1259</v>
      </c>
      <c r="N48" s="14">
        <v>1009520</v>
      </c>
      <c r="O48" s="14"/>
      <c r="P48" s="14">
        <v>1009520</v>
      </c>
    </row>
    <row r="49" spans="1:16" x14ac:dyDescent="0.3">
      <c r="A49" s="1"/>
      <c r="D49" s="11"/>
      <c r="E49" s="11"/>
      <c r="F49" s="11"/>
      <c r="G49" s="11"/>
      <c r="H49" s="11"/>
      <c r="I49" s="11"/>
      <c r="L49" s="42" t="s">
        <v>103</v>
      </c>
      <c r="M49" s="14">
        <v>1259</v>
      </c>
      <c r="N49" s="14">
        <v>1009520</v>
      </c>
      <c r="O49" s="14"/>
      <c r="P49" s="14">
        <v>1009520</v>
      </c>
    </row>
    <row r="50" spans="1:16" x14ac:dyDescent="0.3">
      <c r="A50" s="1"/>
      <c r="D50" s="11"/>
      <c r="E50" s="11"/>
      <c r="F50" s="11"/>
      <c r="G50" s="11"/>
      <c r="H50" s="11"/>
      <c r="I50" s="11"/>
      <c r="L50" s="26">
        <v>46068</v>
      </c>
      <c r="M50" s="14">
        <v>634</v>
      </c>
      <c r="N50" s="14">
        <v>522330</v>
      </c>
      <c r="O50" s="14"/>
      <c r="P50" s="14">
        <v>522330</v>
      </c>
    </row>
    <row r="51" spans="1:16" x14ac:dyDescent="0.3">
      <c r="A51" s="1"/>
      <c r="D51" s="11"/>
      <c r="E51" s="11"/>
      <c r="F51" s="11"/>
      <c r="G51" s="11"/>
      <c r="H51" s="11"/>
      <c r="I51" s="11"/>
      <c r="L51" s="42" t="s">
        <v>103</v>
      </c>
      <c r="M51" s="14">
        <v>634</v>
      </c>
      <c r="N51" s="14">
        <v>522330</v>
      </c>
      <c r="O51" s="14"/>
      <c r="P51" s="14">
        <v>522330</v>
      </c>
    </row>
    <row r="52" spans="1:16" x14ac:dyDescent="0.3">
      <c r="A52" s="1"/>
      <c r="D52" s="11"/>
      <c r="E52" s="11"/>
      <c r="F52" s="11"/>
      <c r="G52" s="11"/>
      <c r="H52" s="11"/>
      <c r="I52" s="11"/>
      <c r="L52" s="26">
        <v>46069</v>
      </c>
      <c r="M52" s="14">
        <v>248</v>
      </c>
      <c r="N52" s="14">
        <v>203360</v>
      </c>
      <c r="O52" s="14"/>
      <c r="P52" s="14">
        <v>203360</v>
      </c>
    </row>
    <row r="53" spans="1:16" x14ac:dyDescent="0.3">
      <c r="A53" s="1"/>
      <c r="D53" s="11"/>
      <c r="E53" s="11"/>
      <c r="F53" s="11"/>
      <c r="G53" s="11"/>
      <c r="H53" s="11"/>
      <c r="I53" s="11"/>
      <c r="L53" s="42" t="s">
        <v>103</v>
      </c>
      <c r="M53" s="14">
        <v>248</v>
      </c>
      <c r="N53" s="14">
        <v>203360</v>
      </c>
      <c r="O53" s="14"/>
      <c r="P53" s="14">
        <v>203360</v>
      </c>
    </row>
    <row r="54" spans="1:16" x14ac:dyDescent="0.3">
      <c r="A54" s="1"/>
      <c r="D54" s="11"/>
      <c r="E54" s="11"/>
      <c r="F54" s="11"/>
      <c r="G54" s="11"/>
      <c r="H54" s="11"/>
      <c r="I54" s="11"/>
      <c r="L54" s="26">
        <v>46070</v>
      </c>
      <c r="M54" s="14">
        <v>367</v>
      </c>
      <c r="N54" s="14">
        <v>294625</v>
      </c>
      <c r="O54" s="14"/>
      <c r="P54" s="14">
        <v>294625</v>
      </c>
    </row>
    <row r="55" spans="1:16" x14ac:dyDescent="0.3">
      <c r="A55" s="1"/>
      <c r="D55" s="11"/>
      <c r="E55" s="11"/>
      <c r="F55" s="11"/>
      <c r="G55" s="11"/>
      <c r="H55" s="11"/>
      <c r="I55" s="11"/>
      <c r="L55" s="42" t="s">
        <v>103</v>
      </c>
      <c r="M55" s="14">
        <v>367</v>
      </c>
      <c r="N55" s="14">
        <v>294625</v>
      </c>
      <c r="O55" s="14"/>
      <c r="P55" s="14">
        <v>294625</v>
      </c>
    </row>
    <row r="56" spans="1:16" x14ac:dyDescent="0.3">
      <c r="A56" s="1"/>
      <c r="D56" s="11"/>
      <c r="E56" s="11"/>
      <c r="F56" s="11"/>
      <c r="G56" s="11"/>
      <c r="H56" s="11"/>
      <c r="I56" s="11"/>
      <c r="L56" s="26">
        <v>46071</v>
      </c>
      <c r="M56" s="14">
        <v>494</v>
      </c>
      <c r="N56" s="14">
        <v>330440</v>
      </c>
      <c r="O56" s="14"/>
      <c r="P56" s="14">
        <v>330440</v>
      </c>
    </row>
    <row r="57" spans="1:16" x14ac:dyDescent="0.3">
      <c r="A57" s="1"/>
      <c r="D57" s="11"/>
      <c r="E57" s="11"/>
      <c r="F57" s="11"/>
      <c r="G57" s="11"/>
      <c r="H57" s="11"/>
      <c r="I57" s="11"/>
      <c r="L57" s="42" t="s">
        <v>103</v>
      </c>
      <c r="M57" s="14">
        <v>494</v>
      </c>
      <c r="N57" s="14">
        <v>330440</v>
      </c>
      <c r="O57" s="14"/>
      <c r="P57" s="14">
        <v>330440</v>
      </c>
    </row>
    <row r="58" spans="1:16" x14ac:dyDescent="0.3">
      <c r="A58" s="1"/>
      <c r="D58" s="11"/>
      <c r="E58" s="11"/>
      <c r="F58" s="11"/>
      <c r="G58" s="11"/>
      <c r="H58" s="11"/>
      <c r="I58" s="11"/>
      <c r="L58" s="26">
        <v>46072</v>
      </c>
      <c r="M58" s="14">
        <v>335</v>
      </c>
      <c r="N58" s="14">
        <v>236175</v>
      </c>
      <c r="O58" s="14"/>
      <c r="P58" s="14">
        <v>236175</v>
      </c>
    </row>
    <row r="59" spans="1:16" x14ac:dyDescent="0.3">
      <c r="A59" s="1"/>
      <c r="D59" s="11"/>
      <c r="E59" s="11"/>
      <c r="F59" s="11"/>
      <c r="G59" s="11"/>
      <c r="H59" s="11"/>
      <c r="I59" s="11"/>
      <c r="L59" s="42" t="s">
        <v>103</v>
      </c>
      <c r="M59" s="14">
        <v>335</v>
      </c>
      <c r="N59" s="14">
        <v>236175</v>
      </c>
      <c r="O59" s="14"/>
      <c r="P59" s="14">
        <v>236175</v>
      </c>
    </row>
    <row r="60" spans="1:16" x14ac:dyDescent="0.3">
      <c r="A60" s="1"/>
      <c r="D60" s="11"/>
      <c r="E60" s="11"/>
      <c r="F60" s="11"/>
      <c r="G60" s="11"/>
      <c r="H60" s="11"/>
      <c r="I60" s="11"/>
      <c r="L60" s="26">
        <v>46073</v>
      </c>
      <c r="M60" s="14">
        <v>256</v>
      </c>
      <c r="N60" s="14">
        <v>209920</v>
      </c>
      <c r="O60" s="14"/>
      <c r="P60" s="14">
        <v>209920</v>
      </c>
    </row>
    <row r="61" spans="1:16" x14ac:dyDescent="0.3">
      <c r="A61" s="1"/>
      <c r="D61" s="11"/>
      <c r="E61" s="11"/>
      <c r="F61" s="11"/>
      <c r="G61" s="11"/>
      <c r="H61" s="11"/>
      <c r="I61" s="11"/>
      <c r="L61" s="42" t="s">
        <v>103</v>
      </c>
      <c r="M61" s="14">
        <v>256</v>
      </c>
      <c r="N61" s="14">
        <v>209920</v>
      </c>
      <c r="O61" s="14"/>
      <c r="P61" s="14">
        <v>209920</v>
      </c>
    </row>
    <row r="62" spans="1:16" x14ac:dyDescent="0.3">
      <c r="A62" s="1"/>
      <c r="D62" s="11"/>
      <c r="E62" s="11"/>
      <c r="F62" s="11"/>
      <c r="G62" s="11"/>
      <c r="H62" s="11"/>
      <c r="I62" s="11"/>
      <c r="L62" s="26" t="s">
        <v>28</v>
      </c>
      <c r="M62" s="14">
        <v>8955</v>
      </c>
      <c r="N62" s="14">
        <v>7022290</v>
      </c>
      <c r="O62" s="14">
        <v>0</v>
      </c>
      <c r="P62" s="14">
        <v>11228244</v>
      </c>
    </row>
    <row r="63" spans="1:16" x14ac:dyDescent="0.3">
      <c r="A63" s="1"/>
      <c r="D63" s="11"/>
      <c r="E63" s="11"/>
      <c r="F63" s="11"/>
      <c r="G63" s="11"/>
      <c r="H63" s="11"/>
      <c r="I63" s="11"/>
    </row>
    <row r="64" spans="1:16"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19:G82" si="2">D77*E77</f>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209920</v>
      </c>
      <c r="H123" s="14">
        <f>SUBTOTAL(109,Table3[Paid])</f>
        <v>0</v>
      </c>
      <c r="I123" s="14">
        <f>SUBTOTAL(109,Table3[balance])</f>
        <v>4257446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3" zoomScale="104" workbookViewId="0">
      <selection activeCell="D6" sqref="D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[2]Cashbook!$N$5</f>
        <v>7620182</v>
      </c>
      <c r="E2" s="81"/>
      <c r="F2" s="88" t="s">
        <v>108</v>
      </c>
    </row>
    <row r="3" spans="1:16" x14ac:dyDescent="0.3">
      <c r="A3" s="86">
        <v>46042</v>
      </c>
      <c r="B3" s="81" t="s">
        <v>211</v>
      </c>
      <c r="C3" s="11"/>
      <c r="D3" s="87">
        <f>[2]Cashbook!$N$6</f>
        <v>-610916</v>
      </c>
      <c r="E3" s="81"/>
      <c r="F3" s="88" t="s">
        <v>109</v>
      </c>
      <c r="J3" s="47" t="s">
        <v>45</v>
      </c>
      <c r="K3" s="35" t="s">
        <v>46</v>
      </c>
      <c r="M3" s="47" t="s">
        <v>45</v>
      </c>
      <c r="N3" s="50" t="s">
        <v>104</v>
      </c>
      <c r="O3" s="89" t="s">
        <v>105</v>
      </c>
      <c r="P3" t="s">
        <v>106</v>
      </c>
    </row>
    <row r="4" spans="1:16" x14ac:dyDescent="0.3">
      <c r="A4" s="115">
        <v>46042</v>
      </c>
      <c r="B4" s="81" t="s">
        <v>221</v>
      </c>
      <c r="C4" s="96">
        <v>6825308</v>
      </c>
      <c r="D4" s="11"/>
      <c r="E4" s="81" t="s">
        <v>231</v>
      </c>
      <c r="F4" s="88" t="s">
        <v>108</v>
      </c>
      <c r="J4" s="45" t="s">
        <v>70</v>
      </c>
      <c r="K4" s="46">
        <f>Table14[[#Totals],[Debit]]</f>
        <v>10992876</v>
      </c>
      <c r="M4" s="45" t="s">
        <v>107</v>
      </c>
      <c r="N4" s="51">
        <f>SUMIFS(Table14[Withdrawal],Table14[Party],"Cash",Table14[Mode],"Transfer")</f>
        <v>0</v>
      </c>
    </row>
    <row r="5" spans="1:16" x14ac:dyDescent="0.3">
      <c r="A5" s="115">
        <v>46042</v>
      </c>
      <c r="B5" s="81" t="s">
        <v>222</v>
      </c>
      <c r="C5" s="11">
        <v>783072</v>
      </c>
      <c r="D5" s="87"/>
      <c r="E5" s="81" t="s">
        <v>231</v>
      </c>
      <c r="F5" s="88" t="s">
        <v>108</v>
      </c>
      <c r="J5" s="45" t="s">
        <v>69</v>
      </c>
      <c r="K5" s="46">
        <f>Table14[[#Totals],[Credit]]</f>
        <v>11028661</v>
      </c>
      <c r="M5" s="45" t="s">
        <v>108</v>
      </c>
      <c r="N5" s="46">
        <f>(SUMIFS(Table14[Credit],Table14[Mode],"Bank")-SUMIFS(Table14[Debit],Table14[Mode],"Bank")-SUMIFS(Table14[Withdrawal],Table14[Mode],"Transfer"))</f>
        <v>646701</v>
      </c>
      <c r="O5">
        <v>360000</v>
      </c>
    </row>
    <row r="6" spans="1:16" x14ac:dyDescent="0.3">
      <c r="A6" s="115">
        <v>46014</v>
      </c>
      <c r="B6" s="81" t="s">
        <v>212</v>
      </c>
      <c r="C6" s="11"/>
      <c r="D6" s="11">
        <v>658663</v>
      </c>
      <c r="E6" s="81" t="s">
        <v>231</v>
      </c>
      <c r="F6" s="88" t="s">
        <v>108</v>
      </c>
      <c r="J6" s="52" t="s">
        <v>43</v>
      </c>
      <c r="K6" s="53">
        <f>(K5-K4)</f>
        <v>35785</v>
      </c>
      <c r="M6" s="45" t="s">
        <v>109</v>
      </c>
      <c r="N6" s="46">
        <f>((SUMIFS(Table14[Credit],Table14[Mode],"Cash")-SUMIFS(Table14[Debit],Table14[Mode],"Cash"))+SUMIFS(Table14[Withdrawal],Table14[Party],"Cash",Table14[Mode],"Transfer"))</f>
        <v>-610916</v>
      </c>
      <c r="O6">
        <v>50000</v>
      </c>
    </row>
    <row r="7" spans="1:16" x14ac:dyDescent="0.3">
      <c r="A7" s="115">
        <v>46073</v>
      </c>
      <c r="B7" t="s">
        <v>233</v>
      </c>
      <c r="C7" s="11"/>
      <c r="D7" s="11">
        <v>200000</v>
      </c>
      <c r="E7" t="s">
        <v>273</v>
      </c>
      <c r="F7" s="111" t="s">
        <v>108</v>
      </c>
      <c r="M7" s="48" t="s">
        <v>5</v>
      </c>
      <c r="N7" s="49">
        <f>SUM(N5:N6)</f>
        <v>35785</v>
      </c>
      <c r="O7" s="90">
        <f>SUM(O5,O6)</f>
        <v>410000</v>
      </c>
      <c r="P7" s="14">
        <f>Table18[[#Totals],[amount]]-Table18[[#Totals],[Actual]]</f>
        <v>-374215</v>
      </c>
    </row>
    <row r="8" spans="1:16" x14ac:dyDescent="0.3">
      <c r="A8" s="38">
        <v>46073</v>
      </c>
      <c r="B8" t="s">
        <v>55</v>
      </c>
      <c r="C8" s="11">
        <v>8315</v>
      </c>
      <c r="D8" s="11"/>
      <c r="E8" t="s">
        <v>269</v>
      </c>
      <c r="F8" s="111" t="s">
        <v>108</v>
      </c>
    </row>
    <row r="9" spans="1:16" x14ac:dyDescent="0.3">
      <c r="A9" s="115">
        <v>46073</v>
      </c>
      <c r="B9" t="s">
        <v>55</v>
      </c>
      <c r="C9" s="11">
        <v>1100</v>
      </c>
      <c r="D9" s="11"/>
      <c r="E9" t="s">
        <v>274</v>
      </c>
      <c r="F9" s="111" t="s">
        <v>108</v>
      </c>
    </row>
    <row r="10" spans="1:16" x14ac:dyDescent="0.3">
      <c r="A10" s="38">
        <v>46073</v>
      </c>
      <c r="B10" t="s">
        <v>55</v>
      </c>
      <c r="C10" s="11">
        <v>240</v>
      </c>
      <c r="D10" s="11"/>
      <c r="F10" s="111" t="s">
        <v>108</v>
      </c>
    </row>
    <row r="11" spans="1:16" x14ac:dyDescent="0.3">
      <c r="A11" s="115">
        <v>46073</v>
      </c>
      <c r="B11" t="s">
        <v>55</v>
      </c>
      <c r="C11" s="11">
        <v>4550</v>
      </c>
      <c r="D11" s="11"/>
      <c r="E11" t="s">
        <v>275</v>
      </c>
      <c r="F11" s="111" t="s">
        <v>108</v>
      </c>
    </row>
    <row r="12" spans="1:16" x14ac:dyDescent="0.3">
      <c r="A12" s="38">
        <v>46073</v>
      </c>
      <c r="B12" t="s">
        <v>55</v>
      </c>
      <c r="C12" s="11">
        <v>10750</v>
      </c>
      <c r="D12" s="11"/>
      <c r="E12" t="s">
        <v>276</v>
      </c>
      <c r="F12" s="111" t="s">
        <v>108</v>
      </c>
    </row>
    <row r="13" spans="1:16" x14ac:dyDescent="0.3">
      <c r="A13" s="115">
        <v>46073</v>
      </c>
      <c r="B13" t="s">
        <v>277</v>
      </c>
      <c r="C13" s="11">
        <v>64290</v>
      </c>
      <c r="D13" s="11"/>
      <c r="E13" t="s">
        <v>257</v>
      </c>
      <c r="F13" s="111" t="s">
        <v>108</v>
      </c>
    </row>
    <row r="14" spans="1:16" x14ac:dyDescent="0.3">
      <c r="A14" s="38">
        <v>46073</v>
      </c>
      <c r="B14" t="s">
        <v>221</v>
      </c>
      <c r="C14" s="11"/>
      <c r="D14" s="11">
        <v>947000</v>
      </c>
      <c r="E14" t="s">
        <v>278</v>
      </c>
      <c r="F14" s="111" t="s">
        <v>108</v>
      </c>
    </row>
    <row r="15" spans="1:16" x14ac:dyDescent="0.3">
      <c r="A15" s="115">
        <v>46073</v>
      </c>
      <c r="B15" t="s">
        <v>175</v>
      </c>
      <c r="C15" s="11"/>
      <c r="D15" s="11">
        <v>694000</v>
      </c>
      <c r="E15" t="s">
        <v>279</v>
      </c>
      <c r="F15" s="111" t="s">
        <v>108</v>
      </c>
    </row>
    <row r="16" spans="1:16" x14ac:dyDescent="0.3">
      <c r="A16" s="38">
        <v>46073</v>
      </c>
      <c r="B16" t="s">
        <v>55</v>
      </c>
      <c r="C16" s="11">
        <v>2850</v>
      </c>
      <c r="D16" s="11"/>
      <c r="E16" t="s">
        <v>280</v>
      </c>
      <c r="F16" s="111" t="s">
        <v>108</v>
      </c>
    </row>
    <row r="17" spans="1:6" x14ac:dyDescent="0.3">
      <c r="A17" s="115">
        <v>46073</v>
      </c>
      <c r="B17" t="s">
        <v>221</v>
      </c>
      <c r="C17" s="11"/>
      <c r="D17" s="11">
        <v>450000</v>
      </c>
      <c r="E17" t="s">
        <v>281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282</v>
      </c>
      <c r="F20" s="111" t="s">
        <v>108</v>
      </c>
    </row>
    <row r="21" spans="1:6" x14ac:dyDescent="0.3">
      <c r="A21" s="115">
        <v>46073</v>
      </c>
      <c r="B21" t="s">
        <v>221</v>
      </c>
      <c r="C21" s="11"/>
      <c r="D21" s="11">
        <v>130000</v>
      </c>
      <c r="E21" t="s">
        <v>283</v>
      </c>
      <c r="F21" s="111" t="s">
        <v>108</v>
      </c>
    </row>
    <row r="22" spans="1:6" x14ac:dyDescent="0.3">
      <c r="A22" s="38">
        <v>46073</v>
      </c>
      <c r="B22" t="s">
        <v>239</v>
      </c>
      <c r="C22" s="11"/>
      <c r="D22" s="11">
        <v>100000</v>
      </c>
      <c r="F22" s="111" t="s">
        <v>108</v>
      </c>
    </row>
    <row r="23" spans="1:6" x14ac:dyDescent="0.3">
      <c r="A23" s="115">
        <v>46073</v>
      </c>
      <c r="B23" t="s">
        <v>221</v>
      </c>
      <c r="C23" s="11">
        <v>100000</v>
      </c>
      <c r="D23" s="11"/>
      <c r="E23" t="s">
        <v>284</v>
      </c>
      <c r="F23" s="111" t="s">
        <v>108</v>
      </c>
    </row>
    <row r="24" spans="1:6" x14ac:dyDescent="0.3">
      <c r="A24" s="38">
        <v>46073</v>
      </c>
      <c r="B24" t="s">
        <v>54</v>
      </c>
      <c r="C24" s="11">
        <v>6600</v>
      </c>
      <c r="D24" s="11"/>
      <c r="F24" s="111" t="s">
        <v>108</v>
      </c>
    </row>
    <row r="25" spans="1:6" x14ac:dyDescent="0.3">
      <c r="A25" s="115">
        <v>46073</v>
      </c>
      <c r="B25" t="s">
        <v>233</v>
      </c>
      <c r="C25" s="11"/>
      <c r="D25" s="11">
        <v>100000</v>
      </c>
      <c r="E25" t="s">
        <v>285</v>
      </c>
      <c r="F25" s="111" t="s">
        <v>108</v>
      </c>
    </row>
    <row r="26" spans="1:6" x14ac:dyDescent="0.3">
      <c r="A26" s="38">
        <v>46073</v>
      </c>
      <c r="B26" t="s">
        <v>272</v>
      </c>
      <c r="C26" s="11">
        <v>100000</v>
      </c>
      <c r="D26" s="11"/>
      <c r="E26" t="s">
        <v>286</v>
      </c>
      <c r="F26" s="111" t="s">
        <v>108</v>
      </c>
    </row>
    <row r="27" spans="1:6" x14ac:dyDescent="0.3">
      <c r="A27" s="115">
        <v>46073</v>
      </c>
      <c r="B27" t="s">
        <v>212</v>
      </c>
      <c r="C27" s="11">
        <v>800</v>
      </c>
      <c r="D27" s="11"/>
      <c r="F27" s="111" t="s">
        <v>108</v>
      </c>
    </row>
    <row r="28" spans="1:6" x14ac:dyDescent="0.3">
      <c r="A28" s="38">
        <v>46073</v>
      </c>
      <c r="B28" t="s">
        <v>230</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287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288</v>
      </c>
      <c r="F32" s="111" t="s">
        <v>108</v>
      </c>
    </row>
    <row r="33" spans="1:6" x14ac:dyDescent="0.3">
      <c r="A33" s="115">
        <v>46074</v>
      </c>
      <c r="B33" t="s">
        <v>55</v>
      </c>
      <c r="C33" s="11">
        <v>800</v>
      </c>
      <c r="D33" s="11"/>
      <c r="F33" s="111" t="s">
        <v>108</v>
      </c>
    </row>
    <row r="34" spans="1:6" x14ac:dyDescent="0.3">
      <c r="A34" s="38">
        <v>46074</v>
      </c>
      <c r="B34" t="s">
        <v>239</v>
      </c>
      <c r="C34" s="11"/>
      <c r="D34" s="11">
        <v>100000</v>
      </c>
      <c r="E34" t="s">
        <v>289</v>
      </c>
      <c r="F34" s="111" t="s">
        <v>108</v>
      </c>
    </row>
    <row r="35" spans="1:6" x14ac:dyDescent="0.3">
      <c r="A35" s="115">
        <v>46074</v>
      </c>
      <c r="B35" t="s">
        <v>263</v>
      </c>
      <c r="C35" s="11">
        <v>820</v>
      </c>
      <c r="D35" s="11"/>
      <c r="E35" t="s">
        <v>290</v>
      </c>
      <c r="F35" s="111" t="s">
        <v>108</v>
      </c>
    </row>
    <row r="36" spans="1:6" x14ac:dyDescent="0.3">
      <c r="A36" s="38">
        <v>46074</v>
      </c>
      <c r="B36" t="s">
        <v>262</v>
      </c>
      <c r="C36" s="11"/>
      <c r="D36" s="11">
        <v>350000</v>
      </c>
      <c r="F36" s="111" t="s">
        <v>108</v>
      </c>
    </row>
    <row r="37" spans="1:6" x14ac:dyDescent="0.3">
      <c r="A37" s="115">
        <v>46074</v>
      </c>
      <c r="B37" t="s">
        <v>55</v>
      </c>
      <c r="C37" s="11">
        <v>125000</v>
      </c>
      <c r="D37" s="11"/>
      <c r="E37" t="s">
        <v>291</v>
      </c>
      <c r="F37" s="111" t="s">
        <v>108</v>
      </c>
    </row>
    <row r="38" spans="1:6" x14ac:dyDescent="0.3">
      <c r="A38" s="38">
        <v>46074</v>
      </c>
      <c r="B38" t="s">
        <v>246</v>
      </c>
      <c r="C38" s="11"/>
      <c r="D38" s="11">
        <v>39278</v>
      </c>
      <c r="E38" t="s">
        <v>247</v>
      </c>
      <c r="F38" s="111" t="s">
        <v>108</v>
      </c>
    </row>
    <row r="39" spans="1:6" x14ac:dyDescent="0.3">
      <c r="A39" s="115">
        <v>46074</v>
      </c>
      <c r="B39" t="s">
        <v>55</v>
      </c>
      <c r="C39" s="11">
        <v>950</v>
      </c>
      <c r="D39" s="11"/>
      <c r="E39" t="s">
        <v>280</v>
      </c>
      <c r="F39" s="111" t="s">
        <v>108</v>
      </c>
    </row>
    <row r="40" spans="1:6" x14ac:dyDescent="0.3">
      <c r="A40" s="38">
        <v>46074</v>
      </c>
      <c r="B40" t="s">
        <v>233</v>
      </c>
      <c r="C40" s="11"/>
      <c r="D40" s="11">
        <v>29454</v>
      </c>
      <c r="E40" t="s">
        <v>292</v>
      </c>
      <c r="F40" s="111" t="s">
        <v>108</v>
      </c>
    </row>
    <row r="41" spans="1:6" x14ac:dyDescent="0.3">
      <c r="A41" s="115">
        <v>46074</v>
      </c>
      <c r="B41" t="s">
        <v>293</v>
      </c>
      <c r="C41" s="11">
        <v>100000</v>
      </c>
      <c r="D41" s="11"/>
      <c r="E41" t="s">
        <v>294</v>
      </c>
      <c r="F41" s="111" t="s">
        <v>108</v>
      </c>
    </row>
    <row r="42" spans="1:6" x14ac:dyDescent="0.3">
      <c r="A42" s="38">
        <v>46074</v>
      </c>
      <c r="B42" t="s">
        <v>223</v>
      </c>
      <c r="C42" s="96">
        <v>5000</v>
      </c>
      <c r="D42" s="96"/>
      <c r="E42" t="s">
        <v>295</v>
      </c>
      <c r="F42" s="111" t="s">
        <v>108</v>
      </c>
    </row>
    <row r="43" spans="1:6" x14ac:dyDescent="0.3">
      <c r="A43" s="115">
        <v>46074</v>
      </c>
      <c r="B43" t="s">
        <v>9</v>
      </c>
      <c r="C43" s="11"/>
      <c r="D43" s="11">
        <v>200000</v>
      </c>
      <c r="E43" t="s">
        <v>296</v>
      </c>
      <c r="F43" s="111" t="s">
        <v>108</v>
      </c>
    </row>
    <row r="44" spans="1:6" x14ac:dyDescent="0.3">
      <c r="A44" s="38">
        <v>46074</v>
      </c>
      <c r="B44" t="s">
        <v>297</v>
      </c>
      <c r="C44" s="11">
        <v>40000</v>
      </c>
      <c r="D44" s="11"/>
      <c r="E44" t="s">
        <v>298</v>
      </c>
      <c r="F44" s="111" t="s">
        <v>108</v>
      </c>
    </row>
    <row r="45" spans="1:6" x14ac:dyDescent="0.3">
      <c r="A45" s="115">
        <v>46074</v>
      </c>
      <c r="B45" t="s">
        <v>94</v>
      </c>
      <c r="C45" s="11">
        <v>150000</v>
      </c>
      <c r="D45" s="11"/>
      <c r="E45" t="s">
        <v>299</v>
      </c>
      <c r="F45" s="111" t="s">
        <v>108</v>
      </c>
    </row>
    <row r="46" spans="1:6" x14ac:dyDescent="0.3">
      <c r="A46" s="38">
        <v>46074</v>
      </c>
      <c r="B46" t="s">
        <v>169</v>
      </c>
      <c r="C46" s="11">
        <v>151000</v>
      </c>
      <c r="D46" s="11"/>
      <c r="E46" t="s">
        <v>300</v>
      </c>
      <c r="F46" s="111" t="s">
        <v>108</v>
      </c>
    </row>
    <row r="47" spans="1:6" x14ac:dyDescent="0.3">
      <c r="A47" s="115">
        <v>46075</v>
      </c>
      <c r="B47" t="s">
        <v>223</v>
      </c>
      <c r="C47" s="11">
        <v>5000</v>
      </c>
      <c r="D47" s="11"/>
      <c r="E47" t="s">
        <v>301</v>
      </c>
      <c r="F47" s="111" t="s">
        <v>108</v>
      </c>
    </row>
    <row r="48" spans="1:6" x14ac:dyDescent="0.3">
      <c r="A48" s="38">
        <v>46075</v>
      </c>
      <c r="B48" t="s">
        <v>302</v>
      </c>
      <c r="C48" s="11">
        <v>40000</v>
      </c>
      <c r="D48" s="11"/>
      <c r="E48" t="s">
        <v>303</v>
      </c>
      <c r="F48" s="111" t="s">
        <v>108</v>
      </c>
    </row>
    <row r="49" spans="1:6" x14ac:dyDescent="0.3">
      <c r="A49" s="115">
        <v>46075</v>
      </c>
      <c r="B49" t="s">
        <v>223</v>
      </c>
      <c r="C49" s="11">
        <v>1000</v>
      </c>
      <c r="D49" s="11"/>
      <c r="E49" t="s">
        <v>270</v>
      </c>
      <c r="F49" s="111" t="s">
        <v>108</v>
      </c>
    </row>
    <row r="50" spans="1:6" x14ac:dyDescent="0.3">
      <c r="A50" s="38">
        <v>46075</v>
      </c>
      <c r="B50" t="s">
        <v>223</v>
      </c>
      <c r="C50" s="11">
        <v>1000</v>
      </c>
      <c r="D50" s="11"/>
      <c r="E50" t="s">
        <v>260</v>
      </c>
      <c r="F50" s="111" t="s">
        <v>108</v>
      </c>
    </row>
    <row r="51" spans="1:6" x14ac:dyDescent="0.3">
      <c r="A51" s="115">
        <v>46075</v>
      </c>
      <c r="B51" t="s">
        <v>55</v>
      </c>
      <c r="C51" s="11">
        <v>2000</v>
      </c>
      <c r="D51" s="11"/>
      <c r="E51" t="s">
        <v>304</v>
      </c>
      <c r="F51" s="111" t="s">
        <v>108</v>
      </c>
    </row>
    <row r="52" spans="1:6" x14ac:dyDescent="0.3">
      <c r="A52" s="38">
        <v>46075</v>
      </c>
      <c r="B52" t="s">
        <v>55</v>
      </c>
      <c r="C52" s="11">
        <v>8000</v>
      </c>
      <c r="D52" s="11"/>
      <c r="E52" t="s">
        <v>305</v>
      </c>
      <c r="F52" s="111" t="s">
        <v>108</v>
      </c>
    </row>
    <row r="53" spans="1:6" x14ac:dyDescent="0.3">
      <c r="A53" s="115">
        <v>46075</v>
      </c>
      <c r="B53" t="s">
        <v>221</v>
      </c>
      <c r="C53" s="11"/>
      <c r="D53" s="11">
        <v>6000</v>
      </c>
      <c r="E53" t="s">
        <v>305</v>
      </c>
      <c r="F53" s="111" t="s">
        <v>108</v>
      </c>
    </row>
    <row r="54" spans="1:6" x14ac:dyDescent="0.3">
      <c r="A54" s="38">
        <v>46075</v>
      </c>
      <c r="B54" t="s">
        <v>54</v>
      </c>
      <c r="C54" s="11">
        <v>6000</v>
      </c>
      <c r="D54" s="11"/>
      <c r="E54" t="s">
        <v>306</v>
      </c>
      <c r="F54" s="111" t="s">
        <v>108</v>
      </c>
    </row>
    <row r="55" spans="1:6" x14ac:dyDescent="0.3">
      <c r="A55" s="115">
        <v>46074</v>
      </c>
      <c r="B55" t="s">
        <v>165</v>
      </c>
      <c r="C55" s="11">
        <v>2500</v>
      </c>
      <c r="D55" s="11"/>
      <c r="E55" t="s">
        <v>307</v>
      </c>
      <c r="F55" s="111" t="s">
        <v>108</v>
      </c>
    </row>
    <row r="56" spans="1:6" x14ac:dyDescent="0.3">
      <c r="A56" s="38">
        <v>46074</v>
      </c>
      <c r="B56" t="s">
        <v>212</v>
      </c>
      <c r="C56" s="11"/>
      <c r="D56" s="11">
        <v>5000</v>
      </c>
      <c r="E56" t="s">
        <v>308</v>
      </c>
      <c r="F56" s="111" t="s">
        <v>108</v>
      </c>
    </row>
    <row r="57" spans="1:6" x14ac:dyDescent="0.3">
      <c r="A57" s="115">
        <v>46074</v>
      </c>
      <c r="B57" t="s">
        <v>268</v>
      </c>
      <c r="C57" s="11">
        <v>7200</v>
      </c>
      <c r="D57" s="11"/>
      <c r="E57" t="s">
        <v>265</v>
      </c>
      <c r="F57" s="111" t="s">
        <v>108</v>
      </c>
    </row>
    <row r="58" spans="1:6" x14ac:dyDescent="0.3">
      <c r="A58" s="38"/>
      <c r="C58" s="14">
        <f>SUBTOTAL(109,Table14[Debit])</f>
        <v>10992876</v>
      </c>
      <c r="D58" s="14">
        <f>SUBTOTAL(109,Table14[Credit])</f>
        <v>11028661</v>
      </c>
      <c r="F58" s="54">
        <f>(Table14[[#Totals],[Credit]]-Table14[[#Totals],[Debit]])</f>
        <v>35785</v>
      </c>
    </row>
    <row r="105" spans="9:13" x14ac:dyDescent="0.3">
      <c r="I105">
        <v>15400</v>
      </c>
      <c r="K105">
        <v>4300</v>
      </c>
      <c r="L105">
        <v>4300</v>
      </c>
      <c r="M105">
        <v>4300</v>
      </c>
    </row>
    <row r="106" spans="9:13" x14ac:dyDescent="0.3">
      <c r="I106">
        <v>4300</v>
      </c>
      <c r="K106">
        <v>1200</v>
      </c>
      <c r="L106">
        <v>1200</v>
      </c>
      <c r="M106">
        <v>1200</v>
      </c>
    </row>
    <row r="107" spans="9:13" x14ac:dyDescent="0.3">
      <c r="I107">
        <v>13400</v>
      </c>
      <c r="K107">
        <v>22700</v>
      </c>
      <c r="L107">
        <v>22700</v>
      </c>
      <c r="M107">
        <v>22700</v>
      </c>
    </row>
    <row r="108" spans="9:13" x14ac:dyDescent="0.3">
      <c r="I108">
        <v>14900</v>
      </c>
      <c r="K108">
        <v>15000</v>
      </c>
      <c r="L108">
        <v>15000</v>
      </c>
      <c r="M108">
        <v>15000</v>
      </c>
    </row>
    <row r="109" spans="9:13" x14ac:dyDescent="0.3">
      <c r="I109">
        <v>15000</v>
      </c>
      <c r="K109">
        <v>15150</v>
      </c>
      <c r="L109">
        <v>15150</v>
      </c>
      <c r="M109">
        <v>15150</v>
      </c>
    </row>
    <row r="110" spans="9:13" x14ac:dyDescent="0.3">
      <c r="I110">
        <v>11650</v>
      </c>
      <c r="K110">
        <v>22400</v>
      </c>
      <c r="L110">
        <v>22400</v>
      </c>
      <c r="M110">
        <v>22400</v>
      </c>
    </row>
    <row r="111" spans="9:13" x14ac:dyDescent="0.3">
      <c r="I111">
        <v>22700</v>
      </c>
      <c r="K111">
        <v>25000</v>
      </c>
      <c r="L111">
        <v>25000</v>
      </c>
      <c r="M111">
        <v>25000</v>
      </c>
    </row>
    <row r="112" spans="9:13" x14ac:dyDescent="0.3">
      <c r="I112">
        <v>17000</v>
      </c>
      <c r="K112">
        <v>20880</v>
      </c>
      <c r="L112">
        <v>20880</v>
      </c>
      <c r="M112">
        <v>20880</v>
      </c>
    </row>
    <row r="113" spans="9:13" x14ac:dyDescent="0.3">
      <c r="I113">
        <v>15000</v>
      </c>
      <c r="K113">
        <v>20000</v>
      </c>
      <c r="L113">
        <v>20000</v>
      </c>
      <c r="M113">
        <v>20000</v>
      </c>
    </row>
    <row r="114" spans="9:13" x14ac:dyDescent="0.3">
      <c r="I114">
        <v>1200</v>
      </c>
      <c r="K114">
        <v>150000</v>
      </c>
      <c r="L114">
        <v>150000</v>
      </c>
      <c r="M114">
        <v>150000</v>
      </c>
    </row>
    <row r="115" spans="9:13" x14ac:dyDescent="0.3">
      <c r="I115">
        <v>25600</v>
      </c>
      <c r="K115">
        <v>45200</v>
      </c>
      <c r="L115">
        <v>45200</v>
      </c>
      <c r="M115">
        <v>45200</v>
      </c>
    </row>
    <row r="116" spans="9:13" x14ac:dyDescent="0.3">
      <c r="I116">
        <v>15300</v>
      </c>
      <c r="K116">
        <v>44800</v>
      </c>
      <c r="L116">
        <v>44800</v>
      </c>
      <c r="M116">
        <v>44800</v>
      </c>
    </row>
    <row r="117" spans="9:13" x14ac:dyDescent="0.3">
      <c r="I117">
        <v>16650</v>
      </c>
      <c r="K117">
        <v>5200</v>
      </c>
      <c r="L117">
        <v>5200</v>
      </c>
      <c r="M117">
        <v>5200</v>
      </c>
    </row>
    <row r="118" spans="9:13" x14ac:dyDescent="0.3">
      <c r="I118">
        <v>20000</v>
      </c>
      <c r="K118">
        <v>39400</v>
      </c>
      <c r="L118">
        <v>39400</v>
      </c>
      <c r="M118">
        <v>39400</v>
      </c>
    </row>
    <row r="119" spans="9:13" x14ac:dyDescent="0.3">
      <c r="I119">
        <v>5200</v>
      </c>
      <c r="K119">
        <v>21600</v>
      </c>
      <c r="L119">
        <v>21600</v>
      </c>
      <c r="M119">
        <v>21600</v>
      </c>
    </row>
    <row r="120" spans="9:13" x14ac:dyDescent="0.3">
      <c r="I120">
        <v>46400</v>
      </c>
      <c r="K120">
        <v>46400</v>
      </c>
      <c r="L120">
        <v>46400</v>
      </c>
      <c r="M120">
        <v>46400</v>
      </c>
    </row>
    <row r="121" spans="9:13" x14ac:dyDescent="0.3">
      <c r="I121">
        <v>16300</v>
      </c>
      <c r="K121">
        <v>8400</v>
      </c>
      <c r="L121">
        <v>8400</v>
      </c>
      <c r="M121">
        <v>8400</v>
      </c>
    </row>
    <row r="122" spans="9:13" x14ac:dyDescent="0.3">
      <c r="I122">
        <v>21700</v>
      </c>
      <c r="K122">
        <v>35000</v>
      </c>
      <c r="L122">
        <v>35000</v>
      </c>
      <c r="M122">
        <v>35000</v>
      </c>
    </row>
    <row r="123" spans="9:13" x14ac:dyDescent="0.3">
      <c r="I123">
        <v>6000</v>
      </c>
      <c r="K123">
        <v>80000</v>
      </c>
      <c r="L123">
        <v>80000</v>
      </c>
      <c r="M123">
        <v>80000</v>
      </c>
    </row>
    <row r="124" spans="9:13" x14ac:dyDescent="0.3">
      <c r="I124">
        <v>45000</v>
      </c>
      <c r="K124">
        <v>9500</v>
      </c>
      <c r="L124">
        <v>9500</v>
      </c>
      <c r="M124">
        <v>9500</v>
      </c>
    </row>
    <row r="125" spans="9:13" x14ac:dyDescent="0.3">
      <c r="I125">
        <v>21600</v>
      </c>
      <c r="K125">
        <v>34000</v>
      </c>
      <c r="L125">
        <v>34000</v>
      </c>
      <c r="M125">
        <v>34000</v>
      </c>
    </row>
    <row r="126" spans="9:13" x14ac:dyDescent="0.3">
      <c r="I126">
        <v>39400</v>
      </c>
      <c r="K126">
        <v>21700</v>
      </c>
      <c r="L126">
        <v>21700</v>
      </c>
      <c r="M126">
        <v>21700</v>
      </c>
    </row>
    <row r="127" spans="9:13" x14ac:dyDescent="0.3">
      <c r="I127">
        <v>8400</v>
      </c>
      <c r="K127">
        <v>17000</v>
      </c>
      <c r="L127">
        <v>17000</v>
      </c>
      <c r="M127">
        <v>17000</v>
      </c>
    </row>
    <row r="128" spans="9:13" x14ac:dyDescent="0.3">
      <c r="I128">
        <v>45200</v>
      </c>
      <c r="K128">
        <v>25600</v>
      </c>
      <c r="L128">
        <v>25600</v>
      </c>
      <c r="M128">
        <v>25600</v>
      </c>
    </row>
    <row r="129" spans="9:13" x14ac:dyDescent="0.3">
      <c r="I129">
        <v>34000</v>
      </c>
      <c r="K129">
        <v>14900</v>
      </c>
      <c r="L129">
        <v>14900</v>
      </c>
      <c r="M129">
        <v>14900</v>
      </c>
    </row>
    <row r="130" spans="9:13" x14ac:dyDescent="0.3">
      <c r="I130">
        <v>22400</v>
      </c>
      <c r="K130">
        <v>11650</v>
      </c>
      <c r="L130">
        <v>11650</v>
      </c>
      <c r="M130">
        <v>11650</v>
      </c>
    </row>
    <row r="131" spans="9:13" x14ac:dyDescent="0.3">
      <c r="I131">
        <v>5700</v>
      </c>
      <c r="K131">
        <v>15300</v>
      </c>
      <c r="L131">
        <v>15400</v>
      </c>
      <c r="M131">
        <v>15400</v>
      </c>
    </row>
    <row r="132" spans="9:13" x14ac:dyDescent="0.3">
      <c r="I132">
        <v>80000</v>
      </c>
      <c r="K132">
        <v>15000</v>
      </c>
      <c r="L132">
        <v>16300</v>
      </c>
      <c r="M132">
        <v>16300</v>
      </c>
    </row>
    <row r="133" spans="9:13" x14ac:dyDescent="0.3">
      <c r="I133">
        <v>2500</v>
      </c>
      <c r="K133">
        <v>6000</v>
      </c>
      <c r="L133">
        <v>15300</v>
      </c>
      <c r="M133">
        <v>15300</v>
      </c>
    </row>
    <row r="134" spans="9:13" x14ac:dyDescent="0.3">
      <c r="I134">
        <v>9500</v>
      </c>
      <c r="K134">
        <v>16550</v>
      </c>
      <c r="L134">
        <v>15000</v>
      </c>
      <c r="M134">
        <v>15000</v>
      </c>
    </row>
    <row r="135" spans="9:13" x14ac:dyDescent="0.3">
      <c r="I135">
        <v>20880</v>
      </c>
      <c r="K135">
        <v>13400</v>
      </c>
      <c r="L135">
        <v>6000</v>
      </c>
      <c r="M135">
        <v>6000</v>
      </c>
    </row>
    <row r="136" spans="9:13" x14ac:dyDescent="0.3">
      <c r="I136">
        <v>150000</v>
      </c>
      <c r="K136">
        <v>11650</v>
      </c>
      <c r="L136">
        <v>16550</v>
      </c>
      <c r="M136">
        <v>16550</v>
      </c>
    </row>
    <row r="137" spans="9:13" x14ac:dyDescent="0.3">
      <c r="K137">
        <v>2500</v>
      </c>
      <c r="L137">
        <v>13400</v>
      </c>
      <c r="M137">
        <v>13400</v>
      </c>
    </row>
    <row r="138" spans="9:13" x14ac:dyDescent="0.3">
      <c r="K138">
        <v>5700</v>
      </c>
      <c r="L138">
        <v>11650</v>
      </c>
      <c r="M138">
        <v>11650</v>
      </c>
    </row>
    <row r="139" spans="9:13" x14ac:dyDescent="0.3">
      <c r="L139">
        <v>2500</v>
      </c>
      <c r="M139">
        <v>2500</v>
      </c>
    </row>
    <row r="140" spans="9:13" x14ac:dyDescent="0.3">
      <c r="L140">
        <v>5700</v>
      </c>
      <c r="M140">
        <v>5700</v>
      </c>
    </row>
    <row r="141" spans="9:13" x14ac:dyDescent="0.3">
      <c r="L141">
        <v>5000</v>
      </c>
      <c r="M141">
        <v>5000</v>
      </c>
    </row>
    <row r="163" spans="10:12" x14ac:dyDescent="0.3">
      <c r="J163" s="3" t="s">
        <v>6</v>
      </c>
      <c r="K163" t="s">
        <v>118</v>
      </c>
      <c r="L163" t="s">
        <v>119</v>
      </c>
    </row>
    <row r="164" spans="10:12" x14ac:dyDescent="0.3">
      <c r="J164" s="4" t="s">
        <v>223</v>
      </c>
      <c r="K164" s="14"/>
      <c r="L164" s="14">
        <v>519423</v>
      </c>
    </row>
    <row r="165" spans="10:12" x14ac:dyDescent="0.3">
      <c r="J165" s="4" t="s">
        <v>241</v>
      </c>
      <c r="K165" s="14">
        <v>857000</v>
      </c>
      <c r="L165" s="14"/>
    </row>
    <row r="166" spans="10:12" x14ac:dyDescent="0.3">
      <c r="J166" s="4" t="s">
        <v>117</v>
      </c>
      <c r="K166" s="14"/>
      <c r="L166" s="14">
        <v>176400</v>
      </c>
    </row>
    <row r="167" spans="10:12" x14ac:dyDescent="0.3">
      <c r="J167" s="4" t="s">
        <v>94</v>
      </c>
      <c r="K167" s="14"/>
      <c r="L167" s="14">
        <v>1175040</v>
      </c>
    </row>
    <row r="168" spans="10:12" x14ac:dyDescent="0.3">
      <c r="J168" s="4" t="s">
        <v>50</v>
      </c>
      <c r="K168" s="14"/>
      <c r="L168" s="14">
        <v>235215</v>
      </c>
    </row>
    <row r="169" spans="10:12" x14ac:dyDescent="0.3">
      <c r="J169" s="4" t="s">
        <v>55</v>
      </c>
      <c r="K169" s="14"/>
      <c r="L169" s="14">
        <v>500926</v>
      </c>
    </row>
    <row r="170" spans="10:12" x14ac:dyDescent="0.3">
      <c r="J170" s="4" t="s">
        <v>224</v>
      </c>
      <c r="K170" s="14"/>
      <c r="L170" s="14">
        <v>142730</v>
      </c>
    </row>
    <row r="171" spans="10:12" x14ac:dyDescent="0.3">
      <c r="J171" s="4" t="s">
        <v>52</v>
      </c>
      <c r="K171" s="14"/>
      <c r="L171" s="14">
        <v>1499570</v>
      </c>
    </row>
    <row r="172" spans="10:12" x14ac:dyDescent="0.3">
      <c r="J172" s="4" t="s">
        <v>54</v>
      </c>
      <c r="K172" s="14"/>
      <c r="L172" s="14">
        <v>159730</v>
      </c>
    </row>
    <row r="173" spans="10:12" x14ac:dyDescent="0.3">
      <c r="J173" s="4" t="s">
        <v>116</v>
      </c>
      <c r="K173" s="14"/>
      <c r="L173" s="14">
        <v>50000</v>
      </c>
    </row>
    <row r="174" spans="10:12" x14ac:dyDescent="0.3">
      <c r="J174" s="4" t="s">
        <v>222</v>
      </c>
      <c r="K174" s="14"/>
      <c r="L174" s="14">
        <v>783072</v>
      </c>
    </row>
    <row r="175" spans="10:12" x14ac:dyDescent="0.3">
      <c r="J175" s="4" t="s">
        <v>240</v>
      </c>
      <c r="K175" s="14"/>
      <c r="L175" s="14">
        <v>1000</v>
      </c>
    </row>
    <row r="176" spans="10:12" x14ac:dyDescent="0.3">
      <c r="J176" s="4" t="s">
        <v>212</v>
      </c>
      <c r="K176" s="14">
        <v>889003.20398683252</v>
      </c>
      <c r="L176" s="14">
        <v>226140</v>
      </c>
    </row>
    <row r="177" spans="10:12" x14ac:dyDescent="0.3">
      <c r="J177" s="4" t="s">
        <v>233</v>
      </c>
      <c r="K177" s="14">
        <v>1201454</v>
      </c>
      <c r="L177" s="14"/>
    </row>
    <row r="178" spans="10:12" x14ac:dyDescent="0.3">
      <c r="J178" s="4" t="s">
        <v>103</v>
      </c>
      <c r="K178" s="14"/>
      <c r="L178" s="14"/>
    </row>
    <row r="179" spans="10:12" x14ac:dyDescent="0.3">
      <c r="J179" s="4" t="s">
        <v>234</v>
      </c>
      <c r="K179" s="14">
        <v>1612000</v>
      </c>
      <c r="L179" s="14"/>
    </row>
    <row r="180" spans="10:12" x14ac:dyDescent="0.3">
      <c r="J180" s="4" t="s">
        <v>262</v>
      </c>
      <c r="K180" s="14">
        <v>1626500</v>
      </c>
      <c r="L180" s="14"/>
    </row>
    <row r="181" spans="10:12" x14ac:dyDescent="0.3">
      <c r="J181" s="4" t="s">
        <v>226</v>
      </c>
      <c r="K181" s="14">
        <v>518000</v>
      </c>
      <c r="L181" s="14"/>
    </row>
    <row r="182" spans="10:12" x14ac:dyDescent="0.3">
      <c r="J182" s="4" t="s">
        <v>149</v>
      </c>
      <c r="K182" s="14"/>
      <c r="L182" s="14">
        <v>20380</v>
      </c>
    </row>
    <row r="183" spans="10:12" x14ac:dyDescent="0.3">
      <c r="J183" s="4" t="s">
        <v>64</v>
      </c>
      <c r="K183" s="14"/>
      <c r="L183" s="14">
        <v>155000</v>
      </c>
    </row>
    <row r="184" spans="10:12" x14ac:dyDescent="0.3">
      <c r="J184" s="4" t="s">
        <v>152</v>
      </c>
      <c r="K184" s="14">
        <v>2313000</v>
      </c>
      <c r="L184" s="14"/>
    </row>
    <row r="185" spans="10:12" x14ac:dyDescent="0.3">
      <c r="J185" s="4" t="s">
        <v>169</v>
      </c>
      <c r="K185" s="14"/>
      <c r="L185" s="14">
        <v>1942354</v>
      </c>
    </row>
    <row r="186" spans="10:12" x14ac:dyDescent="0.3">
      <c r="J186" s="4" t="s">
        <v>172</v>
      </c>
      <c r="K186" s="14"/>
      <c r="L186" s="14">
        <v>197520</v>
      </c>
    </row>
    <row r="187" spans="10:12" x14ac:dyDescent="0.3">
      <c r="J187" s="4" t="s">
        <v>221</v>
      </c>
      <c r="K187" s="14">
        <v>5641518</v>
      </c>
      <c r="L187" s="14">
        <v>11033826</v>
      </c>
    </row>
    <row r="188" spans="10:12" x14ac:dyDescent="0.3">
      <c r="J188" s="4" t="s">
        <v>165</v>
      </c>
      <c r="K188" s="14"/>
      <c r="L188" s="14">
        <v>122500</v>
      </c>
    </row>
    <row r="189" spans="10:12" x14ac:dyDescent="0.3">
      <c r="J189" s="4" t="s">
        <v>175</v>
      </c>
      <c r="K189" s="14">
        <v>1812616</v>
      </c>
      <c r="L189" s="14"/>
    </row>
    <row r="190" spans="10:12" x14ac:dyDescent="0.3">
      <c r="J190" s="4" t="s">
        <v>195</v>
      </c>
      <c r="K190" s="14"/>
      <c r="L190" s="14">
        <v>408100</v>
      </c>
    </row>
    <row r="191" spans="10:12" x14ac:dyDescent="0.3">
      <c r="J191" s="4" t="s">
        <v>248</v>
      </c>
      <c r="K191" s="14">
        <v>1508520</v>
      </c>
      <c r="L191" s="14"/>
    </row>
    <row r="192" spans="10:12" x14ac:dyDescent="0.3">
      <c r="J192" s="4" t="s">
        <v>182</v>
      </c>
      <c r="K192" s="14"/>
      <c r="L192" s="14">
        <v>35000</v>
      </c>
    </row>
    <row r="193" spans="10:12" x14ac:dyDescent="0.3">
      <c r="J193" s="4" t="s">
        <v>51</v>
      </c>
      <c r="K193" s="14"/>
      <c r="L193" s="14">
        <v>2222081</v>
      </c>
    </row>
    <row r="194" spans="10:12" x14ac:dyDescent="0.3">
      <c r="J194" s="4" t="s">
        <v>191</v>
      </c>
      <c r="K194" s="14"/>
      <c r="L194" s="14">
        <v>351000</v>
      </c>
    </row>
    <row r="195" spans="10:12" x14ac:dyDescent="0.3">
      <c r="J195" s="4" t="s">
        <v>227</v>
      </c>
      <c r="K195" s="14"/>
      <c r="L195" s="14">
        <v>101000</v>
      </c>
    </row>
    <row r="196" spans="10:12" x14ac:dyDescent="0.3">
      <c r="J196" s="4" t="s">
        <v>192</v>
      </c>
      <c r="K196" s="14">
        <v>625000</v>
      </c>
      <c r="L196" s="14"/>
    </row>
    <row r="197" spans="10:12" x14ac:dyDescent="0.3">
      <c r="J197" s="4" t="s">
        <v>228</v>
      </c>
      <c r="K197" s="14">
        <v>863242</v>
      </c>
      <c r="L197" s="14"/>
    </row>
    <row r="198" spans="10:12" x14ac:dyDescent="0.3">
      <c r="J198" s="4" t="s">
        <v>229</v>
      </c>
      <c r="K198" s="14"/>
      <c r="L198" s="14">
        <v>2765198</v>
      </c>
    </row>
    <row r="199" spans="10:12" x14ac:dyDescent="0.3">
      <c r="J199" s="4" t="s">
        <v>198</v>
      </c>
      <c r="K199" s="14"/>
      <c r="L199" s="14">
        <v>121360</v>
      </c>
    </row>
    <row r="200" spans="10:12" x14ac:dyDescent="0.3">
      <c r="J200" s="4" t="s">
        <v>211</v>
      </c>
      <c r="K200" s="14">
        <v>2965362</v>
      </c>
      <c r="L200" s="14"/>
    </row>
    <row r="201" spans="10:12" x14ac:dyDescent="0.3">
      <c r="J201" s="4" t="s">
        <v>213</v>
      </c>
      <c r="K201" s="14"/>
      <c r="L201" s="14">
        <v>10000</v>
      </c>
    </row>
    <row r="202" spans="10:12" x14ac:dyDescent="0.3">
      <c r="J202" s="4" t="s">
        <v>225</v>
      </c>
      <c r="K202" s="14">
        <v>1150000</v>
      </c>
      <c r="L202" s="14"/>
    </row>
    <row r="203" spans="10:12" x14ac:dyDescent="0.3">
      <c r="J203" s="4" t="s">
        <v>230</v>
      </c>
      <c r="K203" s="14"/>
      <c r="L203" s="14">
        <v>1377516</v>
      </c>
    </row>
    <row r="204" spans="10:12" x14ac:dyDescent="0.3">
      <c r="J204" s="4" t="s">
        <v>219</v>
      </c>
      <c r="K204" s="14">
        <v>728245</v>
      </c>
      <c r="L204" s="14"/>
    </row>
    <row r="205" spans="10:12" x14ac:dyDescent="0.3">
      <c r="J205" s="4" t="s">
        <v>237</v>
      </c>
      <c r="K205" s="14">
        <v>550000</v>
      </c>
      <c r="L205" s="14"/>
    </row>
    <row r="206" spans="10:12" x14ac:dyDescent="0.3">
      <c r="J206" s="4" t="s">
        <v>239</v>
      </c>
      <c r="K206" s="14">
        <v>1500000</v>
      </c>
      <c r="L206" s="14"/>
    </row>
    <row r="207" spans="10:12" x14ac:dyDescent="0.3">
      <c r="J207" s="4" t="s">
        <v>256</v>
      </c>
      <c r="K207" s="14">
        <v>-30000</v>
      </c>
      <c r="L207" s="14">
        <v>136637.20398683249</v>
      </c>
    </row>
    <row r="208" spans="10:12" x14ac:dyDescent="0.3">
      <c r="J208" s="4" t="s">
        <v>258</v>
      </c>
      <c r="K208" s="14"/>
      <c r="L208" s="14">
        <v>122500</v>
      </c>
    </row>
    <row r="209" spans="10:12" x14ac:dyDescent="0.3">
      <c r="J209" s="4" t="s">
        <v>259</v>
      </c>
      <c r="K209" s="14">
        <v>636000</v>
      </c>
      <c r="L209" s="14"/>
    </row>
    <row r="210" spans="10:12" x14ac:dyDescent="0.3">
      <c r="J210" s="4" t="s">
        <v>261</v>
      </c>
      <c r="K210" s="14"/>
      <c r="L210" s="14">
        <v>57500</v>
      </c>
    </row>
    <row r="211" spans="10:12" x14ac:dyDescent="0.3">
      <c r="J211" s="4" t="s">
        <v>266</v>
      </c>
      <c r="K211" s="14">
        <v>15855</v>
      </c>
      <c r="L211" s="14"/>
    </row>
    <row r="212" spans="10:12" x14ac:dyDescent="0.3">
      <c r="J212" s="4" t="s">
        <v>268</v>
      </c>
      <c r="K212" s="14"/>
      <c r="L212" s="14">
        <v>101300</v>
      </c>
    </row>
    <row r="213" spans="10:12" x14ac:dyDescent="0.3">
      <c r="J213" s="4" t="s">
        <v>272</v>
      </c>
      <c r="K213" s="14"/>
      <c r="L213" s="14">
        <v>172500</v>
      </c>
    </row>
    <row r="214" spans="10:12" x14ac:dyDescent="0.3">
      <c r="J214" s="4" t="s">
        <v>277</v>
      </c>
      <c r="K214" s="14"/>
      <c r="L214" s="14">
        <v>64290</v>
      </c>
    </row>
    <row r="215" spans="10:12" x14ac:dyDescent="0.3">
      <c r="J215" s="4" t="s">
        <v>246</v>
      </c>
      <c r="K215" s="14">
        <v>39278</v>
      </c>
      <c r="L215" s="14"/>
    </row>
    <row r="216" spans="10:12" x14ac:dyDescent="0.3">
      <c r="J216" s="4" t="s">
        <v>28</v>
      </c>
      <c r="K216" s="14">
        <v>27022593.203986831</v>
      </c>
      <c r="L216" s="14">
        <v>26986808.203986831</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G13" sqref="G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243</v>
      </c>
      <c r="G6" s="82">
        <f>SUMIFS(Table14[Debit], Table14[Date], Table8[[#This Row],[Date]], Table14[Party], Table8[[#This Row],[Party]])</f>
        <v>0</v>
      </c>
      <c r="H6" t="s">
        <v>310</v>
      </c>
      <c r="I6" s="82" t="s">
        <v>186</v>
      </c>
    </row>
    <row r="7" spans="1:14" x14ac:dyDescent="0.3">
      <c r="A7" s="95">
        <v>46072</v>
      </c>
      <c r="B7" s="82" t="s">
        <v>64</v>
      </c>
      <c r="F7" t="s">
        <v>271</v>
      </c>
      <c r="G7" s="82">
        <f>SUMIFS(Table14[Debit], Table14[Date], Table8[[#This Row],[Date]], Table14[Party], Table8[[#This Row],[Party]])</f>
        <v>0</v>
      </c>
      <c r="H7">
        <v>0</v>
      </c>
      <c r="I7" s="82" t="s">
        <v>186</v>
      </c>
      <c r="K7" s="3" t="s">
        <v>110</v>
      </c>
      <c r="L7" t="s">
        <v>87</v>
      </c>
    </row>
    <row r="8" spans="1:14" x14ac:dyDescent="0.3">
      <c r="A8" s="85">
        <v>46072</v>
      </c>
      <c r="B8" s="82" t="s">
        <v>64</v>
      </c>
      <c r="F8" t="s">
        <v>272</v>
      </c>
      <c r="G8" s="82">
        <f>SUMIFS(Table14[Debit], Table14[Date], Table8[[#This Row],[Date]], Table14[Party], Table8[[#This Row],[Party]])</f>
        <v>0</v>
      </c>
      <c r="H8">
        <v>0</v>
      </c>
      <c r="I8" s="82" t="s">
        <v>186</v>
      </c>
    </row>
    <row r="9" spans="1:14" x14ac:dyDescent="0.3">
      <c r="A9" s="95">
        <v>46072</v>
      </c>
      <c r="B9" s="82" t="s">
        <v>64</v>
      </c>
      <c r="F9" t="s">
        <v>258</v>
      </c>
      <c r="G9" s="82">
        <f>SUMIFS(Table14[Debit], Table14[Date], Table8[[#This Row],[Date]], Table14[Party], Table8[[#This Row],[Party]])</f>
        <v>0</v>
      </c>
      <c r="H9">
        <v>0</v>
      </c>
      <c r="I9" s="82" t="s">
        <v>186</v>
      </c>
      <c r="K9" s="3" t="s">
        <v>6</v>
      </c>
      <c r="L9" t="s">
        <v>127</v>
      </c>
      <c r="M9" t="s">
        <v>128</v>
      </c>
    </row>
    <row r="10" spans="1:14" x14ac:dyDescent="0.3">
      <c r="A10" s="1"/>
      <c r="K10" s="26">
        <v>46008</v>
      </c>
      <c r="M10">
        <v>0</v>
      </c>
    </row>
    <row r="11" spans="1:14" x14ac:dyDescent="0.3">
      <c r="A11" s="1"/>
      <c r="K11" s="26">
        <v>46044</v>
      </c>
      <c r="L11">
        <v>255000</v>
      </c>
      <c r="M11">
        <v>255000</v>
      </c>
    </row>
    <row r="12" spans="1:14" x14ac:dyDescent="0.3">
      <c r="A12" s="1"/>
      <c r="K12" s="26">
        <v>46048</v>
      </c>
      <c r="L12">
        <v>159250</v>
      </c>
      <c r="M12">
        <v>0</v>
      </c>
    </row>
    <row r="13" spans="1:14" x14ac:dyDescent="0.3">
      <c r="A13" s="1"/>
      <c r="K13" s="26">
        <v>46051</v>
      </c>
      <c r="L13">
        <v>423000</v>
      </c>
      <c r="M13">
        <v>423000</v>
      </c>
    </row>
    <row r="14" spans="1:14" x14ac:dyDescent="0.3">
      <c r="A14" s="123"/>
      <c r="K14" s="26">
        <v>46053</v>
      </c>
      <c r="L14">
        <v>115000</v>
      </c>
      <c r="M14">
        <v>86250</v>
      </c>
    </row>
    <row r="15" spans="1:14" x14ac:dyDescent="0.3">
      <c r="A15" s="123"/>
      <c r="K15" s="26">
        <v>46056</v>
      </c>
      <c r="M15">
        <v>0</v>
      </c>
    </row>
    <row r="16" spans="1:14" x14ac:dyDescent="0.3">
      <c r="A16" s="123"/>
      <c r="K16" s="4" t="s">
        <v>103</v>
      </c>
      <c r="M16">
        <v>0</v>
      </c>
    </row>
    <row r="17" spans="1:13" x14ac:dyDescent="0.3">
      <c r="A17" s="123"/>
      <c r="K17" s="26">
        <v>46058</v>
      </c>
      <c r="M17">
        <v>0</v>
      </c>
    </row>
    <row r="18" spans="1:13" x14ac:dyDescent="0.3">
      <c r="A18" s="123"/>
      <c r="K18" s="26">
        <v>46060</v>
      </c>
      <c r="L18">
        <v>15000</v>
      </c>
      <c r="M18">
        <v>0</v>
      </c>
    </row>
    <row r="19" spans="1:13" x14ac:dyDescent="0.3">
      <c r="A19" s="123"/>
      <c r="K19" s="26">
        <v>46062</v>
      </c>
      <c r="L19">
        <v>122500</v>
      </c>
      <c r="M19">
        <v>0</v>
      </c>
    </row>
    <row r="20" spans="1:13" x14ac:dyDescent="0.3">
      <c r="A20" s="123"/>
      <c r="K20" s="26">
        <v>46067</v>
      </c>
      <c r="L20">
        <v>214650</v>
      </c>
      <c r="M20">
        <v>0</v>
      </c>
    </row>
    <row r="21" spans="1:13" x14ac:dyDescent="0.3">
      <c r="A21" s="123">
        <v>46073</v>
      </c>
      <c r="B21" t="s">
        <v>64</v>
      </c>
      <c r="E21">
        <f>SUMIFS(Table14[Debit], Table14[Date], Table8[[#This Row],[Date]], Table14[Party], Table8[[#This Row],[Party]])</f>
        <v>100000</v>
      </c>
      <c r="F21" t="s">
        <v>272</v>
      </c>
      <c r="G21">
        <f>SUMIFS(Table14[Debit], Table14[Date], Table8[[#This Row],[Date]], Table14[Party], Table8[[#This Row],[Party]])</f>
        <v>100000</v>
      </c>
      <c r="H21">
        <f>Table8[[#This Row],[Price]]-Table8[[#This Row],[Paid]]</f>
        <v>0</v>
      </c>
      <c r="K21" s="26">
        <v>46070</v>
      </c>
      <c r="L21">
        <v>21750</v>
      </c>
      <c r="M21">
        <v>0</v>
      </c>
    </row>
    <row r="22" spans="1:13" x14ac:dyDescent="0.3">
      <c r="A22" s="123">
        <v>46075</v>
      </c>
      <c r="B22" t="s">
        <v>64</v>
      </c>
      <c r="F22" t="s">
        <v>243</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100000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50000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176400</v>
      </c>
      <c r="L7">
        <v>176400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300000</v>
      </c>
      <c r="L8">
        <v>122500</v>
      </c>
      <c r="M8">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351000</v>
      </c>
      <c r="M9">
        <v>0</v>
      </c>
    </row>
    <row r="10" spans="1:13" x14ac:dyDescent="0.3">
      <c r="A10" s="85">
        <v>46073</v>
      </c>
      <c r="B10" s="1" t="s">
        <v>236</v>
      </c>
      <c r="C10" t="s">
        <v>211</v>
      </c>
      <c r="H10" t="s">
        <v>311</v>
      </c>
      <c r="J10" s="4" t="s">
        <v>195</v>
      </c>
      <c r="K10">
        <v>49200</v>
      </c>
      <c r="L10">
        <v>49200</v>
      </c>
      <c r="M10">
        <v>0</v>
      </c>
    </row>
    <row r="11" spans="1:13" x14ac:dyDescent="0.3">
      <c r="A11" s="1"/>
      <c r="B11" s="1"/>
      <c r="J11" s="4" t="s">
        <v>236</v>
      </c>
      <c r="L11">
        <v>0</v>
      </c>
      <c r="M11">
        <v>0</v>
      </c>
    </row>
    <row r="12" spans="1:13" x14ac:dyDescent="0.3">
      <c r="A12" s="1"/>
      <c r="B12" s="1"/>
      <c r="J12" s="4" t="s">
        <v>28</v>
      </c>
      <c r="K12">
        <v>876600</v>
      </c>
      <c r="L12">
        <v>749100</v>
      </c>
      <c r="M12">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235</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238</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264</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267</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193155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12" zoomScale="70" workbookViewId="0">
      <selection activeCell="B29" sqref="B2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Billing!O5</f>
        <v>BSC</v>
      </c>
      <c r="B2" s="105">
        <f>Billing!AD5</f>
        <v>19750734</v>
      </c>
      <c r="C2" s="103">
        <f>Billing!AE5</f>
        <v>15942305.341623999</v>
      </c>
    </row>
    <row r="3" spans="1:3" ht="21" x14ac:dyDescent="0.4">
      <c r="A3" s="102" t="str">
        <f>Billing!O6</f>
        <v>Ejaz Sahab</v>
      </c>
      <c r="B3" s="105">
        <f>Billing!AD6</f>
        <v>6396773</v>
      </c>
      <c r="C3" s="103">
        <f>Billing!AE6</f>
        <v>4.3160205706954002E-2</v>
      </c>
    </row>
    <row r="4" spans="1:3" ht="21" x14ac:dyDescent="0.4">
      <c r="A4" s="102" t="str">
        <f>Billing!O7</f>
        <v>Arshad</v>
      </c>
      <c r="B4" s="105">
        <f>Billing!AD7</f>
        <v>8692501</v>
      </c>
      <c r="C4" s="104">
        <f>Billing!AE7</f>
        <v>138733.45501097292</v>
      </c>
    </row>
    <row r="5" spans="1:3" ht="21" x14ac:dyDescent="0.4">
      <c r="A5" s="102" t="str">
        <f>Billing!O8</f>
        <v>Shehzad Kamoki</v>
      </c>
      <c r="B5" s="105">
        <f>Billing!AD8</f>
        <v>1353710</v>
      </c>
      <c r="C5" s="104">
        <f>Billing!AE8</f>
        <v>531.99729334330186</v>
      </c>
    </row>
    <row r="6" spans="1:3" ht="21" x14ac:dyDescent="0.4">
      <c r="A6" s="102" t="str">
        <f>Billing!O9</f>
        <v>Sufi Nawaz Sahab</v>
      </c>
      <c r="B6" s="105">
        <f>Billing!AD9</f>
        <v>11478764</v>
      </c>
      <c r="C6" s="103">
        <f>Billing!AE9</f>
        <v>0.23847842030227184</v>
      </c>
    </row>
    <row r="7" spans="1:3" ht="21" x14ac:dyDescent="0.4">
      <c r="A7" s="102" t="str">
        <f>Billing!O10</f>
        <v>Sajad Khan</v>
      </c>
      <c r="B7" s="105">
        <f>Billing!AD10</f>
        <v>9609871</v>
      </c>
      <c r="C7" s="103">
        <f>Billing!AE10</f>
        <v>206737.44915874302</v>
      </c>
    </row>
    <row r="8" spans="1:3" ht="21" x14ac:dyDescent="0.4">
      <c r="A8" s="102" t="str">
        <f>Billing!O11</f>
        <v>Raaz Fabrics</v>
      </c>
      <c r="B8" s="105">
        <f>Billing!AD11</f>
        <v>1526321</v>
      </c>
      <c r="C8" s="104">
        <f>Billing!AE11</f>
        <v>100059.76079005143</v>
      </c>
    </row>
    <row r="9" spans="1:3" ht="21" x14ac:dyDescent="0.4">
      <c r="A9" s="102" t="str">
        <f>Billing!O12</f>
        <v>Azam</v>
      </c>
      <c r="B9" s="105">
        <f>Billing!AD12</f>
        <v>7402540</v>
      </c>
      <c r="C9" s="103">
        <f>Billing!AE12</f>
        <v>531.50694952532649</v>
      </c>
    </row>
    <row r="10" spans="1:3" ht="21" x14ac:dyDescent="0.4">
      <c r="A10" s="102" t="str">
        <f>Billing!O13</f>
        <v>Ubaidullah</v>
      </c>
      <c r="B10" s="105">
        <f>Billing!AD13</f>
        <v>1908190</v>
      </c>
      <c r="C10" s="103">
        <f>Billing!AE13</f>
        <v>1274.1550841256976</v>
      </c>
    </row>
    <row r="11" spans="1:3" ht="21" x14ac:dyDescent="0.4">
      <c r="A11" s="102" t="str">
        <f>Billing!O14</f>
        <v>Ashraf Zia</v>
      </c>
      <c r="B11" s="105">
        <f>Billing!AD14</f>
        <v>130000</v>
      </c>
      <c r="C11" s="103">
        <f>Billing!AE14</f>
        <v>125724.21360643749</v>
      </c>
    </row>
    <row r="12" spans="1:3" ht="21" x14ac:dyDescent="0.4">
      <c r="A12" s="102" t="str">
        <f>Billing!O15</f>
        <v>Hafiz Qureshi</v>
      </c>
      <c r="B12" s="105">
        <f>Billing!AD15</f>
        <v>4496179</v>
      </c>
      <c r="C12" s="103">
        <f>Billing!AE15</f>
        <v>153226.63277249504</v>
      </c>
    </row>
    <row r="13" spans="1:3" ht="21" x14ac:dyDescent="0.4">
      <c r="A13" s="102" t="str">
        <f>Billing!O16</f>
        <v>Badshah Fabrics</v>
      </c>
      <c r="B13" s="105">
        <f>Billing!AD16</f>
        <v>6545761</v>
      </c>
      <c r="C13" s="103">
        <f>Billing!AE16</f>
        <v>91938.341623995453</v>
      </c>
    </row>
    <row r="14" spans="1:3" ht="21" x14ac:dyDescent="0.4">
      <c r="A14" s="102" t="str">
        <f>Billing!O17</f>
        <v>Gauhar Kashif</v>
      </c>
      <c r="B14" s="105">
        <f>Billing!AD17</f>
        <v>1214045</v>
      </c>
      <c r="C14" s="103">
        <f>Billing!AE17</f>
        <v>0.35479151434265077</v>
      </c>
    </row>
    <row r="15" spans="1:3" ht="21" x14ac:dyDescent="0.4">
      <c r="A15" s="102" t="str">
        <f>Billing!O18</f>
        <v>Amjad 7up</v>
      </c>
      <c r="B15" s="105">
        <f>Billing!AD18</f>
        <v>480000</v>
      </c>
      <c r="C15" s="104">
        <f>Billing!AE18</f>
        <v>3851.4996342355735</v>
      </c>
    </row>
    <row r="16" spans="1:3" ht="21" x14ac:dyDescent="0.4">
      <c r="A16" s="102" t="str">
        <f>Billing!O19</f>
        <v>Hazrat Khan</v>
      </c>
      <c r="B16" s="105">
        <f>Billing!AD19</f>
        <v>95000</v>
      </c>
      <c r="C16" s="104">
        <f>Billing!AE19</f>
        <v>-5844.9158741770225</v>
      </c>
    </row>
    <row r="17" spans="1:3" ht="21" x14ac:dyDescent="0.4">
      <c r="A17" s="102" t="str">
        <f>Billing!O20</f>
        <v>Haseeb Shamsi</v>
      </c>
      <c r="B17" s="105">
        <f>Billing!AD20</f>
        <v>594405</v>
      </c>
      <c r="C17" s="103">
        <f>Billing!AE20</f>
        <v>-0.28163862461224198</v>
      </c>
    </row>
    <row r="18" spans="1:3" ht="21" x14ac:dyDescent="0.4">
      <c r="A18" s="102" t="str">
        <f>Billing!O21</f>
        <v>Faizan</v>
      </c>
      <c r="B18" s="105">
        <f>Billing!AD21</f>
        <v>6728187</v>
      </c>
      <c r="C18" s="104">
        <f>Billing!AE21</f>
        <v>25885.787125092931</v>
      </c>
    </row>
    <row r="19" spans="1:3" ht="21" x14ac:dyDescent="0.4">
      <c r="A19" s="102" t="str">
        <f>Billing!O22</f>
        <v>Shafique Ansari</v>
      </c>
      <c r="B19" s="105">
        <f>Billing!AD22</f>
        <v>835660</v>
      </c>
      <c r="C19" s="104">
        <f>Billing!AE22</f>
        <v>356.82516459410544</v>
      </c>
    </row>
    <row r="20" spans="1:3" ht="21" x14ac:dyDescent="0.4">
      <c r="A20" s="102" t="str">
        <f>Billing!O23</f>
        <v>Amjad sohail</v>
      </c>
      <c r="B20" s="105">
        <f>Billing!AD23</f>
        <v>4417830</v>
      </c>
      <c r="C20" s="103">
        <f>Billing!AE23</f>
        <v>-204053.48207754176</v>
      </c>
    </row>
    <row r="21" spans="1:3" ht="21" x14ac:dyDescent="0.4">
      <c r="A21" s="102" t="str">
        <f>Billing!O24</f>
        <v>Salman Zaffar</v>
      </c>
      <c r="B21" s="105">
        <f>Billing!AD24</f>
        <v>3296025</v>
      </c>
      <c r="C21" s="103">
        <f>Billing!AE24</f>
        <v>-26245.373079736717</v>
      </c>
    </row>
    <row r="22" spans="1:3" ht="21" x14ac:dyDescent="0.4">
      <c r="A22" s="102" t="str">
        <f>Billing!O25</f>
        <v>Shahid Qasayi</v>
      </c>
      <c r="B22" s="105">
        <f>Billing!AD25</f>
        <v>3625137</v>
      </c>
      <c r="C22" s="103">
        <f>Billing!AE25</f>
        <v>31759.488661302254</v>
      </c>
    </row>
    <row r="23" spans="1:3" ht="21" x14ac:dyDescent="0.4">
      <c r="A23" s="102" t="str">
        <f>Billing!O26</f>
        <v>Hameed corporation</v>
      </c>
      <c r="B23" s="105">
        <f>Billing!AD26</f>
        <v>424323</v>
      </c>
      <c r="C23" s="103">
        <f>Billing!AE26</f>
        <v>0.33577176299877465</v>
      </c>
    </row>
    <row r="24" spans="1:3" ht="21" x14ac:dyDescent="0.4">
      <c r="A24" s="102" t="str">
        <f>Billing!O27</f>
        <v>ibraheem behraam</v>
      </c>
      <c r="B24" s="105">
        <f>Billing!AD27</f>
        <v>1415500</v>
      </c>
      <c r="C24" s="103">
        <f>Billing!AE27</f>
        <v>39344.550109729636</v>
      </c>
    </row>
    <row r="25" spans="1:3" ht="21" x14ac:dyDescent="0.4">
      <c r="A25" s="102" t="str">
        <f>Billing!O28</f>
        <v>Zia-ullah karachi</v>
      </c>
      <c r="B25" s="105">
        <f>Billing!AD28</f>
        <v>124560</v>
      </c>
      <c r="C25" s="103">
        <f>Billing!AE28</f>
        <v>1.0826627651840681</v>
      </c>
    </row>
    <row r="26" spans="1:3" ht="21" x14ac:dyDescent="0.4">
      <c r="A26" s="102" t="str">
        <f>Billing!O29</f>
        <v>ZA</v>
      </c>
      <c r="B26" s="105">
        <f>Billing!AD29</f>
        <v>250000</v>
      </c>
      <c r="C26" s="103">
        <f>Billing!AE29</f>
        <v>135138.07607900514</v>
      </c>
    </row>
    <row r="27" spans="1:3" ht="21" x14ac:dyDescent="0.4">
      <c r="A27" s="102" t="str">
        <f>Billing!O30</f>
        <v>Ahmad Javaid</v>
      </c>
      <c r="B27" s="105">
        <f>Billing!AD30</f>
        <v>0</v>
      </c>
      <c r="C27" s="103">
        <f>Billing!AE30</f>
        <v>151504.2062911485</v>
      </c>
    </row>
    <row r="28" spans="1:3" ht="21" x14ac:dyDescent="0.4">
      <c r="A28" s="102" t="str">
        <f>Billing!O31</f>
        <v>Rehman Ali</v>
      </c>
      <c r="B28" s="105">
        <f>Billing!AD31</f>
        <v>1500000</v>
      </c>
      <c r="C28" s="103">
        <f>Billing!AE31</f>
        <v>589305.96196049778</v>
      </c>
    </row>
    <row r="29" spans="1:3" ht="21" x14ac:dyDescent="0.4">
      <c r="A29" s="102" t="str">
        <f>Billing!O32</f>
        <v>Shani Badshah</v>
      </c>
      <c r="B29" s="105">
        <f>Billing!AD32</f>
        <v>550000</v>
      </c>
      <c r="C29" s="103">
        <f>Billing!AE32</f>
        <v>45924.46964155091</v>
      </c>
    </row>
    <row r="30" spans="1:3" ht="21" x14ac:dyDescent="0.4">
      <c r="A30" s="102" t="str">
        <f>Billing!O33</f>
        <v>Ahmad Shafique</v>
      </c>
      <c r="B30" s="105">
        <f>Billing!AD33</f>
        <v>636000</v>
      </c>
      <c r="C30" s="103">
        <f>Billing!AE33</f>
        <v>460.3145574250957</v>
      </c>
    </row>
    <row r="31" spans="1:3" ht="21" x14ac:dyDescent="0.4">
      <c r="A31" s="102" t="str">
        <f>Billing!O34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3" priority="1" operator="lessThan">
      <formula>10</formula>
    </cfRule>
  </conditionalFormatting>
  <conditionalFormatting sqref="C2:C41">
    <cfRule type="cellIs" dxfId="1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_xlfn.XLOOKUP($A2,[2]Billing!$Q$5:$Q$40,[2]Billing!$AD$5:$AD$40)</f>
        <v>19750734</v>
      </c>
      <c r="G2" t="str" cm="1">
        <f t="array" ref="G2:G32">_xlfn.UNIQUE(Table1[Party Name])</f>
        <v>BSC</v>
      </c>
    </row>
    <row r="3" spans="1:7" x14ac:dyDescent="0.3">
      <c r="A3" s="81" t="str">
        <f t="shared" ref="A3:A38" si="0">G3</f>
        <v>Ejaz Sahab</v>
      </c>
      <c r="B3" s="10">
        <f>_xlfn.XLOOKUP($A3,[2]Billing!$Q$5:$Q$40,[2]Billing!$AD$5:$AD$40)</f>
        <v>6067319</v>
      </c>
      <c r="G3" t="str">
        <v>Ejaz Sahab</v>
      </c>
    </row>
    <row r="4" spans="1:7" x14ac:dyDescent="0.3">
      <c r="A4" s="81" t="str">
        <f t="shared" si="0"/>
        <v>Arshad</v>
      </c>
      <c r="B4" s="10">
        <f>_xlfn.XLOOKUP($A4,[2]Billing!$Q$5:$Q$40,[2]Billing!$AD$5:$AD$40)</f>
        <v>8492501</v>
      </c>
      <c r="G4" t="str">
        <v>Arshad</v>
      </c>
    </row>
    <row r="5" spans="1:7" x14ac:dyDescent="0.3">
      <c r="A5" s="81" t="str">
        <f t="shared" si="0"/>
        <v>Shehzad Kamoki</v>
      </c>
      <c r="B5" s="10">
        <f>_xlfn.XLOOKUP($A5,[2]Billing!$Q$5:$Q$40,[2]Billing!$AD$5:$AD$40)</f>
        <v>1353710</v>
      </c>
      <c r="G5" t="str">
        <v>Shehzad Kamoki</v>
      </c>
    </row>
    <row r="6" spans="1:7" x14ac:dyDescent="0.3">
      <c r="A6" s="81" t="str">
        <f t="shared" si="0"/>
        <v>Sufi Nawaz Sahab</v>
      </c>
      <c r="B6" s="10">
        <f>_xlfn.XLOOKUP($A6,[2]Billing!$Q$5:$Q$40,[2]Billing!$AD$5:$AD$40)</f>
        <v>11478764</v>
      </c>
      <c r="G6" t="str">
        <v>Sufi Nawaz Sahab</v>
      </c>
    </row>
    <row r="7" spans="1:7" x14ac:dyDescent="0.3">
      <c r="A7" s="81" t="str">
        <f t="shared" si="0"/>
        <v>Sajad Khan</v>
      </c>
      <c r="B7" s="10">
        <f>_xlfn.XLOOKUP($A7,[2]Billing!$Q$5:$Q$40,[2]Billing!$AD$5:$AD$40)</f>
        <v>9609871</v>
      </c>
      <c r="G7" t="str">
        <v>Sajad Khan</v>
      </c>
    </row>
    <row r="8" spans="1:7" x14ac:dyDescent="0.3">
      <c r="A8" s="81" t="str">
        <f t="shared" si="0"/>
        <v>Raaz Fabrics</v>
      </c>
      <c r="B8" s="10">
        <f>_xlfn.XLOOKUP($A8,[2]Billing!$Q$5:$Q$40,[2]Billing!$AD$5:$AD$40)</f>
        <v>1526321</v>
      </c>
      <c r="G8" t="str">
        <v>Raaz Fabrics</v>
      </c>
    </row>
    <row r="9" spans="1:7" x14ac:dyDescent="0.3">
      <c r="A9" s="81" t="str">
        <f t="shared" si="0"/>
        <v>Azam</v>
      </c>
      <c r="B9" s="10">
        <f>_xlfn.XLOOKUP($A9,[2]Billing!$Q$5:$Q$40,[2]Billing!$AD$5:$AD$40)</f>
        <v>7402540</v>
      </c>
      <c r="G9" t="str">
        <v>Azam</v>
      </c>
    </row>
    <row r="10" spans="1:7" x14ac:dyDescent="0.3">
      <c r="A10" s="81" t="str">
        <f t="shared" si="0"/>
        <v>Ubaidullah</v>
      </c>
      <c r="B10" s="10">
        <f>_xlfn.XLOOKUP($A10,[2]Billing!$Q$5:$Q$40,[2]Billing!$AD$5:$AD$40)</f>
        <v>1908190</v>
      </c>
      <c r="G10" t="str">
        <v>Ubaidullah</v>
      </c>
    </row>
    <row r="11" spans="1:7" x14ac:dyDescent="0.3">
      <c r="A11" s="81" t="str">
        <f t="shared" si="0"/>
        <v>Ashraf Zia</v>
      </c>
      <c r="B11" s="10">
        <f>_xlfn.XLOOKUP($A11,[2]Billing!$Q$5:$Q$40,[2]Billing!$AD$5:$AD$40)</f>
        <v>130000</v>
      </c>
      <c r="G11" t="str">
        <v>Ashraf Zia</v>
      </c>
    </row>
    <row r="12" spans="1:7" x14ac:dyDescent="0.3">
      <c r="A12" s="81" t="str">
        <f t="shared" si="0"/>
        <v>Hafiz Qureshi</v>
      </c>
      <c r="B12" s="10">
        <f>_xlfn.XLOOKUP($A12,[2]Billing!$Q$5:$Q$40,[2]Billing!$AD$5:$AD$40)</f>
        <v>4146179</v>
      </c>
      <c r="G12" t="str">
        <v>Hafiz Qureshi</v>
      </c>
    </row>
    <row r="13" spans="1:7" x14ac:dyDescent="0.3">
      <c r="A13" s="81" t="str">
        <f t="shared" si="0"/>
        <v>Badshah Fabrics</v>
      </c>
      <c r="B13" s="10">
        <f>_xlfn.XLOOKUP($A13,[2]Billing!$Q$5:$Q$40,[2]Billing!$AD$5:$AD$40)</f>
        <v>6545761</v>
      </c>
      <c r="G13" t="str">
        <v>Badshah Fabrics</v>
      </c>
    </row>
    <row r="14" spans="1:7" x14ac:dyDescent="0.3">
      <c r="A14" s="81" t="str">
        <f t="shared" si="0"/>
        <v>Gauhar Kashif</v>
      </c>
      <c r="B14" s="10">
        <f>_xlfn.XLOOKUP($A14,[2]Billing!$Q$5:$Q$40,[2]Billing!$AD$5:$AD$40)</f>
        <v>1214045</v>
      </c>
      <c r="G14" t="str">
        <v>Gauhar Kashif</v>
      </c>
    </row>
    <row r="15" spans="1:7" x14ac:dyDescent="0.3">
      <c r="A15" s="81" t="str">
        <f t="shared" si="0"/>
        <v>Amjad 7up</v>
      </c>
      <c r="B15" s="10">
        <f>_xlfn.XLOOKUP($A15,[2]Billing!$Q$5:$Q$40,[2]Billing!$AD$5:$AD$40)</f>
        <v>480000</v>
      </c>
      <c r="G15" t="str">
        <v>Amjad 7up</v>
      </c>
    </row>
    <row r="16" spans="1:7" x14ac:dyDescent="0.3">
      <c r="A16" s="81" t="str">
        <f t="shared" si="0"/>
        <v>Hazrat Khan</v>
      </c>
      <c r="B16" s="10">
        <f>_xlfn.XLOOKUP($A16,[2]Billing!$Q$5:$Q$40,[2]Billing!$AD$5:$AD$40)</f>
        <v>95000</v>
      </c>
      <c r="G16" t="str">
        <v>Hazrat Khan</v>
      </c>
    </row>
    <row r="17" spans="1:7" x14ac:dyDescent="0.3">
      <c r="A17" s="81" t="str">
        <f t="shared" si="0"/>
        <v>Haseeb Shamsi</v>
      </c>
      <c r="B17" s="10">
        <f>_xlfn.XLOOKUP($A17,[2]Billing!$Q$5:$Q$40,[2]Billing!$AD$5:$AD$40)</f>
        <v>594405</v>
      </c>
      <c r="G17" t="str">
        <v>Haseeb Shamsi</v>
      </c>
    </row>
    <row r="18" spans="1:7" x14ac:dyDescent="0.3">
      <c r="A18" s="81" t="str">
        <f t="shared" si="0"/>
        <v>Faizan</v>
      </c>
      <c r="B18" s="10">
        <f>_xlfn.XLOOKUP($A18,[2]Billing!$Q$5:$Q$40,[2]Billing!$AD$5:$AD$40)</f>
        <v>6024187</v>
      </c>
      <c r="G18" t="str">
        <v>Faizan</v>
      </c>
    </row>
    <row r="19" spans="1:7" x14ac:dyDescent="0.3">
      <c r="A19" s="81" t="str">
        <f t="shared" si="0"/>
        <v>Shafique Ansari</v>
      </c>
      <c r="B19" s="10">
        <f>_xlfn.XLOOKUP($A19,[2]Billing!$Q$5:$Q$40,[2]Billing!$AD$5:$AD$40)</f>
        <v>835660</v>
      </c>
      <c r="G19" t="str">
        <v>Shafique Ansari</v>
      </c>
    </row>
    <row r="20" spans="1:7" x14ac:dyDescent="0.3">
      <c r="A20" s="81" t="str">
        <f t="shared" si="0"/>
        <v>Amjad sohail</v>
      </c>
      <c r="B20" s="10">
        <f>_xlfn.XLOOKUP($A20,[2]Billing!$Q$5:$Q$40,[2]Billing!$AD$5:$AD$40)</f>
        <v>4417830</v>
      </c>
      <c r="G20" t="str">
        <v>Amjad sohail</v>
      </c>
    </row>
    <row r="21" spans="1:7" x14ac:dyDescent="0.3">
      <c r="A21" s="81" t="str">
        <f t="shared" si="0"/>
        <v>Salman Zaffar</v>
      </c>
      <c r="B21" s="10">
        <f>_xlfn.XLOOKUP($A21,[2]Billing!$Q$5:$Q$40,[2]Billing!$AD$5:$AD$40)</f>
        <v>3296025</v>
      </c>
      <c r="G21" t="str">
        <v>Salman Zaffar</v>
      </c>
    </row>
    <row r="22" spans="1:7" x14ac:dyDescent="0.3">
      <c r="A22" s="81" t="str">
        <f t="shared" si="0"/>
        <v>Shahid Qasayi</v>
      </c>
      <c r="B22" s="10">
        <f>_xlfn.XLOOKUP($A22,[2]Billing!$Q$5:$Q$40,[2]Billing!$AD$5:$AD$40)</f>
        <v>3625137</v>
      </c>
      <c r="G22" t="str">
        <v>Shahid Qasayi</v>
      </c>
    </row>
    <row r="23" spans="1:7" x14ac:dyDescent="0.3">
      <c r="A23" s="81" t="str">
        <f t="shared" si="0"/>
        <v>Hameed corporation</v>
      </c>
      <c r="B23" s="10">
        <f>_xlfn.XLOOKUP($A23,[2]Billing!$Q$5:$Q$40,[2]Billing!$AD$5:$AD$40)</f>
        <v>424323</v>
      </c>
      <c r="G23" t="str">
        <v>Hameed corporation</v>
      </c>
    </row>
    <row r="24" spans="1:7" x14ac:dyDescent="0.3">
      <c r="A24" s="81" t="str">
        <f t="shared" si="0"/>
        <v>ibraheem behraam</v>
      </c>
      <c r="B24" s="10">
        <f>_xlfn.XLOOKUP($A24,[2]Billing!$Q$5:$Q$40,[2]Billing!$AD$5:$AD$40)</f>
        <v>1415500</v>
      </c>
      <c r="G24" t="str">
        <v>ibraheem behraam</v>
      </c>
    </row>
    <row r="25" spans="1:7" x14ac:dyDescent="0.3">
      <c r="A25" s="81" t="str">
        <f t="shared" si="0"/>
        <v>Zia-ullah karachi</v>
      </c>
      <c r="B25" s="10">
        <f>_xlfn.XLOOKUP($A25,[2]Billing!$Q$5:$Q$40,[2]Billing!$AD$5:$AD$40)</f>
        <v>124560</v>
      </c>
      <c r="G25" t="str">
        <v>Zia-ullah karachi</v>
      </c>
    </row>
    <row r="26" spans="1:7" x14ac:dyDescent="0.3">
      <c r="A26" s="81" t="str">
        <f t="shared" si="0"/>
        <v>ZA</v>
      </c>
      <c r="B26" s="10">
        <f>_xlfn.XLOOKUP($A26,[2]Billing!$Q$5:$Q$40,[2]Billing!$AD$5:$AD$40)</f>
        <v>250000</v>
      </c>
      <c r="G26" t="str">
        <v>ZA</v>
      </c>
    </row>
    <row r="27" spans="1:7" x14ac:dyDescent="0.3">
      <c r="A27" s="81" t="str">
        <f t="shared" si="0"/>
        <v>Ahmad Javaid</v>
      </c>
      <c r="B27" s="10">
        <f>_xlfn.XLOOKUP($A27,[2]Billing!$Q$5:$Q$40,[2]Billing!$AD$5:$AD$40)</f>
        <v>0</v>
      </c>
      <c r="G27" t="str">
        <v>Ahmad Javaid</v>
      </c>
    </row>
    <row r="28" spans="1:7" x14ac:dyDescent="0.3">
      <c r="A28" s="81" t="str">
        <f t="shared" si="0"/>
        <v>Shani Badshah</v>
      </c>
      <c r="B28" s="125">
        <f>_xlfn.XLOOKUP($A28,[2]Billing!$Q$5:$Q$40,[2]Billing!$AD$5:$AD$40)</f>
        <v>1300000</v>
      </c>
      <c r="G28" t="str">
        <v>Shani Badshah</v>
      </c>
    </row>
    <row r="29" spans="1:7" x14ac:dyDescent="0.3">
      <c r="A29" s="81" t="str">
        <f t="shared" si="0"/>
        <v>Rehman Ali</v>
      </c>
      <c r="B29" s="125">
        <f>_xlfn.XLOOKUP($A29,[2]Billing!$Q$5:$Q$40,[2]Billing!$AD$5:$AD$40)</f>
        <v>550000</v>
      </c>
      <c r="G29" t="str">
        <v>Rehman Ali</v>
      </c>
    </row>
    <row r="30" spans="1:7" x14ac:dyDescent="0.3">
      <c r="A30" s="81" t="str">
        <f t="shared" si="0"/>
        <v>Ahmad Shafique</v>
      </c>
      <c r="B30" s="125">
        <f>_xlfn.XLOOKUP($A30,[2]Billing!$Q$5:$Q$40,[2]Billing!$AD$5:$AD$40)</f>
        <v>636000</v>
      </c>
      <c r="G30" t="str">
        <v>Ahmad Shafique</v>
      </c>
    </row>
    <row r="31" spans="1:7" x14ac:dyDescent="0.3">
      <c r="A31" s="81" t="str">
        <f t="shared" si="0"/>
        <v>Hafiz Shawl</v>
      </c>
      <c r="B31" s="125">
        <f>_xlfn.XLOOKUP($A31,[2]Billing!$Q$5:$Q$40,[2]Billing!$AD$5:$AD$40)</f>
        <v>15855</v>
      </c>
      <c r="G31" t="str">
        <v>Hafiz Shawl</v>
      </c>
    </row>
    <row r="32" spans="1:7" x14ac:dyDescent="0.3">
      <c r="A32" s="81" t="str">
        <f t="shared" si="0"/>
        <v>Zahid Ejaz</v>
      </c>
      <c r="B32" s="125" t="e">
        <f>_xlfn.XLOOKUP($A32,[2]Billing!$Q$5:$Q$40,[2]Billing!$AD$5:$AD$40)</f>
        <v>#N/A</v>
      </c>
      <c r="G32" t="str">
        <v>Zahid Ejaz</v>
      </c>
    </row>
    <row r="33" spans="1:2" x14ac:dyDescent="0.3">
      <c r="A33" s="81">
        <f t="shared" si="0"/>
        <v>0</v>
      </c>
      <c r="B33" s="125" t="e">
        <f>_xlfn.XLOOKUP($A33,[2]Billing!$Q$5:$Q$40,[2]Billing!$AD$5:$AD$40)</f>
        <v>#N/A</v>
      </c>
    </row>
    <row r="34" spans="1:2" x14ac:dyDescent="0.3">
      <c r="A34" s="81">
        <f t="shared" si="0"/>
        <v>0</v>
      </c>
      <c r="B34" s="125" t="e">
        <f>_xlfn.XLOOKUP($A34,[2]Billing!$Q$5:$Q$40,[2]Billing!$AD$5:$AD$40)</f>
        <v>#N/A</v>
      </c>
    </row>
    <row r="35" spans="1:2" x14ac:dyDescent="0.3">
      <c r="A35" s="81">
        <f t="shared" si="0"/>
        <v>0</v>
      </c>
      <c r="B35" s="125" t="e">
        <f>_xlfn.XLOOKUP($A35,[2]Billing!$Q$5:$Q$40,[2]Billing!$AD$5:$AD$40)</f>
        <v>#N/A</v>
      </c>
    </row>
    <row r="36" spans="1:2" x14ac:dyDescent="0.3">
      <c r="A36" s="81">
        <f t="shared" si="0"/>
        <v>0</v>
      </c>
      <c r="B36" s="125" t="e">
        <f>_xlfn.XLOOKUP($A36,[2]Billing!$Q$5:$Q$40,[2]Billing!$AD$5:$AD$40)</f>
        <v>#N/A</v>
      </c>
    </row>
    <row r="37" spans="1:2" x14ac:dyDescent="0.3">
      <c r="A37" s="81">
        <f t="shared" si="0"/>
        <v>0</v>
      </c>
      <c r="B37" s="125" t="e">
        <f>_xlfn.XLOOKUP($A37,[2]Billing!$Q$5:$Q$40,[2]Billing!$AD$5:$AD$40)</f>
        <v>#N/A</v>
      </c>
    </row>
    <row r="38" spans="1:2" x14ac:dyDescent="0.3">
      <c r="A38" s="81">
        <f t="shared" si="0"/>
        <v>0</v>
      </c>
      <c r="B38" s="125" t="e">
        <f>_xlfn.XLOOKUP($A38,[2]Billing!$Q$5:$Q$40,[2]Billing!$AD$5:$AD$40)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2026-02-22T23:24:29Z</dcterms:modified>
  <cp:category/>
  <cp:contentStatus/>
</cp:coreProperties>
</file>