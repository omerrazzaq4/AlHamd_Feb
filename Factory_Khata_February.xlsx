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slicers/slicer1.xml" ContentType="application/vnd.ms-excel.slicer+xml"/>
  <Override PartName="/xl/tables/table9.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18.xml" ContentType="application/vnd.openxmlformats-officedocument.spreadsheetml.table+xml"/>
  <Override PartName="/xl/slicers/slicer4.xml" ContentType="application/vnd.ms-excel.slicer+xml"/>
  <Override PartName="/xl/tables/table19.xml" ContentType="application/vnd.openxmlformats-officedocument.spreadsheetml.table+xml"/>
  <Override PartName="/xl/tables/table20.xml" ContentType="application/vnd.openxmlformats-officedocument.spreadsheetml.table+xml"/>
  <Override PartName="/xl/drawings/drawing5.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slicers/slicer5.xml" ContentType="application/vnd.ms-excel.slicer+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mc:AlternateContent xmlns:mc="http://schemas.openxmlformats.org/markup-compatibility/2006">
    <mc:Choice Requires="x15">
      <x15ac:absPath xmlns:x15ac="http://schemas.microsoft.com/office/spreadsheetml/2010/11/ac" url="https://pern-my.sharepoint.com/personal/25020299_lums_edu_pk/Documents/Desktop/Factory/"/>
    </mc:Choice>
  </mc:AlternateContent>
  <xr:revisionPtr revIDLastSave="6373" documentId="8_{5FA7CF9A-3CD5-4319-9FC5-E34696581AAD}" xr6:coauthVersionLast="47" xr6:coauthVersionMax="47" xr10:uidLastSave="{2ACE1965-BA16-41F2-9FDC-EBFDD59E9869}"/>
  <bookViews>
    <workbookView xWindow="-108" yWindow="-108" windowWidth="23256" windowHeight="12456" tabRatio="597" firstSheet="6" activeTab="8" xr2:uid="{E7D9A63E-D9E8-4997-9BC3-9785CA208C4E}"/>
  </bookViews>
  <sheets>
    <sheet name="Billing" sheetId="9" r:id="rId1"/>
    <sheet name="Bill Print" sheetId="19" r:id="rId2"/>
    <sheet name="Expenses" sheetId="8" r:id="rId3"/>
    <sheet name="Profit" sheetId="10" r:id="rId4"/>
    <sheet name="Transport" sheetId="18" r:id="rId5"/>
    <sheet name="ledger" sheetId="1" r:id="rId6"/>
    <sheet name="Gray Khata" sheetId="22" r:id="rId7"/>
    <sheet name="Wood" sheetId="6" r:id="rId8"/>
    <sheet name="Cashbook" sheetId="17" r:id="rId9"/>
    <sheet name="Dyes" sheetId="7" r:id="rId10"/>
    <sheet name="Finish" sheetId="15" r:id="rId11"/>
    <sheet name="Electricity" sheetId="13" r:id="rId12"/>
    <sheet name="Miscellaneous" sheetId="11" r:id="rId13"/>
    <sheet name="Salary Acc" sheetId="12" r:id="rId14"/>
    <sheet name="Dc-m" sheetId="23" r:id="rId15"/>
    <sheet name="pivot " sheetId="2" r:id="rId16"/>
    <sheet name="Running Acc" sheetId="14" r:id="rId17"/>
    <sheet name="Balance" sheetId="20" r:id="rId18"/>
    <sheet name="Cashflow" sheetId="21" r:id="rId19"/>
  </sheets>
  <externalReferences>
    <externalReference r:id="rId20"/>
  </externalReferences>
  <definedNames>
    <definedName name="_xlcn.WorksheetConnection_Khata2.xlsxTable4" hidden="1">Table4[]</definedName>
    <definedName name="_xlcn.WorksheetConnection_Khata2.xlsxTable41" hidden="1">Table4[]</definedName>
    <definedName name="Slicer_Date">#N/A</definedName>
    <definedName name="Slicer_Date1">#N/A</definedName>
    <definedName name="Slicer_Party">#N/A</definedName>
    <definedName name="Slicer_Party_Name">#N/A</definedName>
    <definedName name="Slicer_Party_Name1">#N/A</definedName>
    <definedName name="Slicer_Party_Name2">#N/A</definedName>
    <definedName name="Slicer_Person">#N/A</definedName>
    <definedName name="Slicer_Shipment_Number">#N/A</definedName>
    <definedName name="Table4_1" localSheetId="0" hidden="1">Billing!#REF!</definedName>
  </definedNames>
  <calcPr calcId="191028"/>
  <pivotCaches>
    <pivotCache cacheId="0" r:id="rId21"/>
    <pivotCache cacheId="1" r:id="rId22"/>
    <pivotCache cacheId="2" r:id="rId23"/>
    <pivotCache cacheId="3" r:id="rId24"/>
    <pivotCache cacheId="4" r:id="rId25"/>
    <pivotCache cacheId="5"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Khata (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 i="6" l="1"/>
  <c r="C93" i="23"/>
  <c r="B92" i="23"/>
  <c r="C90" i="23"/>
  <c r="C89" i="23"/>
  <c r="C88" i="23"/>
  <c r="C87" i="23"/>
  <c r="C86" i="23"/>
  <c r="C85" i="23"/>
  <c r="C84" i="23"/>
  <c r="C77" i="23"/>
  <c r="C83" i="23"/>
  <c r="C82" i="23"/>
  <c r="C81" i="23"/>
  <c r="C80" i="23"/>
  <c r="C79" i="23"/>
  <c r="C78" i="23"/>
  <c r="C70" i="23"/>
  <c r="B69" i="23"/>
  <c r="C67" i="23"/>
  <c r="C66" i="23"/>
  <c r="C65" i="23"/>
  <c r="C64" i="23"/>
  <c r="C63" i="23"/>
  <c r="C62" i="23"/>
  <c r="C61" i="23"/>
  <c r="C60" i="23"/>
  <c r="C59" i="23"/>
  <c r="C58" i="23"/>
  <c r="C57" i="23"/>
  <c r="C56" i="23"/>
  <c r="C55" i="23"/>
  <c r="C54" i="23"/>
  <c r="B46" i="23"/>
  <c r="C44" i="23"/>
  <c r="C43" i="23"/>
  <c r="C42" i="23"/>
  <c r="C41" i="23"/>
  <c r="C40" i="23"/>
  <c r="C39" i="23"/>
  <c r="C38" i="23"/>
  <c r="C37" i="23"/>
  <c r="C36" i="23"/>
  <c r="C35" i="23"/>
  <c r="C34" i="23"/>
  <c r="C33" i="23"/>
  <c r="C32" i="23"/>
  <c r="C31" i="23"/>
  <c r="C22" i="23"/>
  <c r="B21" i="23"/>
  <c r="C6" i="23"/>
  <c r="C7" i="23"/>
  <c r="C8" i="23"/>
  <c r="C9" i="23"/>
  <c r="C10" i="23"/>
  <c r="C11" i="23"/>
  <c r="C12" i="23"/>
  <c r="C13" i="23"/>
  <c r="C14" i="23"/>
  <c r="C15" i="23"/>
  <c r="C16" i="23"/>
  <c r="C17" i="23"/>
  <c r="C18" i="23"/>
  <c r="C19" i="23"/>
  <c r="H228" i="1"/>
  <c r="S40" i="9" a="1"/>
  <c r="S40" i="9" s="1"/>
  <c r="T40" i="9" a="1"/>
  <c r="T40" i="9" s="1"/>
  <c r="U40" i="9" a="1"/>
  <c r="U40" i="9" s="1"/>
  <c r="V40" i="9" a="1"/>
  <c r="V40" i="9"/>
  <c r="W40" i="9" a="1"/>
  <c r="W40" i="9" s="1"/>
  <c r="X40" i="9" a="1"/>
  <c r="X40" i="9"/>
  <c r="Y40" i="9" a="1"/>
  <c r="Y40" i="9" s="1"/>
  <c r="Z40" i="9" a="1"/>
  <c r="Z40" i="9" s="1"/>
  <c r="AA40" i="9" a="1"/>
  <c r="AA40" i="9" s="1"/>
  <c r="AB40" i="9" a="1"/>
  <c r="AB40" i="9"/>
  <c r="AC40" i="9" a="1"/>
  <c r="AC40" i="9" s="1"/>
  <c r="AD40" i="9" a="1"/>
  <c r="AD40" i="9"/>
  <c r="AF40" i="9"/>
  <c r="B32" i="20" s="1"/>
  <c r="S41" i="9" a="1"/>
  <c r="S41" i="9"/>
  <c r="T41" i="9" a="1"/>
  <c r="T41" i="9"/>
  <c r="U41" i="9" a="1"/>
  <c r="U41" i="9"/>
  <c r="V41" i="9" a="1"/>
  <c r="V41" i="9"/>
  <c r="W41" i="9" a="1"/>
  <c r="W41" i="9" s="1"/>
  <c r="X41" i="9" a="1"/>
  <c r="X41" i="9" s="1"/>
  <c r="Y41" i="9" a="1"/>
  <c r="Y41" i="9"/>
  <c r="Z41" i="9" a="1"/>
  <c r="Z41" i="9" s="1"/>
  <c r="AA41" i="9" a="1"/>
  <c r="AA41" i="9"/>
  <c r="AB41" i="9" a="1"/>
  <c r="AB41" i="9"/>
  <c r="AC41" i="9" a="1"/>
  <c r="AC41" i="9" s="1"/>
  <c r="AD41" i="9" a="1"/>
  <c r="AD41" i="9" s="1"/>
  <c r="AF41" i="9"/>
  <c r="B33" i="20" s="1"/>
  <c r="S42" i="9" a="1"/>
  <c r="S42" i="9"/>
  <c r="T42" i="9" a="1"/>
  <c r="T42" i="9" s="1"/>
  <c r="U42" i="9" a="1"/>
  <c r="U42" i="9"/>
  <c r="V42" i="9" a="1"/>
  <c r="V42" i="9"/>
  <c r="W42" i="9" a="1"/>
  <c r="W42" i="9" s="1"/>
  <c r="X42" i="9" a="1"/>
  <c r="X42" i="9" s="1"/>
  <c r="Y42" i="9" a="1"/>
  <c r="Y42" i="9"/>
  <c r="Z42" i="9" a="1"/>
  <c r="Z42" i="9" s="1"/>
  <c r="AA42" i="9" a="1"/>
  <c r="AA42" i="9"/>
  <c r="AB42" i="9" a="1"/>
  <c r="AB42" i="9"/>
  <c r="AC42" i="9" a="1"/>
  <c r="AC42" i="9" s="1"/>
  <c r="AD42" i="9" a="1"/>
  <c r="AD42" i="9" s="1"/>
  <c r="AF42" i="9"/>
  <c r="B34" i="20" s="1"/>
  <c r="S39" i="9" a="1"/>
  <c r="S39" i="9" s="1"/>
  <c r="T39" i="9" a="1"/>
  <c r="T39" i="9" s="1"/>
  <c r="U39" i="9" a="1"/>
  <c r="U39" i="9" s="1"/>
  <c r="V39" i="9" a="1"/>
  <c r="V39" i="9" s="1"/>
  <c r="W39" i="9" a="1"/>
  <c r="W39" i="9" s="1"/>
  <c r="X39" i="9" a="1"/>
  <c r="X39" i="9" s="1"/>
  <c r="Y39" i="9" a="1"/>
  <c r="Y39" i="9" s="1"/>
  <c r="Z39" i="9" a="1"/>
  <c r="Z39" i="9" s="1"/>
  <c r="AA39" i="9" a="1"/>
  <c r="AA39" i="9" s="1"/>
  <c r="AB39" i="9" a="1"/>
  <c r="AB39" i="9" s="1"/>
  <c r="AC39" i="9" a="1"/>
  <c r="AC39" i="9" s="1"/>
  <c r="AD39" i="9" a="1"/>
  <c r="AD39" i="9" s="1"/>
  <c r="AF39" i="9"/>
  <c r="J231" i="1" a="1"/>
  <c r="J231" i="1" s="1"/>
  <c r="J232" i="1" a="1"/>
  <c r="J232" i="1" s="1"/>
  <c r="J233" i="1" a="1"/>
  <c r="J233" i="1" s="1"/>
  <c r="J234" i="1" a="1"/>
  <c r="J234" i="1" s="1"/>
  <c r="J235" i="1" a="1"/>
  <c r="J235" i="1" s="1"/>
  <c r="J230" i="1" a="1"/>
  <c r="J230" i="1" s="1"/>
  <c r="I231" i="1"/>
  <c r="I232" i="1"/>
  <c r="I233" i="1"/>
  <c r="I234" i="1"/>
  <c r="I235" i="1"/>
  <c r="H231" i="1"/>
  <c r="H236" i="1"/>
  <c r="H237" i="1"/>
  <c r="G48" i="15"/>
  <c r="C751" i="17"/>
  <c r="D72" i="14"/>
  <c r="D73" i="14"/>
  <c r="D74" i="14"/>
  <c r="D75" i="14"/>
  <c r="J71" i="14"/>
  <c r="J72" i="14"/>
  <c r="J73" i="14"/>
  <c r="J74" i="14"/>
  <c r="J75" i="14"/>
  <c r="J76" i="14"/>
  <c r="I222" i="1"/>
  <c r="J222" i="1" a="1"/>
  <c r="J222" i="1" s="1"/>
  <c r="I223" i="1"/>
  <c r="J223" i="1" s="1" a="1"/>
  <c r="J223" i="1" s="1"/>
  <c r="I224" i="1"/>
  <c r="J224" i="1" a="1"/>
  <c r="J224" i="1" s="1"/>
  <c r="I225" i="1"/>
  <c r="J225" i="1" s="1" a="1"/>
  <c r="J225" i="1" s="1"/>
  <c r="I226" i="1"/>
  <c r="J226" i="1" a="1"/>
  <c r="J226" i="1" s="1"/>
  <c r="I227" i="1"/>
  <c r="J227" i="1" s="1" a="1"/>
  <c r="J227" i="1" s="1"/>
  <c r="I228" i="1"/>
  <c r="J228" i="1" s="1" a="1"/>
  <c r="J228" i="1" s="1"/>
  <c r="I229" i="1"/>
  <c r="J229" i="1" s="1" a="1"/>
  <c r="J229" i="1" s="1"/>
  <c r="I230" i="1"/>
  <c r="G79" i="6"/>
  <c r="G80" i="6"/>
  <c r="G81" i="6"/>
  <c r="I70" i="6"/>
  <c r="I71" i="6"/>
  <c r="I72" i="6"/>
  <c r="I73" i="6"/>
  <c r="I74" i="6"/>
  <c r="I75" i="6"/>
  <c r="I76" i="6"/>
  <c r="I77" i="6"/>
  <c r="I78" i="6"/>
  <c r="I79" i="6"/>
  <c r="I80" i="6"/>
  <c r="G74" i="6"/>
  <c r="G75" i="6"/>
  <c r="G76" i="6"/>
  <c r="G77" i="6"/>
  <c r="G78" i="6"/>
  <c r="G70" i="6"/>
  <c r="G71" i="6"/>
  <c r="G72" i="6"/>
  <c r="G73" i="6"/>
  <c r="C750" i="17"/>
  <c r="K714" i="17"/>
  <c r="C733" i="17"/>
  <c r="I214" i="1"/>
  <c r="J214" i="1" a="1"/>
  <c r="J214" i="1" s="1"/>
  <c r="I215" i="1"/>
  <c r="J215" i="1" s="1" a="1"/>
  <c r="J215" i="1" s="1"/>
  <c r="I216" i="1"/>
  <c r="J216" i="1" s="1" a="1"/>
  <c r="J216" i="1" s="1"/>
  <c r="I217" i="1"/>
  <c r="J217" i="1" s="1" a="1"/>
  <c r="J217" i="1" s="1"/>
  <c r="B49" i="9" a="1"/>
  <c r="E117" i="9" s="1"/>
  <c r="U24" i="9" s="1" a="1"/>
  <c r="U24" i="9" s="1"/>
  <c r="I218" i="1"/>
  <c r="J218" i="1" s="1" a="1"/>
  <c r="J218" i="1" s="1"/>
  <c r="I219" i="1"/>
  <c r="J219" i="1" s="1" a="1"/>
  <c r="J219" i="1" s="1"/>
  <c r="I220" i="1"/>
  <c r="J220" i="1" s="1" a="1"/>
  <c r="J220" i="1" s="1"/>
  <c r="I221" i="1"/>
  <c r="J221" i="1" s="1" a="1"/>
  <c r="J221" i="1" s="1"/>
  <c r="G29" i="7"/>
  <c r="H29" i="7" s="1"/>
  <c r="G30" i="7"/>
  <c r="H30" i="7" s="1"/>
  <c r="G31" i="7"/>
  <c r="H31" i="7" s="1"/>
  <c r="G32" i="7"/>
  <c r="H32" i="7" s="1"/>
  <c r="G33" i="7"/>
  <c r="H33" i="7" s="1"/>
  <c r="G34" i="7"/>
  <c r="H34" i="7" s="1"/>
  <c r="G35" i="7"/>
  <c r="H35" i="7" s="1"/>
  <c r="G36" i="7"/>
  <c r="H36" i="7" s="1"/>
  <c r="G37" i="7"/>
  <c r="H37" i="7" s="1"/>
  <c r="G38" i="7"/>
  <c r="H38" i="7" s="1"/>
  <c r="G39" i="7"/>
  <c r="H39" i="7" s="1"/>
  <c r="G40" i="7"/>
  <c r="H40" i="7" s="1"/>
  <c r="F47" i="15"/>
  <c r="G44" i="15"/>
  <c r="H44" i="15" s="1"/>
  <c r="G45" i="15"/>
  <c r="H45" i="15" s="1"/>
  <c r="G46" i="15"/>
  <c r="H46" i="15" s="1"/>
  <c r="G47" i="15"/>
  <c r="H47" i="15" s="1"/>
  <c r="F43" i="15"/>
  <c r="G43" i="15"/>
  <c r="H43" i="15" s="1"/>
  <c r="I201" i="1"/>
  <c r="J201" i="1" s="1" a="1"/>
  <c r="J201" i="1" s="1"/>
  <c r="I202" i="1"/>
  <c r="J202" i="1" s="1" a="1"/>
  <c r="J202" i="1" s="1"/>
  <c r="I203" i="1"/>
  <c r="J203" i="1" s="1" a="1"/>
  <c r="J203" i="1" s="1"/>
  <c r="I200" i="1"/>
  <c r="J200" i="1" s="1" a="1"/>
  <c r="J200" i="1" s="1"/>
  <c r="I204" i="1"/>
  <c r="J204" i="1" s="1" a="1"/>
  <c r="J204" i="1" s="1"/>
  <c r="I205" i="1"/>
  <c r="J205" i="1" s="1" a="1"/>
  <c r="J205" i="1" s="1"/>
  <c r="I112" i="1"/>
  <c r="J112" i="1" s="1"/>
  <c r="I113" i="1"/>
  <c r="J113" i="1" s="1"/>
  <c r="I206" i="1"/>
  <c r="J206" i="1" s="1" a="1"/>
  <c r="J206" i="1" s="1"/>
  <c r="I207" i="1"/>
  <c r="J207" i="1" s="1" a="1"/>
  <c r="J207" i="1" s="1"/>
  <c r="I208" i="1"/>
  <c r="J208" i="1" s="1" a="1"/>
  <c r="J208" i="1" s="1"/>
  <c r="I209" i="1"/>
  <c r="J209" i="1" a="1"/>
  <c r="J209" i="1" s="1"/>
  <c r="I210" i="1"/>
  <c r="J210" i="1" s="1" a="1"/>
  <c r="J210" i="1" s="1"/>
  <c r="I211" i="1"/>
  <c r="J211" i="1" s="1" a="1"/>
  <c r="J211" i="1" s="1"/>
  <c r="I212" i="1"/>
  <c r="J212" i="1" s="1" a="1"/>
  <c r="J212" i="1" s="1"/>
  <c r="I213" i="1"/>
  <c r="J213" i="1" s="1" a="1"/>
  <c r="J213" i="1" s="1"/>
  <c r="I81" i="1"/>
  <c r="J81" i="1" s="1" a="1"/>
  <c r="J81" i="1" s="1"/>
  <c r="I82" i="1"/>
  <c r="J82" i="1" s="1" a="1"/>
  <c r="J82" i="1" s="1"/>
  <c r="I83" i="1"/>
  <c r="J83" i="1" s="1" a="1"/>
  <c r="J83" i="1" s="1"/>
  <c r="I84" i="1"/>
  <c r="J84" i="1" s="1" a="1"/>
  <c r="J84" i="1" s="1"/>
  <c r="I87" i="1"/>
  <c r="J87" i="1" s="1" a="1"/>
  <c r="J87" i="1" s="1"/>
  <c r="I88" i="1"/>
  <c r="J88" i="1" s="1" a="1"/>
  <c r="J88" i="1" s="1"/>
  <c r="I89" i="1"/>
  <c r="J89" i="1" s="1" a="1"/>
  <c r="J89" i="1" s="1"/>
  <c r="I91" i="1"/>
  <c r="J91" i="1" s="1" a="1"/>
  <c r="J91" i="1" s="1"/>
  <c r="I97" i="1"/>
  <c r="J97" i="1" s="1" a="1"/>
  <c r="J97" i="1" s="1"/>
  <c r="I150" i="1"/>
  <c r="J150" i="1" s="1" a="1"/>
  <c r="J150" i="1" s="1"/>
  <c r="I151" i="1"/>
  <c r="J151" i="1" s="1" a="1"/>
  <c r="J151" i="1" s="1"/>
  <c r="I152" i="1"/>
  <c r="J152" i="1" s="1" a="1"/>
  <c r="J152" i="1" s="1"/>
  <c r="I156" i="1"/>
  <c r="J156" i="1" s="1" a="1"/>
  <c r="J156" i="1" s="1"/>
  <c r="I157" i="1"/>
  <c r="J157" i="1" s="1" a="1"/>
  <c r="J157" i="1" s="1"/>
  <c r="I164" i="1"/>
  <c r="J164" i="1" a="1"/>
  <c r="J164" i="1" s="1"/>
  <c r="I165" i="1"/>
  <c r="J165" i="1" s="1" a="1"/>
  <c r="J165" i="1" s="1"/>
  <c r="I166" i="1"/>
  <c r="J166" i="1" s="1" a="1"/>
  <c r="J166" i="1" s="1"/>
  <c r="I167" i="1"/>
  <c r="J167" i="1" s="1" a="1"/>
  <c r="J167" i="1" s="1"/>
  <c r="I169" i="1"/>
  <c r="J169" i="1" s="1" a="1"/>
  <c r="J169" i="1" s="1"/>
  <c r="I179" i="1"/>
  <c r="J179" i="1" s="1" a="1"/>
  <c r="J179" i="1" s="1"/>
  <c r="I187" i="1"/>
  <c r="J187" i="1" s="1" a="1"/>
  <c r="J187" i="1" s="1"/>
  <c r="I193" i="1"/>
  <c r="J193" i="1" s="1" a="1"/>
  <c r="J193" i="1" s="1"/>
  <c r="I194" i="1"/>
  <c r="J194" i="1" a="1"/>
  <c r="J194" i="1" s="1"/>
  <c r="I195" i="1"/>
  <c r="J195" i="1" s="1" a="1"/>
  <c r="J195" i="1" s="1"/>
  <c r="I77" i="1"/>
  <c r="J77" i="1" s="1" a="1"/>
  <c r="J77" i="1" s="1"/>
  <c r="I127" i="1"/>
  <c r="J127" i="1" s="1" a="1"/>
  <c r="J127" i="1" s="1"/>
  <c r="I130" i="1"/>
  <c r="J130" i="1" s="1" a="1"/>
  <c r="J130" i="1" s="1"/>
  <c r="I131" i="1"/>
  <c r="J131" i="1" s="1" a="1"/>
  <c r="J131" i="1" s="1"/>
  <c r="I132" i="1"/>
  <c r="J132" i="1" a="1"/>
  <c r="J132" i="1" s="1"/>
  <c r="I133" i="1"/>
  <c r="J133" i="1" s="1" a="1"/>
  <c r="J133" i="1" s="1"/>
  <c r="I137" i="1"/>
  <c r="J137" i="1" a="1"/>
  <c r="J137" i="1" s="1"/>
  <c r="I138" i="1"/>
  <c r="J138" i="1" a="1"/>
  <c r="J138" i="1" s="1"/>
  <c r="I139" i="1"/>
  <c r="J139" i="1" s="1" a="1"/>
  <c r="J139" i="1" s="1"/>
  <c r="I140" i="1"/>
  <c r="J140" i="1" s="1" a="1"/>
  <c r="J140" i="1" s="1"/>
  <c r="I141" i="1"/>
  <c r="J141" i="1" s="1" a="1"/>
  <c r="J141" i="1" s="1"/>
  <c r="I142" i="1"/>
  <c r="J142" i="1" s="1" a="1"/>
  <c r="J142" i="1" s="1"/>
  <c r="I95" i="1"/>
  <c r="J95" i="1" s="1" a="1"/>
  <c r="J95" i="1" s="1"/>
  <c r="I102" i="1"/>
  <c r="J102" i="1" s="1" a="1"/>
  <c r="J102" i="1" s="1"/>
  <c r="I108" i="1"/>
  <c r="J108" i="1" s="1" a="1"/>
  <c r="J108" i="1" s="1"/>
  <c r="I109" i="1"/>
  <c r="J109" i="1" s="1" a="1"/>
  <c r="J109" i="1" s="1"/>
  <c r="I117" i="1"/>
  <c r="J117" i="1" s="1" a="1"/>
  <c r="J117" i="1" s="1"/>
  <c r="I118" i="1"/>
  <c r="J118" i="1" s="1" a="1"/>
  <c r="J118" i="1" s="1"/>
  <c r="I121" i="1"/>
  <c r="J121" i="1" s="1" a="1"/>
  <c r="J121" i="1" s="1"/>
  <c r="I134" i="1"/>
  <c r="J134" i="1" s="1" a="1"/>
  <c r="J134" i="1" s="1"/>
  <c r="I135" i="1"/>
  <c r="J135" i="1" s="1" a="1"/>
  <c r="J135" i="1" s="1"/>
  <c r="I158" i="1"/>
  <c r="J158" i="1" s="1" a="1"/>
  <c r="J158" i="1" s="1"/>
  <c r="I161" i="1"/>
  <c r="J161" i="1" s="1" a="1"/>
  <c r="J161" i="1" s="1"/>
  <c r="I162" i="1"/>
  <c r="J162" i="1" s="1" a="1"/>
  <c r="J162" i="1" s="1"/>
  <c r="I177" i="1"/>
  <c r="J177" i="1" s="1" a="1"/>
  <c r="J177" i="1" s="1"/>
  <c r="I178" i="1"/>
  <c r="J178" i="1" s="1" a="1"/>
  <c r="J178" i="1" s="1"/>
  <c r="I185" i="1"/>
  <c r="J185" i="1" s="1" a="1"/>
  <c r="J185" i="1" s="1"/>
  <c r="I186" i="1"/>
  <c r="J186" i="1" s="1" a="1"/>
  <c r="J186" i="1" s="1"/>
  <c r="I190" i="1"/>
  <c r="J190" i="1" s="1" a="1"/>
  <c r="J190" i="1" s="1"/>
  <c r="I192" i="1"/>
  <c r="J192" i="1" s="1" a="1"/>
  <c r="J192" i="1" s="1"/>
  <c r="I72" i="1"/>
  <c r="J72" i="1" s="1" a="1"/>
  <c r="J72" i="1" s="1"/>
  <c r="I75" i="1"/>
  <c r="J75" i="1" s="1" a="1"/>
  <c r="J75" i="1" s="1"/>
  <c r="J2" i="1"/>
  <c r="J29" i="1"/>
  <c r="J68" i="1"/>
  <c r="I85" i="1"/>
  <c r="J85" i="1" s="1" a="1"/>
  <c r="J85" i="1" s="1"/>
  <c r="I86" i="1"/>
  <c r="J86" i="1" s="1" a="1"/>
  <c r="J86" i="1" s="1"/>
  <c r="I159" i="1"/>
  <c r="J159" i="1" s="1" a="1"/>
  <c r="J159" i="1" s="1"/>
  <c r="I163" i="1"/>
  <c r="J163" i="1" s="1" a="1"/>
  <c r="J163" i="1" s="1"/>
  <c r="I170" i="1"/>
  <c r="J170" i="1" s="1" a="1"/>
  <c r="J170" i="1" s="1"/>
  <c r="I171" i="1"/>
  <c r="J171" i="1" s="1" a="1"/>
  <c r="J171" i="1" s="1"/>
  <c r="I172" i="1"/>
  <c r="J172" i="1" s="1" a="1"/>
  <c r="J172" i="1" s="1"/>
  <c r="I173" i="1"/>
  <c r="J173" i="1" s="1" a="1"/>
  <c r="J173" i="1" s="1"/>
  <c r="J3" i="1"/>
  <c r="J4" i="1"/>
  <c r="J5" i="1"/>
  <c r="J6" i="1"/>
  <c r="J7" i="1"/>
  <c r="J8" i="1"/>
  <c r="J9" i="1"/>
  <c r="J10" i="1"/>
  <c r="J11" i="1"/>
  <c r="J12" i="1"/>
  <c r="J13" i="1"/>
  <c r="J14" i="1"/>
  <c r="J15" i="1"/>
  <c r="J16" i="1"/>
  <c r="J17" i="1"/>
  <c r="J18" i="1"/>
  <c r="J19" i="1"/>
  <c r="J20" i="1"/>
  <c r="J21" i="1"/>
  <c r="J22" i="1"/>
  <c r="J23" i="1"/>
  <c r="J24" i="1"/>
  <c r="J25" i="1"/>
  <c r="J26" i="1"/>
  <c r="J27" i="1"/>
  <c r="J28"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9" i="1"/>
  <c r="I70" i="1"/>
  <c r="J70" i="1" s="1" a="1"/>
  <c r="J70" i="1" s="1"/>
  <c r="I71" i="1"/>
  <c r="J71" i="1" s="1" a="1"/>
  <c r="J71" i="1" s="1"/>
  <c r="I73" i="1"/>
  <c r="J73" i="1" s="1" a="1"/>
  <c r="J73" i="1" s="1"/>
  <c r="I74" i="1"/>
  <c r="J74" i="1" s="1" a="1"/>
  <c r="J74" i="1" s="1"/>
  <c r="I76" i="1"/>
  <c r="J76" i="1" a="1"/>
  <c r="J76" i="1" s="1"/>
  <c r="I78" i="1"/>
  <c r="J78" i="1" a="1"/>
  <c r="J78" i="1" s="1"/>
  <c r="I79" i="1"/>
  <c r="J79" i="1" s="1" a="1"/>
  <c r="J79" i="1" s="1"/>
  <c r="I80" i="1"/>
  <c r="J80" i="1" s="1" a="1"/>
  <c r="J80" i="1" s="1"/>
  <c r="I90" i="1"/>
  <c r="J90" i="1" s="1" a="1"/>
  <c r="J90" i="1" s="1"/>
  <c r="I92" i="1"/>
  <c r="J92" i="1" s="1" a="1"/>
  <c r="J92" i="1" s="1"/>
  <c r="I93" i="1"/>
  <c r="J93" i="1" s="1" a="1"/>
  <c r="J93" i="1" s="1"/>
  <c r="I94" i="1"/>
  <c r="J94" i="1" s="1" a="1"/>
  <c r="J94" i="1" s="1"/>
  <c r="I96" i="1"/>
  <c r="J96" i="1" s="1" a="1"/>
  <c r="J96" i="1" s="1"/>
  <c r="I98" i="1"/>
  <c r="J98" i="1" s="1" a="1"/>
  <c r="J98" i="1" s="1"/>
  <c r="I99" i="1"/>
  <c r="J99" i="1" s="1" a="1"/>
  <c r="J99" i="1" s="1"/>
  <c r="I100" i="1"/>
  <c r="J100" i="1" s="1" a="1"/>
  <c r="J100" i="1" s="1"/>
  <c r="I101" i="1"/>
  <c r="J101" i="1" s="1" a="1"/>
  <c r="J101" i="1" s="1"/>
  <c r="I103" i="1"/>
  <c r="J103" i="1" s="1" a="1"/>
  <c r="J103" i="1" s="1"/>
  <c r="I104" i="1"/>
  <c r="J104" i="1" s="1" a="1"/>
  <c r="J104" i="1" s="1"/>
  <c r="I105" i="1"/>
  <c r="J105" i="1" s="1" a="1"/>
  <c r="J105" i="1" s="1"/>
  <c r="I106" i="1"/>
  <c r="J106" i="1" a="1"/>
  <c r="J106" i="1" s="1"/>
  <c r="I107" i="1"/>
  <c r="J107" i="1" s="1" a="1"/>
  <c r="J107" i="1" s="1"/>
  <c r="I110" i="1"/>
  <c r="J110" i="1" s="1" a="1"/>
  <c r="J110" i="1" s="1"/>
  <c r="I111" i="1"/>
  <c r="J111" i="1" s="1" a="1"/>
  <c r="J111" i="1" s="1"/>
  <c r="I114" i="1"/>
  <c r="J114" i="1" s="1" a="1"/>
  <c r="J114" i="1" s="1"/>
  <c r="I115" i="1"/>
  <c r="J115" i="1" s="1" a="1"/>
  <c r="J115" i="1" s="1"/>
  <c r="I116" i="1"/>
  <c r="J116" i="1" s="1" a="1"/>
  <c r="J116" i="1" s="1"/>
  <c r="I119" i="1"/>
  <c r="J119" i="1" s="1" a="1"/>
  <c r="J119" i="1" s="1"/>
  <c r="I120" i="1"/>
  <c r="J120" i="1" s="1" a="1"/>
  <c r="J120" i="1" s="1"/>
  <c r="I122" i="1"/>
  <c r="J122" i="1" s="1" a="1"/>
  <c r="J122" i="1" s="1"/>
  <c r="I123" i="1"/>
  <c r="J123" i="1" s="1" a="1"/>
  <c r="J123" i="1" s="1"/>
  <c r="I124" i="1"/>
  <c r="J124" i="1" s="1" a="1"/>
  <c r="J124" i="1" s="1"/>
  <c r="I125" i="1"/>
  <c r="J125" i="1" s="1" a="1"/>
  <c r="J125" i="1" s="1"/>
  <c r="I126" i="1"/>
  <c r="J126" i="1" s="1" a="1"/>
  <c r="J126" i="1" s="1"/>
  <c r="I128" i="1"/>
  <c r="J128" i="1" s="1" a="1"/>
  <c r="J128" i="1" s="1"/>
  <c r="I129" i="1"/>
  <c r="J129" i="1" s="1" a="1"/>
  <c r="J129" i="1" s="1"/>
  <c r="I136" i="1"/>
  <c r="J136" i="1" s="1" a="1"/>
  <c r="J136" i="1" s="1"/>
  <c r="I143" i="1"/>
  <c r="J143" i="1" s="1" a="1"/>
  <c r="J143" i="1" s="1"/>
  <c r="I144" i="1"/>
  <c r="J144" i="1" s="1" a="1"/>
  <c r="J144" i="1" s="1"/>
  <c r="I145" i="1"/>
  <c r="J145" i="1" s="1" a="1"/>
  <c r="J145" i="1" s="1"/>
  <c r="I146" i="1"/>
  <c r="J146" i="1" s="1" a="1"/>
  <c r="J146" i="1" s="1"/>
  <c r="I147" i="1"/>
  <c r="J147" i="1" s="1" a="1"/>
  <c r="J147" i="1" s="1"/>
  <c r="I148" i="1"/>
  <c r="J148" i="1" s="1" a="1"/>
  <c r="J148" i="1" s="1"/>
  <c r="I149" i="1"/>
  <c r="J149" i="1" s="1" a="1"/>
  <c r="J149" i="1" s="1"/>
  <c r="I153" i="1"/>
  <c r="J153" i="1" a="1"/>
  <c r="J153" i="1" s="1"/>
  <c r="I154" i="1"/>
  <c r="J154" i="1" s="1" a="1"/>
  <c r="J154" i="1" s="1"/>
  <c r="I155" i="1"/>
  <c r="J155" i="1" s="1" a="1"/>
  <c r="J155" i="1" s="1"/>
  <c r="I160" i="1"/>
  <c r="J160" i="1" a="1"/>
  <c r="J160" i="1" s="1"/>
  <c r="I174" i="1"/>
  <c r="J174" i="1" s="1" a="1"/>
  <c r="J174" i="1" s="1"/>
  <c r="I175" i="1"/>
  <c r="J175" i="1" s="1" a="1"/>
  <c r="J175" i="1" s="1"/>
  <c r="I176" i="1"/>
  <c r="J176" i="1" s="1" a="1"/>
  <c r="J176" i="1" s="1"/>
  <c r="I180" i="1"/>
  <c r="J180" i="1" s="1" a="1"/>
  <c r="J180" i="1" s="1"/>
  <c r="I181" i="1"/>
  <c r="J181" i="1" s="1" a="1"/>
  <c r="J181" i="1" s="1"/>
  <c r="I182" i="1"/>
  <c r="J182" i="1" s="1" a="1"/>
  <c r="J182" i="1" s="1"/>
  <c r="I183" i="1"/>
  <c r="J183" i="1" s="1" a="1"/>
  <c r="J183" i="1" s="1"/>
  <c r="I184" i="1"/>
  <c r="J184" i="1" s="1" a="1"/>
  <c r="J184" i="1" s="1"/>
  <c r="I188" i="1"/>
  <c r="J188" i="1" s="1" a="1"/>
  <c r="J188" i="1" s="1"/>
  <c r="I189" i="1"/>
  <c r="J189" i="1" a="1"/>
  <c r="J189" i="1" s="1"/>
  <c r="I191" i="1"/>
  <c r="J191" i="1" s="1" a="1"/>
  <c r="J191" i="1" s="1"/>
  <c r="I196" i="1"/>
  <c r="J196" i="1" s="1" a="1"/>
  <c r="J196" i="1" s="1"/>
  <c r="I197" i="1"/>
  <c r="J197" i="1" s="1" a="1"/>
  <c r="J197" i="1" s="1"/>
  <c r="I198" i="1"/>
  <c r="J198" i="1" s="1" a="1"/>
  <c r="J198" i="1" s="1"/>
  <c r="I199" i="1"/>
  <c r="J199" i="1" s="1" a="1"/>
  <c r="J199" i="1" s="1"/>
  <c r="G51" i="6"/>
  <c r="G52" i="6"/>
  <c r="G53" i="6"/>
  <c r="G54" i="6"/>
  <c r="G55" i="6"/>
  <c r="I51" i="6"/>
  <c r="I52" i="6"/>
  <c r="I53" i="6"/>
  <c r="I54" i="6"/>
  <c r="I55" i="6"/>
  <c r="C8" i="8"/>
  <c r="E5" i="13"/>
  <c r="J43" i="14"/>
  <c r="J44" i="14"/>
  <c r="J45" i="14"/>
  <c r="J46" i="14"/>
  <c r="J47" i="14"/>
  <c r="J48" i="14"/>
  <c r="J49" i="14"/>
  <c r="J50" i="14"/>
  <c r="J51" i="14"/>
  <c r="J52" i="14"/>
  <c r="J53" i="14"/>
  <c r="J54" i="14"/>
  <c r="J55" i="14"/>
  <c r="J56" i="14"/>
  <c r="J57" i="14"/>
  <c r="J58" i="14"/>
  <c r="J59" i="14"/>
  <c r="J60" i="14"/>
  <c r="J61" i="14"/>
  <c r="J62" i="14"/>
  <c r="J63" i="14"/>
  <c r="J64" i="14"/>
  <c r="J66" i="14"/>
  <c r="J67" i="14"/>
  <c r="J68" i="14"/>
  <c r="J69" i="14"/>
  <c r="J70" i="14"/>
  <c r="D68" i="14"/>
  <c r="D69" i="14"/>
  <c r="D70" i="14"/>
  <c r="D7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C646" i="17"/>
  <c r="C640" i="17"/>
  <c r="J65" i="14" s="1"/>
  <c r="C639" i="17"/>
  <c r="G25" i="7"/>
  <c r="H25" i="7" s="1"/>
  <c r="G26" i="7"/>
  <c r="H26" i="7" s="1"/>
  <c r="G27" i="7"/>
  <c r="H27" i="7" s="1"/>
  <c r="G28" i="7"/>
  <c r="H28" i="7" s="1"/>
  <c r="G24" i="7"/>
  <c r="H24" i="7" s="1"/>
  <c r="G22" i="7"/>
  <c r="H22" i="7" s="1"/>
  <c r="G41" i="7"/>
  <c r="H41" i="7" s="1"/>
  <c r="F40" i="15"/>
  <c r="G37" i="15"/>
  <c r="H37" i="15" s="1"/>
  <c r="G38" i="15"/>
  <c r="H38" i="15" s="1"/>
  <c r="G39" i="15"/>
  <c r="H39" i="15" s="1"/>
  <c r="G40" i="15"/>
  <c r="H40" i="15" s="1"/>
  <c r="G41" i="15"/>
  <c r="H41" i="15" s="1"/>
  <c r="G42" i="15"/>
  <c r="H42" i="15" s="1"/>
  <c r="I62" i="6"/>
  <c r="I63" i="6"/>
  <c r="I64" i="6"/>
  <c r="I65" i="6"/>
  <c r="I66" i="6"/>
  <c r="I67" i="6"/>
  <c r="I68" i="6"/>
  <c r="I69" i="6"/>
  <c r="G62" i="6"/>
  <c r="G63" i="6"/>
  <c r="G64" i="6"/>
  <c r="G65" i="6"/>
  <c r="G66" i="6"/>
  <c r="G67" i="6"/>
  <c r="G68" i="6"/>
  <c r="G69" i="6"/>
  <c r="I57" i="6"/>
  <c r="I58" i="6"/>
  <c r="I59" i="6"/>
  <c r="I60" i="6"/>
  <c r="I61" i="6"/>
  <c r="G58" i="6"/>
  <c r="G59" i="6"/>
  <c r="G60" i="6"/>
  <c r="G61" i="6"/>
  <c r="G23" i="7"/>
  <c r="H23" i="7" s="1"/>
  <c r="F27" i="15"/>
  <c r="C425" i="17"/>
  <c r="C424" i="17"/>
  <c r="G24" i="15"/>
  <c r="H24" i="15" s="1"/>
  <c r="G2" i="7"/>
  <c r="G14" i="7"/>
  <c r="H14" i="7" s="1"/>
  <c r="G15" i="7"/>
  <c r="H15" i="7" s="1"/>
  <c r="G16" i="7"/>
  <c r="H16" i="7" s="1"/>
  <c r="G3" i="7"/>
  <c r="G4" i="7"/>
  <c r="G5" i="7"/>
  <c r="G6" i="7"/>
  <c r="G7" i="7"/>
  <c r="G8" i="7"/>
  <c r="G9" i="7"/>
  <c r="G10" i="7"/>
  <c r="G11" i="7"/>
  <c r="H11" i="7" s="1"/>
  <c r="G12" i="7"/>
  <c r="H12" i="7" s="1"/>
  <c r="G13" i="7"/>
  <c r="H13" i="7" s="1"/>
  <c r="G17" i="7"/>
  <c r="H17" i="7" s="1"/>
  <c r="G18" i="7"/>
  <c r="H18" i="7" s="1"/>
  <c r="G19" i="7"/>
  <c r="H19" i="7" s="1"/>
  <c r="G20" i="7"/>
  <c r="H20" i="7" s="1"/>
  <c r="G21" i="7"/>
  <c r="H21" i="7" s="1"/>
  <c r="C363" i="17"/>
  <c r="C410" i="17"/>
  <c r="D413" i="17"/>
  <c r="C411" i="17"/>
  <c r="C383" i="17"/>
  <c r="C358" i="17"/>
  <c r="C351" i="17"/>
  <c r="F30" i="15"/>
  <c r="F32" i="15"/>
  <c r="F34" i="15"/>
  <c r="F35" i="15"/>
  <c r="G30" i="15"/>
  <c r="H30" i="15" s="1"/>
  <c r="G31" i="15"/>
  <c r="H31" i="15" s="1"/>
  <c r="G32" i="15"/>
  <c r="G33" i="15"/>
  <c r="H33" i="15" s="1"/>
  <c r="G34" i="15"/>
  <c r="H34" i="15" s="1"/>
  <c r="G35" i="15"/>
  <c r="H35" i="15" s="1"/>
  <c r="G36" i="15"/>
  <c r="H36" i="15" s="1"/>
  <c r="D156" i="17"/>
  <c r="C340" i="17"/>
  <c r="C334" i="17"/>
  <c r="D320" i="17"/>
  <c r="G168" i="1"/>
  <c r="I168" i="1" s="1"/>
  <c r="J168" i="1" s="1" a="1"/>
  <c r="J168" i="1" s="1"/>
  <c r="C291" i="17"/>
  <c r="F151" i="1"/>
  <c r="F150" i="1"/>
  <c r="F97" i="1"/>
  <c r="C266" i="17"/>
  <c r="I35" i="6"/>
  <c r="I36" i="6"/>
  <c r="I37" i="6"/>
  <c r="I38" i="6"/>
  <c r="I39" i="6"/>
  <c r="I40" i="6"/>
  <c r="I41" i="6"/>
  <c r="I42" i="6"/>
  <c r="I43" i="6"/>
  <c r="I44" i="6"/>
  <c r="I45" i="6"/>
  <c r="I46" i="6"/>
  <c r="I47" i="6"/>
  <c r="I48" i="6"/>
  <c r="I49" i="6"/>
  <c r="I50" i="6"/>
  <c r="I56" i="6"/>
  <c r="C245" i="17"/>
  <c r="J18" i="14" s="1"/>
  <c r="C238" i="17"/>
  <c r="D19" i="18" s="1"/>
  <c r="G28" i="6"/>
  <c r="G29" i="6"/>
  <c r="G30" i="6"/>
  <c r="G31" i="6"/>
  <c r="G32" i="6"/>
  <c r="G33" i="6"/>
  <c r="G34" i="6"/>
  <c r="G35" i="6"/>
  <c r="G36" i="6"/>
  <c r="G37" i="6"/>
  <c r="G38" i="6"/>
  <c r="G39" i="6"/>
  <c r="G40" i="6"/>
  <c r="G41" i="6"/>
  <c r="G42" i="6"/>
  <c r="G43" i="6"/>
  <c r="G44" i="6"/>
  <c r="G45" i="6"/>
  <c r="G46" i="6"/>
  <c r="G47" i="6"/>
  <c r="G48" i="6"/>
  <c r="G49" i="6"/>
  <c r="G50" i="6"/>
  <c r="G56" i="6"/>
  <c r="G57" i="6"/>
  <c r="C236" i="17"/>
  <c r="C137" i="17"/>
  <c r="F28" i="15"/>
  <c r="F5" i="15"/>
  <c r="C6" i="8" s="1"/>
  <c r="F6" i="15"/>
  <c r="F7" i="15"/>
  <c r="F49" i="15" s="1"/>
  <c r="F8" i="15"/>
  <c r="F9" i="15"/>
  <c r="F10" i="15"/>
  <c r="H10" i="15" s="1"/>
  <c r="F23" i="15"/>
  <c r="F25" i="15"/>
  <c r="F29" i="15"/>
  <c r="G28" i="15"/>
  <c r="H28" i="15" s="1"/>
  <c r="G29" i="15"/>
  <c r="H29" i="15" s="1"/>
  <c r="C204" i="17"/>
  <c r="G27" i="15"/>
  <c r="H27" i="15" s="1"/>
  <c r="G25" i="6"/>
  <c r="D161" i="17"/>
  <c r="D103" i="17"/>
  <c r="C54" i="17"/>
  <c r="C155" i="17"/>
  <c r="G22" i="15"/>
  <c r="H22" i="15" s="1"/>
  <c r="I15" i="6"/>
  <c r="I16" i="6"/>
  <c r="I17" i="6"/>
  <c r="I18" i="6"/>
  <c r="I19" i="6"/>
  <c r="I20" i="6"/>
  <c r="I21" i="6"/>
  <c r="I22" i="6"/>
  <c r="I23" i="6"/>
  <c r="I24" i="6"/>
  <c r="I25" i="6"/>
  <c r="I26" i="6"/>
  <c r="I27" i="6"/>
  <c r="I28" i="6"/>
  <c r="I29" i="6"/>
  <c r="I30" i="6"/>
  <c r="I31" i="6"/>
  <c r="I32" i="6"/>
  <c r="I33" i="6"/>
  <c r="I34" i="6"/>
  <c r="I14" i="6"/>
  <c r="G15" i="6"/>
  <c r="G16" i="6"/>
  <c r="G17" i="6"/>
  <c r="G18" i="6"/>
  <c r="G19" i="6"/>
  <c r="G20" i="6"/>
  <c r="G21" i="6"/>
  <c r="G22" i="6"/>
  <c r="G23" i="6"/>
  <c r="G24" i="6"/>
  <c r="G26" i="6"/>
  <c r="G27" i="6"/>
  <c r="A33" i="20"/>
  <c r="A34" i="20"/>
  <c r="A35" i="20"/>
  <c r="R5" i="9" a="1"/>
  <c r="A32" i="20" s="1"/>
  <c r="G14" i="6"/>
  <c r="A38" i="21"/>
  <c r="B38" i="21" s="1"/>
  <c r="G2" i="21" a="1"/>
  <c r="A34" i="21" s="1"/>
  <c r="B34" i="21" s="1"/>
  <c r="G23" i="15"/>
  <c r="H23" i="15" s="1"/>
  <c r="G25" i="15"/>
  <c r="H25" i="15" s="1"/>
  <c r="G26" i="15"/>
  <c r="H26" i="15" s="1"/>
  <c r="E10" i="7"/>
  <c r="C5" i="8" s="1"/>
  <c r="G126"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B31" i="20"/>
  <c r="B35" i="20"/>
  <c r="C35" i="20"/>
  <c r="D28" i="18"/>
  <c r="C9" i="8"/>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M2" i="1" a="1"/>
  <c r="M2" i="1" s="1"/>
  <c r="J37" i="14"/>
  <c r="J38" i="14"/>
  <c r="J39" i="14"/>
  <c r="J40" i="14"/>
  <c r="J41" i="14"/>
  <c r="J42" i="14"/>
  <c r="D38" i="14"/>
  <c r="D39" i="14"/>
  <c r="D40" i="14"/>
  <c r="D41" i="14"/>
  <c r="D38" i="18"/>
  <c r="D39" i="18"/>
  <c r="D40" i="18"/>
  <c r="D41" i="18"/>
  <c r="D42" i="18"/>
  <c r="D43" i="18"/>
  <c r="E38" i="18"/>
  <c r="E39" i="18"/>
  <c r="E40" i="18"/>
  <c r="E41" i="18"/>
  <c r="E42" i="18"/>
  <c r="E43" i="18"/>
  <c r="G5" i="15"/>
  <c r="G6" i="15"/>
  <c r="G7" i="15"/>
  <c r="G8" i="15"/>
  <c r="G9" i="15"/>
  <c r="H9" i="15" s="1"/>
  <c r="D37" i="14"/>
  <c r="G8" i="6"/>
  <c r="G9" i="6"/>
  <c r="P35" i="7"/>
  <c r="P36" i="7"/>
  <c r="P37" i="7"/>
  <c r="P38" i="7"/>
  <c r="P39" i="7"/>
  <c r="P40" i="7"/>
  <c r="P41" i="7"/>
  <c r="P42" i="7"/>
  <c r="P43" i="7"/>
  <c r="P44" i="7"/>
  <c r="P45" i="7"/>
  <c r="P46" i="7"/>
  <c r="P47" i="7"/>
  <c r="P48" i="7"/>
  <c r="P49" i="7"/>
  <c r="P50" i="7"/>
  <c r="P51" i="7"/>
  <c r="P52" i="7"/>
  <c r="P53" i="7"/>
  <c r="P54" i="7"/>
  <c r="P55" i="7"/>
  <c r="P34" i="7"/>
  <c r="K27" i="15"/>
  <c r="K26" i="15"/>
  <c r="K25" i="15"/>
  <c r="I36" i="12"/>
  <c r="J35" i="14"/>
  <c r="J36" i="14"/>
  <c r="D35" i="14"/>
  <c r="D36" i="14"/>
  <c r="D35" i="18"/>
  <c r="D36" i="18"/>
  <c r="D37" i="18"/>
  <c r="E35" i="18"/>
  <c r="E36" i="18"/>
  <c r="E37" i="18"/>
  <c r="J25" i="15"/>
  <c r="J27" i="15"/>
  <c r="J30" i="15"/>
  <c r="E73" i="7"/>
  <c r="E72" i="7"/>
  <c r="G7" i="6"/>
  <c r="C39" i="12"/>
  <c r="C40" i="12"/>
  <c r="C41" i="12"/>
  <c r="C42" i="12"/>
  <c r="C38" i="12"/>
  <c r="C37" i="12"/>
  <c r="J4"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4" i="12"/>
  <c r="I35" i="12"/>
  <c r="G5" i="6"/>
  <c r="G6" i="6"/>
  <c r="B98" i="9" a="1"/>
  <c r="B98" i="9" s="1"/>
  <c r="E51" i="7"/>
  <c r="E52" i="7"/>
  <c r="E53" i="7"/>
  <c r="E54" i="7"/>
  <c r="E55" i="7"/>
  <c r="E56" i="7"/>
  <c r="E57" i="7"/>
  <c r="E58" i="7"/>
  <c r="E59" i="7"/>
  <c r="E60" i="7"/>
  <c r="E61" i="7"/>
  <c r="E62" i="7"/>
  <c r="E63" i="7"/>
  <c r="E64" i="7"/>
  <c r="E65" i="7"/>
  <c r="E66" i="7"/>
  <c r="E67" i="7"/>
  <c r="E68" i="7"/>
  <c r="E69" i="7"/>
  <c r="E70" i="7"/>
  <c r="E71" i="7"/>
  <c r="E50" i="7"/>
  <c r="E83" i="2"/>
  <c r="F83" i="2"/>
  <c r="H83" i="2" s="1"/>
  <c r="I83" i="2" s="1"/>
  <c r="D83" i="2" s="1"/>
  <c r="E84" i="2"/>
  <c r="F84" i="2"/>
  <c r="H84" i="2" s="1"/>
  <c r="I84" i="2" s="1"/>
  <c r="D84" i="2" s="1"/>
  <c r="E85" i="2"/>
  <c r="F85" i="2"/>
  <c r="E86" i="2"/>
  <c r="F86" i="2"/>
  <c r="E87" i="2"/>
  <c r="F87" i="2"/>
  <c r="H87" i="2" s="1"/>
  <c r="I87" i="2" s="1"/>
  <c r="D87" i="2" s="1"/>
  <c r="E88" i="2"/>
  <c r="F88" i="2"/>
  <c r="G88" i="2" s="1"/>
  <c r="H208" i="1" s="1"/>
  <c r="H88" i="2"/>
  <c r="I88" i="2" s="1"/>
  <c r="D88" i="2" s="1"/>
  <c r="E89" i="2"/>
  <c r="F89" i="2"/>
  <c r="H89" i="2" s="1"/>
  <c r="I89" i="2" s="1"/>
  <c r="D89" i="2" s="1"/>
  <c r="E90" i="2"/>
  <c r="F90" i="2"/>
  <c r="E91" i="2"/>
  <c r="F91" i="2"/>
  <c r="H91" i="2" s="1"/>
  <c r="I91" i="2" s="1"/>
  <c r="D91" i="2" s="1"/>
  <c r="E92" i="2"/>
  <c r="F92" i="2"/>
  <c r="H92" i="2" s="1"/>
  <c r="I92" i="2" s="1"/>
  <c r="D92" i="2" s="1"/>
  <c r="E93" i="2"/>
  <c r="G93" i="2" s="1"/>
  <c r="H213" i="1" s="1"/>
  <c r="F93" i="2"/>
  <c r="H93" i="2" s="1"/>
  <c r="I93" i="2" s="1"/>
  <c r="D93" i="2" s="1"/>
  <c r="E94" i="2"/>
  <c r="F94" i="2"/>
  <c r="H94" i="2" s="1"/>
  <c r="I94" i="2" s="1"/>
  <c r="D94" i="2" s="1"/>
  <c r="E95" i="2"/>
  <c r="F95" i="2"/>
  <c r="G95" i="2" s="1"/>
  <c r="H215" i="1" s="1"/>
  <c r="E96" i="2"/>
  <c r="F96" i="2"/>
  <c r="H96" i="2" s="1"/>
  <c r="I96" i="2" s="1"/>
  <c r="D96" i="2" s="1"/>
  <c r="E97" i="2"/>
  <c r="F97" i="2"/>
  <c r="G97" i="2"/>
  <c r="H217" i="1"/>
  <c r="E98" i="2"/>
  <c r="F98" i="2"/>
  <c r="E99" i="2"/>
  <c r="F99" i="2"/>
  <c r="E100" i="2"/>
  <c r="F100" i="2"/>
  <c r="G100" i="2" s="1"/>
  <c r="H221" i="1" s="1"/>
  <c r="E101" i="2"/>
  <c r="F101" i="2"/>
  <c r="G101" i="2" s="1"/>
  <c r="H222" i="1" s="1"/>
  <c r="E102" i="2"/>
  <c r="F102" i="2"/>
  <c r="E103" i="2"/>
  <c r="F103" i="2"/>
  <c r="H103" i="2" s="1"/>
  <c r="I103" i="2" s="1"/>
  <c r="D103" i="2" s="1"/>
  <c r="G103" i="2"/>
  <c r="H225" i="1" s="1"/>
  <c r="E104" i="2"/>
  <c r="F104" i="2"/>
  <c r="E105" i="2"/>
  <c r="F105" i="2"/>
  <c r="H105" i="2" s="1"/>
  <c r="I105" i="2" s="1"/>
  <c r="D105" i="2" s="1"/>
  <c r="G105" i="2"/>
  <c r="H232" i="1" s="1"/>
  <c r="E106" i="2"/>
  <c r="F106" i="2"/>
  <c r="H106" i="2" s="1"/>
  <c r="I106" i="2" s="1"/>
  <c r="D106" i="2" s="1"/>
  <c r="G106" i="2"/>
  <c r="H233" i="1" s="1"/>
  <c r="E107" i="2"/>
  <c r="F107" i="2"/>
  <c r="G107" i="2" s="1"/>
  <c r="H234" i="1" s="1"/>
  <c r="H107" i="2"/>
  <c r="I107" i="2" s="1"/>
  <c r="D107" i="2" s="1"/>
  <c r="E108" i="2"/>
  <c r="F108" i="2"/>
  <c r="H108" i="2" s="1"/>
  <c r="I108" i="2" s="1"/>
  <c r="D108" i="2" s="1"/>
  <c r="G108" i="2"/>
  <c r="H235" i="1" s="1"/>
  <c r="E109" i="2"/>
  <c r="F109" i="2"/>
  <c r="G109" i="2" s="1"/>
  <c r="H109" i="2"/>
  <c r="I109" i="2" s="1"/>
  <c r="D109" i="2" s="1"/>
  <c r="E110" i="2"/>
  <c r="F110" i="2"/>
  <c r="G110" i="2"/>
  <c r="H110" i="2"/>
  <c r="I110" i="2"/>
  <c r="D110" i="2"/>
  <c r="E111" i="2"/>
  <c r="F111" i="2"/>
  <c r="G111" i="2"/>
  <c r="H111" i="2"/>
  <c r="I111" i="2"/>
  <c r="D111" i="2"/>
  <c r="E112" i="2"/>
  <c r="F112" i="2"/>
  <c r="G112" i="2"/>
  <c r="H112" i="2"/>
  <c r="I112" i="2"/>
  <c r="D112" i="2"/>
  <c r="E113" i="2"/>
  <c r="F113" i="2"/>
  <c r="G113" i="2"/>
  <c r="H113" i="2"/>
  <c r="I113" i="2"/>
  <c r="D113" i="2"/>
  <c r="E114" i="2"/>
  <c r="F114" i="2"/>
  <c r="G114" i="2"/>
  <c r="H114" i="2"/>
  <c r="I114" i="2"/>
  <c r="D114" i="2"/>
  <c r="E115" i="2"/>
  <c r="F115" i="2"/>
  <c r="G115" i="2"/>
  <c r="H115" i="2"/>
  <c r="I115" i="2"/>
  <c r="D115" i="2"/>
  <c r="E116" i="2"/>
  <c r="F116" i="2"/>
  <c r="G116" i="2"/>
  <c r="H116" i="2"/>
  <c r="I116" i="2"/>
  <c r="D116" i="2"/>
  <c r="E117" i="2"/>
  <c r="F117" i="2"/>
  <c r="G117" i="2"/>
  <c r="H117" i="2"/>
  <c r="I117" i="2"/>
  <c r="D117" i="2"/>
  <c r="E118" i="2"/>
  <c r="F118" i="2"/>
  <c r="G118" i="2"/>
  <c r="H118" i="2"/>
  <c r="I118" i="2"/>
  <c r="D118" i="2"/>
  <c r="E119" i="2"/>
  <c r="F119" i="2"/>
  <c r="G119" i="2"/>
  <c r="H119" i="2"/>
  <c r="I119" i="2"/>
  <c r="D119" i="2"/>
  <c r="E74" i="2"/>
  <c r="F74" i="2"/>
  <c r="H74" i="2" s="1"/>
  <c r="I74" i="2" s="1"/>
  <c r="D74" i="2" s="1"/>
  <c r="E75" i="2"/>
  <c r="F75" i="2"/>
  <c r="G75" i="2" s="1"/>
  <c r="H190" i="1" s="1"/>
  <c r="E76" i="2"/>
  <c r="F76" i="2"/>
  <c r="H76" i="2"/>
  <c r="I76" i="2" s="1"/>
  <c r="D76" i="2" s="1"/>
  <c r="E77" i="2"/>
  <c r="F77" i="2"/>
  <c r="E78" i="2"/>
  <c r="F78" i="2"/>
  <c r="H78" i="2" s="1"/>
  <c r="I78" i="2" s="1"/>
  <c r="D78" i="2" s="1"/>
  <c r="E79" i="2"/>
  <c r="F79" i="2"/>
  <c r="H79" i="2" s="1"/>
  <c r="I79" i="2" s="1"/>
  <c r="D79" i="2" s="1"/>
  <c r="E80" i="2"/>
  <c r="F80" i="2"/>
  <c r="H80" i="2" s="1"/>
  <c r="I80" i="2" s="1"/>
  <c r="D80" i="2" s="1"/>
  <c r="E81" i="2"/>
  <c r="F81" i="2"/>
  <c r="H81" i="2" s="1"/>
  <c r="I81" i="2" s="1"/>
  <c r="D81" i="2" s="1"/>
  <c r="E82" i="2"/>
  <c r="F82" i="2"/>
  <c r="D30" i="18"/>
  <c r="I3" i="12"/>
  <c r="J3" i="14"/>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G4" i="6"/>
  <c r="E56" i="2"/>
  <c r="F56" i="2"/>
  <c r="H56" i="2" s="1"/>
  <c r="I56" i="2" s="1"/>
  <c r="D56" i="2" s="1"/>
  <c r="E57" i="2"/>
  <c r="F57" i="2"/>
  <c r="H57" i="2" s="1"/>
  <c r="I57" i="2" s="1"/>
  <c r="D57" i="2" s="1"/>
  <c r="E58" i="2"/>
  <c r="F58" i="2"/>
  <c r="H58" i="2" s="1"/>
  <c r="I58" i="2" s="1"/>
  <c r="D58" i="2" s="1"/>
  <c r="F27" i="2"/>
  <c r="G27" i="2" s="1"/>
  <c r="H99" i="1" s="1"/>
  <c r="E27" i="2"/>
  <c r="E59" i="2"/>
  <c r="F59" i="2"/>
  <c r="H59" i="2" s="1"/>
  <c r="I59" i="2" s="1"/>
  <c r="D59" i="2" s="1"/>
  <c r="F28" i="2"/>
  <c r="H28" i="2"/>
  <c r="I28" i="2" s="1"/>
  <c r="D28" i="2" s="1"/>
  <c r="E28" i="2"/>
  <c r="E60" i="2"/>
  <c r="F60" i="2"/>
  <c r="G60" i="2" s="1"/>
  <c r="H164" i="1" s="1"/>
  <c r="E61" i="2"/>
  <c r="F61" i="2"/>
  <c r="G61" i="2" s="1"/>
  <c r="H165" i="1" s="1"/>
  <c r="F62" i="2"/>
  <c r="G62" i="2" s="1"/>
  <c r="H166" i="1" s="1"/>
  <c r="E62" i="2"/>
  <c r="E63" i="2"/>
  <c r="F63" i="2"/>
  <c r="H63" i="2"/>
  <c r="I63" i="2" s="1"/>
  <c r="D63" i="2" s="1"/>
  <c r="E64" i="2"/>
  <c r="F64" i="2"/>
  <c r="G64" i="2"/>
  <c r="E65" i="2"/>
  <c r="F65" i="2"/>
  <c r="H65" i="2" s="1"/>
  <c r="I65" i="2" s="1"/>
  <c r="D65" i="2" s="1"/>
  <c r="E66" i="2"/>
  <c r="F66" i="2"/>
  <c r="E67" i="2"/>
  <c r="F67" i="2"/>
  <c r="H67" i="2" s="1"/>
  <c r="I67" i="2" s="1"/>
  <c r="D67" i="2" s="1"/>
  <c r="E68" i="2"/>
  <c r="F68" i="2"/>
  <c r="E69" i="2"/>
  <c r="F69" i="2"/>
  <c r="H69" i="2" s="1"/>
  <c r="I69" i="2" s="1"/>
  <c r="D69" i="2" s="1"/>
  <c r="E70" i="2"/>
  <c r="F70" i="2"/>
  <c r="H70" i="2" s="1"/>
  <c r="I70" i="2" s="1"/>
  <c r="D70" i="2" s="1"/>
  <c r="G70" i="2"/>
  <c r="H182" i="1" s="1"/>
  <c r="E71" i="2"/>
  <c r="F71" i="2"/>
  <c r="G71" i="2" s="1"/>
  <c r="H183" i="1" s="1"/>
  <c r="E72" i="2"/>
  <c r="F72" i="2"/>
  <c r="H72" i="2" s="1"/>
  <c r="I72" i="2" s="1"/>
  <c r="D72" i="2" s="1"/>
  <c r="E73" i="2"/>
  <c r="F73" i="2"/>
  <c r="H73" i="2" s="1"/>
  <c r="I73" i="2" s="1"/>
  <c r="D73" i="2" s="1"/>
  <c r="E45" i="2"/>
  <c r="F45" i="2"/>
  <c r="G45" i="2" s="1"/>
  <c r="H130" i="1" s="1"/>
  <c r="E46" i="2"/>
  <c r="F46" i="2"/>
  <c r="H46" i="2"/>
  <c r="I46" i="2"/>
  <c r="D46" i="2" s="1"/>
  <c r="E47" i="2"/>
  <c r="G47" i="2" s="1"/>
  <c r="F47" i="2"/>
  <c r="H47" i="2"/>
  <c r="I47" i="2" s="1"/>
  <c r="D47" i="2" s="1"/>
  <c r="E48" i="2"/>
  <c r="F48" i="2"/>
  <c r="G48" i="2" s="1"/>
  <c r="H132" i="1" s="1"/>
  <c r="H48" i="2"/>
  <c r="I48" i="2"/>
  <c r="D48" i="2" s="1"/>
  <c r="F20" i="2"/>
  <c r="H20" i="2" s="1"/>
  <c r="I20" i="2" s="1"/>
  <c r="D20" i="2" s="1"/>
  <c r="E20" i="2"/>
  <c r="E49" i="2"/>
  <c r="F49" i="2"/>
  <c r="G49" i="2" s="1"/>
  <c r="H136" i="1" s="1"/>
  <c r="H49" i="2"/>
  <c r="I49" i="2" s="1"/>
  <c r="D49" i="2" s="1"/>
  <c r="F21" i="2"/>
  <c r="H21" i="2"/>
  <c r="I21" i="2" s="1"/>
  <c r="D21" i="2" s="1"/>
  <c r="E21" i="2"/>
  <c r="E50" i="2"/>
  <c r="F50" i="2"/>
  <c r="G50" i="2" s="1"/>
  <c r="H50" i="2"/>
  <c r="I50" i="2" s="1"/>
  <c r="D50" i="2" s="1"/>
  <c r="E51" i="2"/>
  <c r="F51" i="2"/>
  <c r="H51" i="2" s="1"/>
  <c r="I51" i="2" s="1"/>
  <c r="D51" i="2" s="1"/>
  <c r="E52" i="2"/>
  <c r="F52" i="2"/>
  <c r="E53" i="2"/>
  <c r="F53" i="2"/>
  <c r="E54" i="2"/>
  <c r="F54" i="2"/>
  <c r="H54" i="2" s="1"/>
  <c r="I54" i="2" s="1"/>
  <c r="D54" i="2" s="1"/>
  <c r="F24" i="2"/>
  <c r="H24" i="2" s="1"/>
  <c r="I24" i="2" s="1"/>
  <c r="D24" i="2" s="1"/>
  <c r="E24" i="2"/>
  <c r="E55" i="2"/>
  <c r="F55" i="2"/>
  <c r="H55" i="2" s="1"/>
  <c r="I55" i="2" s="1"/>
  <c r="D55" i="2" s="1"/>
  <c r="F25" i="2"/>
  <c r="H25" i="2"/>
  <c r="I25" i="2" s="1"/>
  <c r="D25" i="2" s="1"/>
  <c r="E25" i="2"/>
  <c r="F26" i="2"/>
  <c r="H26" i="2"/>
  <c r="I26" i="2" s="1"/>
  <c r="D26" i="2" s="1"/>
  <c r="E26" i="2"/>
  <c r="C3" i="12"/>
  <c r="O7" i="17"/>
  <c r="D21" i="18"/>
  <c r="D22" i="18"/>
  <c r="D23" i="18"/>
  <c r="D24" i="18"/>
  <c r="D25" i="18"/>
  <c r="D26" i="18"/>
  <c r="D27" i="18"/>
  <c r="D29" i="18"/>
  <c r="D31" i="18"/>
  <c r="D32" i="18"/>
  <c r="D33" i="18"/>
  <c r="D34" i="18"/>
  <c r="E21" i="18"/>
  <c r="E22" i="18"/>
  <c r="E23" i="18"/>
  <c r="E24" i="18"/>
  <c r="E25" i="18"/>
  <c r="E26" i="18"/>
  <c r="E27" i="18"/>
  <c r="E28" i="18"/>
  <c r="E29" i="18"/>
  <c r="E30" i="18"/>
  <c r="E31" i="18"/>
  <c r="E32" i="18"/>
  <c r="E33" i="18"/>
  <c r="E34" i="18"/>
  <c r="J21" i="14"/>
  <c r="J22" i="14"/>
  <c r="J23" i="14"/>
  <c r="J24" i="14"/>
  <c r="J25" i="14"/>
  <c r="J26" i="14"/>
  <c r="J27" i="14"/>
  <c r="J28" i="14"/>
  <c r="J29" i="14"/>
  <c r="J30" i="14"/>
  <c r="J31" i="14"/>
  <c r="J32" i="14"/>
  <c r="J33" i="14"/>
  <c r="J34" i="14"/>
  <c r="D17" i="14"/>
  <c r="D18" i="14"/>
  <c r="D19" i="14"/>
  <c r="D20" i="14"/>
  <c r="D21" i="14"/>
  <c r="D22" i="14"/>
  <c r="D23" i="14"/>
  <c r="D24" i="14"/>
  <c r="D25" i="14"/>
  <c r="D26" i="14"/>
  <c r="D27" i="14"/>
  <c r="D28" i="14"/>
  <c r="D29" i="14"/>
  <c r="D30" i="14"/>
  <c r="D31" i="14"/>
  <c r="D32" i="14"/>
  <c r="D33" i="14"/>
  <c r="D34" i="14"/>
  <c r="G3" i="6"/>
  <c r="G2" i="6"/>
  <c r="C19" i="8"/>
  <c r="D16" i="14"/>
  <c r="J19" i="14"/>
  <c r="J20" i="14"/>
  <c r="E33" i="2"/>
  <c r="F33" i="2"/>
  <c r="H33" i="2" s="1"/>
  <c r="I33" i="2" s="1"/>
  <c r="D33" i="2" s="1"/>
  <c r="F6" i="2"/>
  <c r="E6" i="2"/>
  <c r="G6" i="2" s="1"/>
  <c r="H88" i="1" s="1"/>
  <c r="F5" i="2"/>
  <c r="H5" i="2" s="1"/>
  <c r="I5" i="2" s="1"/>
  <c r="D5" i="2" s="1"/>
  <c r="E5" i="2"/>
  <c r="E34" i="2"/>
  <c r="F34" i="2"/>
  <c r="G34" i="2" s="1"/>
  <c r="H110" i="1" s="1"/>
  <c r="F18" i="2"/>
  <c r="H18" i="2" s="1"/>
  <c r="I18" i="2" s="1"/>
  <c r="D18" i="2" s="1"/>
  <c r="E18" i="2"/>
  <c r="E35" i="2"/>
  <c r="F35" i="2"/>
  <c r="E36" i="2"/>
  <c r="F36" i="2"/>
  <c r="H36" i="2" s="1"/>
  <c r="I36" i="2" s="1"/>
  <c r="D36" i="2" s="1"/>
  <c r="F22" i="2"/>
  <c r="E22" i="2"/>
  <c r="F7" i="2"/>
  <c r="H7" i="2"/>
  <c r="I7" i="2" s="1"/>
  <c r="D7" i="2" s="1"/>
  <c r="E7" i="2"/>
  <c r="E37" i="2"/>
  <c r="F37" i="2"/>
  <c r="H37" i="2" s="1"/>
  <c r="I37" i="2" s="1"/>
  <c r="D37" i="2" s="1"/>
  <c r="E39" i="2"/>
  <c r="G39" i="2" s="1"/>
  <c r="F39" i="2"/>
  <c r="H39" i="2"/>
  <c r="I39" i="2" s="1"/>
  <c r="D39" i="2" s="1"/>
  <c r="E40" i="2"/>
  <c r="F40" i="2"/>
  <c r="G40" i="2" s="1"/>
  <c r="H119" i="1" s="1"/>
  <c r="H40" i="2"/>
  <c r="I40" i="2"/>
  <c r="D40" i="2" s="1"/>
  <c r="E41" i="2"/>
  <c r="G41" i="2" s="1"/>
  <c r="F41" i="2"/>
  <c r="H41" i="2"/>
  <c r="I41" i="2"/>
  <c r="D41" i="2" s="1"/>
  <c r="E42" i="2"/>
  <c r="F42" i="2"/>
  <c r="H42" i="2" s="1"/>
  <c r="I42" i="2" s="1"/>
  <c r="D42" i="2" s="1"/>
  <c r="F43" i="2"/>
  <c r="H43" i="2" s="1"/>
  <c r="I43" i="2" s="1"/>
  <c r="D43" i="2" s="1"/>
  <c r="E43" i="2"/>
  <c r="E44" i="2"/>
  <c r="F44" i="2"/>
  <c r="H44" i="2"/>
  <c r="I44" i="2" s="1"/>
  <c r="D44" i="2" s="1"/>
  <c r="F19" i="2"/>
  <c r="H19" i="2" s="1"/>
  <c r="I19" i="2" s="1"/>
  <c r="D19" i="2" s="1"/>
  <c r="E19" i="2"/>
  <c r="F38" i="2"/>
  <c r="H38" i="2" s="1"/>
  <c r="I38" i="2" s="1"/>
  <c r="D38" i="2" s="1"/>
  <c r="E38" i="2"/>
  <c r="G38" i="2" s="1"/>
  <c r="H116" i="1" s="1"/>
  <c r="I4" i="12"/>
  <c r="I5" i="12"/>
  <c r="D3" i="14"/>
  <c r="D4" i="14"/>
  <c r="D5" i="14"/>
  <c r="D6" i="14"/>
  <c r="D7" i="14"/>
  <c r="D8" i="14"/>
  <c r="D9" i="14"/>
  <c r="D10" i="14"/>
  <c r="D11" i="14"/>
  <c r="D12" i="14"/>
  <c r="D13" i="14"/>
  <c r="D14" i="14"/>
  <c r="D15" i="14"/>
  <c r="D3" i="18"/>
  <c r="D4" i="18"/>
  <c r="D5" i="18"/>
  <c r="D6" i="18"/>
  <c r="D7" i="18"/>
  <c r="D8" i="18"/>
  <c r="D9" i="18"/>
  <c r="D10" i="18"/>
  <c r="D11" i="18"/>
  <c r="D12" i="18"/>
  <c r="D13" i="18"/>
  <c r="D14" i="18"/>
  <c r="D15" i="18"/>
  <c r="D16" i="18"/>
  <c r="D17" i="18"/>
  <c r="D18" i="18"/>
  <c r="D20" i="18"/>
  <c r="J5" i="14"/>
  <c r="J6" i="14"/>
  <c r="J7" i="14"/>
  <c r="J8" i="14"/>
  <c r="J9" i="14"/>
  <c r="J10" i="14"/>
  <c r="J11" i="14"/>
  <c r="J12" i="14"/>
  <c r="J13" i="14"/>
  <c r="J14" i="14"/>
  <c r="J16" i="14"/>
  <c r="J17" i="14"/>
  <c r="J4" i="19" a="1"/>
  <c r="J4" i="19" s="1"/>
  <c r="E8" i="18"/>
  <c r="E3" i="18"/>
  <c r="E4" i="18"/>
  <c r="E5" i="18"/>
  <c r="E6" i="18"/>
  <c r="E7" i="18"/>
  <c r="E9" i="18"/>
  <c r="E10" i="18"/>
  <c r="E11" i="18"/>
  <c r="E12" i="18"/>
  <c r="E13" i="18"/>
  <c r="E14" i="18"/>
  <c r="E15" i="18"/>
  <c r="E16" i="18"/>
  <c r="E17" i="18"/>
  <c r="E18" i="18"/>
  <c r="E19" i="18"/>
  <c r="E20" i="18"/>
  <c r="F13" i="2"/>
  <c r="H13" i="2"/>
  <c r="I13" i="2" s="1"/>
  <c r="D13" i="2" s="1"/>
  <c r="E13" i="2"/>
  <c r="F23" i="2"/>
  <c r="H23" i="2" s="1"/>
  <c r="I23" i="2" s="1"/>
  <c r="D23" i="2" s="1"/>
  <c r="E23" i="2"/>
  <c r="F15" i="2"/>
  <c r="H15" i="2" s="1"/>
  <c r="I15" i="2" s="1"/>
  <c r="D15" i="2" s="1"/>
  <c r="E15" i="2"/>
  <c r="F16" i="2"/>
  <c r="H16" i="2" s="1"/>
  <c r="I16" i="2" s="1"/>
  <c r="D16" i="2" s="1"/>
  <c r="E16" i="2"/>
  <c r="F17" i="2"/>
  <c r="H17" i="2" s="1"/>
  <c r="I17" i="2" s="1"/>
  <c r="D17" i="2" s="1"/>
  <c r="E17" i="2"/>
  <c r="F29" i="2"/>
  <c r="G29" i="2" s="1"/>
  <c r="H29" i="2"/>
  <c r="I29" i="2" s="1"/>
  <c r="D29" i="2" s="1"/>
  <c r="E29" i="2"/>
  <c r="F30" i="2"/>
  <c r="H30" i="2" s="1"/>
  <c r="I30" i="2" s="1"/>
  <c r="D30" i="2" s="1"/>
  <c r="F31" i="2"/>
  <c r="G31" i="2" s="1"/>
  <c r="H31" i="2"/>
  <c r="I31" i="2" s="1"/>
  <c r="D31" i="2" s="1"/>
  <c r="E31" i="2"/>
  <c r="F32" i="2"/>
  <c r="F14" i="2"/>
  <c r="E14" i="2"/>
  <c r="E30" i="2"/>
  <c r="E32" i="2"/>
  <c r="G32" i="2" s="1"/>
  <c r="H106" i="1" s="1"/>
  <c r="N4" i="17"/>
  <c r="F12" i="2"/>
  <c r="E12" i="2"/>
  <c r="F11" i="2"/>
  <c r="H11" i="2" s="1"/>
  <c r="I11" i="2" s="1"/>
  <c r="E11" i="2"/>
  <c r="F9" i="2"/>
  <c r="E9" i="2"/>
  <c r="E8" i="2"/>
  <c r="F8" i="2"/>
  <c r="H8" i="2"/>
  <c r="I8" i="2"/>
  <c r="D8" i="2" s="1"/>
  <c r="E10" i="2"/>
  <c r="F10" i="2"/>
  <c r="H10" i="2" s="1"/>
  <c r="I10" i="2" s="1"/>
  <c r="D10" i="2" s="1"/>
  <c r="E4" i="2"/>
  <c r="F4" i="2"/>
  <c r="H4" i="2"/>
  <c r="I4" i="2" s="1"/>
  <c r="D4" i="2" s="1"/>
  <c r="N3" i="7"/>
  <c r="N5" i="7"/>
  <c r="E6" i="11"/>
  <c r="D6" i="11"/>
  <c r="F3" i="2"/>
  <c r="J15" i="14"/>
  <c r="H98" i="2"/>
  <c r="I98" i="2"/>
  <c r="D98" i="2" s="1"/>
  <c r="H95" i="2"/>
  <c r="I95" i="2" s="1"/>
  <c r="D95" i="2" s="1"/>
  <c r="H97" i="2"/>
  <c r="I97" i="2" s="1"/>
  <c r="D97" i="2" s="1"/>
  <c r="B2" i="2"/>
  <c r="H127" i="6"/>
  <c r="H77" i="2"/>
  <c r="I77" i="2" s="1"/>
  <c r="D77" i="2" s="1"/>
  <c r="H49" i="1"/>
  <c r="H65" i="1"/>
  <c r="H50" i="1"/>
  <c r="H28" i="1"/>
  <c r="H68" i="1"/>
  <c r="H51" i="1"/>
  <c r="H52" i="1"/>
  <c r="H53" i="1"/>
  <c r="H47" i="1"/>
  <c r="H59" i="1"/>
  <c r="H31" i="1"/>
  <c r="H19" i="1"/>
  <c r="H4" i="1"/>
  <c r="H27" i="1"/>
  <c r="H66" i="1"/>
  <c r="H46" i="1"/>
  <c r="H39" i="1"/>
  <c r="H16" i="1"/>
  <c r="H29" i="1"/>
  <c r="H8" i="1"/>
  <c r="H40" i="1"/>
  <c r="H63" i="1"/>
  <c r="H17" i="1"/>
  <c r="H5" i="1"/>
  <c r="H9" i="1"/>
  <c r="H30" i="1"/>
  <c r="H58" i="1"/>
  <c r="H42" i="1"/>
  <c r="H22" i="1"/>
  <c r="H2" i="1"/>
  <c r="H26" i="1"/>
  <c r="H64" i="1"/>
  <c r="H60" i="1"/>
  <c r="H44" i="1"/>
  <c r="H38" i="1"/>
  <c r="H10" i="1"/>
  <c r="H37" i="1"/>
  <c r="H35" i="1"/>
  <c r="H62" i="1"/>
  <c r="H33" i="1"/>
  <c r="H23" i="1"/>
  <c r="H48" i="1"/>
  <c r="H11" i="1"/>
  <c r="H20" i="1"/>
  <c r="H36" i="1"/>
  <c r="H69" i="1"/>
  <c r="H24" i="1"/>
  <c r="H34" i="1"/>
  <c r="H25" i="1"/>
  <c r="H57" i="1"/>
  <c r="H45" i="1"/>
  <c r="H7" i="1"/>
  <c r="H41" i="1"/>
  <c r="H15" i="1"/>
  <c r="H3" i="1"/>
  <c r="H12" i="1"/>
  <c r="H56" i="1"/>
  <c r="H14" i="1"/>
  <c r="H61" i="1"/>
  <c r="H32" i="1"/>
  <c r="H6" i="1"/>
  <c r="H55" i="1"/>
  <c r="H43" i="1"/>
  <c r="H13" i="1"/>
  <c r="H21" i="1"/>
  <c r="H54" i="1"/>
  <c r="H18" i="1"/>
  <c r="H67" i="1"/>
  <c r="D4" i="17"/>
  <c r="N6" i="17" s="1"/>
  <c r="I2" i="1"/>
  <c r="I49" i="1"/>
  <c r="I29" i="1"/>
  <c r="I4" i="1"/>
  <c r="I48" i="1"/>
  <c r="I41" i="1"/>
  <c r="I56" i="1"/>
  <c r="I7" i="1"/>
  <c r="I53" i="1"/>
  <c r="I22" i="1"/>
  <c r="I8" i="1"/>
  <c r="I34" i="1"/>
  <c r="I39" i="1"/>
  <c r="I5" i="1"/>
  <c r="I52" i="1"/>
  <c r="I35" i="1"/>
  <c r="I42" i="1"/>
  <c r="I27" i="1"/>
  <c r="I40" i="1"/>
  <c r="I50" i="1"/>
  <c r="I20" i="1"/>
  <c r="I54" i="1"/>
  <c r="I43" i="1"/>
  <c r="I13" i="1"/>
  <c r="I32" i="1"/>
  <c r="I10" i="1"/>
  <c r="I57" i="1"/>
  <c r="I47" i="1"/>
  <c r="I38" i="1"/>
  <c r="I14" i="1"/>
  <c r="I30" i="1"/>
  <c r="I36" i="1"/>
  <c r="I44" i="1"/>
  <c r="I21" i="1"/>
  <c r="I58" i="1"/>
  <c r="I25" i="1"/>
  <c r="I31" i="1"/>
  <c r="I37" i="1"/>
  <c r="I11" i="1"/>
  <c r="I3" i="1"/>
  <c r="I18" i="1"/>
  <c r="I23" i="1"/>
  <c r="I55" i="1"/>
  <c r="I45" i="1"/>
  <c r="I19" i="1"/>
  <c r="I16" i="1"/>
  <c r="I12" i="1"/>
  <c r="I6" i="1"/>
  <c r="I24" i="1"/>
  <c r="I26" i="1"/>
  <c r="I51" i="1"/>
  <c r="I15" i="1"/>
  <c r="I28" i="1"/>
  <c r="I9" i="1"/>
  <c r="I46" i="1"/>
  <c r="I17" i="1"/>
  <c r="I33" i="1"/>
  <c r="D3" i="17"/>
  <c r="H64" i="2"/>
  <c r="I64" i="2" s="1"/>
  <c r="D64" i="2" s="1"/>
  <c r="G92" i="2"/>
  <c r="H230" i="1" s="1"/>
  <c r="H212" i="1"/>
  <c r="H82" i="2"/>
  <c r="I82" i="2" s="1"/>
  <c r="D82" i="2" s="1"/>
  <c r="G91" i="2"/>
  <c r="H210" i="1" s="1"/>
  <c r="G44" i="2"/>
  <c r="H126" i="1" s="1"/>
  <c r="H90" i="2"/>
  <c r="I90" i="2"/>
  <c r="D90" i="2" s="1"/>
  <c r="H85" i="2"/>
  <c r="I85" i="2" s="1"/>
  <c r="D85" i="2" s="1"/>
  <c r="H71" i="2"/>
  <c r="I71" i="2" s="1"/>
  <c r="D71" i="2" s="1"/>
  <c r="G63" i="2"/>
  <c r="H169" i="1"/>
  <c r="G53" i="2"/>
  <c r="H144" i="1" s="1"/>
  <c r="G54" i="2"/>
  <c r="H199" i="1" s="1"/>
  <c r="G4" i="2"/>
  <c r="K30" i="15"/>
  <c r="P56" i="7"/>
  <c r="E76" i="7"/>
  <c r="G9" i="2"/>
  <c r="H82" i="1" s="1"/>
  <c r="G28" i="2"/>
  <c r="H100" i="1" s="1"/>
  <c r="G66" i="2"/>
  <c r="H181" i="1"/>
  <c r="H53" i="2"/>
  <c r="I53" i="2" s="1"/>
  <c r="D53" i="2" s="1"/>
  <c r="G8" i="2"/>
  <c r="H72" i="1" s="1"/>
  <c r="G46" i="2"/>
  <c r="H128" i="1" s="1"/>
  <c r="G13" i="2"/>
  <c r="H79" i="1"/>
  <c r="H22" i="2"/>
  <c r="I22" i="2" s="1"/>
  <c r="D22" i="2" s="1"/>
  <c r="H66" i="2"/>
  <c r="I66" i="2" s="1"/>
  <c r="D66" i="2" s="1"/>
  <c r="G56" i="2"/>
  <c r="H148" i="1" s="1"/>
  <c r="H12" i="2"/>
  <c r="I12" i="2" s="1"/>
  <c r="D12" i="2" s="1"/>
  <c r="H9" i="2"/>
  <c r="I9" i="2" s="1"/>
  <c r="D9" i="2" s="1"/>
  <c r="H6" i="2"/>
  <c r="I6" i="2"/>
  <c r="D6" i="2" s="1"/>
  <c r="H35" i="2"/>
  <c r="I35" i="2" s="1"/>
  <c r="D35" i="2" s="1"/>
  <c r="H211" i="1"/>
  <c r="H176" i="1"/>
  <c r="H83" i="1"/>
  <c r="H218" i="1"/>
  <c r="H14" i="2"/>
  <c r="I14" i="2" s="1"/>
  <c r="D14" i="2" s="1"/>
  <c r="G59" i="2"/>
  <c r="H157" i="1"/>
  <c r="G87" i="2"/>
  <c r="H207" i="1" s="1"/>
  <c r="G78" i="2"/>
  <c r="H195" i="1"/>
  <c r="G17" i="2"/>
  <c r="H76" i="1" s="1"/>
  <c r="G83" i="2"/>
  <c r="H202" i="1" s="1"/>
  <c r="G69" i="2"/>
  <c r="H187" i="1" s="1"/>
  <c r="G22" i="2"/>
  <c r="H90" i="1"/>
  <c r="G24" i="2"/>
  <c r="G89" i="2"/>
  <c r="H209" i="1" s="1"/>
  <c r="G21" i="2"/>
  <c r="G11" i="2"/>
  <c r="H91" i="1" s="1"/>
  <c r="G76" i="2"/>
  <c r="H192" i="1"/>
  <c r="G94" i="2"/>
  <c r="H214" i="1" s="1"/>
  <c r="H129" i="1"/>
  <c r="G80" i="2"/>
  <c r="H197" i="1" s="1"/>
  <c r="G98" i="2"/>
  <c r="H219" i="1" s="1"/>
  <c r="G35" i="2"/>
  <c r="H111" i="1"/>
  <c r="G85" i="2"/>
  <c r="H204" i="1" s="1"/>
  <c r="H146" i="1"/>
  <c r="G18" i="2"/>
  <c r="H133" i="1" s="1"/>
  <c r="G33" i="2"/>
  <c r="H158" i="1" s="1"/>
  <c r="H180" i="1"/>
  <c r="H173" i="1"/>
  <c r="H171" i="1"/>
  <c r="H86" i="1"/>
  <c r="H85" i="1"/>
  <c r="G43" i="2"/>
  <c r="H125" i="1"/>
  <c r="G26" i="2"/>
  <c r="H98" i="1"/>
  <c r="G55" i="2"/>
  <c r="H147" i="1"/>
  <c r="H45" i="2"/>
  <c r="I45" i="2" s="1"/>
  <c r="D45" i="2" s="1"/>
  <c r="H60" i="2"/>
  <c r="I60" i="2"/>
  <c r="D60" i="2" s="1"/>
  <c r="H75" i="2"/>
  <c r="I75" i="2"/>
  <c r="D75" i="2" s="1"/>
  <c r="G96" i="2"/>
  <c r="H216" i="1" s="1"/>
  <c r="H159" i="1"/>
  <c r="H52" i="2"/>
  <c r="I52" i="2"/>
  <c r="D52" i="2"/>
  <c r="H175" i="1"/>
  <c r="H32" i="2"/>
  <c r="I32" i="2" s="1"/>
  <c r="D32" i="2" s="1"/>
  <c r="G42" i="2"/>
  <c r="H124" i="1" s="1"/>
  <c r="G57" i="2"/>
  <c r="H152" i="1" s="1"/>
  <c r="H101" i="2"/>
  <c r="I101" i="2" s="1"/>
  <c r="D101" i="2" s="1"/>
  <c r="G81" i="2"/>
  <c r="H200" i="1"/>
  <c r="H99" i="2"/>
  <c r="I99" i="2" s="1"/>
  <c r="D99" i="2" s="1"/>
  <c r="H149" i="1"/>
  <c r="H172" i="1"/>
  <c r="H163" i="1"/>
  <c r="H162" i="1"/>
  <c r="H170" i="1"/>
  <c r="H179" i="1"/>
  <c r="H193" i="1"/>
  <c r="H156" i="1"/>
  <c r="H123" i="1"/>
  <c r="C2" i="2"/>
  <c r="I127" i="6" l="1"/>
  <c r="C92" i="23"/>
  <c r="C94" i="23" s="1"/>
  <c r="C69" i="23"/>
  <c r="C71" i="23" s="1"/>
  <c r="C46" i="23"/>
  <c r="C48" i="23" s="1"/>
  <c r="C21" i="23"/>
  <c r="C23" i="23" s="1"/>
  <c r="AE42" i="9"/>
  <c r="AG42" i="9" s="1"/>
  <c r="C34" i="20" s="1"/>
  <c r="AE40" i="9"/>
  <c r="AG40" i="9" s="1"/>
  <c r="C32" i="20" s="1"/>
  <c r="AE41" i="9"/>
  <c r="AG41" i="9" s="1"/>
  <c r="C33" i="20" s="1"/>
  <c r="AE39" i="9"/>
  <c r="AG39" i="9" s="1"/>
  <c r="C31" i="20" s="1"/>
  <c r="H140" i="1"/>
  <c r="H137" i="1"/>
  <c r="H101" i="1"/>
  <c r="H105" i="1"/>
  <c r="G12" i="2"/>
  <c r="H168" i="1" s="1"/>
  <c r="G7" i="2"/>
  <c r="H81" i="1" s="1"/>
  <c r="G58" i="2"/>
  <c r="H154" i="1" s="1"/>
  <c r="G74" i="2"/>
  <c r="G102" i="2"/>
  <c r="H223" i="1" s="1"/>
  <c r="G14" i="2"/>
  <c r="H97" i="1" s="1"/>
  <c r="G73" i="2"/>
  <c r="H188" i="1" s="1"/>
  <c r="G77" i="2"/>
  <c r="H194" i="1" s="1"/>
  <c r="H27" i="2"/>
  <c r="I27" i="2" s="1"/>
  <c r="D27" i="2" s="1"/>
  <c r="H109" i="1"/>
  <c r="G84" i="2"/>
  <c r="H203" i="1" s="1"/>
  <c r="H227" i="1"/>
  <c r="G52" i="2"/>
  <c r="G68" i="2"/>
  <c r="H178" i="1" s="1"/>
  <c r="G82" i="2"/>
  <c r="H201" i="1" s="1"/>
  <c r="H142" i="1"/>
  <c r="H34" i="2"/>
  <c r="I34" i="2" s="1"/>
  <c r="D34" i="2" s="1"/>
  <c r="G65" i="2"/>
  <c r="H174" i="1" s="1"/>
  <c r="H145" i="1"/>
  <c r="G72" i="2"/>
  <c r="H184" i="1" s="1"/>
  <c r="H62" i="2"/>
  <c r="I62" i="2" s="1"/>
  <c r="D62" i="2" s="1"/>
  <c r="G104" i="2"/>
  <c r="G90" i="2"/>
  <c r="H205" i="1" s="1"/>
  <c r="G86" i="2"/>
  <c r="H206" i="1" s="1"/>
  <c r="G23" i="2"/>
  <c r="G19" i="2"/>
  <c r="H78" i="1" s="1"/>
  <c r="G25" i="2"/>
  <c r="H96" i="1" s="1"/>
  <c r="G10" i="2"/>
  <c r="H80" i="1" s="1"/>
  <c r="G37" i="2"/>
  <c r="H115" i="1" s="1"/>
  <c r="G99" i="2"/>
  <c r="H220" i="1" s="1"/>
  <c r="A37" i="21"/>
  <c r="B37" i="21" s="1"/>
  <c r="H48" i="15"/>
  <c r="H32" i="15"/>
  <c r="D84" i="17"/>
  <c r="H120" i="1"/>
  <c r="H122" i="1"/>
  <c r="H229" i="1"/>
  <c r="H103" i="1"/>
  <c r="H104" i="1"/>
  <c r="H191" i="1"/>
  <c r="H189" i="1"/>
  <c r="H150" i="1"/>
  <c r="H143" i="1"/>
  <c r="H155" i="1"/>
  <c r="H117" i="1"/>
  <c r="H161" i="1"/>
  <c r="H131" i="1"/>
  <c r="H141" i="1"/>
  <c r="H118" i="1"/>
  <c r="G30" i="2"/>
  <c r="G51" i="2"/>
  <c r="H138" i="1" s="1"/>
  <c r="H135" i="1"/>
  <c r="G15" i="2"/>
  <c r="G67" i="2"/>
  <c r="H167" i="1"/>
  <c r="G36" i="2"/>
  <c r="H77" i="1"/>
  <c r="H127" i="1"/>
  <c r="H61" i="2"/>
  <c r="I61" i="2" s="1"/>
  <c r="D61" i="2" s="1"/>
  <c r="H160" i="1"/>
  <c r="H100" i="2"/>
  <c r="I100" i="2" s="1"/>
  <c r="D100" i="2" s="1"/>
  <c r="H224" i="1"/>
  <c r="G20" i="2"/>
  <c r="H68" i="2"/>
  <c r="I68" i="2" s="1"/>
  <c r="D68" i="2" s="1"/>
  <c r="G16" i="2"/>
  <c r="H104" i="2"/>
  <c r="I104" i="2" s="1"/>
  <c r="D104" i="2" s="1"/>
  <c r="H102" i="2"/>
  <c r="I102" i="2" s="1"/>
  <c r="D102" i="2" s="1"/>
  <c r="H86" i="2"/>
  <c r="I86" i="2" s="1"/>
  <c r="D86" i="2" s="1"/>
  <c r="H198" i="1"/>
  <c r="G79" i="2"/>
  <c r="H196" i="1" s="1"/>
  <c r="H75" i="1"/>
  <c r="H153" i="1"/>
  <c r="H107" i="1"/>
  <c r="G5" i="2"/>
  <c r="H139" i="1" s="1"/>
  <c r="H226" i="1"/>
  <c r="I238" i="1" a="1"/>
  <c r="I238" i="1" s="1"/>
  <c r="E4" i="8" s="1"/>
  <c r="J121" i="9"/>
  <c r="Z28" i="9" s="1" a="1"/>
  <c r="Z28" i="9" s="1"/>
  <c r="K103" i="9"/>
  <c r="P59" i="9"/>
  <c r="L52" i="9" a="1"/>
  <c r="L52" i="9" s="1"/>
  <c r="D128" i="9"/>
  <c r="C113" i="9"/>
  <c r="S20" i="9" s="1" a="1"/>
  <c r="S20" i="9" s="1"/>
  <c r="I65" i="9" a="1"/>
  <c r="I65" i="9" s="1"/>
  <c r="K64" i="9" a="1"/>
  <c r="K64" i="9" s="1"/>
  <c r="H124" i="9"/>
  <c r="X31" i="9" s="1" a="1"/>
  <c r="X31" i="9" s="1"/>
  <c r="I72" i="9" a="1"/>
  <c r="I72" i="9" s="1"/>
  <c r="L120" i="9"/>
  <c r="AB27" i="9" s="1" a="1"/>
  <c r="AB27" i="9" s="1"/>
  <c r="G57" i="9" a="1"/>
  <c r="G57" i="9" s="1"/>
  <c r="M114" i="9"/>
  <c r="AC21" i="9" s="1" a="1"/>
  <c r="AC21" i="9" s="1"/>
  <c r="P114" i="9"/>
  <c r="AF21" i="9" s="1"/>
  <c r="A38" i="20"/>
  <c r="A15" i="20"/>
  <c r="A39" i="20"/>
  <c r="E121" i="9"/>
  <c r="U28" i="9" s="1" a="1"/>
  <c r="U28" i="9" s="1"/>
  <c r="H117" i="9"/>
  <c r="I118" i="9"/>
  <c r="Y25" i="9" s="1" a="1"/>
  <c r="Y25" i="9" s="1"/>
  <c r="D127" i="9"/>
  <c r="T34" i="9" s="1" a="1"/>
  <c r="T34" i="9" s="1"/>
  <c r="L64" i="9" a="1"/>
  <c r="L64" i="9" s="1"/>
  <c r="H118" i="9"/>
  <c r="X25" i="9" s="1" a="1"/>
  <c r="X25" i="9" s="1"/>
  <c r="K56" i="9" a="1"/>
  <c r="K56" i="9" s="1"/>
  <c r="AD13" i="9" a="1"/>
  <c r="AD13" i="9" s="1"/>
  <c r="K102" i="9"/>
  <c r="C102" i="9"/>
  <c r="K101" i="9"/>
  <c r="AA8" i="9" s="1" a="1"/>
  <c r="AA8" i="9" s="1"/>
  <c r="H109" i="9"/>
  <c r="P123" i="9"/>
  <c r="AF30" i="9" s="1"/>
  <c r="B18" i="20" s="1"/>
  <c r="A23" i="20"/>
  <c r="A21" i="20"/>
  <c r="M103" i="9"/>
  <c r="AC10" i="9" s="1" a="1"/>
  <c r="AC10" i="9" s="1"/>
  <c r="P103" i="9"/>
  <c r="E112" i="9"/>
  <c r="U19" i="9" s="1" a="1"/>
  <c r="U19" i="9" s="1"/>
  <c r="I126" i="9"/>
  <c r="Y33" i="9" s="1" a="1"/>
  <c r="Y33" i="9" s="1"/>
  <c r="AD8" i="9" a="1"/>
  <c r="AD8" i="9" s="1"/>
  <c r="F124" i="9"/>
  <c r="V31" i="9" s="1" a="1"/>
  <c r="V31" i="9" s="1"/>
  <c r="N63" i="9" a="1"/>
  <c r="N63" i="9" s="1"/>
  <c r="H114" i="9"/>
  <c r="X21" i="9" s="1" a="1"/>
  <c r="X21" i="9" s="1"/>
  <c r="M52" i="9" a="1"/>
  <c r="M52" i="9" s="1"/>
  <c r="J78" i="9" a="1"/>
  <c r="J78" i="9" s="1"/>
  <c r="K73" i="9" a="1"/>
  <c r="K73" i="9" s="1"/>
  <c r="H131" i="9"/>
  <c r="X38" i="9" s="1" a="1"/>
  <c r="X38" i="9" s="1"/>
  <c r="C110" i="9"/>
  <c r="S17" i="9" s="1" a="1"/>
  <c r="S17" i="9" s="1"/>
  <c r="I100" i="9"/>
  <c r="Y7" i="9" s="1" a="1"/>
  <c r="Y7" i="9" s="1"/>
  <c r="I61" i="9" a="1"/>
  <c r="I61" i="9" s="1"/>
  <c r="A24" i="21"/>
  <c r="B24" i="21" s="1"/>
  <c r="A19" i="21"/>
  <c r="B19" i="21" s="1"/>
  <c r="F121" i="9"/>
  <c r="AD36" i="9" a="1"/>
  <c r="AD36" i="9" s="1"/>
  <c r="A13" i="21"/>
  <c r="B13" i="21" s="1"/>
  <c r="H106" i="9"/>
  <c r="P67" i="9"/>
  <c r="I124" i="9"/>
  <c r="Y31" i="9" s="1" a="1"/>
  <c r="Y31" i="9" s="1"/>
  <c r="I62" i="9" a="1"/>
  <c r="I62" i="9" s="1"/>
  <c r="N77" i="9" a="1"/>
  <c r="N77" i="9" s="1"/>
  <c r="G100" i="9"/>
  <c r="W7" i="9" s="1" a="1"/>
  <c r="W7" i="9" s="1"/>
  <c r="L60" i="9" a="1"/>
  <c r="L60" i="9" s="1"/>
  <c r="M81" i="9" a="1"/>
  <c r="M81" i="9" s="1"/>
  <c r="J102" i="9"/>
  <c r="Z9" i="9" s="1" a="1"/>
  <c r="Z9" i="9" s="1"/>
  <c r="E125" i="9"/>
  <c r="U32" i="9" s="1" a="1"/>
  <c r="U32" i="9" s="1"/>
  <c r="P120" i="9"/>
  <c r="AF27" i="9" s="1"/>
  <c r="B9" i="20" s="1"/>
  <c r="L79" i="9" a="1"/>
  <c r="L79" i="9" s="1"/>
  <c r="P72" i="9"/>
  <c r="J118" i="9"/>
  <c r="Z25" i="9" s="1" a="1"/>
  <c r="Z25" i="9" s="1"/>
  <c r="AD6" i="9" a="1"/>
  <c r="AD6" i="9" s="1"/>
  <c r="H121" i="9"/>
  <c r="X28" i="9" s="1" a="1"/>
  <c r="X28" i="9" s="1"/>
  <c r="P100" i="9"/>
  <c r="AF7" i="9" s="1"/>
  <c r="B12" i="20" s="1"/>
  <c r="G53" i="9" a="1"/>
  <c r="G53" i="9" s="1"/>
  <c r="L77" i="9" a="1"/>
  <c r="L77" i="9" s="1"/>
  <c r="K78" i="9" a="1"/>
  <c r="K78" i="9" s="1"/>
  <c r="K76" i="9" a="1"/>
  <c r="K76" i="9" s="1"/>
  <c r="H73" i="9" a="1"/>
  <c r="H73" i="9" s="1"/>
  <c r="P129" i="9"/>
  <c r="J131" i="9"/>
  <c r="Z38" i="9" s="1" a="1"/>
  <c r="Z38" i="9" s="1"/>
  <c r="M131" i="9"/>
  <c r="AC38" i="9" s="1" a="1"/>
  <c r="AC38" i="9" s="1"/>
  <c r="G61" i="9" a="1"/>
  <c r="G61" i="9" s="1"/>
  <c r="A11" i="21"/>
  <c r="B11" i="21" s="1"/>
  <c r="M77" i="9" a="1"/>
  <c r="M77" i="9" s="1"/>
  <c r="C120" i="9"/>
  <c r="S27" i="9" s="1" a="1"/>
  <c r="S27" i="9" s="1"/>
  <c r="K100" i="9"/>
  <c r="AA7" i="9" s="1" a="1"/>
  <c r="AA7" i="9" s="1"/>
  <c r="F104" i="9"/>
  <c r="V11" i="9" s="1" a="1"/>
  <c r="V11" i="9" s="1"/>
  <c r="J58" i="9" a="1"/>
  <c r="J58" i="9" s="1"/>
  <c r="A10" i="20"/>
  <c r="B11" i="9"/>
  <c r="E11" i="9" s="1"/>
  <c r="G99" i="9"/>
  <c r="W6" i="9" s="1" a="1"/>
  <c r="W6" i="9" s="1"/>
  <c r="F109" i="9"/>
  <c r="V16" i="9" s="1" a="1"/>
  <c r="V16" i="9" s="1"/>
  <c r="F128" i="9"/>
  <c r="V35" i="9" s="1" a="1"/>
  <c r="V35" i="9" s="1"/>
  <c r="M66" i="9" a="1"/>
  <c r="M66" i="9" s="1"/>
  <c r="J101" i="9"/>
  <c r="Z8" i="9" s="1" a="1"/>
  <c r="Z8" i="9" s="1"/>
  <c r="D118" i="9"/>
  <c r="T25" i="9" s="1" a="1"/>
  <c r="T25" i="9" s="1"/>
  <c r="P74" i="9"/>
  <c r="L111" i="9"/>
  <c r="N76" i="9" a="1"/>
  <c r="N76" i="9" s="1"/>
  <c r="H74" i="9" a="1"/>
  <c r="H74" i="9" s="1"/>
  <c r="I64" i="9" a="1"/>
  <c r="I64" i="9" s="1"/>
  <c r="C130" i="9"/>
  <c r="S37" i="9" s="1" a="1"/>
  <c r="S37" i="9" s="1"/>
  <c r="K50" i="9" a="1"/>
  <c r="K50" i="9" s="1"/>
  <c r="G64" i="9" a="1"/>
  <c r="G64" i="9" s="1"/>
  <c r="N60" i="9" a="1"/>
  <c r="N60" i="9" s="1"/>
  <c r="A5" i="21"/>
  <c r="B5" i="21" s="1"/>
  <c r="F129" i="9"/>
  <c r="V36" i="9" s="1" a="1"/>
  <c r="V36" i="9" s="1"/>
  <c r="E101" i="9"/>
  <c r="U8" i="9" s="1" a="1"/>
  <c r="U8" i="9" s="1"/>
  <c r="L103" i="9"/>
  <c r="AB10" i="9" s="1" a="1"/>
  <c r="AB10" i="9" s="1"/>
  <c r="A33" i="21"/>
  <c r="B33" i="21" s="1"/>
  <c r="E111" i="9"/>
  <c r="U18" i="9" s="1" a="1"/>
  <c r="U18" i="9" s="1"/>
  <c r="L55" i="9" a="1"/>
  <c r="L55" i="9" s="1"/>
  <c r="I114" i="9"/>
  <c r="Y21" i="9" s="1" a="1"/>
  <c r="Y21" i="9" s="1"/>
  <c r="F122" i="9"/>
  <c r="V29" i="9" s="1" a="1"/>
  <c r="V29" i="9" s="1"/>
  <c r="L73" i="9" a="1"/>
  <c r="L73" i="9" s="1"/>
  <c r="A20" i="21"/>
  <c r="B20" i="21" s="1"/>
  <c r="L117" i="9"/>
  <c r="AB24" i="9" s="1" a="1"/>
  <c r="AB24" i="9" s="1"/>
  <c r="J68" i="9" a="1"/>
  <c r="J68" i="9" s="1"/>
  <c r="D104" i="9"/>
  <c r="T11" i="9" s="1" a="1"/>
  <c r="T11" i="9" s="1"/>
  <c r="G113" i="9"/>
  <c r="W20" i="9" s="1" a="1"/>
  <c r="W20" i="9" s="1"/>
  <c r="L118" i="9"/>
  <c r="AB25" i="9" s="1" a="1"/>
  <c r="AB25" i="9" s="1"/>
  <c r="J62" i="9" a="1"/>
  <c r="J62" i="9" s="1"/>
  <c r="J127" i="9"/>
  <c r="Z34" i="9" s="1" a="1"/>
  <c r="Z34" i="9" s="1"/>
  <c r="AD12" i="9" a="1"/>
  <c r="AD12" i="9" s="1"/>
  <c r="I50" i="9" a="1"/>
  <c r="I50" i="9" s="1"/>
  <c r="I59" i="9" a="1"/>
  <c r="I59" i="9" s="1"/>
  <c r="N50" i="9" a="1"/>
  <c r="N50" i="9" s="1"/>
  <c r="P75" i="9"/>
  <c r="G116" i="9"/>
  <c r="W23" i="9" s="1" a="1"/>
  <c r="W23" i="9" s="1"/>
  <c r="H101" i="9"/>
  <c r="A24" i="20"/>
  <c r="D111" i="9"/>
  <c r="T18" i="9" s="1" a="1"/>
  <c r="T18" i="9" s="1"/>
  <c r="L115" i="9"/>
  <c r="AB22" i="9" s="1" a="1"/>
  <c r="AB22" i="9" s="1"/>
  <c r="B18" i="9"/>
  <c r="C18" i="9" s="1"/>
  <c r="N66" i="9" a="1"/>
  <c r="N66" i="9" s="1"/>
  <c r="I104" i="9"/>
  <c r="Y11" i="9" s="1" a="1"/>
  <c r="Y11" i="9" s="1"/>
  <c r="I130" i="9"/>
  <c r="Y37" i="9" s="1" a="1"/>
  <c r="Y37" i="9" s="1"/>
  <c r="G72" i="9" a="1"/>
  <c r="G72" i="9" s="1"/>
  <c r="H78" i="9" a="1"/>
  <c r="H78" i="9" s="1"/>
  <c r="G124" i="9"/>
  <c r="M59" i="9" a="1"/>
  <c r="M59" i="9" s="1"/>
  <c r="A8" i="21"/>
  <c r="B8" i="21" s="1"/>
  <c r="M117" i="9"/>
  <c r="AC24" i="9" s="1" a="1"/>
  <c r="AC24" i="9" s="1"/>
  <c r="E128" i="9"/>
  <c r="U35" i="9" s="1" a="1"/>
  <c r="U35" i="9" s="1"/>
  <c r="D131" i="9"/>
  <c r="T38" i="9" s="1" a="1"/>
  <c r="T38" i="9" s="1"/>
  <c r="S9" i="9" a="1"/>
  <c r="S9" i="9" s="1"/>
  <c r="L109" i="9"/>
  <c r="AB16" i="9" s="1" a="1"/>
  <c r="AB16" i="9" s="1"/>
  <c r="P82" i="9"/>
  <c r="L63" i="9" a="1"/>
  <c r="L63" i="9" s="1"/>
  <c r="P108" i="9"/>
  <c r="AF15" i="9" s="1"/>
  <c r="B6" i="20" s="1"/>
  <c r="J55" i="9" a="1"/>
  <c r="J55" i="9" s="1"/>
  <c r="J80" i="9" a="1"/>
  <c r="J80" i="9" s="1"/>
  <c r="C126" i="9"/>
  <c r="S33" i="9" s="1" a="1"/>
  <c r="S33" i="9" s="1"/>
  <c r="N79" i="9" a="1"/>
  <c r="N79" i="9" s="1"/>
  <c r="P81" i="9"/>
  <c r="L58" i="9" a="1"/>
  <c r="L58" i="9" s="1"/>
  <c r="P124" i="9"/>
  <c r="AF31" i="9" s="1"/>
  <c r="B36" i="20" s="1"/>
  <c r="D99" i="9"/>
  <c r="T6" i="9" s="1" a="1"/>
  <c r="T6" i="9" s="1"/>
  <c r="L70" i="9" a="1"/>
  <c r="L70" i="9" s="1"/>
  <c r="M76" i="9" a="1"/>
  <c r="M76" i="9" s="1"/>
  <c r="H62" i="9" a="1"/>
  <c r="H62" i="9" s="1"/>
  <c r="L53" i="9" a="1"/>
  <c r="L53" i="9" s="1"/>
  <c r="J103" i="9"/>
  <c r="Z10" i="9" s="1" a="1"/>
  <c r="Z10" i="9" s="1"/>
  <c r="G2" i="21"/>
  <c r="A2" i="21" s="1"/>
  <c r="B2" i="21" s="1"/>
  <c r="A13" i="20"/>
  <c r="N52" i="9" a="1"/>
  <c r="N52" i="9" s="1"/>
  <c r="D115" i="9"/>
  <c r="T22" i="9" s="1" a="1"/>
  <c r="T22" i="9" s="1"/>
  <c r="E106" i="9"/>
  <c r="U13" i="9" s="1" a="1"/>
  <c r="U13" i="9" s="1"/>
  <c r="J115" i="9"/>
  <c r="Z22" i="9" s="1" a="1"/>
  <c r="Z22" i="9" s="1"/>
  <c r="K129" i="9"/>
  <c r="AA36" i="9" s="1" a="1"/>
  <c r="AA36" i="9" s="1"/>
  <c r="K74" i="9" a="1"/>
  <c r="K74" i="9" s="1"/>
  <c r="D129" i="9"/>
  <c r="T36" i="9" s="1" a="1"/>
  <c r="T36" i="9" s="1"/>
  <c r="K127" i="9"/>
  <c r="AA34" i="9" s="1" a="1"/>
  <c r="AA34" i="9" s="1"/>
  <c r="H82" i="9" a="1"/>
  <c r="H82" i="9" s="1"/>
  <c r="L76" i="9" a="1"/>
  <c r="L76" i="9" s="1"/>
  <c r="K69" i="9" a="1"/>
  <c r="K69" i="9" s="1"/>
  <c r="D108" i="9"/>
  <c r="T15" i="9" s="1" a="1"/>
  <c r="T15" i="9" s="1"/>
  <c r="H64" i="9" a="1"/>
  <c r="H64" i="9" s="1"/>
  <c r="N81" i="9" a="1"/>
  <c r="N81" i="9" s="1"/>
  <c r="M58" i="9" a="1"/>
  <c r="M58" i="9" s="1"/>
  <c r="A3" i="21"/>
  <c r="B3" i="21" s="1"/>
  <c r="B16" i="9"/>
  <c r="C16" i="9" s="1"/>
  <c r="F119" i="9"/>
  <c r="V26" i="9" s="1" a="1"/>
  <c r="V26" i="9" s="1"/>
  <c r="H123" i="9"/>
  <c r="X30" i="9" s="1" a="1"/>
  <c r="X30" i="9" s="1"/>
  <c r="M68" i="9" a="1"/>
  <c r="M68" i="9" s="1"/>
  <c r="M109" i="9"/>
  <c r="AC16" i="9" s="1" a="1"/>
  <c r="AC16" i="9" s="1"/>
  <c r="M65" i="9" a="1"/>
  <c r="M65" i="9" s="1"/>
  <c r="L116" i="9"/>
  <c r="AB23" i="9" s="1" a="1"/>
  <c r="AB23" i="9" s="1"/>
  <c r="L130" i="9"/>
  <c r="AB37" i="9" s="1" a="1"/>
  <c r="AB37" i="9" s="1"/>
  <c r="C123" i="9"/>
  <c r="S30" i="9" s="1" a="1"/>
  <c r="S30" i="9" s="1"/>
  <c r="M126" i="9"/>
  <c r="I103" i="9"/>
  <c r="Y10" i="9" s="1" a="1"/>
  <c r="Y10" i="9" s="1"/>
  <c r="F131" i="9"/>
  <c r="V38" i="9" s="1" a="1"/>
  <c r="V38" i="9" s="1"/>
  <c r="F127" i="9"/>
  <c r="V34" i="9" s="1" a="1"/>
  <c r="V34" i="9" s="1"/>
  <c r="H100" i="9"/>
  <c r="X7" i="9" s="1" a="1"/>
  <c r="X7" i="9" s="1"/>
  <c r="M72" i="9" a="1"/>
  <c r="M72" i="9" s="1"/>
  <c r="H55" i="9" a="1"/>
  <c r="H55" i="9" s="1"/>
  <c r="C131" i="9"/>
  <c r="S38" i="9" s="1" a="1"/>
  <c r="S38" i="9" s="1"/>
  <c r="I74" i="9" a="1"/>
  <c r="I74" i="9" s="1"/>
  <c r="L57" i="9" a="1"/>
  <c r="L57" i="9" s="1"/>
  <c r="D113" i="9"/>
  <c r="T20" i="9" s="1" a="1"/>
  <c r="T20" i="9" s="1"/>
  <c r="K80" i="9" a="1"/>
  <c r="K80" i="9" s="1"/>
  <c r="M128" i="9"/>
  <c r="AC35" i="9" s="1" a="1"/>
  <c r="AC35" i="9" s="1"/>
  <c r="A17" i="21"/>
  <c r="B17" i="21" s="1"/>
  <c r="I105" i="9"/>
  <c r="Y12" i="9" s="1" a="1"/>
  <c r="Y12" i="9" s="1"/>
  <c r="I106" i="9"/>
  <c r="Y13" i="9" s="1" a="1"/>
  <c r="Y13" i="9" s="1"/>
  <c r="D112" i="9"/>
  <c r="T19" i="9" s="1" a="1"/>
  <c r="T19" i="9" s="1"/>
  <c r="G130" i="9"/>
  <c r="W37" i="9" s="1" a="1"/>
  <c r="W37" i="9" s="1"/>
  <c r="L81" i="9" a="1"/>
  <c r="L81" i="9" s="1"/>
  <c r="L56" i="9" a="1"/>
  <c r="L56" i="9" s="1"/>
  <c r="H59" i="9" a="1"/>
  <c r="H59" i="9" s="1"/>
  <c r="C109" i="9"/>
  <c r="S16" i="9" s="1" a="1"/>
  <c r="S16" i="9" s="1"/>
  <c r="I60" i="9" a="1"/>
  <c r="I60" i="9" s="1"/>
  <c r="L108" i="9"/>
  <c r="M116" i="9"/>
  <c r="AC23" i="9" s="1" a="1"/>
  <c r="AC23" i="9" s="1"/>
  <c r="L100" i="9"/>
  <c r="AB7" i="9" s="1" a="1"/>
  <c r="AB7" i="9" s="1"/>
  <c r="L125" i="9"/>
  <c r="AB32" i="9" s="1" a="1"/>
  <c r="AB32" i="9" s="1"/>
  <c r="G58" i="9" a="1"/>
  <c r="G58" i="9" s="1"/>
  <c r="J71" i="9" a="1"/>
  <c r="J71" i="9" s="1"/>
  <c r="A9" i="21"/>
  <c r="B9" i="21" s="1"/>
  <c r="M115" i="9"/>
  <c r="AC22" i="9" s="1" a="1"/>
  <c r="AC22" i="9" s="1"/>
  <c r="I58" i="9" a="1"/>
  <c r="I58" i="9" s="1"/>
  <c r="J76" i="9" a="1"/>
  <c r="J76" i="9" s="1"/>
  <c r="H111" i="9"/>
  <c r="X18" i="9" s="1" a="1"/>
  <c r="X18" i="9" s="1"/>
  <c r="G102" i="9"/>
  <c r="W9" i="9" s="1" a="1"/>
  <c r="W9" i="9" s="1"/>
  <c r="K109" i="9"/>
  <c r="AA16" i="9" s="1" a="1"/>
  <c r="AA16" i="9" s="1"/>
  <c r="A26" i="21"/>
  <c r="B26" i="21" s="1"/>
  <c r="I99" i="9"/>
  <c r="Y6" i="9" s="1" a="1"/>
  <c r="Y6" i="9" s="1"/>
  <c r="M127" i="9"/>
  <c r="AC34" i="9" s="1" a="1"/>
  <c r="AC34" i="9" s="1"/>
  <c r="A29" i="20"/>
  <c r="I110" i="9"/>
  <c r="Y17" i="9" s="1" a="1"/>
  <c r="Y17" i="9" s="1"/>
  <c r="J116" i="9"/>
  <c r="Z23" i="9" s="1" a="1"/>
  <c r="Z23" i="9" s="1"/>
  <c r="I127" i="9"/>
  <c r="Y34" i="9" s="1" a="1"/>
  <c r="Y34" i="9" s="1"/>
  <c r="L106" i="9"/>
  <c r="AB13" i="9" s="1" a="1"/>
  <c r="AB13" i="9" s="1"/>
  <c r="L124" i="9"/>
  <c r="AB31" i="9" s="1" a="1"/>
  <c r="AB31" i="9" s="1"/>
  <c r="D121" i="9"/>
  <c r="T28" i="9" s="1" a="1"/>
  <c r="T28" i="9" s="1"/>
  <c r="I68" i="9" a="1"/>
  <c r="I68" i="9" s="1"/>
  <c r="D102" i="9"/>
  <c r="T9" i="9" s="1" a="1"/>
  <c r="T9" i="9" s="1"/>
  <c r="I125" i="9"/>
  <c r="Y32" i="9" s="1" a="1"/>
  <c r="Y32" i="9" s="1"/>
  <c r="G115" i="9"/>
  <c r="W22" i="9" s="1" a="1"/>
  <c r="W22" i="9" s="1"/>
  <c r="F106" i="9"/>
  <c r="V13" i="9" s="1" a="1"/>
  <c r="V13" i="9" s="1"/>
  <c r="K131" i="9"/>
  <c r="AA38" i="9" s="1" a="1"/>
  <c r="AA38" i="9" s="1"/>
  <c r="C116" i="9"/>
  <c r="S23" i="9" s="1" a="1"/>
  <c r="S23" i="9" s="1"/>
  <c r="L78" i="9" a="1"/>
  <c r="L78" i="9" s="1"/>
  <c r="I69" i="9" a="1"/>
  <c r="I69" i="9" s="1"/>
  <c r="M111" i="9"/>
  <c r="AC18" i="9" s="1" a="1"/>
  <c r="AC18" i="9" s="1"/>
  <c r="H122" i="9"/>
  <c r="X29" i="9" s="1" a="1"/>
  <c r="X29" i="9" s="1"/>
  <c r="M53" i="9" a="1"/>
  <c r="M53" i="9" s="1"/>
  <c r="I67" i="9" a="1"/>
  <c r="I67" i="9" s="1"/>
  <c r="I82" i="9" a="1"/>
  <c r="I82" i="9" s="1"/>
  <c r="AD23" i="9" a="1"/>
  <c r="AD23" i="9" s="1"/>
  <c r="I123" i="9"/>
  <c r="Y30" i="9" s="1" a="1"/>
  <c r="Y30" i="9" s="1"/>
  <c r="J57" i="9" a="1"/>
  <c r="J57" i="9" s="1"/>
  <c r="F107" i="9"/>
  <c r="V14" i="9" s="1" a="1"/>
  <c r="V14" i="9" s="1"/>
  <c r="K130" i="9"/>
  <c r="AA37" i="9" s="1" a="1"/>
  <c r="AA37" i="9" s="1"/>
  <c r="M63" i="9" a="1"/>
  <c r="M63" i="9" s="1"/>
  <c r="I101" i="9"/>
  <c r="Y8" i="9" s="1" a="1"/>
  <c r="Y8" i="9" s="1"/>
  <c r="L75" i="9" a="1"/>
  <c r="L75" i="9" s="1"/>
  <c r="K66" i="9" a="1"/>
  <c r="K66" i="9" s="1"/>
  <c r="G68" i="9" a="1"/>
  <c r="G68" i="9" s="1"/>
  <c r="P73" i="9"/>
  <c r="G52" i="9" a="1"/>
  <c r="G52" i="9" s="1"/>
  <c r="J119" i="9"/>
  <c r="Z26" i="9" s="1" a="1"/>
  <c r="Z26" i="9" s="1"/>
  <c r="N73" i="9" a="1"/>
  <c r="N73" i="9" s="1"/>
  <c r="M129" i="9"/>
  <c r="AC36" i="9" s="1" a="1"/>
  <c r="AC36" i="9" s="1"/>
  <c r="C114" i="9"/>
  <c r="S21" i="9" s="1" a="1"/>
  <c r="S21" i="9" s="1"/>
  <c r="I108" i="9"/>
  <c r="Y15" i="9" s="1" a="1"/>
  <c r="Y15" i="9" s="1"/>
  <c r="P112" i="9"/>
  <c r="AF19" i="9" s="1"/>
  <c r="B38" i="20" s="1"/>
  <c r="F108" i="9"/>
  <c r="V15" i="9" s="1" a="1"/>
  <c r="V15" i="9" s="1"/>
  <c r="AD21" i="9" a="1"/>
  <c r="AD21" i="9" s="1"/>
  <c r="F117" i="9"/>
  <c r="V24" i="9" s="1" a="1"/>
  <c r="V24" i="9" s="1"/>
  <c r="M112" i="9"/>
  <c r="AC19" i="9" s="1" a="1"/>
  <c r="AC19" i="9" s="1"/>
  <c r="M110" i="9"/>
  <c r="AC17" i="9" s="1" a="1"/>
  <c r="AC17" i="9" s="1"/>
  <c r="J59" i="9" a="1"/>
  <c r="J59" i="9" s="1"/>
  <c r="C118" i="9"/>
  <c r="S25" i="9" s="1" a="1"/>
  <c r="S25" i="9" s="1"/>
  <c r="F114" i="9"/>
  <c r="V21" i="9" s="1" a="1"/>
  <c r="V21" i="9" s="1"/>
  <c r="AD7" i="9" a="1"/>
  <c r="AD7" i="9" s="1"/>
  <c r="G111" i="9"/>
  <c r="W18" i="9" s="1" a="1"/>
  <c r="W18" i="9" s="1"/>
  <c r="C104" i="9"/>
  <c r="S11" i="9" s="1" a="1"/>
  <c r="S11" i="9" s="1"/>
  <c r="B9" i="9"/>
  <c r="M121" i="9"/>
  <c r="AC28" i="9" s="1" a="1"/>
  <c r="AC28" i="9" s="1"/>
  <c r="J122" i="9"/>
  <c r="Z29" i="9" s="1" a="1"/>
  <c r="Z29" i="9" s="1"/>
  <c r="D119" i="9"/>
  <c r="T26" i="9" s="1" a="1"/>
  <c r="T26" i="9" s="1"/>
  <c r="K58" i="9" a="1"/>
  <c r="K58" i="9" s="1"/>
  <c r="M74" i="9" a="1"/>
  <c r="M74" i="9" s="1"/>
  <c r="G128" i="9"/>
  <c r="M61" i="9" a="1"/>
  <c r="M61" i="9" s="1"/>
  <c r="K71" i="9" a="1"/>
  <c r="K71" i="9" s="1"/>
  <c r="M130" i="9"/>
  <c r="AC37" i="9" s="1" a="1"/>
  <c r="AC37" i="9" s="1"/>
  <c r="N72" i="9" a="1"/>
  <c r="N72" i="9" s="1"/>
  <c r="N68" i="9" a="1"/>
  <c r="N68" i="9" s="1"/>
  <c r="H107" i="9"/>
  <c r="X14" i="9" s="1" a="1"/>
  <c r="X14" i="9" s="1"/>
  <c r="H120" i="9"/>
  <c r="X27" i="9" s="1" a="1"/>
  <c r="X27" i="9" s="1"/>
  <c r="G50" i="9" a="1"/>
  <c r="G50" i="9" s="1"/>
  <c r="L132" i="9"/>
  <c r="E104" i="9"/>
  <c r="U11" i="9" s="1" a="1"/>
  <c r="U11" i="9" s="1"/>
  <c r="H66" i="9" a="1"/>
  <c r="H66" i="9" s="1"/>
  <c r="L102" i="9"/>
  <c r="AB9" i="9" s="1" a="1"/>
  <c r="AB9" i="9" s="1"/>
  <c r="P119" i="9"/>
  <c r="AF26" i="9" s="1"/>
  <c r="B29" i="20" s="1"/>
  <c r="AD24" i="9" a="1"/>
  <c r="AD24" i="9" s="1"/>
  <c r="J73" i="9" a="1"/>
  <c r="J73" i="9" s="1"/>
  <c r="J64" i="9" a="1"/>
  <c r="J64" i="9" s="1"/>
  <c r="J75" i="9" a="1"/>
  <c r="J75" i="9" s="1"/>
  <c r="K63" i="9" a="1"/>
  <c r="K63" i="9" s="1"/>
  <c r="J77" i="9" a="1"/>
  <c r="J77" i="9" s="1"/>
  <c r="K65" i="9" a="1"/>
  <c r="K65" i="9" s="1"/>
  <c r="F130" i="9"/>
  <c r="V37" i="9" s="1" a="1"/>
  <c r="V37" i="9" s="1"/>
  <c r="C117" i="9"/>
  <c r="S24" i="9" s="1" a="1"/>
  <c r="S24" i="9" s="1"/>
  <c r="L101" i="9"/>
  <c r="AB8" i="9" s="1" a="1"/>
  <c r="AB8" i="9" s="1"/>
  <c r="D130" i="9"/>
  <c r="T37" i="9" s="1" a="1"/>
  <c r="T37" i="9" s="1"/>
  <c r="P118" i="9"/>
  <c r="AF25" i="9" s="1"/>
  <c r="B4" i="20" s="1"/>
  <c r="T35" i="9" a="1"/>
  <c r="T35" i="9" s="1"/>
  <c r="X8" i="9" a="1"/>
  <c r="X8" i="9" s="1"/>
  <c r="G121" i="9"/>
  <c r="W28" i="9" s="1" a="1"/>
  <c r="W28" i="9" s="1"/>
  <c r="E114" i="9"/>
  <c r="U21" i="9" s="1" a="1"/>
  <c r="U21" i="9" s="1"/>
  <c r="K57" i="9" a="1"/>
  <c r="K57" i="9" s="1"/>
  <c r="P63" i="9"/>
  <c r="I131" i="9"/>
  <c r="Y38" i="9" s="1" a="1"/>
  <c r="Y38" i="9" s="1"/>
  <c r="M102" i="9"/>
  <c r="AC9" i="9" s="1" a="1"/>
  <c r="AC9" i="9" s="1"/>
  <c r="B12" i="9"/>
  <c r="E12" i="9" s="1"/>
  <c r="P60" i="9"/>
  <c r="J100" i="9"/>
  <c r="Z7" i="9" s="1" a="1"/>
  <c r="Z7" i="9" s="1"/>
  <c r="J50" i="9" a="1"/>
  <c r="J50" i="9" s="1"/>
  <c r="H56" i="9" a="1"/>
  <c r="H56" i="9" s="1"/>
  <c r="P58" i="9"/>
  <c r="F125" i="9"/>
  <c r="V32" i="9" s="1" a="1"/>
  <c r="V32" i="9" s="1"/>
  <c r="P102" i="9"/>
  <c r="AF9" i="9" s="1"/>
  <c r="B30" i="20" s="1"/>
  <c r="J104" i="9"/>
  <c r="Z11" i="9" s="1" a="1"/>
  <c r="Z11" i="9" s="1"/>
  <c r="AD31" i="9" a="1"/>
  <c r="AD31" i="9" s="1"/>
  <c r="K121" i="9"/>
  <c r="AA28" i="9" s="1" a="1"/>
  <c r="AA28" i="9" s="1"/>
  <c r="B3" i="9"/>
  <c r="B10" i="9"/>
  <c r="P62" i="9"/>
  <c r="C101" i="9"/>
  <c r="S8" i="9" s="1" a="1"/>
  <c r="S8" i="9" s="1"/>
  <c r="C103" i="9"/>
  <c r="S10" i="9" s="1" a="1"/>
  <c r="S10" i="9" s="1"/>
  <c r="P104" i="9"/>
  <c r="AF11" i="9" s="1"/>
  <c r="B13" i="20" s="1"/>
  <c r="P109" i="9"/>
  <c r="AF16" i="9" s="1"/>
  <c r="B15" i="20" s="1"/>
  <c r="C112" i="9"/>
  <c r="S19" i="9" s="1" a="1"/>
  <c r="S19" i="9" s="1"/>
  <c r="L110" i="9"/>
  <c r="AB17" i="9" s="1" a="1"/>
  <c r="AB17" i="9" s="1"/>
  <c r="L61" i="9" a="1"/>
  <c r="L61" i="9" s="1"/>
  <c r="I80" i="9" a="1"/>
  <c r="I80" i="9" s="1"/>
  <c r="I128" i="9"/>
  <c r="Y35" i="9" s="1" a="1"/>
  <c r="Y35" i="9" s="1"/>
  <c r="H61" i="9" a="1"/>
  <c r="H61" i="9" s="1"/>
  <c r="M73" i="9" a="1"/>
  <c r="M73" i="9" s="1"/>
  <c r="P116" i="9"/>
  <c r="AF23" i="9" s="1"/>
  <c r="B7" i="20" s="1"/>
  <c r="G76" i="9" a="1"/>
  <c r="G76" i="9" s="1"/>
  <c r="H76" i="9" a="1"/>
  <c r="H76" i="9" s="1"/>
  <c r="F99" i="9"/>
  <c r="V6" i="9" s="1" a="1"/>
  <c r="V6" i="9" s="1"/>
  <c r="N53" i="9" a="1"/>
  <c r="N53" i="9" s="1"/>
  <c r="E130" i="9"/>
  <c r="U37" i="9" s="1" a="1"/>
  <c r="U37" i="9" s="1"/>
  <c r="D103" i="9"/>
  <c r="T10" i="9" s="1" a="1"/>
  <c r="T10" i="9" s="1"/>
  <c r="K112" i="9"/>
  <c r="AA19" i="9" s="1" a="1"/>
  <c r="AA19" i="9" s="1"/>
  <c r="G74" i="9" a="1"/>
  <c r="G74" i="9" s="1"/>
  <c r="P111" i="9"/>
  <c r="AF18" i="9" s="1"/>
  <c r="B19" i="20" s="1"/>
  <c r="C105" i="9"/>
  <c r="S12" i="9" s="1" a="1"/>
  <c r="S12" i="9" s="1"/>
  <c r="H52" i="9" a="1"/>
  <c r="H52" i="9" s="1"/>
  <c r="I75" i="9" a="1"/>
  <c r="I75" i="9" s="1"/>
  <c r="J66" i="9" a="1"/>
  <c r="J66" i="9" s="1"/>
  <c r="I77" i="9" a="1"/>
  <c r="I77" i="9" s="1"/>
  <c r="J65" i="9" a="1"/>
  <c r="J65" i="9" s="1"/>
  <c r="H81" i="9" a="1"/>
  <c r="H81" i="9" s="1"/>
  <c r="J70" i="9" a="1"/>
  <c r="J70" i="9" s="1"/>
  <c r="L129" i="9"/>
  <c r="G125" i="9"/>
  <c r="W32" i="9" s="1" a="1"/>
  <c r="W32" i="9" s="1"/>
  <c r="AD28" i="9" a="1"/>
  <c r="AD28" i="9" s="1"/>
  <c r="G122" i="9"/>
  <c r="W29" i="9" s="1" a="1"/>
  <c r="W29" i="9" s="1"/>
  <c r="AD10" i="9" a="1"/>
  <c r="AD10" i="9" s="1"/>
  <c r="C122" i="9"/>
  <c r="S29" i="9" s="1" a="1"/>
  <c r="S29" i="9" s="1"/>
  <c r="P131" i="9"/>
  <c r="AF38" i="9" s="1"/>
  <c r="B3" i="20" s="1"/>
  <c r="E100" i="9"/>
  <c r="U7" i="9" s="1" a="1"/>
  <c r="U7" i="9" s="1"/>
  <c r="C99" i="9"/>
  <c r="S6" i="9" s="1" a="1"/>
  <c r="S6" i="9" s="1"/>
  <c r="P115" i="9"/>
  <c r="AF22" i="9" s="1"/>
  <c r="B24" i="20" s="1"/>
  <c r="H115" i="9"/>
  <c r="X22" i="9" s="1" a="1"/>
  <c r="X22" i="9" s="1"/>
  <c r="AD14" i="9" a="1"/>
  <c r="AD14" i="9" s="1"/>
  <c r="P126" i="9"/>
  <c r="AF33" i="9" s="1"/>
  <c r="P79" i="9"/>
  <c r="K106" i="9"/>
  <c r="AA13" i="9" s="1" a="1"/>
  <c r="AA13" i="9" s="1"/>
  <c r="J72" i="9" a="1"/>
  <c r="J72" i="9" s="1"/>
  <c r="I129" i="9"/>
  <c r="Y36" i="9" s="1" a="1"/>
  <c r="Y36" i="9" s="1"/>
  <c r="H53" i="9" a="1"/>
  <c r="H53" i="9" s="1"/>
  <c r="G56" i="9" a="1"/>
  <c r="G56" i="9" s="1"/>
  <c r="D114" i="9"/>
  <c r="T21" i="9" s="1" a="1"/>
  <c r="T21" i="9" s="1"/>
  <c r="K126" i="9"/>
  <c r="AA33" i="9" s="1" a="1"/>
  <c r="AA33" i="9" s="1"/>
  <c r="C119" i="9"/>
  <c r="S26" i="9" s="1" a="1"/>
  <c r="S26" i="9" s="1"/>
  <c r="AD9" i="9" a="1"/>
  <c r="AD9" i="9" s="1"/>
  <c r="AD16" i="9" a="1"/>
  <c r="AD16" i="9" s="1"/>
  <c r="L127" i="9"/>
  <c r="B15" i="9"/>
  <c r="E129" i="9"/>
  <c r="U36" i="9" s="1" a="1"/>
  <c r="U36" i="9" s="1"/>
  <c r="B4" i="9"/>
  <c r="K124" i="9"/>
  <c r="AA31" i="9" s="1" a="1"/>
  <c r="AA31" i="9" s="1"/>
  <c r="H54" i="9" a="1"/>
  <c r="H54" i="9" s="1"/>
  <c r="K54" i="9" a="1"/>
  <c r="K54" i="9" s="1"/>
  <c r="AD26" i="9" a="1"/>
  <c r="AD26" i="9" s="1"/>
  <c r="L123" i="9"/>
  <c r="AB30" i="9" s="1" a="1"/>
  <c r="AB30" i="9" s="1"/>
  <c r="B8" i="9"/>
  <c r="E8" i="9" s="1"/>
  <c r="I115" i="9"/>
  <c r="Y22" i="9" s="1" a="1"/>
  <c r="Y22" i="9" s="1"/>
  <c r="AD11" i="9" a="1"/>
  <c r="AD11" i="9" s="1"/>
  <c r="P55" i="9"/>
  <c r="P56" i="9"/>
  <c r="L131" i="9"/>
  <c r="AB38" i="9" s="1" a="1"/>
  <c r="AB38" i="9" s="1"/>
  <c r="M125" i="9"/>
  <c r="AC32" i="9" s="1" a="1"/>
  <c r="AC32" i="9" s="1"/>
  <c r="D105" i="9"/>
  <c r="T12" i="9" s="1" a="1"/>
  <c r="T12" i="9" s="1"/>
  <c r="E113" i="9"/>
  <c r="U20" i="9" s="1" a="1"/>
  <c r="U20" i="9" s="1"/>
  <c r="J120" i="9"/>
  <c r="Z27" i="9" s="1" a="1"/>
  <c r="Z27" i="9" s="1"/>
  <c r="G106" i="9"/>
  <c r="W13" i="9" s="1" a="1"/>
  <c r="W13" i="9" s="1"/>
  <c r="H128" i="9"/>
  <c r="X35" i="9" s="1" a="1"/>
  <c r="X35" i="9" s="1"/>
  <c r="N65" i="9" a="1"/>
  <c r="N65" i="9" s="1"/>
  <c r="K82" i="9" a="1"/>
  <c r="K82" i="9" s="1"/>
  <c r="K128" i="9"/>
  <c r="AA35" i="9" s="1" a="1"/>
  <c r="AA35" i="9" s="1"/>
  <c r="J61" i="9" a="1"/>
  <c r="J61" i="9" s="1"/>
  <c r="H79" i="9" a="1"/>
  <c r="H79" i="9" s="1"/>
  <c r="J53" i="9" a="1"/>
  <c r="J53" i="9" s="1"/>
  <c r="N80" i="9" a="1"/>
  <c r="N80" i="9" s="1"/>
  <c r="I79" i="9" a="1"/>
  <c r="I79" i="9" s="1"/>
  <c r="D101" i="9"/>
  <c r="T8" i="9" s="1" a="1"/>
  <c r="T8" i="9" s="1"/>
  <c r="I117" i="9"/>
  <c r="Y24" i="9" s="1" a="1"/>
  <c r="Y24" i="9" s="1"/>
  <c r="G63" i="9" a="1"/>
  <c r="G63" i="9" s="1"/>
  <c r="AD32" i="9" a="1"/>
  <c r="AD32" i="9" s="1"/>
  <c r="E105" i="9"/>
  <c r="U12" i="9" s="1" a="1"/>
  <c r="U12" i="9" s="1"/>
  <c r="L50" i="9" a="1"/>
  <c r="L50" i="9" s="1"/>
  <c r="H77" i="9" a="1"/>
  <c r="H77" i="9" s="1"/>
  <c r="J111" i="9"/>
  <c r="Z18" i="9" s="1" a="1"/>
  <c r="Z18" i="9" s="1"/>
  <c r="J110" i="9"/>
  <c r="Z17" i="9" s="1" a="1"/>
  <c r="Z17" i="9" s="1"/>
  <c r="M57" i="9" a="1"/>
  <c r="M57" i="9" s="1"/>
  <c r="I78" i="9" a="1"/>
  <c r="I78" i="9" s="1"/>
  <c r="H69" i="9" a="1"/>
  <c r="H69" i="9" s="1"/>
  <c r="M79" i="9" a="1"/>
  <c r="M79" i="9" s="1"/>
  <c r="H68" i="9" a="1"/>
  <c r="H68" i="9" s="1"/>
  <c r="P132" i="9"/>
  <c r="J74" i="9" a="1"/>
  <c r="J74" i="9" s="1"/>
  <c r="H125" i="9"/>
  <c r="X32" i="9" s="1" a="1"/>
  <c r="X32" i="9" s="1"/>
  <c r="I109" i="9"/>
  <c r="Y16" i="9" s="1" a="1"/>
  <c r="Y16" i="9" s="1"/>
  <c r="E115" i="9"/>
  <c r="U22" i="9" s="1" a="1"/>
  <c r="U22" i="9" s="1"/>
  <c r="G105" i="9"/>
  <c r="W12" i="9" s="1" a="1"/>
  <c r="W12" i="9" s="1"/>
  <c r="G129" i="9"/>
  <c r="W36" i="9" s="1" a="1"/>
  <c r="W36" i="9" s="1"/>
  <c r="I113" i="9"/>
  <c r="Y20" i="9" s="1" a="1"/>
  <c r="Y20" i="9" s="1"/>
  <c r="N75" i="9" a="1"/>
  <c r="N75" i="9" s="1"/>
  <c r="M122" i="9"/>
  <c r="AC29" i="9" s="1" a="1"/>
  <c r="AC29" i="9" s="1"/>
  <c r="P130" i="9"/>
  <c r="AF37" i="9" s="1"/>
  <c r="B20" i="20" s="1"/>
  <c r="L114" i="9"/>
  <c r="AB21" i="9" s="1" a="1"/>
  <c r="AB21" i="9" s="1"/>
  <c r="K115" i="9"/>
  <c r="AA22" i="9" s="1" a="1"/>
  <c r="AA22" i="9" s="1"/>
  <c r="P122" i="9"/>
  <c r="AF29" i="9" s="1"/>
  <c r="B26" i="20" s="1"/>
  <c r="H132" i="9"/>
  <c r="M118" i="9"/>
  <c r="AC25" i="9" s="1" a="1"/>
  <c r="AC25" i="9" s="1"/>
  <c r="K60" i="9" a="1"/>
  <c r="K60" i="9" s="1"/>
  <c r="B6" i="9"/>
  <c r="C6" i="9" s="1"/>
  <c r="I71" i="9" a="1"/>
  <c r="I71" i="9" s="1"/>
  <c r="K53" i="9" a="1"/>
  <c r="K53" i="9" s="1"/>
  <c r="J105" i="9"/>
  <c r="Z12" i="9" s="1" a="1"/>
  <c r="Z12" i="9" s="1"/>
  <c r="E108" i="9"/>
  <c r="U15" i="9" s="1" a="1"/>
  <c r="U15" i="9" s="1"/>
  <c r="P121" i="9"/>
  <c r="AF28" i="9" s="1"/>
  <c r="B27" i="20" s="1"/>
  <c r="K123" i="9"/>
  <c r="AA30" i="9" s="1" a="1"/>
  <c r="AA30" i="9" s="1"/>
  <c r="L104" i="9"/>
  <c r="AB11" i="9" s="1" a="1"/>
  <c r="AB11" i="9" s="1"/>
  <c r="C100" i="9"/>
  <c r="S7" i="9" s="1" a="1"/>
  <c r="S7" i="9" s="1"/>
  <c r="AD22" i="9" a="1"/>
  <c r="AD22" i="9" s="1"/>
  <c r="L107" i="9"/>
  <c r="AB14" i="9" s="1" a="1"/>
  <c r="AB14" i="9" s="1"/>
  <c r="F101" i="9"/>
  <c r="V8" i="9" s="1" a="1"/>
  <c r="V8" i="9" s="1"/>
  <c r="K118" i="9"/>
  <c r="AA25" i="9" s="1" a="1"/>
  <c r="AA25" i="9" s="1"/>
  <c r="J108" i="9"/>
  <c r="Z15" i="9" s="1" a="1"/>
  <c r="Z15" i="9" s="1"/>
  <c r="K99" i="9"/>
  <c r="AA6" i="9" s="1" a="1"/>
  <c r="AA6" i="9" s="1"/>
  <c r="P51" i="9"/>
  <c r="I120" i="9"/>
  <c r="Y27" i="9" s="1" a="1"/>
  <c r="Y27" i="9" s="1"/>
  <c r="H116" i="9"/>
  <c r="X23" i="9" s="1" a="1"/>
  <c r="X23" i="9" s="1"/>
  <c r="J81" i="9" a="1"/>
  <c r="J81" i="9" s="1"/>
  <c r="P78" i="9"/>
  <c r="G103" i="9"/>
  <c r="W10" i="9" s="1" a="1"/>
  <c r="W10" i="9" s="1"/>
  <c r="L121" i="9"/>
  <c r="AB28" i="9" s="1" a="1"/>
  <c r="AB28" i="9" s="1"/>
  <c r="I116" i="9"/>
  <c r="Y23" i="9" s="1" a="1"/>
  <c r="Y23" i="9" s="1"/>
  <c r="E120" i="9"/>
  <c r="U27" i="9" s="1" a="1"/>
  <c r="U27" i="9" s="1"/>
  <c r="J107" i="9"/>
  <c r="Z14" i="9" s="1" a="1"/>
  <c r="Z14" i="9" s="1"/>
  <c r="E109" i="9"/>
  <c r="U16" i="9" s="1" a="1"/>
  <c r="U16" i="9" s="1"/>
  <c r="P64" i="9"/>
  <c r="C128" i="9"/>
  <c r="S35" i="9" s="1" a="1"/>
  <c r="S35" i="9" s="1"/>
  <c r="E119" i="9"/>
  <c r="U26" i="9" s="1" a="1"/>
  <c r="U26" i="9" s="1"/>
  <c r="H102" i="9"/>
  <c r="X9" i="9" s="1" a="1"/>
  <c r="X9" i="9" s="1"/>
  <c r="P125" i="9"/>
  <c r="AF32" i="9" s="1"/>
  <c r="B16" i="20" s="1"/>
  <c r="P68" i="9"/>
  <c r="K81" i="9" a="1"/>
  <c r="K81" i="9" s="1"/>
  <c r="K68" i="9" a="1"/>
  <c r="K68" i="9" s="1"/>
  <c r="D132" i="9"/>
  <c r="AD35" i="9" a="1"/>
  <c r="AD35" i="9" s="1"/>
  <c r="N61" i="9" a="1"/>
  <c r="N61" i="9" s="1"/>
  <c r="M80" i="9" a="1"/>
  <c r="M80" i="9" s="1"/>
  <c r="N58" i="9" a="1"/>
  <c r="N58" i="9" s="1"/>
  <c r="M82" i="9" a="1"/>
  <c r="M82" i="9" s="1"/>
  <c r="P83" i="9"/>
  <c r="F115" i="9"/>
  <c r="V22" i="9" s="1" a="1"/>
  <c r="V22" i="9" s="1"/>
  <c r="K117" i="9"/>
  <c r="AA24" i="9" s="1" a="1"/>
  <c r="AA24" i="9" s="1"/>
  <c r="G71" i="9" a="1"/>
  <c r="G71" i="9" s="1"/>
  <c r="F116" i="9"/>
  <c r="V23" i="9" s="1" a="1"/>
  <c r="V23" i="9" s="1"/>
  <c r="J126" i="9"/>
  <c r="Z33" i="9" s="1" a="1"/>
  <c r="Z33" i="9" s="1"/>
  <c r="I56" i="9" a="1"/>
  <c r="I56" i="9" s="1"/>
  <c r="K79" i="9" a="1"/>
  <c r="K79" i="9" s="1"/>
  <c r="G118" i="9"/>
  <c r="L126" i="9"/>
  <c r="AB33" i="9" s="1" a="1"/>
  <c r="AB33" i="9" s="1"/>
  <c r="I63" i="9" a="1"/>
  <c r="I63" i="9" s="1"/>
  <c r="I52" i="9" a="1"/>
  <c r="I52" i="9" s="1"/>
  <c r="J69" i="9" a="1"/>
  <c r="J69" i="9" s="1"/>
  <c r="I83" i="9" a="1"/>
  <c r="I83" i="9" s="1"/>
  <c r="H72" i="9" a="1"/>
  <c r="H72" i="9" s="1"/>
  <c r="H58" i="9" a="1"/>
  <c r="H58" i="9" s="1"/>
  <c r="K77" i="9" a="1"/>
  <c r="K77" i="9" s="1"/>
  <c r="AD17" i="9" a="1"/>
  <c r="AD17" i="9" s="1"/>
  <c r="C107" i="9"/>
  <c r="S14" i="9" s="1" a="1"/>
  <c r="S14" i="9" s="1"/>
  <c r="F112" i="9"/>
  <c r="V19" i="9" s="1" a="1"/>
  <c r="V19" i="9" s="1"/>
  <c r="L74" i="9" a="1"/>
  <c r="L74" i="9" s="1"/>
  <c r="K70" i="9" a="1"/>
  <c r="K70" i="9" s="1"/>
  <c r="M75" i="9" a="1"/>
  <c r="M75" i="9" s="1"/>
  <c r="J129" i="9"/>
  <c r="Z36" i="9" s="1" a="1"/>
  <c r="Z36" i="9" s="1"/>
  <c r="B13" i="9"/>
  <c r="E13" i="9" s="1"/>
  <c r="E110" i="9"/>
  <c r="U17" i="9" s="1" a="1"/>
  <c r="U17" i="9" s="1"/>
  <c r="K107" i="9"/>
  <c r="AA14" i="9" s="1" a="1"/>
  <c r="AA14" i="9" s="1"/>
  <c r="K72" i="9" a="1"/>
  <c r="K72" i="9" s="1"/>
  <c r="D120" i="9"/>
  <c r="T27" i="9" s="1" a="1"/>
  <c r="T27" i="9" s="1"/>
  <c r="E116" i="9"/>
  <c r="U23" i="9" s="1" a="1"/>
  <c r="U23" i="9" s="1"/>
  <c r="K59" i="9" a="1"/>
  <c r="K59" i="9" s="1"/>
  <c r="M56" i="9" a="1"/>
  <c r="M56" i="9" s="1"/>
  <c r="M101" i="9"/>
  <c r="AC8" i="9" s="1" a="1"/>
  <c r="AC8" i="9" s="1"/>
  <c r="G80" i="9" a="1"/>
  <c r="G80" i="9" s="1"/>
  <c r="E131" i="9"/>
  <c r="U38" i="9" s="1" a="1"/>
  <c r="U38" i="9" s="1"/>
  <c r="J112" i="9"/>
  <c r="Z19" i="9" s="1" a="1"/>
  <c r="Z19" i="9" s="1"/>
  <c r="L112" i="9"/>
  <c r="AB19" i="9" s="1" a="1"/>
  <c r="AB19" i="9" s="1"/>
  <c r="C124" i="9"/>
  <c r="S31" i="9" s="1" a="1"/>
  <c r="S31" i="9" s="1"/>
  <c r="AD19" i="9" a="1"/>
  <c r="AD19" i="9" s="1"/>
  <c r="AD25" i="9" a="1"/>
  <c r="AD25" i="9" s="1"/>
  <c r="B7" i="9"/>
  <c r="C106" i="9"/>
  <c r="S13" i="9" s="1" a="1"/>
  <c r="S13" i="9" s="1"/>
  <c r="M105" i="9"/>
  <c r="AC12" i="9" s="1" a="1"/>
  <c r="AC12" i="9" s="1"/>
  <c r="V28" i="9" a="1"/>
  <c r="V28" i="9" s="1"/>
  <c r="H108" i="9"/>
  <c r="X15" i="9" s="1" a="1"/>
  <c r="X15" i="9" s="1"/>
  <c r="I107" i="9"/>
  <c r="Y14" i="9" s="1" a="1"/>
  <c r="Y14" i="9" s="1"/>
  <c r="L105" i="9"/>
  <c r="AB12" i="9" s="1" a="1"/>
  <c r="AB12" i="9" s="1"/>
  <c r="AD27" i="9" a="1"/>
  <c r="AD27" i="9" s="1"/>
  <c r="P66" i="9"/>
  <c r="M70" i="9" a="1"/>
  <c r="M70" i="9" s="1"/>
  <c r="K55" i="9" a="1"/>
  <c r="K55" i="9" s="1"/>
  <c r="K67" i="9" a="1"/>
  <c r="K67" i="9" s="1"/>
  <c r="L82" i="9" a="1"/>
  <c r="L82" i="9" s="1"/>
  <c r="G65" i="9" a="1"/>
  <c r="G65" i="9" s="1"/>
  <c r="N55" i="9" a="1"/>
  <c r="N55" i="9" s="1"/>
  <c r="J130" i="9"/>
  <c r="Z37" i="9" s="1" a="1"/>
  <c r="Z37" i="9" s="1"/>
  <c r="E102" i="9"/>
  <c r="U9" i="9" s="1" a="1"/>
  <c r="U9" i="9" s="1"/>
  <c r="D106" i="9"/>
  <c r="T13" i="9" s="1" a="1"/>
  <c r="T13" i="9" s="1"/>
  <c r="H75" i="9" a="1"/>
  <c r="H75" i="9" s="1"/>
  <c r="J125" i="9"/>
  <c r="Z32" i="9" s="1" a="1"/>
  <c r="Z32" i="9" s="1"/>
  <c r="K122" i="9"/>
  <c r="AA29" i="9" s="1" a="1"/>
  <c r="AA29" i="9" s="1"/>
  <c r="G60" i="9" a="1"/>
  <c r="G60" i="9" s="1"/>
  <c r="G132" i="9"/>
  <c r="E126" i="9"/>
  <c r="U33" i="9" s="1" a="1"/>
  <c r="U33" i="9" s="1"/>
  <c r="P99" i="9"/>
  <c r="AF6" i="9" s="1"/>
  <c r="B11" i="20" s="1"/>
  <c r="I66" i="9" a="1"/>
  <c r="I66" i="9" s="1"/>
  <c r="N57" i="9" a="1"/>
  <c r="N57" i="9" s="1"/>
  <c r="L69" i="9" a="1"/>
  <c r="L69" i="9" s="1"/>
  <c r="N56" i="9" a="1"/>
  <c r="N56" i="9" s="1"/>
  <c r="K75" i="9" a="1"/>
  <c r="K75" i="9" s="1"/>
  <c r="J60" i="9" a="1"/>
  <c r="J60" i="9" s="1"/>
  <c r="I81" i="9" a="1"/>
  <c r="I81" i="9" s="1"/>
  <c r="H103" i="9"/>
  <c r="X10" i="9" s="1" a="1"/>
  <c r="X10" i="9" s="1"/>
  <c r="P54" i="9"/>
  <c r="G126" i="9"/>
  <c r="W33" i="9" s="1" a="1"/>
  <c r="W33" i="9" s="1"/>
  <c r="D126" i="9"/>
  <c r="T33" i="9" s="1" a="1"/>
  <c r="T33" i="9" s="1"/>
  <c r="L62" i="9" a="1"/>
  <c r="L62" i="9" s="1"/>
  <c r="J113" i="9"/>
  <c r="Z20" i="9" s="1" a="1"/>
  <c r="Z20" i="9" s="1"/>
  <c r="K62" i="9" a="1"/>
  <c r="K62" i="9" s="1"/>
  <c r="AA9" i="9" a="1"/>
  <c r="AA9" i="9" s="1"/>
  <c r="G110" i="9"/>
  <c r="W17" i="9" s="1" a="1"/>
  <c r="W17" i="9" s="1"/>
  <c r="M83" i="9" a="1"/>
  <c r="M83" i="9" s="1"/>
  <c r="P117" i="9"/>
  <c r="AF24" i="9" s="1"/>
  <c r="B40" i="20" s="1"/>
  <c r="G104" i="9"/>
  <c r="W11" i="9" s="1" a="1"/>
  <c r="W11" i="9" s="1"/>
  <c r="G107" i="9"/>
  <c r="W14" i="9" s="1" a="1"/>
  <c r="W14" i="9" s="1"/>
  <c r="L65" i="9" a="1"/>
  <c r="L65" i="9" s="1"/>
  <c r="H105" i="9"/>
  <c r="X12" i="9" s="1" a="1"/>
  <c r="X12" i="9" s="1"/>
  <c r="L99" i="9"/>
  <c r="AB6" i="9" s="1" a="1"/>
  <c r="AB6" i="9" s="1"/>
  <c r="M100" i="9"/>
  <c r="AC7" i="9" s="1" a="1"/>
  <c r="AC7" i="9" s="1"/>
  <c r="K52" i="9" a="1"/>
  <c r="K52" i="9" s="1"/>
  <c r="X24" i="9" a="1"/>
  <c r="X24" i="9" s="1"/>
  <c r="E107" i="9"/>
  <c r="U14" i="9" s="1" a="1"/>
  <c r="U14" i="9" s="1"/>
  <c r="M119" i="9"/>
  <c r="AC26" i="9" s="1" a="1"/>
  <c r="AC26" i="9" s="1"/>
  <c r="F105" i="9"/>
  <c r="V12" i="9" s="1" a="1"/>
  <c r="V12" i="9" s="1"/>
  <c r="P76" i="9"/>
  <c r="E122" i="9"/>
  <c r="U29" i="9" s="1" a="1"/>
  <c r="U29" i="9" s="1"/>
  <c r="K125" i="9"/>
  <c r="AA32" i="9" s="1" a="1"/>
  <c r="AA32" i="9" s="1"/>
  <c r="G123" i="9"/>
  <c r="W30" i="9" s="1" a="1"/>
  <c r="W30" i="9" s="1"/>
  <c r="P106" i="9"/>
  <c r="AF13" i="9" s="1"/>
  <c r="B10" i="20" s="1"/>
  <c r="K113" i="9"/>
  <c r="AA20" i="9" s="1" a="1"/>
  <c r="AA20" i="9" s="1"/>
  <c r="M124" i="9"/>
  <c r="AC31" i="9" s="1" a="1"/>
  <c r="AC31" i="9" s="1"/>
  <c r="P70" i="9"/>
  <c r="I122" i="9"/>
  <c r="Y29" i="9" s="1" a="1"/>
  <c r="Y29" i="9" s="1"/>
  <c r="M107" i="9"/>
  <c r="AC14" i="9" s="1" a="1"/>
  <c r="AC14" i="9" s="1"/>
  <c r="D124" i="9"/>
  <c r="T31" i="9" s="1" a="1"/>
  <c r="T31" i="9" s="1"/>
  <c r="I121" i="9"/>
  <c r="Y28" i="9" s="1" a="1"/>
  <c r="Y28" i="9" s="1"/>
  <c r="K105" i="9"/>
  <c r="AA12" i="9" s="1" a="1"/>
  <c r="AA12" i="9" s="1"/>
  <c r="D100" i="9"/>
  <c r="T7" i="9" s="1" a="1"/>
  <c r="T7" i="9" s="1"/>
  <c r="H113" i="9"/>
  <c r="X20" i="9" s="1" a="1"/>
  <c r="X20" i="9" s="1"/>
  <c r="P53" i="9"/>
  <c r="C121" i="9"/>
  <c r="S28" i="9" s="1" a="1"/>
  <c r="S28" i="9" s="1"/>
  <c r="D109" i="9"/>
  <c r="T16" i="9" s="1" a="1"/>
  <c r="T16" i="9" s="1"/>
  <c r="J99" i="9"/>
  <c r="Z6" i="9" s="1" a="1"/>
  <c r="Z6" i="9" s="1"/>
  <c r="M78" i="9" a="1"/>
  <c r="M78" i="9" s="1"/>
  <c r="M106" i="9"/>
  <c r="AC13" i="9" s="1" a="1"/>
  <c r="AC13" i="9" s="1"/>
  <c r="I55" i="9" a="1"/>
  <c r="I55" i="9" s="1"/>
  <c r="I102" i="9"/>
  <c r="Y9" i="9" s="1" a="1"/>
  <c r="Y9" i="9" s="1"/>
  <c r="K61" i="9" a="1"/>
  <c r="K61" i="9" s="1"/>
  <c r="H129" i="9"/>
  <c r="X36" i="9" s="1" a="1"/>
  <c r="X36" i="9" s="1"/>
  <c r="G66" i="9" a="1"/>
  <c r="G66" i="9" s="1"/>
  <c r="H126" i="9"/>
  <c r="X33" i="9" s="1" a="1"/>
  <c r="X33" i="9" s="1"/>
  <c r="I57" i="9" a="1"/>
  <c r="I57" i="9" s="1"/>
  <c r="B5" i="9"/>
  <c r="E5" i="9" s="1"/>
  <c r="G62" i="9" a="1"/>
  <c r="G62" i="9" s="1"/>
  <c r="P52" i="9"/>
  <c r="M50" i="9" a="1"/>
  <c r="M50" i="9" s="1"/>
  <c r="H60" i="9" a="1"/>
  <c r="H60" i="9" s="1"/>
  <c r="J52" i="9" a="1"/>
  <c r="J52" i="9" s="1"/>
  <c r="J83" i="9" a="1"/>
  <c r="J83" i="9" s="1"/>
  <c r="C132" i="9"/>
  <c r="D107" i="9"/>
  <c r="T14" i="9" s="1" a="1"/>
  <c r="T14" i="9" s="1"/>
  <c r="M104" i="9"/>
  <c r="AC11" i="9" s="1" a="1"/>
  <c r="AC11" i="9" s="1"/>
  <c r="AD15" i="9" a="1"/>
  <c r="AD15" i="9" s="1"/>
  <c r="K83" i="9" a="1"/>
  <c r="K83" i="9" s="1"/>
  <c r="P101" i="9"/>
  <c r="AF8" i="9" s="1"/>
  <c r="B21" i="20" s="1"/>
  <c r="K119" i="9"/>
  <c r="AA26" i="9" s="1" a="1"/>
  <c r="AA26" i="9" s="1"/>
  <c r="AD33" i="9" a="1"/>
  <c r="AD33" i="9" s="1"/>
  <c r="I111" i="9"/>
  <c r="Y18" i="9" s="1" a="1"/>
  <c r="Y18" i="9" s="1"/>
  <c r="L119" i="9"/>
  <c r="AB26" i="9" s="1" a="1"/>
  <c r="AB26" i="9" s="1"/>
  <c r="D125" i="9"/>
  <c r="T32" i="9" s="1" a="1"/>
  <c r="T32" i="9" s="1"/>
  <c r="M60" i="9" a="1"/>
  <c r="M60" i="9" s="1"/>
  <c r="E99" i="9"/>
  <c r="U6" i="9" s="1" a="1"/>
  <c r="U6" i="9" s="1"/>
  <c r="N62" i="9" a="1"/>
  <c r="N62" i="9" s="1"/>
  <c r="G127" i="9"/>
  <c r="W34" i="9" s="1" a="1"/>
  <c r="W34" i="9" s="1"/>
  <c r="M67" i="9" a="1"/>
  <c r="M67" i="9" s="1"/>
  <c r="F123" i="9"/>
  <c r="V30" i="9" s="1" a="1"/>
  <c r="V30" i="9" s="1"/>
  <c r="N67" i="9" a="1"/>
  <c r="N67" i="9" s="1"/>
  <c r="G101" i="9"/>
  <c r="W8" i="9" s="1" a="1"/>
  <c r="W8" i="9" s="1"/>
  <c r="H63" i="9" a="1"/>
  <c r="H63" i="9" s="1"/>
  <c r="AD20" i="9" a="1"/>
  <c r="AD20" i="9" s="1"/>
  <c r="J56" i="9" a="1"/>
  <c r="J56" i="9" s="1"/>
  <c r="J63" i="9" a="1"/>
  <c r="J63" i="9" s="1"/>
  <c r="L113" i="9"/>
  <c r="F113" i="9"/>
  <c r="V20" i="9" s="1" a="1"/>
  <c r="V20" i="9" s="1"/>
  <c r="G117" i="9"/>
  <c r="W24" i="9" s="1" a="1"/>
  <c r="W24" i="9" s="1"/>
  <c r="F111" i="9"/>
  <c r="V18" i="9" s="1" a="1"/>
  <c r="V18" i="9" s="1"/>
  <c r="B17" i="9"/>
  <c r="H104" i="9"/>
  <c r="X11" i="9" s="1" a="1"/>
  <c r="X11" i="9" s="1"/>
  <c r="M62" i="9" a="1"/>
  <c r="M62" i="9" s="1"/>
  <c r="L128" i="9"/>
  <c r="AB35" i="9" s="1" a="1"/>
  <c r="AB35" i="9" s="1"/>
  <c r="L68" i="9" a="1"/>
  <c r="L68" i="9" s="1"/>
  <c r="M55" i="9" a="1"/>
  <c r="M55" i="9" s="1"/>
  <c r="M71" i="9" a="1"/>
  <c r="M71" i="9" s="1"/>
  <c r="AD29" i="9" a="1"/>
  <c r="AD29" i="9" s="1"/>
  <c r="N71" i="9" a="1"/>
  <c r="N71" i="9" s="1"/>
  <c r="AD18" i="9" a="1"/>
  <c r="AD18" i="9" s="1"/>
  <c r="E103" i="9"/>
  <c r="U10" i="9" s="1" a="1"/>
  <c r="U10" i="9" s="1"/>
  <c r="G109" i="9"/>
  <c r="W16" i="9" s="1" a="1"/>
  <c r="W16" i="9" s="1"/>
  <c r="M113" i="9"/>
  <c r="AC20" i="9" s="1" a="1"/>
  <c r="AC20" i="9" s="1"/>
  <c r="H130" i="9"/>
  <c r="X37" i="9" s="1" a="1"/>
  <c r="X37" i="9" s="1"/>
  <c r="AD37" i="9" a="1"/>
  <c r="AD37" i="9" s="1"/>
  <c r="H110" i="9"/>
  <c r="X17" i="9" s="1" a="1"/>
  <c r="X17" i="9" s="1"/>
  <c r="J67" i="9" a="1"/>
  <c r="J67" i="9" s="1"/>
  <c r="N69" i="9" a="1"/>
  <c r="N69" i="9" s="1"/>
  <c r="N59" i="9" a="1"/>
  <c r="N59" i="9" s="1"/>
  <c r="G78" i="9" a="1"/>
  <c r="G78" i="9" s="1"/>
  <c r="F103" i="9"/>
  <c r="V10" i="9" s="1" a="1"/>
  <c r="V10" i="9" s="1"/>
  <c r="G77" i="9" a="1"/>
  <c r="G77" i="9" s="1"/>
  <c r="B14" i="9"/>
  <c r="C14" i="9" s="1"/>
  <c r="G70" i="9" a="1"/>
  <c r="G70" i="9" s="1"/>
  <c r="I132" i="9"/>
  <c r="P110" i="9"/>
  <c r="AF17" i="9" s="1"/>
  <c r="B28" i="20" s="1"/>
  <c r="M123" i="9"/>
  <c r="AC30" i="9" s="1" a="1"/>
  <c r="AC30" i="9" s="1"/>
  <c r="K104" i="9"/>
  <c r="AA11" i="9" s="1" a="1"/>
  <c r="AA11" i="9" s="1"/>
  <c r="C108" i="9"/>
  <c r="S15" i="9" s="1" a="1"/>
  <c r="S15" i="9" s="1"/>
  <c r="M108" i="9"/>
  <c r="AC15" i="9" s="1" a="1"/>
  <c r="AC15" i="9" s="1"/>
  <c r="I119" i="9"/>
  <c r="Y26" i="9" s="1" a="1"/>
  <c r="Y26" i="9" s="1"/>
  <c r="K116" i="9"/>
  <c r="AA23" i="9" s="1" a="1"/>
  <c r="AA23" i="9" s="1"/>
  <c r="M69" i="9" a="1"/>
  <c r="M69" i="9" s="1"/>
  <c r="J128" i="9"/>
  <c r="Z35" i="9" s="1" a="1"/>
  <c r="Z35" i="9" s="1"/>
  <c r="N70" i="9" a="1"/>
  <c r="N70" i="9" s="1"/>
  <c r="L67" i="9" a="1"/>
  <c r="L67" i="9" s="1"/>
  <c r="N82" i="9" a="1"/>
  <c r="N82" i="9" s="1"/>
  <c r="E118" i="9"/>
  <c r="U25" i="9" s="1" a="1"/>
  <c r="U25" i="9" s="1"/>
  <c r="J79" i="9" a="1"/>
  <c r="J79" i="9" s="1"/>
  <c r="C115" i="9"/>
  <c r="S22" i="9" s="1" a="1"/>
  <c r="S22" i="9" s="1"/>
  <c r="I76" i="9" a="1"/>
  <c r="I76" i="9" s="1"/>
  <c r="E123" i="9"/>
  <c r="U30" i="9" s="1" a="1"/>
  <c r="U30" i="9" s="1"/>
  <c r="G73" i="9" a="1"/>
  <c r="G73" i="9" s="1"/>
  <c r="J109" i="9"/>
  <c r="Z16" i="9" s="1" a="1"/>
  <c r="Z16" i="9" s="1"/>
  <c r="J106" i="9"/>
  <c r="Z13" i="9" s="1" a="1"/>
  <c r="Z13" i="9" s="1"/>
  <c r="C125" i="9"/>
  <c r="S32" i="9" s="1" a="1"/>
  <c r="S32" i="9" s="1"/>
  <c r="H127" i="9"/>
  <c r="X34" i="9" s="1" a="1"/>
  <c r="X34" i="9" s="1"/>
  <c r="P107" i="9"/>
  <c r="AF14" i="9" s="1"/>
  <c r="B14" i="20" s="1"/>
  <c r="J124" i="9"/>
  <c r="Z31" i="9" s="1" a="1"/>
  <c r="Z31" i="9" s="1"/>
  <c r="H112" i="9"/>
  <c r="X19" i="9" s="1" a="1"/>
  <c r="X19" i="9" s="1"/>
  <c r="G83" i="9" a="1"/>
  <c r="G83" i="9" s="1"/>
  <c r="J132" i="9"/>
  <c r="F132" i="9"/>
  <c r="D116" i="9"/>
  <c r="T23" i="9" s="1" a="1"/>
  <c r="T23" i="9" s="1"/>
  <c r="P128" i="9"/>
  <c r="AF35" i="9" s="1"/>
  <c r="B39" i="20" s="1"/>
  <c r="D122" i="9"/>
  <c r="T29" i="9" s="1" a="1"/>
  <c r="T29" i="9" s="1"/>
  <c r="P105" i="9"/>
  <c r="AF12" i="9" s="1"/>
  <c r="B22" i="20" s="1"/>
  <c r="P127" i="9"/>
  <c r="AF34" i="9" s="1"/>
  <c r="B5" i="20" s="1"/>
  <c r="D117" i="9"/>
  <c r="T24" i="9" s="1" a="1"/>
  <c r="T24" i="9" s="1"/>
  <c r="L72" i="9" a="1"/>
  <c r="L72" i="9" s="1"/>
  <c r="I53" i="9" a="1"/>
  <c r="I53" i="9" s="1"/>
  <c r="N74" i="9" a="1"/>
  <c r="N74" i="9" s="1"/>
  <c r="L71" i="9" a="1"/>
  <c r="L71" i="9" s="1"/>
  <c r="K108" i="9"/>
  <c r="AA15" i="9" s="1" a="1"/>
  <c r="AA15" i="9" s="1"/>
  <c r="J117" i="9"/>
  <c r="Z24" i="9" s="1" a="1"/>
  <c r="Z24" i="9" s="1"/>
  <c r="C129" i="9"/>
  <c r="S36" i="9" s="1" a="1"/>
  <c r="S36" i="9" s="1"/>
  <c r="D110" i="9"/>
  <c r="T17" i="9" s="1" a="1"/>
  <c r="T17" i="9" s="1"/>
  <c r="H83" i="9" a="1"/>
  <c r="H83" i="9" s="1"/>
  <c r="P57" i="9"/>
  <c r="I73" i="9" a="1"/>
  <c r="I73" i="9" s="1"/>
  <c r="H70" i="9" a="1"/>
  <c r="H70" i="9" s="1"/>
  <c r="I70" i="9" a="1"/>
  <c r="I70" i="9" s="1"/>
  <c r="L66" i="9" a="1"/>
  <c r="L66" i="9" s="1"/>
  <c r="E124" i="9"/>
  <c r="U31" i="9" s="1" a="1"/>
  <c r="U31" i="9" s="1"/>
  <c r="L83" i="9" a="1"/>
  <c r="L83" i="9" s="1"/>
  <c r="E132" i="9"/>
  <c r="A9" i="20"/>
  <c r="A11" i="20"/>
  <c r="A8" i="20"/>
  <c r="A25" i="20"/>
  <c r="A31" i="20"/>
  <c r="AF10" i="9"/>
  <c r="B25" i="20" s="1"/>
  <c r="A19" i="20"/>
  <c r="A18" i="20"/>
  <c r="A7" i="20"/>
  <c r="A17" i="20"/>
  <c r="A20" i="20"/>
  <c r="R5" i="9"/>
  <c r="D14" i="19" s="1" a="1"/>
  <c r="D14" i="19" s="1"/>
  <c r="E14" i="19" s="1"/>
  <c r="A22" i="20"/>
  <c r="A27" i="20"/>
  <c r="K132" i="9"/>
  <c r="A27" i="21"/>
  <c r="B27" i="21" s="1"/>
  <c r="A18" i="21"/>
  <c r="B18" i="21" s="1"/>
  <c r="A12" i="21"/>
  <c r="B12" i="21" s="1"/>
  <c r="A14" i="21"/>
  <c r="B14" i="21" s="1"/>
  <c r="A6" i="21"/>
  <c r="B6" i="21" s="1"/>
  <c r="M132" i="9"/>
  <c r="N83" i="9" a="1"/>
  <c r="N83" i="9" s="1"/>
  <c r="A35" i="21"/>
  <c r="B35" i="21" s="1"/>
  <c r="G82" i="9" a="1"/>
  <c r="G82" i="9" s="1"/>
  <c r="P80" i="9"/>
  <c r="A29" i="21"/>
  <c r="B29" i="21" s="1"/>
  <c r="A15" i="21"/>
  <c r="B15" i="21" s="1"/>
  <c r="A22" i="21"/>
  <c r="B22" i="21" s="1"/>
  <c r="P50" i="9"/>
  <c r="J82" i="9" a="1"/>
  <c r="J82" i="9" s="1"/>
  <c r="G69" i="9" a="1"/>
  <c r="G69" i="9" s="1"/>
  <c r="A25" i="21"/>
  <c r="B25" i="21" s="1"/>
  <c r="A10" i="21"/>
  <c r="B10" i="21" s="1"/>
  <c r="A23" i="21"/>
  <c r="B23" i="21" s="1"/>
  <c r="H51" i="9" a="1"/>
  <c r="H51" i="9" s="1"/>
  <c r="G67" i="9" a="1"/>
  <c r="G67" i="9" s="1"/>
  <c r="C12" i="9"/>
  <c r="A30" i="21"/>
  <c r="B30" i="21" s="1"/>
  <c r="A36" i="21"/>
  <c r="B36" i="21" s="1"/>
  <c r="E127" i="9"/>
  <c r="U34" i="9" s="1" a="1"/>
  <c r="U34" i="9" s="1"/>
  <c r="P61" i="9"/>
  <c r="C111" i="9"/>
  <c r="S18" i="9" s="1" a="1"/>
  <c r="S18" i="9" s="1"/>
  <c r="K110" i="9"/>
  <c r="AA17" i="9" s="1" a="1"/>
  <c r="AA17" i="9" s="1"/>
  <c r="J123" i="9"/>
  <c r="Z30" i="9" s="1" a="1"/>
  <c r="Z30" i="9" s="1"/>
  <c r="M99" i="9"/>
  <c r="AC6" i="9" s="1" a="1"/>
  <c r="AC6" i="9" s="1"/>
  <c r="P65" i="9"/>
  <c r="F120" i="9"/>
  <c r="V27" i="9" s="1" a="1"/>
  <c r="V27" i="9" s="1"/>
  <c r="AA10" i="9" a="1"/>
  <c r="AA10" i="9" s="1"/>
  <c r="A6" i="20"/>
  <c r="M120" i="9"/>
  <c r="AC27" i="9" s="1" a="1"/>
  <c r="AC27" i="9" s="1"/>
  <c r="F126" i="9"/>
  <c r="V33" i="9" s="1" a="1"/>
  <c r="V33" i="9" s="1"/>
  <c r="G120" i="9"/>
  <c r="W27" i="9" s="1" a="1"/>
  <c r="W27" i="9" s="1"/>
  <c r="A28" i="20"/>
  <c r="AD30" i="9" a="1"/>
  <c r="AD30" i="9" s="1"/>
  <c r="A16" i="21"/>
  <c r="B16" i="21" s="1"/>
  <c r="M64" i="9" a="1"/>
  <c r="M64" i="9" s="1"/>
  <c r="M54" i="9" a="1"/>
  <c r="M54" i="9" s="1"/>
  <c r="N51" i="9" a="1"/>
  <c r="N51" i="9" s="1"/>
  <c r="A28" i="21"/>
  <c r="B28" i="21" s="1"/>
  <c r="A31" i="21"/>
  <c r="B31" i="21" s="1"/>
  <c r="A7" i="21"/>
  <c r="B7" i="21" s="1"/>
  <c r="F110" i="9"/>
  <c r="V17" i="9" s="1" a="1"/>
  <c r="V17" i="9" s="1"/>
  <c r="C127" i="9"/>
  <c r="S34" i="9" s="1" a="1"/>
  <c r="S34" i="9" s="1"/>
  <c r="L122" i="9"/>
  <c r="AB29" i="9" s="1" a="1"/>
  <c r="AB29" i="9" s="1"/>
  <c r="AD38" i="9" a="1"/>
  <c r="AD38" i="9" s="1"/>
  <c r="F118" i="9"/>
  <c r="V25" i="9" s="1" a="1"/>
  <c r="V25" i="9" s="1"/>
  <c r="F102" i="9"/>
  <c r="V9" i="9" s="1" a="1"/>
  <c r="V9" i="9" s="1"/>
  <c r="G119" i="9"/>
  <c r="W26" i="9" s="1" a="1"/>
  <c r="W26" i="9" s="1"/>
  <c r="J114" i="9"/>
  <c r="Z21" i="9" s="1" a="1"/>
  <c r="Z21" i="9" s="1"/>
  <c r="I112" i="9"/>
  <c r="Y19" i="9" s="1" a="1"/>
  <c r="Y19" i="9" s="1"/>
  <c r="M51" i="9" a="1"/>
  <c r="M51" i="9" s="1"/>
  <c r="L51" i="9" a="1"/>
  <c r="L51" i="9" s="1"/>
  <c r="A4" i="21"/>
  <c r="B4" i="21" s="1"/>
  <c r="A32" i="21"/>
  <c r="B32" i="21" s="1"/>
  <c r="A21" i="21"/>
  <c r="B21" i="21" s="1"/>
  <c r="H119" i="9"/>
  <c r="X26" i="9" s="1" a="1"/>
  <c r="X26" i="9" s="1"/>
  <c r="D123" i="9"/>
  <c r="T30" i="9" s="1" a="1"/>
  <c r="T30" i="9" s="1"/>
  <c r="K120" i="9"/>
  <c r="AA27" i="9" s="1" a="1"/>
  <c r="AA27" i="9" s="1"/>
  <c r="G112" i="9"/>
  <c r="K111" i="9"/>
  <c r="AA18" i="9" s="1" a="1"/>
  <c r="AA18" i="9" s="1"/>
  <c r="G114" i="9"/>
  <c r="W21" i="9" s="1" a="1"/>
  <c r="W21" i="9" s="1"/>
  <c r="P77" i="9"/>
  <c r="P71" i="9"/>
  <c r="K114" i="9"/>
  <c r="AA21" i="9" s="1" a="1"/>
  <c r="AA21" i="9" s="1"/>
  <c r="P69" i="9"/>
  <c r="F100" i="9"/>
  <c r="V7" i="9" s="1" a="1"/>
  <c r="V7" i="9" s="1"/>
  <c r="J51" i="9" a="1"/>
  <c r="J51" i="9" s="1"/>
  <c r="H67" i="9" a="1"/>
  <c r="H67" i="9" s="1"/>
  <c r="A12" i="20"/>
  <c r="A3" i="20"/>
  <c r="G108" i="9"/>
  <c r="W15" i="9" s="1" a="1"/>
  <c r="W15" i="9" s="1"/>
  <c r="K51" i="9" a="1"/>
  <c r="K51" i="9" s="1"/>
  <c r="H50" i="9" a="1"/>
  <c r="H50" i="9" s="1"/>
  <c r="N54" i="9" a="1"/>
  <c r="N54" i="9" s="1"/>
  <c r="I51" i="9" a="1"/>
  <c r="I51" i="9" s="1"/>
  <c r="A16" i="20"/>
  <c r="A5" i="20"/>
  <c r="A37" i="20"/>
  <c r="N64" i="9" a="1"/>
  <c r="N64" i="9" s="1"/>
  <c r="P113" i="9"/>
  <c r="AF20" i="9" s="1"/>
  <c r="B37" i="20" s="1"/>
  <c r="L54" i="9" a="1"/>
  <c r="L54" i="9" s="1"/>
  <c r="G75" i="9" a="1"/>
  <c r="G75" i="9" s="1"/>
  <c r="A30" i="20"/>
  <c r="J54" i="9" a="1"/>
  <c r="J54" i="9" s="1"/>
  <c r="A14" i="20"/>
  <c r="A36" i="20"/>
  <c r="I54" i="9" a="1"/>
  <c r="I54" i="9" s="1"/>
  <c r="A40" i="20"/>
  <c r="A26" i="20"/>
  <c r="A4" i="20"/>
  <c r="B49" i="9"/>
  <c r="L49" i="9" s="1" a="1"/>
  <c r="L49" i="9" s="1"/>
  <c r="H80" i="9" a="1"/>
  <c r="H80" i="9" s="1"/>
  <c r="H57" i="9" a="1"/>
  <c r="H57" i="9" s="1"/>
  <c r="W35" i="9" a="1"/>
  <c r="W35" i="9" s="1"/>
  <c r="G79" i="9" a="1"/>
  <c r="G79" i="9" s="1"/>
  <c r="L80" i="9" a="1"/>
  <c r="L80" i="9" s="1"/>
  <c r="G81" i="9" a="1"/>
  <c r="G81" i="9" s="1"/>
  <c r="G55" i="9" a="1"/>
  <c r="G55" i="9" s="1"/>
  <c r="H71" i="9" a="1"/>
  <c r="H71" i="9" s="1"/>
  <c r="H65" i="9" a="1"/>
  <c r="H65" i="9" s="1"/>
  <c r="W31" i="9" a="1"/>
  <c r="W31" i="9" s="1"/>
  <c r="G59" i="9" a="1"/>
  <c r="G59" i="9" s="1"/>
  <c r="AD34" i="9" a="1"/>
  <c r="AD34" i="9" s="1"/>
  <c r="X13" i="9" a="1"/>
  <c r="X13" i="9" s="1"/>
  <c r="AB36" i="9" a="1"/>
  <c r="AB36" i="9" s="1"/>
  <c r="G51" i="9" a="1"/>
  <c r="G51" i="9" s="1"/>
  <c r="J238" i="1" a="1"/>
  <c r="J238" i="1" s="1"/>
  <c r="AC33" i="9" a="1"/>
  <c r="AC33" i="9" s="1"/>
  <c r="E18" i="9"/>
  <c r="AB18" i="9" a="1"/>
  <c r="AB18" i="9" s="1"/>
  <c r="N78" i="9" a="1"/>
  <c r="N78" i="9" s="1"/>
  <c r="K238" i="1"/>
  <c r="G54" i="9" a="1"/>
  <c r="G54" i="9" s="1"/>
  <c r="AB15" i="9" a="1"/>
  <c r="AB15" i="9" s="1"/>
  <c r="L59" i="9" a="1"/>
  <c r="L59" i="9" s="1"/>
  <c r="C11" i="9"/>
  <c r="H99" i="9"/>
  <c r="G131" i="9"/>
  <c r="K6" i="6"/>
  <c r="C4" i="8" s="1"/>
  <c r="G127" i="6"/>
  <c r="C12" i="10"/>
  <c r="C7" i="8"/>
  <c r="N5" i="17"/>
  <c r="N7" i="17" s="1"/>
  <c r="C19" i="10" s="1"/>
  <c r="C16" i="10"/>
  <c r="C773" i="17"/>
  <c r="K4" i="17" s="1"/>
  <c r="E42" i="7"/>
  <c r="B17" i="20"/>
  <c r="H10" i="7"/>
  <c r="H42" i="7" s="1"/>
  <c r="B23" i="20"/>
  <c r="E44" i="18"/>
  <c r="I37" i="12"/>
  <c r="G42" i="7"/>
  <c r="J77" i="14"/>
  <c r="C12" i="8" s="1"/>
  <c r="C43" i="12"/>
  <c r="D44" i="18"/>
  <c r="D76" i="14"/>
  <c r="C10" i="8" s="1"/>
  <c r="H49" i="15"/>
  <c r="G49" i="15"/>
  <c r="AF36" i="9"/>
  <c r="D773" i="17"/>
  <c r="D2" i="2"/>
  <c r="H92" i="1" l="1"/>
  <c r="H93" i="1"/>
  <c r="H94" i="1"/>
  <c r="H114" i="1"/>
  <c r="H151" i="1"/>
  <c r="E6" i="9"/>
  <c r="C8" i="9"/>
  <c r="C13" i="9"/>
  <c r="H74" i="1"/>
  <c r="H73" i="1"/>
  <c r="H87" i="1"/>
  <c r="H84" i="1"/>
  <c r="H89" i="1"/>
  <c r="H134" i="1"/>
  <c r="H121" i="1"/>
  <c r="H108" i="1"/>
  <c r="H102" i="1"/>
  <c r="H71" i="1"/>
  <c r="H70" i="1"/>
  <c r="H113" i="1"/>
  <c r="H112" i="1"/>
  <c r="H186" i="1"/>
  <c r="H185" i="1"/>
  <c r="H177" i="1"/>
  <c r="E16" i="9"/>
  <c r="E6" i="8"/>
  <c r="E12" i="8"/>
  <c r="E8" i="8"/>
  <c r="E5" i="8"/>
  <c r="E7" i="8"/>
  <c r="E13" i="8"/>
  <c r="E9" i="8"/>
  <c r="E10" i="8"/>
  <c r="O118" i="9"/>
  <c r="Q118" i="9" s="1"/>
  <c r="W25" i="9" a="1"/>
  <c r="W25" i="9" s="1"/>
  <c r="AE25" i="9" s="1"/>
  <c r="AG25" i="9" s="1"/>
  <c r="C4" i="20" s="1"/>
  <c r="O132" i="9"/>
  <c r="Q132" i="9" s="1"/>
  <c r="O53" i="9"/>
  <c r="Q53" i="9" s="1"/>
  <c r="O116" i="9"/>
  <c r="Q116" i="9" s="1"/>
  <c r="A2" i="20"/>
  <c r="O110" i="9"/>
  <c r="Q110" i="9" s="1"/>
  <c r="E14" i="9"/>
  <c r="O102" i="9"/>
  <c r="AE9" i="9"/>
  <c r="AG9" i="9" s="1"/>
  <c r="C30" i="20" s="1"/>
  <c r="O109" i="9"/>
  <c r="Q109" i="9" s="1"/>
  <c r="O124" i="9"/>
  <c r="Q124" i="9" s="1"/>
  <c r="AE14" i="9"/>
  <c r="AG14" i="9" s="1"/>
  <c r="C14" i="20" s="1"/>
  <c r="AE17" i="9"/>
  <c r="AG17" i="9" s="1"/>
  <c r="C28" i="20" s="1"/>
  <c r="O82" i="9"/>
  <c r="Q82" i="9" s="1"/>
  <c r="O63" i="9"/>
  <c r="Q63" i="9" s="1"/>
  <c r="O52" i="9"/>
  <c r="Q52" i="9" s="1"/>
  <c r="O68" i="9"/>
  <c r="Q68" i="9" s="1"/>
  <c r="O77" i="9"/>
  <c r="Q77" i="9" s="1"/>
  <c r="AE28" i="9"/>
  <c r="AG28" i="9" s="1"/>
  <c r="C27" i="20" s="1"/>
  <c r="O58" i="9"/>
  <c r="Q58" i="9" s="1"/>
  <c r="O56" i="9"/>
  <c r="Q56" i="9" s="1"/>
  <c r="O76" i="9"/>
  <c r="Q76" i="9" s="1"/>
  <c r="O71" i="9"/>
  <c r="Q71" i="9" s="1"/>
  <c r="AE11" i="9"/>
  <c r="AG11" i="9" s="1"/>
  <c r="C13" i="20" s="1"/>
  <c r="O75" i="9"/>
  <c r="Q75" i="9" s="1"/>
  <c r="O66" i="9"/>
  <c r="Q66" i="9" s="1"/>
  <c r="AE8" i="9"/>
  <c r="AG8" i="9" s="1"/>
  <c r="C21" i="20" s="1"/>
  <c r="O70" i="9"/>
  <c r="Q70" i="9" s="1"/>
  <c r="O78" i="9"/>
  <c r="Q78" i="9" s="1"/>
  <c r="AE23" i="9"/>
  <c r="AG23" i="9" s="1"/>
  <c r="C7" i="20" s="1"/>
  <c r="O57" i="9"/>
  <c r="Q57" i="9" s="1"/>
  <c r="O50" i="9"/>
  <c r="Q50" i="9" s="1"/>
  <c r="O74" i="9"/>
  <c r="Q74" i="9" s="1"/>
  <c r="O130" i="9"/>
  <c r="Q130" i="9" s="1"/>
  <c r="O72" i="9"/>
  <c r="Q72" i="9" s="1"/>
  <c r="O108" i="9"/>
  <c r="Q108" i="9" s="1"/>
  <c r="C5" i="9"/>
  <c r="X16" i="9" a="1"/>
  <c r="X16" i="9" s="1"/>
  <c r="AE16" i="9" s="1"/>
  <c r="AG16" i="9" s="1"/>
  <c r="C15" i="20" s="1"/>
  <c r="O83" i="9"/>
  <c r="Q83" i="9" s="1"/>
  <c r="O69" i="9"/>
  <c r="Q69" i="9" s="1"/>
  <c r="O62" i="9"/>
  <c r="Q62" i="9" s="1"/>
  <c r="AE12" i="9"/>
  <c r="AG12" i="9" s="1"/>
  <c r="C22" i="20" s="1"/>
  <c r="O60" i="9"/>
  <c r="Q60" i="9" s="1"/>
  <c r="Q102" i="9"/>
  <c r="O55" i="9"/>
  <c r="Q55" i="9" s="1"/>
  <c r="AE37" i="9"/>
  <c r="AG37" i="9" s="1"/>
  <c r="C20" i="20" s="1"/>
  <c r="O119" i="9"/>
  <c r="Q119" i="9" s="1"/>
  <c r="O121" i="9"/>
  <c r="Q121" i="9" s="1"/>
  <c r="O73" i="9"/>
  <c r="Q73" i="9" s="1"/>
  <c r="O113" i="9"/>
  <c r="O104" i="9"/>
  <c r="Q104" i="9" s="1"/>
  <c r="O61" i="9"/>
  <c r="Q61" i="9" s="1"/>
  <c r="O81" i="9"/>
  <c r="Q81" i="9" s="1"/>
  <c r="O117" i="9"/>
  <c r="Q117" i="9" s="1"/>
  <c r="O67" i="9"/>
  <c r="Q67" i="9" s="1"/>
  <c r="AE22" i="9"/>
  <c r="AG22" i="9" s="1"/>
  <c r="C24" i="20" s="1"/>
  <c r="O127" i="9"/>
  <c r="Q127" i="9" s="1"/>
  <c r="O131" i="9"/>
  <c r="Q131" i="9" s="1"/>
  <c r="O101" i="9"/>
  <c r="Q101" i="9" s="1"/>
  <c r="AE32" i="9"/>
  <c r="AG32" i="9" s="1"/>
  <c r="C16" i="20" s="1"/>
  <c r="O79" i="9"/>
  <c r="Q79" i="9" s="1"/>
  <c r="O107" i="9"/>
  <c r="Q107" i="9" s="1"/>
  <c r="AE35" i="9"/>
  <c r="AG35" i="9" s="1"/>
  <c r="C39" i="20" s="1"/>
  <c r="O103" i="9"/>
  <c r="Q103" i="9" s="1"/>
  <c r="AE24" i="9"/>
  <c r="AG24" i="9" s="1"/>
  <c r="C40" i="20" s="1"/>
  <c r="AE33" i="9"/>
  <c r="AG33" i="9" s="1"/>
  <c r="C23" i="20" s="1"/>
  <c r="O106" i="9"/>
  <c r="Q106" i="9" s="1"/>
  <c r="C10" i="9"/>
  <c r="E10" i="9"/>
  <c r="AE31" i="9"/>
  <c r="AG31" i="9" s="1"/>
  <c r="C36" i="20" s="1"/>
  <c r="O120" i="9"/>
  <c r="Q120" i="9" s="1"/>
  <c r="O115" i="9"/>
  <c r="Q115" i="9" s="1"/>
  <c r="AE29" i="9"/>
  <c r="AG29" i="9" s="1"/>
  <c r="C26" i="20" s="1"/>
  <c r="AB20" i="9" a="1"/>
  <c r="AB20" i="9" s="1"/>
  <c r="AE20" i="9" s="1"/>
  <c r="AG20" i="9" s="1"/>
  <c r="C37" i="20" s="1"/>
  <c r="E3" i="9"/>
  <c r="C3" i="9"/>
  <c r="D8" i="19" a="1"/>
  <c r="D8" i="19" s="1"/>
  <c r="O65" i="9"/>
  <c r="Q65" i="9" s="1"/>
  <c r="O128" i="9"/>
  <c r="Q128" i="9" s="1"/>
  <c r="AE7" i="9"/>
  <c r="AG7" i="9" s="1"/>
  <c r="C12" i="20" s="1"/>
  <c r="O129" i="9"/>
  <c r="Q129" i="9" s="1"/>
  <c r="O126" i="9"/>
  <c r="Q126" i="9" s="1"/>
  <c r="O105" i="9"/>
  <c r="Q105" i="9" s="1"/>
  <c r="O100" i="9"/>
  <c r="Q100" i="9" s="1"/>
  <c r="AB34" i="9" a="1"/>
  <c r="AB34" i="9" s="1"/>
  <c r="AE34" i="9" s="1"/>
  <c r="AG34" i="9" s="1"/>
  <c r="C5" i="20" s="1"/>
  <c r="D10" i="19" a="1"/>
  <c r="D10" i="19" s="1"/>
  <c r="D12" i="19" a="1"/>
  <c r="D12" i="19" s="1"/>
  <c r="O125" i="9"/>
  <c r="Q125" i="9" s="1"/>
  <c r="E18" i="19" a="1"/>
  <c r="E18" i="19" s="1"/>
  <c r="O99" i="9"/>
  <c r="Q99" i="9" s="1"/>
  <c r="E4" i="9"/>
  <c r="C4" i="9"/>
  <c r="AE26" i="9"/>
  <c r="AG26" i="9" s="1"/>
  <c r="C29" i="20" s="1"/>
  <c r="E17" i="9"/>
  <c r="C17" i="9"/>
  <c r="E7" i="9" a="1"/>
  <c r="E7" i="9" s="1"/>
  <c r="C7" i="9"/>
  <c r="E9" i="9"/>
  <c r="C9" i="9"/>
  <c r="O123" i="9"/>
  <c r="Q123" i="9" s="1"/>
  <c r="AE13" i="9"/>
  <c r="AG13" i="9" s="1"/>
  <c r="C10" i="20" s="1"/>
  <c r="C15" i="9"/>
  <c r="E15" i="9"/>
  <c r="AE30" i="9"/>
  <c r="AG30" i="9" s="1"/>
  <c r="C18" i="20" s="1"/>
  <c r="AE10" i="9"/>
  <c r="AG10" i="9" s="1"/>
  <c r="C25" i="20" s="1"/>
  <c r="AE27" i="9"/>
  <c r="AG27" i="9" s="1"/>
  <c r="C9" i="20" s="1"/>
  <c r="AE21" i="9"/>
  <c r="AG21" i="9" s="1"/>
  <c r="C17" i="20" s="1"/>
  <c r="O51" i="9"/>
  <c r="Q51" i="9" s="1"/>
  <c r="AE36" i="9"/>
  <c r="AG36" i="9" s="1"/>
  <c r="C8" i="20" s="1"/>
  <c r="O64" i="9"/>
  <c r="Q64" i="9" s="1"/>
  <c r="G49" i="9" a="1"/>
  <c r="G49" i="9" s="1"/>
  <c r="AE18" i="9"/>
  <c r="AG18" i="9" s="1"/>
  <c r="C19" i="20" s="1"/>
  <c r="W19" i="9" a="1"/>
  <c r="W19" i="9" s="1"/>
  <c r="AE19" i="9" s="1"/>
  <c r="AG19" i="9" s="1"/>
  <c r="C38" i="20" s="1"/>
  <c r="O112" i="9"/>
  <c r="Q112" i="9" s="1"/>
  <c r="H49" i="9" a="1"/>
  <c r="H49" i="9" s="1"/>
  <c r="O111" i="9"/>
  <c r="Q111" i="9" s="1"/>
  <c r="O114" i="9"/>
  <c r="Q114" i="9" s="1"/>
  <c r="O122" i="9"/>
  <c r="Q122" i="9" s="1"/>
  <c r="O54" i="9"/>
  <c r="Q54" i="9" s="1"/>
  <c r="O59" i="9"/>
  <c r="Q59" i="9" s="1"/>
  <c r="I98" i="9"/>
  <c r="Y5" i="9" s="1" a="1"/>
  <c r="Y5" i="9" s="1"/>
  <c r="M98" i="9"/>
  <c r="AC5" i="9" s="1" a="1"/>
  <c r="AC5" i="9" s="1"/>
  <c r="J98" i="9"/>
  <c r="Z5" i="9" s="1" a="1"/>
  <c r="Z5" i="9" s="1"/>
  <c r="J49" i="9" a="1"/>
  <c r="J49" i="9" s="1"/>
  <c r="C12" i="19" a="1"/>
  <c r="C12" i="19" s="1"/>
  <c r="D49" i="9" a="1"/>
  <c r="D49" i="9" s="1"/>
  <c r="E98" i="9"/>
  <c r="U5" i="9" s="1" a="1"/>
  <c r="U5" i="9" s="1"/>
  <c r="I49" i="9" a="1"/>
  <c r="I49" i="9" s="1"/>
  <c r="C49" i="9" a="1"/>
  <c r="C49" i="9" s="1"/>
  <c r="E49" i="9" a="1"/>
  <c r="E49" i="9" s="1"/>
  <c r="D98" i="9"/>
  <c r="T5" i="9" s="1" a="1"/>
  <c r="T5" i="9" s="1"/>
  <c r="P49" i="9"/>
  <c r="G98" i="9"/>
  <c r="AD5" i="9" a="1"/>
  <c r="AD5" i="9" s="1"/>
  <c r="M49" i="9" a="1"/>
  <c r="M49" i="9" s="1"/>
  <c r="F49" i="9" a="1"/>
  <c r="F49" i="9" s="1"/>
  <c r="H98" i="9"/>
  <c r="X5" i="9" s="1" a="1"/>
  <c r="X5" i="9" s="1"/>
  <c r="P98" i="9"/>
  <c r="AF5" i="9" s="1"/>
  <c r="B2" i="20" s="1"/>
  <c r="K49" i="9" a="1"/>
  <c r="K49" i="9" s="1"/>
  <c r="F98" i="9"/>
  <c r="V5" i="9" a="1"/>
  <c r="V5" i="9" s="1"/>
  <c r="C98" i="9"/>
  <c r="S5" i="9" s="1" a="1"/>
  <c r="S5" i="9" s="1"/>
  <c r="N49" i="9" a="1"/>
  <c r="N49" i="9" s="1"/>
  <c r="B2" i="9"/>
  <c r="K98" i="9"/>
  <c r="AA5" i="9" s="1" a="1"/>
  <c r="AA5" i="9" s="1"/>
  <c r="L98" i="9"/>
  <c r="AB5" i="9" s="1" a="1"/>
  <c r="AB5" i="9" s="1"/>
  <c r="X6" i="9" a="1"/>
  <c r="X6" i="9" s="1"/>
  <c r="AE6" i="9" s="1"/>
  <c r="AG6" i="9" s="1"/>
  <c r="C11" i="20" s="1"/>
  <c r="Q113" i="9"/>
  <c r="AE15" i="9"/>
  <c r="AG15" i="9" s="1"/>
  <c r="C6" i="20" s="1"/>
  <c r="O80" i="9"/>
  <c r="Q80" i="9" s="1"/>
  <c r="W38" i="9" a="1"/>
  <c r="W38" i="9" s="1"/>
  <c r="AE38" i="9" s="1"/>
  <c r="AG38" i="9" s="1"/>
  <c r="C3" i="20" s="1"/>
  <c r="P7" i="17"/>
  <c r="F44" i="18"/>
  <c r="C11" i="8"/>
  <c r="C14" i="8" s="1"/>
  <c r="C4" i="10" s="1"/>
  <c r="B8" i="20"/>
  <c r="K5" i="17"/>
  <c r="K6" i="17" s="1"/>
  <c r="F773" i="17"/>
  <c r="E20" i="19" l="1" a="1"/>
  <c r="E20" i="19" s="1"/>
  <c r="E12" i="19"/>
  <c r="E16" i="19" s="1"/>
  <c r="O49" i="9"/>
  <c r="Q49" i="9" s="1"/>
  <c r="E2" i="9"/>
  <c r="C2" i="9"/>
  <c r="O98" i="9"/>
  <c r="Q98" i="9" s="1"/>
  <c r="W5" i="9" a="1"/>
  <c r="W5" i="9" s="1"/>
  <c r="AE5" i="9" s="1"/>
  <c r="AG5" i="9" s="1"/>
  <c r="C2" i="20" s="1"/>
  <c r="E11" i="8"/>
  <c r="E14" i="8" s="1"/>
  <c r="C15" i="10"/>
  <c r="C17" i="10" s="1"/>
  <c r="C23" i="9" l="1"/>
  <c r="C3" i="10" s="1"/>
  <c r="C11" i="10" s="1"/>
  <c r="C13" i="10" s="1"/>
  <c r="C21" i="10" s="1"/>
  <c r="C21" i="9"/>
  <c r="C5" i="10" l="1"/>
  <c r="F2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Khata (2).xlsx!Table4" type="102" refreshedVersion="8" minRefreshableVersion="5" refreshOnLoad="1" saveData="1">
    <extLst>
      <ext xmlns:x15="http://schemas.microsoft.com/office/spreadsheetml/2010/11/main" uri="{DE250136-89BD-433C-8126-D09CA5730AF9}">
        <x15:connection id="Table4" autoDelete="1">
          <x15:rangePr sourceName="_xlcn.WorksheetConnection_Khata2.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<sst xmlns="http://schemas.openxmlformats.org/spreadsheetml/2006/main" count="3629" uniqueCount="736">
  <si>
    <t>Billing</t>
  </si>
  <si>
    <t>Billing Total</t>
  </si>
  <si>
    <t>Party Name</t>
  </si>
  <si>
    <t>Tiyaar</t>
  </si>
  <si>
    <t>Rate</t>
  </si>
  <si>
    <t>Total</t>
  </si>
  <si>
    <t>Row Labels</t>
  </si>
  <si>
    <t>Sum of Tiyaar</t>
  </si>
  <si>
    <t>Sum of Total</t>
  </si>
  <si>
    <t>Arshad</t>
  </si>
  <si>
    <t>Gaz</t>
  </si>
  <si>
    <t>Total Metres</t>
  </si>
  <si>
    <t>Total Chamki</t>
  </si>
  <si>
    <t>Total Super Silky</t>
  </si>
  <si>
    <t>Billing (Chamki/Crinkle)</t>
  </si>
  <si>
    <t>Billing (Super Chamki)</t>
  </si>
  <si>
    <t>Adjusted Bill</t>
  </si>
  <si>
    <t>Amount Paid</t>
  </si>
  <si>
    <t>Balance</t>
  </si>
  <si>
    <t>Rate (Chamki)</t>
  </si>
  <si>
    <t>Rate (Super Silky)</t>
  </si>
  <si>
    <t>BSC</t>
  </si>
  <si>
    <t>Ejaz Sahab</t>
  </si>
  <si>
    <t>Shehzad Kamoki</t>
  </si>
  <si>
    <t>Sufi Nawaz Sahab</t>
  </si>
  <si>
    <t>Sajad Khan</t>
  </si>
  <si>
    <t>Raaz Fabrics</t>
  </si>
  <si>
    <t>Hafiz Qureshi</t>
  </si>
  <si>
    <t>Grand Total</t>
  </si>
  <si>
    <t>Total:</t>
  </si>
  <si>
    <t>(Real Figure)</t>
  </si>
  <si>
    <t>Total influx</t>
  </si>
  <si>
    <t>(considering 10.5)</t>
  </si>
  <si>
    <t>Parties:</t>
  </si>
  <si>
    <t>Party Names:</t>
  </si>
  <si>
    <t>Ubaidullah</t>
  </si>
  <si>
    <t>Description</t>
  </si>
  <si>
    <t>Total Gazana/gaz</t>
  </si>
  <si>
    <t>Gazana/meters</t>
  </si>
  <si>
    <t>Total Chamki-crinkle/meters</t>
  </si>
  <si>
    <t>Total Super Silky/meters</t>
  </si>
  <si>
    <t>Total Billing</t>
  </si>
  <si>
    <t>Total Paid</t>
  </si>
  <si>
    <t>Total Balance</t>
  </si>
  <si>
    <t>Expenses</t>
  </si>
  <si>
    <t>Type</t>
  </si>
  <si>
    <t>Amount</t>
  </si>
  <si>
    <t>Wood</t>
  </si>
  <si>
    <t>Dyes/Chemical</t>
  </si>
  <si>
    <t xml:space="preserve">Finish </t>
  </si>
  <si>
    <t>Misc</t>
  </si>
  <si>
    <t>Electricity</t>
  </si>
  <si>
    <t>Salary</t>
  </si>
  <si>
    <t>Running Acc</t>
  </si>
  <si>
    <t>Transport</t>
  </si>
  <si>
    <t>Parts</t>
  </si>
  <si>
    <t>Stock (for next 15th)</t>
  </si>
  <si>
    <t>Stock</t>
  </si>
  <si>
    <t>quantity</t>
  </si>
  <si>
    <t>Column3</t>
  </si>
  <si>
    <t>mann</t>
  </si>
  <si>
    <t>Starch</t>
  </si>
  <si>
    <t>Kg</t>
  </si>
  <si>
    <t>Pva</t>
  </si>
  <si>
    <t>Dyes</t>
  </si>
  <si>
    <t>Nil</t>
  </si>
  <si>
    <t>Column1</t>
  </si>
  <si>
    <t>Column2</t>
  </si>
  <si>
    <t>Profit</t>
  </si>
  <si>
    <t>Credit</t>
  </si>
  <si>
    <t>Debit</t>
  </si>
  <si>
    <t>Exp Balance</t>
  </si>
  <si>
    <t>Cash in hand</t>
  </si>
  <si>
    <t>Difference</t>
  </si>
  <si>
    <t>My share:</t>
  </si>
  <si>
    <t>Date</t>
  </si>
  <si>
    <t>Diff</t>
  </si>
  <si>
    <t>Bill Number</t>
  </si>
  <si>
    <t>Quality</t>
  </si>
  <si>
    <t>Shipment Number</t>
  </si>
  <si>
    <t>Kora/metre</t>
  </si>
  <si>
    <t>Tiyaar/gaz</t>
  </si>
  <si>
    <t>shortage %</t>
  </si>
  <si>
    <t>tiyar/meters</t>
  </si>
  <si>
    <t>billing</t>
  </si>
  <si>
    <t>Chamki</t>
  </si>
  <si>
    <t>Silky</t>
  </si>
  <si>
    <t>(All)</t>
  </si>
  <si>
    <t>Sum of Tiyaar/gaz</t>
  </si>
  <si>
    <t>Vehicle Number</t>
  </si>
  <si>
    <t>Weight</t>
  </si>
  <si>
    <t>Rent</t>
  </si>
  <si>
    <t>Paid</t>
  </si>
  <si>
    <t>balance</t>
  </si>
  <si>
    <t>Malik Zaheer</t>
  </si>
  <si>
    <t>Closing Balance CF</t>
  </si>
  <si>
    <t>Aqib</t>
  </si>
  <si>
    <t>-</t>
  </si>
  <si>
    <t>Gari #</t>
  </si>
  <si>
    <t>Sum of Weight</t>
  </si>
  <si>
    <t>Sum of total</t>
  </si>
  <si>
    <t>Sum of Paid</t>
  </si>
  <si>
    <t>Sum of balance</t>
  </si>
  <si>
    <t>(blank)</t>
  </si>
  <si>
    <t>amount</t>
  </si>
  <si>
    <t>Actual</t>
  </si>
  <si>
    <t>Cash in hand (July):</t>
  </si>
  <si>
    <t>Bank Withdrawal</t>
  </si>
  <si>
    <t>Bank</t>
  </si>
  <si>
    <t>Cash</t>
  </si>
  <si>
    <t>Party</t>
  </si>
  <si>
    <t>Mode</t>
  </si>
  <si>
    <t>Withdrawal</t>
  </si>
  <si>
    <t>Rashan</t>
  </si>
  <si>
    <t>H3R</t>
  </si>
  <si>
    <t>Unicolour</t>
  </si>
  <si>
    <t>Faysal Akraam</t>
  </si>
  <si>
    <t>Finish</t>
  </si>
  <si>
    <t>Sum of Credit</t>
  </si>
  <si>
    <t>Sum of Debit</t>
  </si>
  <si>
    <t>Chemical Name</t>
  </si>
  <si>
    <t>Boxes</t>
  </si>
  <si>
    <t>Price</t>
  </si>
  <si>
    <t>info</t>
  </si>
  <si>
    <t>chemicals</t>
  </si>
  <si>
    <t>Navy Blue</t>
  </si>
  <si>
    <t>Rubine B</t>
  </si>
  <si>
    <t>Sum of Price</t>
  </si>
  <si>
    <t>Sum of Balance</t>
  </si>
  <si>
    <t>Blue SE2R</t>
  </si>
  <si>
    <t>Red F3BS</t>
  </si>
  <si>
    <t>Violet 3R</t>
  </si>
  <si>
    <t>Violet 5R</t>
  </si>
  <si>
    <t>Yellow 10GF</t>
  </si>
  <si>
    <t>Item</t>
  </si>
  <si>
    <t>Quantity</t>
  </si>
  <si>
    <t>Bill number</t>
  </si>
  <si>
    <t>Units</t>
  </si>
  <si>
    <t>Advance</t>
  </si>
  <si>
    <t>Person</t>
  </si>
  <si>
    <t>Shipment number</t>
  </si>
  <si>
    <t>Max of Kora/metre</t>
  </si>
  <si>
    <t>cost</t>
  </si>
  <si>
    <t>Max of Kora/gaz</t>
  </si>
  <si>
    <t>Tiyar/metre</t>
  </si>
  <si>
    <t>Cost</t>
  </si>
  <si>
    <t>Yellow 4G</t>
  </si>
  <si>
    <t>Scarlet B</t>
  </si>
  <si>
    <t>Ashraf Zia</t>
  </si>
  <si>
    <t>Rafaqat</t>
  </si>
  <si>
    <t>gazana</t>
  </si>
  <si>
    <t>sum</t>
  </si>
  <si>
    <t>Azam</t>
  </si>
  <si>
    <t>Blue GSL</t>
  </si>
  <si>
    <t>Billing (Previous)</t>
  </si>
  <si>
    <t>Billing September</t>
  </si>
  <si>
    <t>boxes</t>
  </si>
  <si>
    <t>kgs</t>
  </si>
  <si>
    <t>total</t>
  </si>
  <si>
    <t>Black</t>
  </si>
  <si>
    <t>Red FB</t>
  </si>
  <si>
    <t>Yellow GG</t>
  </si>
  <si>
    <t>T blue</t>
  </si>
  <si>
    <t>LAST Month Stock</t>
  </si>
  <si>
    <t>BP26</t>
  </si>
  <si>
    <t>AS Traders</t>
  </si>
  <si>
    <t>Badshah Fabrics</t>
  </si>
  <si>
    <t>Party Names</t>
  </si>
  <si>
    <t>Reject</t>
  </si>
  <si>
    <t>Kaleem ullah</t>
  </si>
  <si>
    <t>Amjad 7up</t>
  </si>
  <si>
    <t>Hazrat Khan</t>
  </si>
  <si>
    <t>Ishaq</t>
  </si>
  <si>
    <t>Haseeb Shamsi</t>
  </si>
  <si>
    <t>(Last month)</t>
  </si>
  <si>
    <t>Faizan</t>
  </si>
  <si>
    <t>madina dyes</t>
  </si>
  <si>
    <t>Shafique Ansari</t>
  </si>
  <si>
    <t>Amjad sohail</t>
  </si>
  <si>
    <t>Billing (Slub)</t>
  </si>
  <si>
    <t>Billing (Satin)</t>
  </si>
  <si>
    <t>Aurangzeb</t>
  </si>
  <si>
    <t>General Dyes</t>
  </si>
  <si>
    <t>Salman Zaffar</t>
  </si>
  <si>
    <t>Slub</t>
  </si>
  <si>
    <t>Satin</t>
  </si>
  <si>
    <t>closing CF</t>
  </si>
  <si>
    <t>black</t>
  </si>
  <si>
    <t>60 bags starch 3 bp26</t>
  </si>
  <si>
    <t>700*810</t>
  </si>
  <si>
    <t>Shahid Qasayi</t>
  </si>
  <si>
    <t>Abid ghafoor</t>
  </si>
  <si>
    <t>ibraheem behraam</t>
  </si>
  <si>
    <t>Hameed corporation</t>
  </si>
  <si>
    <t>Shafi Dyes</t>
  </si>
  <si>
    <t>Madina Dyes</t>
  </si>
  <si>
    <t>Irfan Punjabi</t>
  </si>
  <si>
    <t>Zia-ullah karachi</t>
  </si>
  <si>
    <t>Amjad wood</t>
  </si>
  <si>
    <t>Black-Chamki</t>
  </si>
  <si>
    <t>Billing (Black-chamki)</t>
  </si>
  <si>
    <t>Billing (Kataan)</t>
  </si>
  <si>
    <t>ZA</t>
  </si>
  <si>
    <t>This month</t>
  </si>
  <si>
    <t>Ahmad Javaid</t>
  </si>
  <si>
    <t>Munaar</t>
  </si>
  <si>
    <t>Billing (Munaar)</t>
  </si>
  <si>
    <t>Kataan</t>
  </si>
  <si>
    <t>billing (Slub)</t>
  </si>
  <si>
    <t>Billing (Black-Chamki)</t>
  </si>
  <si>
    <t>Billing (kataan</t>
  </si>
  <si>
    <t>Closing CF</t>
  </si>
  <si>
    <t>omer</t>
  </si>
  <si>
    <t>Rana Babar</t>
  </si>
  <si>
    <t>PVA</t>
  </si>
  <si>
    <t>Dec-Jan</t>
  </si>
  <si>
    <t>Bill Nill</t>
  </si>
  <si>
    <t>cost per meter</t>
  </si>
  <si>
    <t>aslam Multani</t>
  </si>
  <si>
    <t>Gauhar Kashif</t>
  </si>
  <si>
    <t>Arb Dasti</t>
  </si>
  <si>
    <t>Dasti</t>
  </si>
  <si>
    <t>Aslam Multani</t>
  </si>
  <si>
    <t>Dec Balance</t>
  </si>
  <si>
    <t>Malik zaheer</t>
  </si>
  <si>
    <t>Ejaz sahab</t>
  </si>
  <si>
    <t>Shengtai</t>
  </si>
  <si>
    <t>Rehman Ali</t>
  </si>
  <si>
    <t>Shani Badshah</t>
  </si>
  <si>
    <t>MAK dyes</t>
  </si>
  <si>
    <t>Lot Number</t>
  </si>
  <si>
    <t>Gazana</t>
  </si>
  <si>
    <t>Zahid Ejaz</t>
  </si>
  <si>
    <t>Crinkle</t>
  </si>
  <si>
    <t>Amjad Sohail</t>
  </si>
  <si>
    <t>chamki</t>
  </si>
  <si>
    <t>Temp</t>
  </si>
  <si>
    <t>Ahmad shafique</t>
  </si>
  <si>
    <t>Badshah</t>
  </si>
  <si>
    <t>loom</t>
  </si>
  <si>
    <t>kataan</t>
  </si>
  <si>
    <t>952/2</t>
  </si>
  <si>
    <t>Freight</t>
  </si>
  <si>
    <t>Faisal Dyes</t>
  </si>
  <si>
    <t>Ahmad Shafique</t>
  </si>
  <si>
    <t>Hafiz qureshi</t>
  </si>
  <si>
    <t>misc</t>
  </si>
  <si>
    <t>Mazdoor</t>
  </si>
  <si>
    <t>Hafiz Shawl</t>
  </si>
  <si>
    <t>Building Acc</t>
  </si>
  <si>
    <t>Diesel x5l</t>
  </si>
  <si>
    <t>wazir dyes</t>
  </si>
  <si>
    <t>Crescent dyes</t>
  </si>
  <si>
    <t>TID:735461</t>
  </si>
  <si>
    <t>gutkay</t>
  </si>
  <si>
    <t>pulleys</t>
  </si>
  <si>
    <t>22 number 2.5kg</t>
  </si>
  <si>
    <t>Zaheer shah wood</t>
  </si>
  <si>
    <t>Cash deposited</t>
  </si>
  <si>
    <t>TID:447580</t>
  </si>
  <si>
    <t>Bearings 6310</t>
  </si>
  <si>
    <t>TID:438661</t>
  </si>
  <si>
    <t>boiler plates</t>
  </si>
  <si>
    <t>TID:043451</t>
  </si>
  <si>
    <t>Shani badshha</t>
  </si>
  <si>
    <t>TID:528967</t>
  </si>
  <si>
    <t>Rubine x2, black x2</t>
  </si>
  <si>
    <t>Faizan transport</t>
  </si>
  <si>
    <t>Chain</t>
  </si>
  <si>
    <t>TID:103244</t>
  </si>
  <si>
    <t>Stationary</t>
  </si>
  <si>
    <t>Generator advance</t>
  </si>
  <si>
    <t>Bill Nill//TID:011882</t>
  </si>
  <si>
    <t>ishaq</t>
  </si>
  <si>
    <t>TID:940387</t>
  </si>
  <si>
    <t>Naeem Electric</t>
  </si>
  <si>
    <t>receipt #442</t>
  </si>
  <si>
    <t>amjad wood</t>
  </si>
  <si>
    <t>TID:098913</t>
  </si>
  <si>
    <t>TID:937951</t>
  </si>
  <si>
    <t>TID:749401</t>
  </si>
  <si>
    <t>Khubaib</t>
  </si>
  <si>
    <t>salary</t>
  </si>
  <si>
    <t>Khalid Sahab</t>
  </si>
  <si>
    <t>Battery terminals</t>
  </si>
  <si>
    <t>pump repair</t>
  </si>
  <si>
    <t>MAK dyes transport</t>
  </si>
  <si>
    <t>Raksha karaya</t>
  </si>
  <si>
    <t>Cash reserve</t>
  </si>
  <si>
    <t>January Closing CF</t>
  </si>
  <si>
    <t>petrol 464</t>
  </si>
  <si>
    <t>chain lock</t>
  </si>
  <si>
    <t>TID:242087</t>
  </si>
  <si>
    <t>package</t>
  </si>
  <si>
    <t>Loom ac</t>
  </si>
  <si>
    <t>Master Abid</t>
  </si>
  <si>
    <t>kluber</t>
  </si>
  <si>
    <t>dyes</t>
  </si>
  <si>
    <t>irfan punjabi</t>
  </si>
  <si>
    <t>TID:292633</t>
  </si>
  <si>
    <t>petrol bike</t>
  </si>
  <si>
    <t>Padding bearing</t>
  </si>
  <si>
    <t>leaveling+acid</t>
  </si>
  <si>
    <t>TID:396535</t>
  </si>
  <si>
    <t>puncture</t>
  </si>
  <si>
    <t>belt</t>
  </si>
  <si>
    <t>TID:678054</t>
  </si>
  <si>
    <t>TID:999542</t>
  </si>
  <si>
    <t>TID:246999</t>
  </si>
  <si>
    <t>altaf sunsuper</t>
  </si>
  <si>
    <t>2124/58</t>
  </si>
  <si>
    <t>270/73</t>
  </si>
  <si>
    <t>Faizan Kamoki</t>
  </si>
  <si>
    <t>79280 meters/ 10 paisay</t>
  </si>
  <si>
    <t>leaveling + acid</t>
  </si>
  <si>
    <t>Diesel</t>
  </si>
  <si>
    <t>TID:454057</t>
  </si>
  <si>
    <t>TID:251667</t>
  </si>
  <si>
    <t>Khurrum</t>
  </si>
  <si>
    <t>Lkey</t>
  </si>
  <si>
    <t>TID:280633</t>
  </si>
  <si>
    <t>boiler channel</t>
  </si>
  <si>
    <t>TID:354311</t>
  </si>
  <si>
    <t>petrol loader</t>
  </si>
  <si>
    <t>amjad sohail//</t>
  </si>
  <si>
    <t>Amjad fitter</t>
  </si>
  <si>
    <t>2+1</t>
  </si>
  <si>
    <t>Ashraf Guard</t>
  </si>
  <si>
    <t>50k Jc 150k cash</t>
  </si>
  <si>
    <t>Ashfaq sahab boiler theka</t>
  </si>
  <si>
    <t>Jc</t>
  </si>
  <si>
    <t>TID:960972</t>
  </si>
  <si>
    <t>AVR generator</t>
  </si>
  <si>
    <t>receipt #448</t>
  </si>
  <si>
    <t>reciept #450</t>
  </si>
  <si>
    <t>kluber + pins</t>
  </si>
  <si>
    <t>Reciept #445</t>
  </si>
  <si>
    <t>Shahid qasay</t>
  </si>
  <si>
    <t>reciept #447</t>
  </si>
  <si>
    <t>surf</t>
  </si>
  <si>
    <t>Payment</t>
  </si>
  <si>
    <t>unloading</t>
  </si>
  <si>
    <t>TID:071372</t>
  </si>
  <si>
    <t>diesel</t>
  </si>
  <si>
    <t>2 drums</t>
  </si>
  <si>
    <t>shaft puller</t>
  </si>
  <si>
    <t>sockets/plugs</t>
  </si>
  <si>
    <t>welding plug</t>
  </si>
  <si>
    <t>stamp ink</t>
  </si>
  <si>
    <t>taha exp</t>
  </si>
  <si>
    <t>mama</t>
  </si>
  <si>
    <t>payment</t>
  </si>
  <si>
    <t>General</t>
  </si>
  <si>
    <t>transfer TID:407646</t>
  </si>
  <si>
    <t>TID:641997</t>
  </si>
  <si>
    <t>TID:629828</t>
  </si>
  <si>
    <t>ptcl</t>
  </si>
  <si>
    <t>advance salary</t>
  </si>
  <si>
    <t>Master Waheed</t>
  </si>
  <si>
    <t>Transfer</t>
  </si>
  <si>
    <t>Nasir</t>
  </si>
  <si>
    <t>aslam</t>
  </si>
  <si>
    <t>Master Akbar</t>
  </si>
  <si>
    <t>Master Tanveer</t>
  </si>
  <si>
    <t>oil+garari</t>
  </si>
  <si>
    <t>cash</t>
  </si>
  <si>
    <t>lights+bearing</t>
  </si>
  <si>
    <t>softner</t>
  </si>
  <si>
    <t>mtag 464</t>
  </si>
  <si>
    <t>TID:215480</t>
  </si>
  <si>
    <t>Silai machine exp</t>
  </si>
  <si>
    <t>Zubair Gujjar</t>
  </si>
  <si>
    <t>copper</t>
  </si>
  <si>
    <t>Munawar bajwa</t>
  </si>
  <si>
    <t>TID:326068</t>
  </si>
  <si>
    <t>TID:182984</t>
  </si>
  <si>
    <t>piodine+patti</t>
  </si>
  <si>
    <t>KK fabrics</t>
  </si>
  <si>
    <t>87001 meters/10 paisay</t>
  </si>
  <si>
    <t>TID:322919</t>
  </si>
  <si>
    <t>custom</t>
  </si>
  <si>
    <t>1551-black</t>
  </si>
  <si>
    <t>1551-white</t>
  </si>
  <si>
    <t>Billing (Custom)</t>
  </si>
  <si>
    <t>Billing Custom</t>
  </si>
  <si>
    <t>Jazzcash</t>
  </si>
  <si>
    <t>Pva karaya</t>
  </si>
  <si>
    <t>TID:091262</t>
  </si>
  <si>
    <t>TID:451610</t>
  </si>
  <si>
    <t>silai machine motor</t>
  </si>
  <si>
    <t>TID:040021</t>
  </si>
  <si>
    <t>TID:188533</t>
  </si>
  <si>
    <t>TID:222396</t>
  </si>
  <si>
    <t>TID:218700</t>
  </si>
  <si>
    <t>TID:195084</t>
  </si>
  <si>
    <t>TID:468721</t>
  </si>
  <si>
    <t>SM</t>
  </si>
  <si>
    <t>Umar clip</t>
  </si>
  <si>
    <t>TID:235114</t>
  </si>
  <si>
    <t>malo chain</t>
  </si>
  <si>
    <t>cam switch+bulbs</t>
  </si>
  <si>
    <t>bsc</t>
  </si>
  <si>
    <t>51100 meters / 10 paisay</t>
  </si>
  <si>
    <t>ghulam abbas</t>
  </si>
  <si>
    <t>Khalid sahab</t>
  </si>
  <si>
    <t>TID:396552</t>
  </si>
  <si>
    <t>leaveling+ME</t>
  </si>
  <si>
    <t>leaveling+ME transport</t>
  </si>
  <si>
    <t>TID:745869</t>
  </si>
  <si>
    <t>sajad khan</t>
  </si>
  <si>
    <t>TID:590254</t>
  </si>
  <si>
    <t>TID:978544</t>
  </si>
  <si>
    <t>package khalid sb</t>
  </si>
  <si>
    <t>package device</t>
  </si>
  <si>
    <t>chain karaya</t>
  </si>
  <si>
    <t>1744+1745</t>
  </si>
  <si>
    <t>pankhay x2</t>
  </si>
  <si>
    <t>mazdoor x2</t>
  </si>
  <si>
    <t>TID:407116</t>
  </si>
  <si>
    <t>bearings+elect</t>
  </si>
  <si>
    <t>TID:766050</t>
  </si>
  <si>
    <t>Cement old</t>
  </si>
  <si>
    <t>Raaz fabrics</t>
  </si>
  <si>
    <t>TID:027719</t>
  </si>
  <si>
    <t>TID:405941</t>
  </si>
  <si>
    <t>Chemical karay</t>
  </si>
  <si>
    <t>Diesel 32l</t>
  </si>
  <si>
    <t>new party</t>
  </si>
  <si>
    <t>Mazdoor x2</t>
  </si>
  <si>
    <t>TID:878336</t>
  </si>
  <si>
    <t>nuts</t>
  </si>
  <si>
    <t>zahid ejaz</t>
  </si>
  <si>
    <t>TID:887050</t>
  </si>
  <si>
    <t>silai cones</t>
  </si>
  <si>
    <t>TID:274658</t>
  </si>
  <si>
    <t>plumbing</t>
  </si>
  <si>
    <t>plumber</t>
  </si>
  <si>
    <t>mazdoor</t>
  </si>
  <si>
    <t>TID:650064</t>
  </si>
  <si>
    <t>optix</t>
  </si>
  <si>
    <t>petrol 935</t>
  </si>
  <si>
    <t>TID:918204</t>
  </si>
  <si>
    <t>silai machine</t>
  </si>
  <si>
    <t>abdur rehman</t>
  </si>
  <si>
    <t>altaf sahab</t>
  </si>
  <si>
    <t>bolts</t>
  </si>
  <si>
    <t>malo star</t>
  </si>
  <si>
    <t>tractor</t>
  </si>
  <si>
    <t>nazim</t>
  </si>
  <si>
    <t>pindi das</t>
  </si>
  <si>
    <t>TID:509305</t>
  </si>
  <si>
    <t>TID:883271</t>
  </si>
  <si>
    <t>nasir opt</t>
  </si>
  <si>
    <t>Environment</t>
  </si>
  <si>
    <t>aqeel abbas fitter</t>
  </si>
  <si>
    <t>Waheed master</t>
  </si>
  <si>
    <t>tanveer sb</t>
  </si>
  <si>
    <t>tanveer sb pva adjust</t>
  </si>
  <si>
    <t>50k transfer 150K cash</t>
  </si>
  <si>
    <t>raksha karaya</t>
  </si>
  <si>
    <t>disc</t>
  </si>
  <si>
    <t>TID:034331</t>
  </si>
  <si>
    <t>ahmad javaid</t>
  </si>
  <si>
    <t>Hafiz shawl</t>
  </si>
  <si>
    <t>kundi etc</t>
  </si>
  <si>
    <t>ejaz sahab cash</t>
  </si>
  <si>
    <t>U+bearings</t>
  </si>
  <si>
    <t>hotel advance</t>
  </si>
  <si>
    <t>flunge</t>
  </si>
  <si>
    <t>Tanveer sb</t>
  </si>
  <si>
    <t>karaya</t>
  </si>
  <si>
    <t>Till 14 march</t>
  </si>
  <si>
    <t>juice etc</t>
  </si>
  <si>
    <t>Kfc arshad mammu</t>
  </si>
  <si>
    <t>Medicine+groccery</t>
  </si>
  <si>
    <t>TID:996807</t>
  </si>
  <si>
    <t>TID:253453</t>
  </si>
  <si>
    <t>adjustment</t>
  </si>
  <si>
    <t>January salary</t>
  </si>
  <si>
    <t>Payment adjust</t>
  </si>
  <si>
    <t>karaya ect</t>
  </si>
  <si>
    <t>geyser switch</t>
  </si>
  <si>
    <t>TID:699220</t>
  </si>
  <si>
    <t>cheque//license factory</t>
  </si>
  <si>
    <t>Ghulam mustafa</t>
  </si>
  <si>
    <t>Bank Deposit</t>
  </si>
  <si>
    <t>Hafiz qureshi 200k-100k uni</t>
  </si>
  <si>
    <t>trip exp</t>
  </si>
  <si>
    <t>TID:754023</t>
  </si>
  <si>
    <t>Arshad silk</t>
  </si>
  <si>
    <t>cash deposit</t>
  </si>
  <si>
    <t>rods</t>
  </si>
  <si>
    <t>TID:108212</t>
  </si>
  <si>
    <t>Reciept #474</t>
  </si>
  <si>
    <t>Reciept #475</t>
  </si>
  <si>
    <t>TID:545990</t>
  </si>
  <si>
    <t>petrol 697</t>
  </si>
  <si>
    <t>saman</t>
  </si>
  <si>
    <t>Nishat dolmen</t>
  </si>
  <si>
    <t>tarjuma kitaab</t>
  </si>
  <si>
    <t>kabaar</t>
  </si>
  <si>
    <t>bricks</t>
  </si>
  <si>
    <t>TID:562667</t>
  </si>
  <si>
    <t>monfort</t>
  </si>
  <si>
    <t>khalid sb package</t>
  </si>
  <si>
    <t>TID:639064</t>
  </si>
  <si>
    <t>TID:638703</t>
  </si>
  <si>
    <t>cash-&gt;abid looms</t>
  </si>
  <si>
    <t>loom ac</t>
  </si>
  <si>
    <t>Bajwa//salary</t>
  </si>
  <si>
    <t>tire</t>
  </si>
  <si>
    <t>TID:484568</t>
  </si>
  <si>
    <t>TID:018126</t>
  </si>
  <si>
    <t>against cash</t>
  </si>
  <si>
    <t>TID:331316</t>
  </si>
  <si>
    <t>Petrol azm697</t>
  </si>
  <si>
    <t>grocceries</t>
  </si>
  <si>
    <t>TID:702623</t>
  </si>
  <si>
    <t>TID:317547</t>
  </si>
  <si>
    <t>TID:454415</t>
  </si>
  <si>
    <t>folding</t>
  </si>
  <si>
    <t>TID:964482</t>
  </si>
  <si>
    <t>Sajad khan 300k balance</t>
  </si>
  <si>
    <t>unicolor</t>
  </si>
  <si>
    <t>abdullah groccery</t>
  </si>
  <si>
    <t>cylinder</t>
  </si>
  <si>
    <t>tid:830448</t>
  </si>
  <si>
    <t>excavation</t>
  </si>
  <si>
    <t>TID:087404</t>
  </si>
  <si>
    <t>TID:571979</t>
  </si>
  <si>
    <t>abid ghafoor</t>
  </si>
  <si>
    <t>starch</t>
  </si>
  <si>
    <t>TID:1229322</t>
  </si>
  <si>
    <t>jc</t>
  </si>
  <si>
    <t>TID:991133</t>
  </si>
  <si>
    <t>JC</t>
  </si>
  <si>
    <t>bike+loader</t>
  </si>
  <si>
    <t>Diesel 30l</t>
  </si>
  <si>
    <t>dyes transport</t>
  </si>
  <si>
    <t>bill NILl</t>
  </si>
  <si>
    <t>ball valve</t>
  </si>
  <si>
    <t>3 din</t>
  </si>
  <si>
    <t>pva+np9</t>
  </si>
  <si>
    <t>TID:698371</t>
  </si>
  <si>
    <t>TID:712499</t>
  </si>
  <si>
    <t>Kluber</t>
  </si>
  <si>
    <t>Babar wood</t>
  </si>
  <si>
    <t>TID:906577</t>
  </si>
  <si>
    <t>loader</t>
  </si>
  <si>
    <t>Khalid sb Apr 10th</t>
  </si>
  <si>
    <t>TID:390444</t>
  </si>
  <si>
    <t>TID:989700</t>
  </si>
  <si>
    <t>yarn transport</t>
  </si>
  <si>
    <t>TID:971496</t>
  </si>
  <si>
    <t>TID:194758</t>
  </si>
  <si>
    <t>TID:880579</t>
  </si>
  <si>
    <t>TID:754017</t>
  </si>
  <si>
    <t>petrol 464'</t>
  </si>
  <si>
    <t>TID:673014</t>
  </si>
  <si>
    <t>TID:686582</t>
  </si>
  <si>
    <t>TID:663499</t>
  </si>
  <si>
    <t>environment</t>
  </si>
  <si>
    <t>abid master</t>
  </si>
  <si>
    <t>Mazdoor 8 din</t>
  </si>
  <si>
    <t>khalid sb exp</t>
  </si>
  <si>
    <t>medicine khalid sb</t>
  </si>
  <si>
    <t>mursaleen</t>
  </si>
  <si>
    <t>bp26+np9</t>
  </si>
  <si>
    <t xml:space="preserve">general </t>
  </si>
  <si>
    <t>2137+2138</t>
  </si>
  <si>
    <t>TID:155611</t>
  </si>
  <si>
    <t>TID:264635</t>
  </si>
  <si>
    <t>rashan</t>
  </si>
  <si>
    <t>Bill NILL 10/4</t>
  </si>
  <si>
    <t>TID:242367</t>
  </si>
  <si>
    <t>TID:945970</t>
  </si>
  <si>
    <t>Cash-Freight</t>
  </si>
  <si>
    <t>chemical karaya</t>
  </si>
  <si>
    <t>finish</t>
  </si>
  <si>
    <t>TID:004432</t>
  </si>
  <si>
    <t>aslam multani</t>
  </si>
  <si>
    <t>stationary</t>
  </si>
  <si>
    <t>Faizan kamoki</t>
  </si>
  <si>
    <t>TID:964595</t>
  </si>
  <si>
    <t>TID:324169</t>
  </si>
  <si>
    <t>TID:396977</t>
  </si>
  <si>
    <t>pva</t>
  </si>
  <si>
    <t>shengtai</t>
  </si>
  <si>
    <t>elkey bolts</t>
  </si>
  <si>
    <t>TID:326122</t>
  </si>
  <si>
    <t>TID:340911</t>
  </si>
  <si>
    <t>TID:516344</t>
  </si>
  <si>
    <t>TID:994176</t>
  </si>
  <si>
    <t>Sajad khan</t>
  </si>
  <si>
    <t>aqeel abbas</t>
  </si>
  <si>
    <t>TID:914411</t>
  </si>
  <si>
    <t>Arshad-uni</t>
  </si>
  <si>
    <t>STarch</t>
  </si>
  <si>
    <t>TID:337814</t>
  </si>
  <si>
    <t>Starch karaya</t>
  </si>
  <si>
    <t>oil change</t>
  </si>
  <si>
    <t>dasti</t>
  </si>
  <si>
    <t>pharmacy</t>
  </si>
  <si>
    <t>SHAFT</t>
  </si>
  <si>
    <t>TID:664920</t>
  </si>
  <si>
    <t>Mtag</t>
  </si>
  <si>
    <t>khalid sahab</t>
  </si>
  <si>
    <t>Atta</t>
  </si>
  <si>
    <t>TID:349095</t>
  </si>
  <si>
    <t>Aslam multani</t>
  </si>
  <si>
    <t>Ubaid</t>
  </si>
  <si>
    <t>Master tanveer</t>
  </si>
  <si>
    <t>Advance master tanveer</t>
  </si>
  <si>
    <t>MZ karaya</t>
  </si>
  <si>
    <t>tape</t>
  </si>
  <si>
    <t xml:space="preserve"> </t>
  </si>
  <si>
    <t>hooria laptop</t>
  </si>
  <si>
    <t>lights x3</t>
  </si>
  <si>
    <t>TID:456265</t>
  </si>
  <si>
    <t>abd laptop</t>
  </si>
  <si>
    <t>TID:959052</t>
  </si>
  <si>
    <t>Ghulam Abbas</t>
  </si>
  <si>
    <t>TID:908223</t>
  </si>
  <si>
    <t>TID:740139</t>
  </si>
  <si>
    <t>TID:673380</t>
  </si>
  <si>
    <t>TID:836616</t>
  </si>
  <si>
    <t>Ashfaq sahab ID fan</t>
  </si>
  <si>
    <t>babar wood</t>
  </si>
  <si>
    <t>TID:942506</t>
  </si>
  <si>
    <t>March bill</t>
  </si>
  <si>
    <t>ball valves</t>
  </si>
  <si>
    <t>Cash reciept#493</t>
  </si>
  <si>
    <t>TID:189620</t>
  </si>
  <si>
    <t>Dyes//11/4/26</t>
  </si>
  <si>
    <t>TID:587339</t>
  </si>
  <si>
    <t>TID:136539</t>
  </si>
  <si>
    <t>TID:104141</t>
  </si>
  <si>
    <t>jazzcash</t>
  </si>
  <si>
    <t>Ashraf guard</t>
  </si>
  <si>
    <t>H3R x2</t>
  </si>
  <si>
    <t>Haroon wood</t>
  </si>
  <si>
    <t>bearings</t>
  </si>
  <si>
    <t>seals</t>
  </si>
  <si>
    <t>nut kablay</t>
  </si>
  <si>
    <t>TID:015229</t>
  </si>
  <si>
    <t>TID:353370</t>
  </si>
  <si>
    <t>KK+HQ</t>
  </si>
  <si>
    <t>generator meter</t>
  </si>
  <si>
    <t>5k+5k 464</t>
  </si>
  <si>
    <t>carborator</t>
  </si>
  <si>
    <t>dori</t>
  </si>
  <si>
    <t>30L x2</t>
  </si>
  <si>
    <t>Waqas ADM</t>
  </si>
  <si>
    <t>kora karaya</t>
  </si>
  <si>
    <t>Fans x3 + capacitors</t>
  </si>
  <si>
    <t>groccery overcharge</t>
  </si>
  <si>
    <t>Rauf Khan</t>
  </si>
  <si>
    <t>2178+2149</t>
  </si>
  <si>
    <t>2139-b</t>
  </si>
  <si>
    <t>2145-b</t>
  </si>
  <si>
    <t>Kapra adjust BSC</t>
  </si>
  <si>
    <t>Shani Badshah kapra adjust</t>
  </si>
  <si>
    <t>satin</t>
  </si>
  <si>
    <t>bulbs</t>
  </si>
  <si>
    <t>chalk</t>
  </si>
  <si>
    <t>TID:920574</t>
  </si>
  <si>
    <t>TID:831830</t>
  </si>
  <si>
    <t>697 chaabi</t>
  </si>
  <si>
    <t>TID:499789</t>
  </si>
  <si>
    <t>TID:954169</t>
  </si>
  <si>
    <t>TID:152359</t>
  </si>
  <si>
    <t>azhar pva</t>
  </si>
  <si>
    <t>Diesel//paid 27/4</t>
  </si>
  <si>
    <t>125k bank + 75k cash</t>
  </si>
  <si>
    <t>TID:217686</t>
  </si>
  <si>
    <t>Exhaust 10'</t>
  </si>
  <si>
    <t>exhaust 4'</t>
  </si>
  <si>
    <t>Dyes+Payment</t>
  </si>
  <si>
    <t>Dyes karaya</t>
  </si>
  <si>
    <t>loom dhaga karaya</t>
  </si>
  <si>
    <t>TID:375442</t>
  </si>
  <si>
    <t>raksha</t>
  </si>
  <si>
    <t>oil</t>
  </si>
  <si>
    <t>TID:838126</t>
  </si>
  <si>
    <t>Diesel 90l</t>
  </si>
  <si>
    <t>bank deposit</t>
  </si>
  <si>
    <t>TID:827936</t>
  </si>
  <si>
    <t>TID:402179</t>
  </si>
  <si>
    <t>TID:630862</t>
  </si>
  <si>
    <t>TID:386282</t>
  </si>
  <si>
    <t>TID:180942</t>
  </si>
  <si>
    <t>TID:906536</t>
  </si>
  <si>
    <t>aurangzeb wood</t>
  </si>
  <si>
    <t>TID:533530</t>
  </si>
  <si>
    <t>Naeem elec</t>
  </si>
  <si>
    <t>TID:597402</t>
  </si>
  <si>
    <t>AC repair// mahir</t>
  </si>
  <si>
    <t>load khalid sb</t>
  </si>
  <si>
    <t>AZM Ac repair</t>
  </si>
  <si>
    <t>shoaib</t>
  </si>
  <si>
    <t>TID:709631</t>
  </si>
  <si>
    <t>TID:561868</t>
  </si>
  <si>
    <t>Black x2</t>
  </si>
  <si>
    <t>BP26+disp pdr</t>
  </si>
  <si>
    <t>transport</t>
  </si>
  <si>
    <t>NP9</t>
  </si>
  <si>
    <t>Silai cones x18</t>
  </si>
  <si>
    <t>TID:568913</t>
  </si>
  <si>
    <t>TID:355856</t>
  </si>
  <si>
    <t>Shahid qasayi</t>
  </si>
  <si>
    <t>Reciept #807</t>
  </si>
  <si>
    <t>farhan gari</t>
  </si>
  <si>
    <t>4 pheray</t>
  </si>
  <si>
    <t>degi plate</t>
  </si>
  <si>
    <t>UBL</t>
  </si>
  <si>
    <t>TID:485743</t>
  </si>
  <si>
    <t>Wood party</t>
  </si>
  <si>
    <t>Farhaan ali</t>
  </si>
  <si>
    <t>Dyes cost per meter</t>
  </si>
  <si>
    <t>farhaan ali</t>
  </si>
  <si>
    <t>Rubine</t>
  </si>
  <si>
    <t>Navy</t>
  </si>
  <si>
    <t>F3Bs</t>
  </si>
  <si>
    <t>SE2R</t>
  </si>
  <si>
    <t>Scarlet</t>
  </si>
  <si>
    <t>yellow 4g</t>
  </si>
  <si>
    <t>violet 3R</t>
  </si>
  <si>
    <t>violet 5R</t>
  </si>
  <si>
    <t>GSL</t>
  </si>
  <si>
    <t>yellow 10GF</t>
  </si>
  <si>
    <t>Lot #</t>
  </si>
  <si>
    <t>yellow GG</t>
  </si>
  <si>
    <t>Total Meters</t>
  </si>
  <si>
    <t>DCM</t>
  </si>
  <si>
    <t>2185+2187</t>
  </si>
  <si>
    <t>Yousaf 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</si>
</sst>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4" x14ac:knownFonts="1">
    <font>
      <sz val="11"/>
      <color theme="1"/>
      <name val="Aptos Narrow"/>
      <family val="2"/>
      <scheme val="minor"/>
    </font>
    <font>
      <b/>
      <sz val="11"/>
      <color theme="1"/>
      <name val="Aptos Narrow"/>
      <family val="2"/>
      <scheme val="minor"/>
    </font>
    <font>
      <b/>
      <i/>
      <sz val="11"/>
      <color theme="1"/>
      <name val="Aptos Narrow"/>
      <family val="2"/>
      <scheme val="minor"/>
    </font>
    <font>
      <b/>
      <i/>
      <u/>
      <sz val="20"/>
      <color theme="1"/>
      <name val="Aptos Narrow"/>
      <family val="2"/>
      <scheme val="minor"/>
    </font>
    <font>
      <sz val="8"/>
      <name val="Aptos Narrow"/>
      <family val="2"/>
      <scheme val="minor"/>
    </font>
    <font>
      <b/>
      <i/>
      <u/>
      <sz val="22"/>
      <color theme="1"/>
      <name val="Aptos Narrow"/>
      <family val="2"/>
      <scheme val="minor"/>
    </font>
    <font>
      <sz val="11"/>
      <color theme="1"/>
      <name val="Aptos Narrow"/>
      <family val="2"/>
      <scheme val="minor"/>
    </font>
    <font>
      <sz val="6"/>
      <name val="Yu Gothic"/>
      <family val="2"/>
      <charset val="128"/>
    </font>
    <font>
      <b/>
      <sz val="14"/>
      <color theme="1"/>
      <name val="Aptos Narrow"/>
      <family val="2"/>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1"/>
      <color theme="0"/>
      <name val="Aptos Narrow"/>
      <family val="2"/>
      <scheme val="minor"/>
    </font>
    <font>
      <sz val="16"/>
      <color theme="1"/>
      <name val="Aptos Narrow"/>
      <family val="2"/>
      <scheme val="minor"/>
    </font>
  </fonts>
  <fills count="14">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double">
        <color theme="4"/>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505050"/>
      </left>
      <right/>
      <top style="medium">
        <color rgb="FF505050"/>
      </top>
      <bottom style="medium">
        <color rgb="FF505050"/>
      </bottom>
      <diagonal/>
    </border>
    <border>
      <left/>
      <right style="medium">
        <color rgb="FF505050"/>
      </right>
      <top style="medium">
        <color rgb="FF505050"/>
      </top>
      <bottom style="medium">
        <color rgb="FF505050"/>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auto="1"/>
      </left>
      <right style="thin">
        <color auto="1"/>
      </right>
      <top style="thin">
        <color auto="1"/>
      </top>
      <bottom/>
      <diagonal/>
    </border>
    <border>
      <left/>
      <right/>
      <top/>
      <bottom style="thin">
        <color indexed="64"/>
      </bottom>
      <diagonal/>
    </border>
    <border>
      <left/>
      <right style="thin">
        <color theme="4" tint="0.39997558519241921"/>
      </right>
      <top style="double">
        <color theme="4"/>
      </top>
      <bottom style="thin">
        <color theme="4" tint="0.39997558519241921"/>
      </bottom>
      <diagonal/>
    </border>
  </borders>
  <cellStyleXfs count="2">
    <xf numFmtId="0" fontId="0" fillId="0" borderId="0"/>
    <xf numFmtId="43" fontId="6" fillId="0" borderId="0" applyFont="0" applyFill="0" applyBorder="0" applyAlignment="0" applyProtection="0"/>
  </cellStyleXfs>
  <cellXfs count="143">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1" fillId="0" borderId="3" xfId="0" applyFont="1" applyBorder="1" applyAlignment="1">
      <alignment horizontal="center" vertical="top"/>
    </xf>
    <xf numFmtId="0" fontId="5" fillId="0" borderId="0" xfId="0" applyFont="1"/>
    <xf numFmtId="43" fontId="0" fillId="0" borderId="0" xfId="1" applyFont="1"/>
    <xf numFmtId="164" fontId="0" fillId="0" borderId="0" xfId="1" applyNumberFormat="1" applyFont="1"/>
    <xf numFmtId="164" fontId="1" fillId="0" borderId="3" xfId="1" applyNumberFormat="1" applyFont="1" applyBorder="1" applyAlignment="1">
      <alignment horizontal="center" vertical="top"/>
    </xf>
    <xf numFmtId="164" fontId="1" fillId="0" borderId="3" xfId="1" applyNumberFormat="1" applyFont="1" applyBorder="1"/>
    <xf numFmtId="164" fontId="0" fillId="0" borderId="0" xfId="0" applyNumberFormat="1"/>
    <xf numFmtId="164" fontId="2" fillId="0" borderId="0" xfId="1" applyNumberFormat="1" applyFont="1"/>
    <xf numFmtId="164" fontId="0" fillId="0" borderId="0" xfId="0" applyNumberFormat="1" applyAlignment="1">
      <alignment horizontal="left"/>
    </xf>
    <xf numFmtId="164" fontId="1" fillId="0" borderId="4" xfId="0" applyNumberFormat="1" applyFont="1" applyBorder="1"/>
    <xf numFmtId="1" fontId="0" fillId="0" borderId="0" xfId="0" applyNumberFormat="1"/>
    <xf numFmtId="0" fontId="0" fillId="2" borderId="0" xfId="0" applyFill="1"/>
    <xf numFmtId="164" fontId="0" fillId="2" borderId="0" xfId="1" applyNumberFormat="1" applyFont="1" applyFill="1"/>
    <xf numFmtId="0" fontId="0" fillId="0" borderId="1" xfId="0" applyBorder="1"/>
    <xf numFmtId="164" fontId="0" fillId="0" borderId="1" xfId="1" applyNumberFormat="1" applyFont="1" applyBorder="1"/>
    <xf numFmtId="0" fontId="1" fillId="3" borderId="1" xfId="0" applyFont="1" applyFill="1" applyBorder="1"/>
    <xf numFmtId="0" fontId="1" fillId="0" borderId="1" xfId="0" applyFont="1" applyBorder="1"/>
    <xf numFmtId="164" fontId="0" fillId="2" borderId="0" xfId="0" applyNumberFormat="1" applyFill="1"/>
    <xf numFmtId="14" fontId="0" fillId="0" borderId="0" xfId="0" applyNumberFormat="1" applyAlignment="1">
      <alignment horizontal="left"/>
    </xf>
    <xf numFmtId="0" fontId="1" fillId="0" borderId="2" xfId="1" applyNumberFormat="1" applyFont="1" applyBorder="1" applyAlignment="1">
      <alignment horizontal="center" vertical="top"/>
    </xf>
    <xf numFmtId="43" fontId="0" fillId="0" borderId="0" xfId="0" applyNumberFormat="1"/>
    <xf numFmtId="164" fontId="0" fillId="4" borderId="0" xfId="1" applyNumberFormat="1" applyFont="1" applyFill="1"/>
    <xf numFmtId="164" fontId="0" fillId="6" borderId="0" xfId="0" applyNumberFormat="1" applyFill="1"/>
    <xf numFmtId="0" fontId="1" fillId="5" borderId="1" xfId="0" applyFont="1" applyFill="1" applyBorder="1"/>
    <xf numFmtId="164" fontId="1" fillId="5" borderId="1" xfId="0" applyNumberFormat="1" applyFont="1" applyFill="1" applyBorder="1"/>
    <xf numFmtId="164" fontId="1" fillId="5" borderId="1" xfId="1" applyNumberFormat="1" applyFont="1" applyFill="1" applyBorder="1"/>
    <xf numFmtId="164" fontId="0" fillId="0" borderId="3" xfId="0" pivotButton="1" applyNumberFormat="1" applyBorder="1"/>
    <xf numFmtId="164" fontId="0" fillId="0" borderId="5" xfId="0" applyNumberFormat="1" applyBorder="1"/>
    <xf numFmtId="164" fontId="0" fillId="0" borderId="6" xfId="0" applyNumberFormat="1" applyBorder="1"/>
    <xf numFmtId="164" fontId="1" fillId="0" borderId="1" xfId="1" applyNumberFormat="1" applyFont="1" applyBorder="1"/>
    <xf numFmtId="14" fontId="0" fillId="0" borderId="8" xfId="0" applyNumberFormat="1" applyBorder="1"/>
    <xf numFmtId="164" fontId="0" fillId="0" borderId="1" xfId="0" applyNumberFormat="1" applyBorder="1"/>
    <xf numFmtId="0" fontId="2" fillId="0" borderId="1" xfId="0" applyFont="1" applyBorder="1"/>
    <xf numFmtId="164" fontId="2" fillId="0" borderId="1" xfId="0" applyNumberFormat="1" applyFont="1" applyBorder="1"/>
    <xf numFmtId="0" fontId="0" fillId="0" borderId="0" xfId="0" applyAlignment="1">
      <alignment horizontal="left" indent="1"/>
    </xf>
    <xf numFmtId="165" fontId="0" fillId="0" borderId="0" xfId="0" applyNumberFormat="1"/>
    <xf numFmtId="164" fontId="0" fillId="0" borderId="0" xfId="0" pivotButton="1" applyNumberFormat="1"/>
    <xf numFmtId="0" fontId="0" fillId="0" borderId="9" xfId="0" applyBorder="1"/>
    <xf numFmtId="164" fontId="0" fillId="0" borderId="10" xfId="0" applyNumberFormat="1" applyBorder="1"/>
    <xf numFmtId="0" fontId="0" fillId="0" borderId="6" xfId="0" applyBorder="1"/>
    <xf numFmtId="0" fontId="0" fillId="0" borderId="11" xfId="0" applyBorder="1"/>
    <xf numFmtId="164" fontId="0" fillId="0" borderId="12" xfId="0" applyNumberFormat="1" applyBorder="1"/>
    <xf numFmtId="0" fontId="0" fillId="0" borderId="5" xfId="0" applyBorder="1"/>
    <xf numFmtId="0" fontId="0" fillId="0" borderId="10" xfId="0" applyBorder="1"/>
    <xf numFmtId="0" fontId="1" fillId="0" borderId="11" xfId="0" applyFont="1" applyBorder="1"/>
    <xf numFmtId="164" fontId="1" fillId="0" borderId="12" xfId="0" applyNumberFormat="1" applyFont="1" applyBorder="1"/>
    <xf numFmtId="164" fontId="0" fillId="7" borderId="0" xfId="0" applyNumberFormat="1" applyFill="1"/>
    <xf numFmtId="0" fontId="8" fillId="0" borderId="0" xfId="0" applyFont="1"/>
    <xf numFmtId="0" fontId="0" fillId="0" borderId="13" xfId="0" applyBorder="1"/>
    <xf numFmtId="164" fontId="0" fillId="0" borderId="14" xfId="0" applyNumberFormat="1" applyBorder="1"/>
    <xf numFmtId="0" fontId="0" fillId="0" borderId="15" xfId="0" applyBorder="1"/>
    <xf numFmtId="164" fontId="0" fillId="0" borderId="16" xfId="0" applyNumberFormat="1" applyBorder="1"/>
    <xf numFmtId="0" fontId="1" fillId="0" borderId="19" xfId="0" applyFont="1" applyBorder="1"/>
    <xf numFmtId="164" fontId="1" fillId="0" borderId="20" xfId="0" applyNumberFormat="1" applyFont="1" applyBorder="1"/>
    <xf numFmtId="0" fontId="9" fillId="0" borderId="0" xfId="0" applyFont="1"/>
    <xf numFmtId="165" fontId="0" fillId="0" borderId="1" xfId="1" applyNumberFormat="1" applyFont="1" applyBorder="1"/>
    <xf numFmtId="0" fontId="10" fillId="3" borderId="1" xfId="0" applyFont="1" applyFill="1" applyBorder="1"/>
    <xf numFmtId="0" fontId="11" fillId="0" borderId="0" xfId="0" applyFont="1"/>
    <xf numFmtId="165" fontId="8" fillId="0" borderId="0" xfId="1" applyNumberFormat="1" applyFont="1" applyBorder="1"/>
    <xf numFmtId="165" fontId="11" fillId="0" borderId="0" xfId="1" applyNumberFormat="1" applyFont="1" applyBorder="1"/>
    <xf numFmtId="164" fontId="8" fillId="0" borderId="0" xfId="1" applyNumberFormat="1" applyFont="1" applyBorder="1"/>
    <xf numFmtId="164" fontId="11" fillId="0" borderId="0" xfId="1" applyNumberFormat="1" applyFont="1" applyBorder="1"/>
    <xf numFmtId="43" fontId="0" fillId="0" borderId="1" xfId="1" applyFont="1" applyBorder="1"/>
    <xf numFmtId="0" fontId="1" fillId="0" borderId="15" xfId="0" applyFont="1" applyBorder="1"/>
    <xf numFmtId="164" fontId="1" fillId="0" borderId="16" xfId="0" applyNumberFormat="1" applyFont="1" applyBorder="1"/>
    <xf numFmtId="164" fontId="1" fillId="0" borderId="18" xfId="0" applyNumberFormat="1" applyFont="1" applyBorder="1"/>
    <xf numFmtId="0" fontId="1" fillId="0" borderId="17" xfId="0" applyFont="1" applyBorder="1"/>
    <xf numFmtId="0" fontId="1" fillId="0" borderId="21" xfId="0" applyFont="1" applyBorder="1"/>
    <xf numFmtId="164" fontId="1" fillId="0" borderId="22" xfId="0" applyNumberFormat="1" applyFont="1" applyBorder="1"/>
    <xf numFmtId="0" fontId="1" fillId="5" borderId="0" xfId="0" applyFont="1" applyFill="1"/>
    <xf numFmtId="2" fontId="1" fillId="0" borderId="0" xfId="0" applyNumberFormat="1" applyFont="1"/>
    <xf numFmtId="0" fontId="12" fillId="0" borderId="19" xfId="0" applyFont="1" applyBorder="1"/>
    <xf numFmtId="0" fontId="1" fillId="0" borderId="0" xfId="0" applyFont="1"/>
    <xf numFmtId="0" fontId="1" fillId="0" borderId="0" xfId="0" applyFont="1" applyAlignment="1">
      <alignment horizontal="center" vertical="top"/>
    </xf>
    <xf numFmtId="164" fontId="1" fillId="0" borderId="0" xfId="1" applyNumberFormat="1" applyFont="1" applyBorder="1" applyAlignment="1">
      <alignment horizontal="center" vertical="top"/>
    </xf>
    <xf numFmtId="164" fontId="1" fillId="0" borderId="0" xfId="1" applyNumberFormat="1" applyFont="1" applyBorder="1"/>
    <xf numFmtId="14" fontId="1" fillId="0" borderId="0" xfId="0" applyNumberFormat="1" applyFont="1" applyAlignment="1">
      <alignment horizontal="center" vertical="top"/>
    </xf>
    <xf numFmtId="14" fontId="1" fillId="0" borderId="7" xfId="0" applyNumberFormat="1" applyFont="1" applyBorder="1"/>
    <xf numFmtId="164" fontId="1" fillId="0" borderId="0" xfId="1" applyNumberFormat="1" applyFont="1"/>
    <xf numFmtId="0" fontId="1" fillId="0" borderId="0" xfId="0" applyFont="1" applyAlignment="1">
      <alignment horizontal="center"/>
    </xf>
    <xf numFmtId="0" fontId="0" fillId="0" borderId="3" xfId="0" applyBorder="1"/>
    <xf numFmtId="0" fontId="0" fillId="0" borderId="24" xfId="0" applyBorder="1"/>
    <xf numFmtId="165" fontId="8" fillId="0" borderId="0" xfId="1" applyNumberFormat="1" applyFont="1"/>
    <xf numFmtId="165" fontId="8" fillId="0" borderId="23" xfId="1" applyNumberFormat="1" applyFont="1" applyBorder="1"/>
    <xf numFmtId="164" fontId="8" fillId="0" borderId="23" xfId="1" applyNumberFormat="1" applyFont="1" applyBorder="1"/>
    <xf numFmtId="165" fontId="0" fillId="8" borderId="0" xfId="0" applyNumberFormat="1" applyFill="1"/>
    <xf numFmtId="14" fontId="1" fillId="0" borderId="0" xfId="0" applyNumberFormat="1" applyFont="1"/>
    <xf numFmtId="164" fontId="0" fillId="0" borderId="0" xfId="1" applyNumberFormat="1" applyFont="1" applyBorder="1"/>
    <xf numFmtId="0" fontId="1" fillId="0" borderId="0" xfId="0" applyFont="1" applyAlignment="1">
      <alignment horizontal="left" vertical="top"/>
    </xf>
    <xf numFmtId="0" fontId="1" fillId="0" borderId="1" xfId="0" applyFont="1" applyBorder="1" applyAlignment="1">
      <alignment horizontal="left"/>
    </xf>
    <xf numFmtId="164" fontId="1" fillId="0" borderId="1" xfId="0" applyNumberFormat="1" applyFont="1" applyBorder="1" applyAlignment="1">
      <alignment horizontal="left"/>
    </xf>
    <xf numFmtId="0" fontId="0" fillId="9" borderId="0" xfId="0" applyFill="1"/>
    <xf numFmtId="164" fontId="8" fillId="9" borderId="23" xfId="1" applyNumberFormat="1" applyFont="1" applyFill="1" applyBorder="1"/>
    <xf numFmtId="0" fontId="10" fillId="0" borderId="0" xfId="0" applyFont="1"/>
    <xf numFmtId="164" fontId="10" fillId="7" borderId="0" xfId="0" applyNumberFormat="1" applyFont="1" applyFill="1"/>
    <xf numFmtId="164" fontId="10" fillId="8" borderId="0" xfId="0" applyNumberFormat="1" applyFont="1" applyFill="1"/>
    <xf numFmtId="164" fontId="13" fillId="0" borderId="0" xfId="0" applyNumberFormat="1" applyFont="1"/>
    <xf numFmtId="0" fontId="1" fillId="0" borderId="25" xfId="1" applyNumberFormat="1" applyFont="1" applyBorder="1" applyAlignment="1">
      <alignment horizontal="center" vertical="top"/>
    </xf>
    <xf numFmtId="14" fontId="1" fillId="0" borderId="1" xfId="1" applyNumberFormat="1" applyFont="1" applyBorder="1"/>
    <xf numFmtId="0" fontId="1" fillId="0" borderId="1" xfId="1" applyNumberFormat="1" applyFont="1" applyBorder="1"/>
    <xf numFmtId="164" fontId="1" fillId="0" borderId="1" xfId="1" applyNumberFormat="1" applyFont="1" applyFill="1" applyBorder="1"/>
    <xf numFmtId="165" fontId="1" fillId="0" borderId="1" xfId="1" applyNumberFormat="1" applyFont="1" applyBorder="1"/>
    <xf numFmtId="0" fontId="0" fillId="0" borderId="0" xfId="0" applyAlignment="1">
      <alignment horizontal="center"/>
    </xf>
    <xf numFmtId="0" fontId="1" fillId="0" borderId="3" xfId="1" applyNumberFormat="1" applyFont="1" applyBorder="1"/>
    <xf numFmtId="165" fontId="1" fillId="0" borderId="3" xfId="1" applyNumberFormat="1" applyFont="1" applyBorder="1"/>
    <xf numFmtId="0" fontId="1" fillId="3" borderId="2" xfId="0" applyFont="1" applyFill="1" applyBorder="1"/>
    <xf numFmtId="14" fontId="0" fillId="0" borderId="7" xfId="0" applyNumberFormat="1" applyBorder="1"/>
    <xf numFmtId="14" fontId="1" fillId="0" borderId="0" xfId="0" applyNumberFormat="1" applyFont="1" applyAlignment="1">
      <alignment horizontal="center"/>
    </xf>
    <xf numFmtId="0" fontId="1" fillId="0" borderId="26" xfId="0" applyFont="1" applyBorder="1"/>
    <xf numFmtId="0" fontId="0" fillId="0" borderId="0" xfId="1" applyNumberFormat="1" applyFont="1"/>
    <xf numFmtId="165" fontId="1" fillId="0" borderId="0" xfId="1" applyNumberFormat="1" applyFont="1"/>
    <xf numFmtId="165" fontId="0" fillId="0" borderId="0" xfId="1" applyNumberFormat="1" applyFont="1"/>
    <xf numFmtId="0" fontId="1" fillId="0" borderId="0" xfId="1" applyNumberFormat="1" applyFont="1"/>
    <xf numFmtId="16" fontId="0" fillId="0" borderId="0" xfId="0" applyNumberFormat="1"/>
    <xf numFmtId="16" fontId="0" fillId="0" borderId="0" xfId="1" applyNumberFormat="1" applyFont="1"/>
    <xf numFmtId="0" fontId="1" fillId="0" borderId="0" xfId="1" applyNumberFormat="1" applyFont="1" applyBorder="1"/>
    <xf numFmtId="165" fontId="1" fillId="0" borderId="0" xfId="1" applyNumberFormat="1" applyFont="1" applyBorder="1"/>
    <xf numFmtId="43" fontId="12" fillId="10" borderId="23" xfId="0" applyNumberFormat="1" applyFont="1" applyFill="1" applyBorder="1"/>
    <xf numFmtId="14" fontId="0" fillId="11" borderId="8" xfId="0" applyNumberFormat="1" applyFill="1" applyBorder="1"/>
    <xf numFmtId="0" fontId="0" fillId="11" borderId="0" xfId="0" applyFill="1"/>
    <xf numFmtId="164" fontId="0" fillId="11" borderId="0" xfId="1" applyNumberFormat="1" applyFont="1" applyFill="1" applyBorder="1"/>
    <xf numFmtId="0" fontId="0" fillId="11" borderId="0" xfId="0" applyFill="1" applyAlignment="1">
      <alignment horizontal="center"/>
    </xf>
    <xf numFmtId="16" fontId="0" fillId="12" borderId="0" xfId="1" applyNumberFormat="1" applyFont="1" applyFill="1"/>
    <xf numFmtId="0" fontId="1" fillId="12" borderId="0" xfId="1" applyNumberFormat="1" applyFont="1" applyFill="1"/>
    <xf numFmtId="0" fontId="0" fillId="12" borderId="0" xfId="1" applyNumberFormat="1" applyFont="1" applyFill="1"/>
    <xf numFmtId="164" fontId="0" fillId="12" borderId="0" xfId="1" applyNumberFormat="1" applyFont="1" applyFill="1"/>
    <xf numFmtId="165" fontId="1" fillId="12" borderId="0" xfId="1" applyNumberFormat="1" applyFont="1" applyFill="1"/>
    <xf numFmtId="165" fontId="0" fillId="12" borderId="0" xfId="1" applyNumberFormat="1" applyFont="1" applyFill="1"/>
    <xf numFmtId="0" fontId="0" fillId="7" borderId="0" xfId="0" applyFill="1"/>
    <xf numFmtId="0" fontId="0" fillId="13" borderId="0" xfId="0" applyFill="1"/>
    <xf numFmtId="0" fontId="1" fillId="0" borderId="27" xfId="0" applyFont="1" applyBorder="1"/>
    <xf numFmtId="0" fontId="0" fillId="0" borderId="0" xfId="0" applyBorder="1"/>
    <xf numFmtId="14" fontId="0" fillId="0" borderId="7" xfId="0" applyNumberFormat="1" applyFont="1" applyBorder="1"/>
    <xf numFmtId="14" fontId="0" fillId="0" borderId="8" xfId="0" applyNumberFormat="1" applyFont="1" applyBorder="1"/>
    <xf numFmtId="0" fontId="0" fillId="0" borderId="0" xfId="0" applyBorder="1" applyAlignment="1">
      <alignment horizontal="center"/>
    </xf>
  </cellXfs>
  <cellStyles count="2">
    <cellStyle name="Comma" xfId="1" builtinId="3"/>
    <cellStyle name="Normal" xfId="0" builtinId="0"/>
  </cellStyles>
  <dxfs count="143">
    <dxf>
      <numFmt numFmtId="164" formatCode="_-* #,##0_-;\-* #,##0_-;_-* &quot;-&quot;??_-;_-@_-"/>
      <fill>
        <patternFill patternType="solid">
          <fgColor indexed="64"/>
          <bgColor rgb="FFFF0000"/>
        </patternFill>
      </fill>
    </dxf>
    <dxf>
      <numFmt numFmtId="164" formatCode="_-* #,##0_-;\-* #,##0_-;_-* &quot;-&quot;??_-;_-@_-"/>
    </dxf>
    <dxf>
      <numFmt numFmtId="164" formatCode="_-* #,##0_-;\-* #,##0_-;_-* &quot;-&quot;??_-;_-@_-"/>
    </dxf>
    <dxf>
      <numFmt numFmtId="19" formatCode="dd/mm/yyyy"/>
      <border diagonalUp="0" diagonalDown="0" outline="0">
        <left style="thin">
          <color theme="4" tint="0.39997558519241921"/>
        </left>
        <right/>
        <top style="thin">
          <color theme="4" tint="0.39997558519241921"/>
        </top>
        <bottom/>
      </border>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font>
        <b val="0"/>
        <i val="0"/>
        <strike val="0"/>
        <condense val="0"/>
        <extend val="0"/>
        <outline val="0"/>
        <shadow val="0"/>
        <u val="none"/>
        <vertAlign val="baseline"/>
        <sz val="11"/>
        <color theme="1"/>
        <name val="Aptos Narrow"/>
        <family val="2"/>
        <scheme val="minor"/>
      </font>
      <numFmt numFmtId="35" formatCode="_-* #,##0.00_-;\-* #,##0.00_-;_-* &quot;-&quot;??_-;_-@_-"/>
    </dxf>
    <dxf>
      <font>
        <b/>
        <i val="0"/>
        <strike val="0"/>
        <condense val="0"/>
        <extend val="0"/>
        <outline val="0"/>
        <shadow val="0"/>
        <u val="none"/>
        <vertAlign val="baseline"/>
        <sz val="11"/>
        <color theme="1"/>
        <name val="Aptos Narrow"/>
        <family val="2"/>
        <scheme val="minor"/>
      </font>
    </dxf>
    <dxf>
      <font>
        <b val="0"/>
        <strike val="0"/>
        <outline val="0"/>
        <shadow val="0"/>
        <u val="none"/>
        <vertAlign val="baseline"/>
        <sz val="16"/>
        <color theme="1"/>
        <name val="Aptos Narrow"/>
        <family val="2"/>
        <scheme val="minor"/>
      </font>
      <numFmt numFmtId="164" formatCode="_-* #,##0_-;\-* #,##0_-;_-* &quot;-&quot;??_-;_-@_-"/>
    </dxf>
    <dxf>
      <numFmt numFmtId="0" formatCode="General"/>
    </dxf>
    <dxf>
      <numFmt numFmtId="19" formatCode="dd/mm/yyyy"/>
    </dxf>
    <dxf>
      <numFmt numFmtId="19" formatCode="dd/mm/yyyy"/>
    </dxf>
    <dxf>
      <numFmt numFmtId="19" formatCode="dd/mm/yyyy"/>
    </dxf>
    <dxf>
      <numFmt numFmtId="19" formatCode="dd/mm/yyyy"/>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numFmt numFmtId="164" formatCode="_-* #,##0_-;\-* #,##0_-;_-* &quot;-&quot;??_-;_-@_-"/>
      <fill>
        <patternFill patternType="solid">
          <fgColor indexed="64"/>
          <bgColor rgb="FFFFFF00"/>
        </patternFill>
      </fill>
    </dxf>
    <dxf>
      <numFmt numFmtId="164" formatCode="_-* #,##0_-;\-* #,##0_-;_-* &quot;-&quot;??_-;_-@_-"/>
      <fill>
        <patternFill patternType="solid">
          <fgColor indexed="64"/>
          <bgColor rgb="FFFFFF00"/>
        </patternFill>
      </fill>
    </dxf>
    <dxf>
      <numFmt numFmtId="19" formatCode="dd/mm/yyyy"/>
    </dxf>
    <dxf>
      <numFmt numFmtId="19" formatCode="dd/mm/yyyy"/>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numFmt numFmtId="19" formatCode="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4" formatCode="_-* #,##0_-;\-* #,##0_-;_-* &quot;-&quot;??_-;_-@_-"/>
    </dxf>
    <dxf>
      <numFmt numFmtId="19" formatCode="dd/mm/yyyy"/>
    </dxf>
    <dxf>
      <numFmt numFmtId="19" formatCode="dd/mm/yyyy"/>
    </dxf>
    <dxf>
      <border diagonalUp="0" diagonalDown="0" outline="0">
        <left/>
        <right/>
        <top style="thin">
          <color auto="1"/>
        </top>
        <bottom/>
      </border>
    </dxf>
    <dxf>
      <numFmt numFmtId="164" formatCode="_-* #,##0_-;\-* #,##0_-;_-* &quot;-&quot;??_-;_-@_-"/>
      <border diagonalUp="0" diagonalDown="0" outline="0">
        <left style="thin">
          <color auto="1"/>
        </left>
        <right/>
        <top style="thin">
          <color auto="1"/>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border diagonalUp="0" diagonalDown="0" outline="0">
        <left style="thin">
          <color indexed="64"/>
        </left>
        <right style="thin">
          <color indexed="64"/>
        </right>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alignment horizontal="center" vertical="bottom" textRotation="0" wrapText="0" indent="0" justifyLastLine="0" shrinkToFit="0" readingOrder="0"/>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theme="4" tint="0.39997558519241921"/>
        </left>
        <right/>
        <top style="thin">
          <color theme="4" tint="0.39997558519241921"/>
        </top>
        <bottom style="thin">
          <color theme="4" tint="0.39997558519241921"/>
        </bottom>
        <vertical/>
        <horizontal/>
      </bord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4"/>
      </font>
    </dxf>
    <dxf>
      <font>
        <b/>
      </font>
    </dxf>
    <dxf>
      <numFmt numFmtId="164" formatCode="_-* #,##0_-;\-* #,##0_-;_-* &quot;-&quot;??_-;_-@_-"/>
    </dxf>
    <dxf>
      <numFmt numFmtId="0" formatCode="General"/>
    </dxf>
    <dxf>
      <numFmt numFmtId="165" formatCode="_-* #,##0.0_-;\-* #,##0.0_-;_-* &quot;-&quot;??_-;_-@_-"/>
    </dxf>
    <dxf>
      <numFmt numFmtId="165" formatCode="_-* #,##0.0_-;\-* #,##0.0_-;_-* &quot;-&quot;??_-;_-@_-"/>
    </dxf>
    <dxf>
      <numFmt numFmtId="165" formatCode="_-* #,##0.0_-;\-* #,##0.0_-;_-* &quot;-&quot;??_-;_-@_-"/>
      <fill>
        <patternFill patternType="solid">
          <fgColor indexed="64"/>
          <bgColor rgb="FF92D050"/>
        </patternFill>
      </fill>
    </dxf>
    <dxf>
      <numFmt numFmtId="165" formatCode="_-* #,##0.0_-;\-* #,##0.0_-;_-* &quot;-&quot;??_-;_-@_-"/>
    </dxf>
    <dxf>
      <numFmt numFmtId="165" formatCode="_-* #,##0.0_-;\-* #,##0.0_-;_-* &quot;-&quot;??_-;_-@_-"/>
    </dxf>
    <dxf>
      <font>
        <b/>
      </font>
      <numFmt numFmtId="165" formatCode="_-* #,##0.0_-;\-* #,##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font>
        <b/>
      </font>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19" formatCode="dd/mm/yyyy"/>
    </dxf>
    <dxf>
      <numFmt numFmtId="164" formatCode="_-* #,##0_-;\-* #,##0_-;_-* &quot;-&quot;??_-;_-@_-"/>
      <border diagonalUp="0" diagonalDown="0">
        <left/>
        <right style="medium">
          <color indexed="64"/>
        </right>
        <vertical/>
      </border>
    </dxf>
    <dxf>
      <border diagonalUp="0" diagonalDown="0">
        <left style="medium">
          <color indexed="64"/>
        </left>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 #,##0_-;_-* &quot;-&quot;??_-;_-@_-"/>
    </dxf>
    <dxf>
      <numFmt numFmtId="165" formatCode="_-* #,##0.0_-;\-* #,##0.0_-;_-* &quot;-&quot;??_-;_-@_-"/>
    </dxf>
    <dxf>
      <numFmt numFmtId="0" formatCode="General"/>
    </dxf>
    <dxf>
      <numFmt numFmtId="164" formatCode="_-* #,##0_-;\-* #,##0_-;_-* &quot;-&quot;??_-;_-@_-"/>
    </dxf>
    <dxf>
      <numFmt numFmtId="164" formatCode="_-* #,##0_-;\-* #,##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64" formatCode="_-* #,##0_-;\-* #,##0_-;_-* &quot;-&quot;??_-;_-@_-"/>
    </dxf>
    <dxf>
      <numFmt numFmtId="1" formatCode="0"/>
    </dxf>
    <dxf>
      <numFmt numFmtId="0" formatCode="General"/>
    </dxf>
    <dxf>
      <numFmt numFmtId="2" formatCode="0.00"/>
    </dxf>
    <dxf>
      <numFmt numFmtId="1" formatCode="0"/>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sheetMetadata" Target="metadata.xml"/><Relationship Id="rId21" Type="http://schemas.openxmlformats.org/officeDocument/2006/relationships/pivotCacheDefinition" Target="pivotCache/pivotCacheDefinition1.xml"/><Relationship Id="rId34" Type="http://schemas.microsoft.com/office/2007/relationships/slicerCache" Target="slicerCaches/slicerCache8.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07/relationships/slicerCache" Target="slicerCaches/slicerCache3.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07/relationships/slicerCache" Target="slicerCaches/slicerCache6.xml"/><Relationship Id="rId37" Type="http://schemas.openxmlformats.org/officeDocument/2006/relationships/styles" Target="style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2.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theme" Target="theme/theme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7.xml"/><Relationship Id="rId38"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11</xdr:col>
      <xdr:colOff>693606</xdr:colOff>
      <xdr:row>109</xdr:row>
      <xdr:rowOff>87338</xdr:rowOff>
    </xdr:from>
    <xdr:to>
      <xdr:col>15</xdr:col>
      <xdr:colOff>817243</xdr:colOff>
      <xdr:row>116</xdr:row>
      <xdr:rowOff>158331</xdr:rowOff>
    </xdr:to>
    <mc:AlternateContent xmlns:mc="http://schemas.openxmlformats.org/markup-compatibility/2006" xmlns:sle15="http://schemas.microsoft.com/office/drawing/2012/slicer">
      <mc:Choice Requires="sle15">
        <xdr:graphicFrame macro="">
          <xdr:nvGraphicFramePr>
            <xdr:cNvPr id="2" name="Party Name">
              <a:extLst>
                <a:ext uri="{FF2B5EF4-FFF2-40B4-BE49-F238E27FC236}">
                  <a16:creationId xmlns:a16="http://schemas.microsoft.com/office/drawing/2014/main" id="{8259DA32-45F5-EBDD-5B95-34700BFA09B9}"/>
                </a:ext>
              </a:extLst>
            </xdr:cNvPr>
            <xdr:cNvGraphicFramePr/>
          </xdr:nvGraphicFramePr>
          <xdr:xfrm>
            <a:off x="0" y="0"/>
            <a:ext cx="0" cy="0"/>
          </xdr:xfrm>
          <a:graphic>
            <a:graphicData uri="http://schemas.microsoft.com/office/drawing/2010/slicer">
              <sle:slicer xmlns:sle="http://schemas.microsoft.com/office/drawing/2010/slicer" name="Party Name"/>
            </a:graphicData>
          </a:graphic>
        </xdr:graphicFrame>
      </mc:Choice>
      <mc:Fallback xmlns="">
        <xdr:sp macro="" textlink="">
          <xdr:nvSpPr>
            <xdr:cNvPr id="0" name=""/>
            <xdr:cNvSpPr>
              <a:spLocks noTextEdit="1"/>
            </xdr:cNvSpPr>
          </xdr:nvSpPr>
          <xdr:spPr>
            <a:xfrm>
              <a:off x="13068703" y="20345387"/>
              <a:ext cx="4416856" cy="137196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503230</xdr:colOff>
      <xdr:row>249</xdr:row>
      <xdr:rowOff>80205</xdr:rowOff>
    </xdr:from>
    <xdr:to>
      <xdr:col>2</xdr:col>
      <xdr:colOff>138447</xdr:colOff>
      <xdr:row>257</xdr:row>
      <xdr:rowOff>138604</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21711736-4BA5-0C40-7222-5B278D3B7DEA}"/>
                </a:ext>
                <a:ext uri="{147F2762-F138-4A5C-976F-8EAC2B608ADB}">
                  <a16:predDERef xmlns:a16="http://schemas.microsoft.com/office/drawing/2014/main" pred="{8259DA32-45F5-EBDD-5B95-34700BFA09B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03230" y="45950930"/>
              <a:ext cx="1879349" cy="153215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461699</xdr:colOff>
      <xdr:row>27</xdr:row>
      <xdr:rowOff>48614</xdr:rowOff>
    </xdr:from>
    <xdr:to>
      <xdr:col>11</xdr:col>
      <xdr:colOff>66829</xdr:colOff>
      <xdr:row>40</xdr:row>
      <xdr:rowOff>85188</xdr:rowOff>
    </xdr:to>
    <mc:AlternateContent xmlns:mc="http://schemas.openxmlformats.org/markup-compatibility/2006" xmlns:sle15="http://schemas.microsoft.com/office/drawing/2012/slicer">
      <mc:Choice Requires="sle15">
        <xdr:graphicFrame macro="">
          <xdr:nvGraphicFramePr>
            <xdr:cNvPr id="2" name="Party Name 1">
              <a:extLst>
                <a:ext uri="{FF2B5EF4-FFF2-40B4-BE49-F238E27FC236}">
                  <a16:creationId xmlns:a16="http://schemas.microsoft.com/office/drawing/2014/main" id="{2078434D-1B2A-7CD5-B26B-3D2054BBA3D8}"/>
                </a:ext>
              </a:extLst>
            </xdr:cNvPr>
            <xdr:cNvGraphicFramePr/>
          </xdr:nvGraphicFramePr>
          <xdr:xfrm>
            <a:off x="0" y="0"/>
            <a:ext cx="0" cy="0"/>
          </xdr:xfrm>
          <a:graphic>
            <a:graphicData uri="http://schemas.microsoft.com/office/drawing/2010/slicer">
              <sle:slicer xmlns:sle="http://schemas.microsoft.com/office/drawing/2010/slicer" name="Party Name 1"/>
            </a:graphicData>
          </a:graphic>
        </xdr:graphicFrame>
      </mc:Choice>
      <mc:Fallback xmlns="">
        <xdr:sp macro="" textlink="">
          <xdr:nvSpPr>
            <xdr:cNvPr id="0" name=""/>
            <xdr:cNvSpPr>
              <a:spLocks noTextEdit="1"/>
            </xdr:cNvSpPr>
          </xdr:nvSpPr>
          <xdr:spPr>
            <a:xfrm>
              <a:off x="10010347" y="5033071"/>
              <a:ext cx="1859599" cy="24276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507563</xdr:colOff>
      <xdr:row>7</xdr:row>
      <xdr:rowOff>44451</xdr:rowOff>
    </xdr:from>
    <xdr:to>
      <xdr:col>13</xdr:col>
      <xdr:colOff>380323</xdr:colOff>
      <xdr:row>11</xdr:row>
      <xdr:rowOff>143419</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id="{2FD3A6BB-AB30-2E41-D0AA-0842C10BDF2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27522" y="1347048"/>
              <a:ext cx="2251238" cy="8433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202677</xdr:colOff>
      <xdr:row>12</xdr:row>
      <xdr:rowOff>136208</xdr:rowOff>
    </xdr:from>
    <xdr:to>
      <xdr:col>14</xdr:col>
      <xdr:colOff>512253</xdr:colOff>
      <xdr:row>21</xdr:row>
      <xdr:rowOff>83243</xdr:rowOff>
    </xdr:to>
    <mc:AlternateContent xmlns:mc="http://schemas.openxmlformats.org/markup-compatibility/2006" xmlns:sle15="http://schemas.microsoft.com/office/drawing/2012/slicer">
      <mc:Choice Requires="sle15">
        <xdr:graphicFrame macro="">
          <xdr:nvGraphicFramePr>
            <xdr:cNvPr id="2" name="Party">
              <a:extLst>
                <a:ext uri="{FF2B5EF4-FFF2-40B4-BE49-F238E27FC236}">
                  <a16:creationId xmlns:a16="http://schemas.microsoft.com/office/drawing/2014/main" id="{46A80067-1595-EB06-C9E8-CC1ACACB97FE}"/>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419892" y="2355475"/>
              <a:ext cx="3441644" cy="160577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13</xdr:col>
      <xdr:colOff>26448</xdr:colOff>
      <xdr:row>7</xdr:row>
      <xdr:rowOff>5863</xdr:rowOff>
    </xdr:from>
    <xdr:to>
      <xdr:col>16</xdr:col>
      <xdr:colOff>122110</xdr:colOff>
      <xdr:row>13</xdr:row>
      <xdr:rowOff>44255</xdr:rowOff>
    </xdr:to>
    <mc:AlternateContent xmlns:mc="http://schemas.openxmlformats.org/markup-compatibility/2006" xmlns:sle15="http://schemas.microsoft.com/office/drawing/2012/slicer">
      <mc:Choice Requires="sle15">
        <xdr:graphicFrame macro="">
          <xdr:nvGraphicFramePr>
            <xdr:cNvPr id="2" name="Party Name 2">
              <a:extLst>
                <a:ext uri="{FF2B5EF4-FFF2-40B4-BE49-F238E27FC236}">
                  <a16:creationId xmlns:a16="http://schemas.microsoft.com/office/drawing/2014/main" id="{982FB2B7-BB79-2919-5556-DB024E50BA32}"/>
                </a:ext>
              </a:extLst>
            </xdr:cNvPr>
            <xdr:cNvGraphicFramePr/>
          </xdr:nvGraphicFramePr>
          <xdr:xfrm>
            <a:off x="0" y="0"/>
            <a:ext cx="0" cy="0"/>
          </xdr:xfrm>
          <a:graphic>
            <a:graphicData uri="http://schemas.microsoft.com/office/drawing/2010/slicer">
              <sle:slicer xmlns:sle="http://schemas.microsoft.com/office/drawing/2010/slicer" name="Party Name 2"/>
            </a:graphicData>
          </a:graphic>
        </xdr:graphicFrame>
      </mc:Choice>
      <mc:Fallback xmlns="">
        <xdr:sp macro="" textlink="">
          <xdr:nvSpPr>
            <xdr:cNvPr id="0" name=""/>
            <xdr:cNvSpPr>
              <a:spLocks noTextEdit="1"/>
            </xdr:cNvSpPr>
          </xdr:nvSpPr>
          <xdr:spPr>
            <a:xfrm>
              <a:off x="10591871" y="1288075"/>
              <a:ext cx="1920066" cy="1137430"/>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463399</xdr:colOff>
      <xdr:row>10</xdr:row>
      <xdr:rowOff>30996</xdr:rowOff>
    </xdr:from>
    <xdr:to>
      <xdr:col>14</xdr:col>
      <xdr:colOff>471148</xdr:colOff>
      <xdr:row>24</xdr:row>
      <xdr:rowOff>80882</xdr:rowOff>
    </xdr:to>
    <mc:AlternateContent xmlns:mc="http://schemas.openxmlformats.org/markup-compatibility/2006" xmlns:sle15="http://schemas.microsoft.com/office/drawing/2012/slicer">
      <mc:Choice Requires="sle15">
        <xdr:graphicFrame macro="">
          <xdr:nvGraphicFramePr>
            <xdr:cNvPr id="2" name="Person">
              <a:extLst>
                <a:ext uri="{FF2B5EF4-FFF2-40B4-BE49-F238E27FC236}">
                  <a16:creationId xmlns:a16="http://schemas.microsoft.com/office/drawing/2014/main" id="{61B25ECF-139D-2B91-5D20-EAF105CE751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399823" y="1839132"/>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150706</xdr:colOff>
      <xdr:row>3</xdr:row>
      <xdr:rowOff>67734</xdr:rowOff>
    </xdr:from>
    <xdr:to>
      <xdr:col>12</xdr:col>
      <xdr:colOff>438578</xdr:colOff>
      <xdr:row>17</xdr:row>
      <xdr:rowOff>41276</xdr:rowOff>
    </xdr:to>
    <mc:AlternateContent xmlns:mc="http://schemas.openxmlformats.org/markup-compatibility/2006" xmlns:a14="http://schemas.microsoft.com/office/drawing/2010/main">
      <mc:Choice Requires="a14">
        <xdr:graphicFrame macro="">
          <xdr:nvGraphicFramePr>
            <xdr:cNvPr id="2" name="Shipment Number">
              <a:extLst>
                <a:ext uri="{FF2B5EF4-FFF2-40B4-BE49-F238E27FC236}">
                  <a16:creationId xmlns:a16="http://schemas.microsoft.com/office/drawing/2014/main" id="{46BC7137-382B-BA5E-E548-421ADD6BCB8A}"/>
                </a:ext>
              </a:extLst>
            </xdr:cNvPr>
            <xdr:cNvGraphicFramePr/>
          </xdr:nvGraphicFramePr>
          <xdr:xfrm>
            <a:off x="0" y="0"/>
            <a:ext cx="0" cy="0"/>
          </xdr:xfrm>
          <a:graphic>
            <a:graphicData uri="http://schemas.microsoft.com/office/drawing/2010/slicer">
              <sle:slicer xmlns:sle="http://schemas.microsoft.com/office/drawing/2010/slicer" name="Shipment Number"/>
            </a:graphicData>
          </a:graphic>
        </xdr:graphicFrame>
      </mc:Choice>
      <mc:Fallback xmlns="">
        <xdr:sp macro="" textlink="">
          <xdr:nvSpPr>
            <xdr:cNvPr id="0" name=""/>
            <xdr:cNvSpPr>
              <a:spLocks noTextEdit="1"/>
            </xdr:cNvSpPr>
          </xdr:nvSpPr>
          <xdr:spPr>
            <a:xfrm>
              <a:off x="10920306" y="626534"/>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rn-my.sharepoint.com/personal/25020299_lums_edu_pk/Documents/Desktop/Factory/Factory_Khata_January.xlsx" TargetMode="External"/><Relationship Id="rId1" Type="http://schemas.openxmlformats.org/officeDocument/2006/relationships/externalLinkPath" Target="Factory_Khata_Janu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ing"/>
      <sheetName val="Bill Print"/>
      <sheetName val="Expenses"/>
      <sheetName val="Profit"/>
      <sheetName val="Transport"/>
      <sheetName val="ledger"/>
      <sheetName val="Gray Khata"/>
      <sheetName val="Wood"/>
      <sheetName val="Cashbook"/>
      <sheetName val="Dyes"/>
      <sheetName val="Finish"/>
      <sheetName val="Electricity"/>
      <sheetName val="Miscellaneous"/>
      <sheetName val="Salary Acc"/>
      <sheetName val="pivot "/>
      <sheetName val="Running Acc"/>
      <sheetName val="Balance"/>
      <sheetName val="Cashflow"/>
    </sheetNames>
    <sheetDataSet>
      <sheetData sheetId="0">
        <row r="5">
          <cell r="Q5" t="str">
            <v>BSC</v>
          </cell>
          <cell r="R5">
            <v>3652766.8824</v>
          </cell>
          <cell r="S5">
            <v>3340130.6532553039</v>
          </cell>
          <cell r="T5">
            <v>2767584.0182882226</v>
          </cell>
          <cell r="U5">
            <v>561031.45574250189</v>
          </cell>
          <cell r="V5">
            <v>27675840.182882231</v>
          </cell>
          <cell r="W5">
            <v>7205053.0358449165</v>
          </cell>
          <cell r="X5">
            <v>0</v>
          </cell>
          <cell r="Y5">
            <v>0</v>
          </cell>
          <cell r="Z5">
            <v>0</v>
          </cell>
          <cell r="AA5">
            <v>126666.9714703731</v>
          </cell>
          <cell r="AB5">
            <v>0</v>
          </cell>
          <cell r="AD5">
            <v>19750734</v>
          </cell>
        </row>
        <row r="6">
          <cell r="Q6" t="str">
            <v>Ejaz Sahab</v>
          </cell>
          <cell r="R6">
            <v>580479</v>
          </cell>
          <cell r="S6">
            <v>530796.45208485739</v>
          </cell>
          <cell r="T6">
            <v>148145.57425018289</v>
          </cell>
          <cell r="U6">
            <v>382650.87783467449</v>
          </cell>
          <cell r="V6">
            <v>1481455.7425018288</v>
          </cell>
          <cell r="W6">
            <v>4915317.3006583769</v>
          </cell>
          <cell r="X6">
            <v>0</v>
          </cell>
          <cell r="Y6">
            <v>0</v>
          </cell>
          <cell r="Z6">
            <v>0</v>
          </cell>
          <cell r="AA6">
            <v>0</v>
          </cell>
          <cell r="AB6">
            <v>0</v>
          </cell>
          <cell r="AD6">
            <v>6067319</v>
          </cell>
        </row>
        <row r="7">
          <cell r="Q7" t="str">
            <v>Arshad</v>
          </cell>
          <cell r="R7">
            <v>894593</v>
          </cell>
          <cell r="S7">
            <v>818025.78639356268</v>
          </cell>
          <cell r="T7">
            <v>671848.9392831017</v>
          </cell>
          <cell r="U7">
            <v>146176.84711046086</v>
          </cell>
          <cell r="V7">
            <v>6718489.3928310173</v>
          </cell>
          <cell r="W7">
            <v>1885504.7549378201</v>
          </cell>
          <cell r="X7">
            <v>0</v>
          </cell>
          <cell r="Y7">
            <v>0</v>
          </cell>
          <cell r="Z7">
            <v>0</v>
          </cell>
          <cell r="AA7">
            <v>0</v>
          </cell>
          <cell r="AB7">
            <v>0</v>
          </cell>
          <cell r="AD7">
            <v>8492501</v>
          </cell>
        </row>
        <row r="8">
          <cell r="Q8" t="str">
            <v>Shehzad Kamoki</v>
          </cell>
          <cell r="R8">
            <v>143457</v>
          </cell>
          <cell r="S8">
            <v>131178.67593269935</v>
          </cell>
          <cell r="T8">
            <v>131178.67593269935</v>
          </cell>
          <cell r="U8">
            <v>0</v>
          </cell>
          <cell r="V8">
            <v>1354241.9972933433</v>
          </cell>
          <cell r="W8">
            <v>0</v>
          </cell>
          <cell r="X8">
            <v>0</v>
          </cell>
          <cell r="Y8">
            <v>0</v>
          </cell>
          <cell r="Z8">
            <v>0</v>
          </cell>
          <cell r="AA8">
            <v>0</v>
          </cell>
          <cell r="AB8">
            <v>0</v>
          </cell>
          <cell r="AD8">
            <v>1353710</v>
          </cell>
        </row>
        <row r="9">
          <cell r="Q9" t="str">
            <v>Sufi Nawaz Sahab</v>
          </cell>
          <cell r="R9">
            <v>1212967</v>
          </cell>
          <cell r="S9">
            <v>1109150.5120702267</v>
          </cell>
          <cell r="T9">
            <v>599330.65106071695</v>
          </cell>
          <cell r="U9">
            <v>485823.88441843458</v>
          </cell>
          <cell r="V9">
            <v>5408917.8595464528</v>
          </cell>
          <cell r="W9">
            <v>5829886.6130212145</v>
          </cell>
          <cell r="X9">
            <v>0</v>
          </cell>
          <cell r="Y9">
            <v>239959.76591075349</v>
          </cell>
          <cell r="Z9">
            <v>0</v>
          </cell>
          <cell r="AA9">
            <v>0</v>
          </cell>
          <cell r="AB9">
            <v>0</v>
          </cell>
          <cell r="AD9">
            <v>11478764</v>
          </cell>
        </row>
        <row r="10">
          <cell r="Q10" t="str">
            <v>Sajad Khan</v>
          </cell>
          <cell r="R10">
            <v>1065869</v>
          </cell>
          <cell r="S10">
            <v>974642.46525237767</v>
          </cell>
          <cell r="T10">
            <v>942295.17190929048</v>
          </cell>
          <cell r="U10">
            <v>0</v>
          </cell>
          <cell r="V10">
            <v>9422951.7190929055</v>
          </cell>
          <cell r="W10">
            <v>0</v>
          </cell>
          <cell r="X10">
            <v>71359.729334308722</v>
          </cell>
          <cell r="Y10">
            <v>0</v>
          </cell>
          <cell r="Z10">
            <v>322297.00073152891</v>
          </cell>
          <cell r="AA10">
            <v>0</v>
          </cell>
          <cell r="AB10">
            <v>0</v>
          </cell>
          <cell r="AD10">
            <v>9609871</v>
          </cell>
        </row>
        <row r="11">
          <cell r="Q11" t="str">
            <v>Raaz Fabrics</v>
          </cell>
          <cell r="R11">
            <v>177861</v>
          </cell>
          <cell r="S11">
            <v>162638.07607900514</v>
          </cell>
          <cell r="T11">
            <v>162638.07607900514</v>
          </cell>
          <cell r="U11">
            <v>0</v>
          </cell>
          <cell r="V11">
            <v>1626380.7607900514</v>
          </cell>
          <cell r="W11">
            <v>0</v>
          </cell>
          <cell r="X11">
            <v>0</v>
          </cell>
          <cell r="Y11">
            <v>0</v>
          </cell>
          <cell r="Z11">
            <v>0</v>
          </cell>
          <cell r="AA11">
            <v>0</v>
          </cell>
          <cell r="AB11">
            <v>0</v>
          </cell>
          <cell r="AD11">
            <v>1526321</v>
          </cell>
        </row>
        <row r="12">
          <cell r="Q12" t="str">
            <v>Azam</v>
          </cell>
          <cell r="R12">
            <v>749236</v>
          </cell>
          <cell r="S12">
            <v>685109.72933430877</v>
          </cell>
          <cell r="T12">
            <v>501118.32479882962</v>
          </cell>
          <cell r="U12">
            <v>183991.40453547917</v>
          </cell>
          <cell r="V12">
            <v>5011183.2479882967</v>
          </cell>
          <cell r="W12">
            <v>2391888.2589612291</v>
          </cell>
          <cell r="X12">
            <v>0</v>
          </cell>
          <cell r="Y12">
            <v>0</v>
          </cell>
          <cell r="Z12">
            <v>0</v>
          </cell>
          <cell r="AA12">
            <v>0</v>
          </cell>
          <cell r="AB12">
            <v>0</v>
          </cell>
          <cell r="AD12">
            <v>7402540</v>
          </cell>
        </row>
        <row r="13">
          <cell r="Q13" t="str">
            <v>Ubaidullah</v>
          </cell>
          <cell r="R13">
            <v>173534</v>
          </cell>
          <cell r="S13">
            <v>158681.41916605708</v>
          </cell>
          <cell r="T13">
            <v>46132.955376737387</v>
          </cell>
          <cell r="U13">
            <v>112548.46378931969</v>
          </cell>
          <cell r="V13">
            <v>461329.5537673739</v>
          </cell>
          <cell r="W13">
            <v>1448134.6013167519</v>
          </cell>
          <cell r="X13">
            <v>0</v>
          </cell>
          <cell r="Y13">
            <v>0</v>
          </cell>
          <cell r="Z13">
            <v>0</v>
          </cell>
          <cell r="AA13">
            <v>0</v>
          </cell>
          <cell r="AB13">
            <v>0</v>
          </cell>
          <cell r="AD13">
            <v>1908190</v>
          </cell>
        </row>
        <row r="14">
          <cell r="Q14" t="str">
            <v>Ashraf Zia</v>
          </cell>
          <cell r="R14">
            <v>23305</v>
          </cell>
          <cell r="S14">
            <v>21310.35113386979</v>
          </cell>
          <cell r="T14">
            <v>21310.35113386979</v>
          </cell>
          <cell r="U14">
            <v>0</v>
          </cell>
          <cell r="V14">
            <v>255724.21360643749</v>
          </cell>
          <cell r="W14">
            <v>0</v>
          </cell>
          <cell r="X14">
            <v>0</v>
          </cell>
          <cell r="Y14">
            <v>0</v>
          </cell>
          <cell r="Z14">
            <v>0</v>
          </cell>
          <cell r="AA14">
            <v>0</v>
          </cell>
          <cell r="AB14">
            <v>0</v>
          </cell>
          <cell r="AD14">
            <v>130000</v>
          </cell>
        </row>
        <row r="15">
          <cell r="Q15" t="str">
            <v>Hafiz Qureshi</v>
          </cell>
          <cell r="R15">
            <v>454627</v>
          </cell>
          <cell r="S15">
            <v>415715.98390636436</v>
          </cell>
          <cell r="T15">
            <v>415715.98390636436</v>
          </cell>
          <cell r="U15">
            <v>0</v>
          </cell>
          <cell r="V15">
            <v>4157159.8390636435</v>
          </cell>
          <cell r="W15">
            <v>0</v>
          </cell>
          <cell r="X15">
            <v>0</v>
          </cell>
          <cell r="Y15">
            <v>0</v>
          </cell>
          <cell r="Z15">
            <v>0</v>
          </cell>
          <cell r="AA15">
            <v>0</v>
          </cell>
          <cell r="AB15">
            <v>0</v>
          </cell>
          <cell r="AD15">
            <v>4146179</v>
          </cell>
        </row>
        <row r="16">
          <cell r="Q16" t="str">
            <v>Badshah Fabrics</v>
          </cell>
          <cell r="R16">
            <v>681314</v>
          </cell>
          <cell r="S16">
            <v>623001.09729334316</v>
          </cell>
          <cell r="T16">
            <v>481526.15215801029</v>
          </cell>
          <cell r="U16">
            <v>141474.94513533285</v>
          </cell>
          <cell r="V16">
            <v>4861679.7732260432</v>
          </cell>
          <cell r="W16">
            <v>1776019.5683979518</v>
          </cell>
          <cell r="X16">
            <v>0</v>
          </cell>
          <cell r="Y16">
            <v>0</v>
          </cell>
          <cell r="Z16">
            <v>0</v>
          </cell>
          <cell r="AA16">
            <v>0</v>
          </cell>
          <cell r="AB16">
            <v>0</v>
          </cell>
          <cell r="AD16">
            <v>6545761</v>
          </cell>
        </row>
        <row r="17">
          <cell r="Q17" t="str">
            <v>Gauhar Kashif</v>
          </cell>
          <cell r="R17">
            <v>132768</v>
          </cell>
          <cell r="S17">
            <v>121404.53547915144</v>
          </cell>
          <cell r="T17">
            <v>121404.53547915144</v>
          </cell>
          <cell r="U17">
            <v>0</v>
          </cell>
          <cell r="V17">
            <v>1214045.3547915143</v>
          </cell>
          <cell r="W17">
            <v>0</v>
          </cell>
          <cell r="X17">
            <v>0</v>
          </cell>
          <cell r="Y17">
            <v>0</v>
          </cell>
          <cell r="Z17">
            <v>0</v>
          </cell>
          <cell r="AA17">
            <v>0</v>
          </cell>
          <cell r="AB17">
            <v>0</v>
          </cell>
          <cell r="AD17">
            <v>1214045</v>
          </cell>
        </row>
        <row r="18">
          <cell r="Q18" t="str">
            <v>Amjad 7up</v>
          </cell>
          <cell r="R18">
            <v>52914</v>
          </cell>
          <cell r="S18">
            <v>48385.149963423559</v>
          </cell>
          <cell r="T18">
            <v>48385.149963423559</v>
          </cell>
          <cell r="U18">
            <v>0</v>
          </cell>
          <cell r="V18">
            <v>483851.49963423557</v>
          </cell>
          <cell r="W18">
            <v>0</v>
          </cell>
          <cell r="X18">
            <v>0</v>
          </cell>
          <cell r="Y18">
            <v>0</v>
          </cell>
          <cell r="Z18">
            <v>0</v>
          </cell>
          <cell r="AA18">
            <v>0</v>
          </cell>
          <cell r="AB18">
            <v>0</v>
          </cell>
          <cell r="AD18">
            <v>480000</v>
          </cell>
        </row>
        <row r="19">
          <cell r="Q19" t="str">
            <v>Hazrat Khan</v>
          </cell>
          <cell r="R19">
            <v>9750</v>
          </cell>
          <cell r="S19">
            <v>8915.5084125822978</v>
          </cell>
          <cell r="T19">
            <v>8915.5084125822978</v>
          </cell>
          <cell r="U19">
            <v>0</v>
          </cell>
          <cell r="V19">
            <v>89155.084125822978</v>
          </cell>
          <cell r="W19">
            <v>0</v>
          </cell>
          <cell r="X19">
            <v>0</v>
          </cell>
          <cell r="Y19">
            <v>0</v>
          </cell>
          <cell r="Z19">
            <v>0</v>
          </cell>
          <cell r="AA19">
            <v>0</v>
          </cell>
          <cell r="AB19">
            <v>0</v>
          </cell>
          <cell r="AD19">
            <v>95000</v>
          </cell>
        </row>
        <row r="20">
          <cell r="Q20" t="str">
            <v>Haseeb Shamsi</v>
          </cell>
          <cell r="R20">
            <v>61975</v>
          </cell>
          <cell r="S20">
            <v>56670.629114850046</v>
          </cell>
          <cell r="T20">
            <v>47437.820043891741</v>
          </cell>
          <cell r="U20">
            <v>9232.809070958303</v>
          </cell>
          <cell r="V20">
            <v>474378.20043891744</v>
          </cell>
          <cell r="W20">
            <v>120026.51792245793</v>
          </cell>
          <cell r="X20">
            <v>0</v>
          </cell>
          <cell r="Y20">
            <v>0</v>
          </cell>
          <cell r="Z20">
            <v>0</v>
          </cell>
          <cell r="AA20">
            <v>0</v>
          </cell>
          <cell r="AB20">
            <v>0</v>
          </cell>
          <cell r="AD20">
            <v>594405</v>
          </cell>
        </row>
        <row r="21">
          <cell r="Q21" t="str">
            <v>Faizan</v>
          </cell>
          <cell r="R21">
            <v>509411</v>
          </cell>
          <cell r="S21">
            <v>465811.08266276523</v>
          </cell>
          <cell r="T21">
            <v>0</v>
          </cell>
          <cell r="U21">
            <v>462841.07534747623</v>
          </cell>
          <cell r="V21">
            <v>30000</v>
          </cell>
          <cell r="W21">
            <v>6016933.9795171916</v>
          </cell>
          <cell r="X21">
            <v>44550.109729334312</v>
          </cell>
          <cell r="Y21">
            <v>0</v>
          </cell>
          <cell r="Z21">
            <v>0</v>
          </cell>
          <cell r="AA21">
            <v>0</v>
          </cell>
          <cell r="AB21">
            <v>0</v>
          </cell>
          <cell r="AD21">
            <v>6024187</v>
          </cell>
        </row>
        <row r="22">
          <cell r="Q22" t="str">
            <v>Shafique Ansari</v>
          </cell>
          <cell r="R22">
            <v>82290</v>
          </cell>
          <cell r="S22">
            <v>75246.891002194592</v>
          </cell>
          <cell r="T22">
            <v>64300.475493782011</v>
          </cell>
          <cell r="U22">
            <v>7565.8376005852242</v>
          </cell>
          <cell r="V22">
            <v>643004.75493782014</v>
          </cell>
          <cell r="W22">
            <v>98355.888807607917</v>
          </cell>
          <cell r="X22">
            <v>0</v>
          </cell>
          <cell r="Y22">
            <v>94656.181419166067</v>
          </cell>
          <cell r="Z22">
            <v>0</v>
          </cell>
          <cell r="AA22">
            <v>0</v>
          </cell>
          <cell r="AB22">
            <v>0</v>
          </cell>
          <cell r="AD22">
            <v>835660</v>
          </cell>
        </row>
        <row r="23">
          <cell r="Q23" t="str">
            <v>Amjad sohail</v>
          </cell>
          <cell r="R23">
            <v>445530</v>
          </cell>
          <cell r="S23">
            <v>407397.58595464518</v>
          </cell>
          <cell r="T23">
            <v>360797.36649597657</v>
          </cell>
          <cell r="U23">
            <v>46600.219458668624</v>
          </cell>
          <cell r="V23">
            <v>3607973.6649597664</v>
          </cell>
          <cell r="W23">
            <v>605802.85296269215</v>
          </cell>
          <cell r="X23">
            <v>0</v>
          </cell>
          <cell r="Y23">
            <v>0</v>
          </cell>
          <cell r="Z23">
            <v>0</v>
          </cell>
          <cell r="AA23">
            <v>0</v>
          </cell>
          <cell r="AB23">
            <v>0</v>
          </cell>
          <cell r="AD23">
            <v>4417830</v>
          </cell>
        </row>
        <row r="24">
          <cell r="Q24" t="str">
            <v>Salman Zaffar</v>
          </cell>
          <cell r="R24">
            <v>344332</v>
          </cell>
          <cell r="S24">
            <v>314861.00950987567</v>
          </cell>
          <cell r="T24">
            <v>72939.831748354074</v>
          </cell>
          <cell r="U24">
            <v>31409.107534747625</v>
          </cell>
          <cell r="V24">
            <v>729398.31748354062</v>
          </cell>
          <cell r="W24">
            <v>408318.39795171918</v>
          </cell>
          <cell r="X24">
            <v>0</v>
          </cell>
          <cell r="Y24">
            <v>0</v>
          </cell>
          <cell r="Z24">
            <v>161653.2553035845</v>
          </cell>
          <cell r="AA24">
            <v>1970409.6561814193</v>
          </cell>
          <cell r="AB24">
            <v>0</v>
          </cell>
          <cell r="AD24">
            <v>3296025</v>
          </cell>
        </row>
        <row r="25">
          <cell r="Q25" t="str">
            <v>Shahid Qasayi</v>
          </cell>
          <cell r="R25">
            <v>394284</v>
          </cell>
          <cell r="S25">
            <v>360537.67373811267</v>
          </cell>
          <cell r="T25">
            <v>310998.53694220923</v>
          </cell>
          <cell r="U25">
            <v>0</v>
          </cell>
          <cell r="V25">
            <v>3109985.3694220926</v>
          </cell>
          <cell r="W25">
            <v>0</v>
          </cell>
          <cell r="X25">
            <v>0</v>
          </cell>
          <cell r="Y25">
            <v>0</v>
          </cell>
          <cell r="Z25">
            <v>23767.373811265548</v>
          </cell>
          <cell r="AA25">
            <v>523143.74542794435</v>
          </cell>
          <cell r="AB25">
            <v>0</v>
          </cell>
          <cell r="AD25">
            <v>3625137</v>
          </cell>
        </row>
        <row r="26">
          <cell r="Q26" t="str">
            <v>Hameed corporation</v>
          </cell>
          <cell r="R26">
            <v>46404</v>
          </cell>
          <cell r="S26">
            <v>42432.333577176301</v>
          </cell>
          <cell r="T26">
            <v>42432.333577176301</v>
          </cell>
          <cell r="U26">
            <v>0</v>
          </cell>
          <cell r="V26">
            <v>424323.335771763</v>
          </cell>
          <cell r="W26">
            <v>0</v>
          </cell>
          <cell r="X26">
            <v>0</v>
          </cell>
          <cell r="Y26">
            <v>0</v>
          </cell>
          <cell r="Z26">
            <v>0</v>
          </cell>
          <cell r="AA26">
            <v>0</v>
          </cell>
          <cell r="AB26">
            <v>0</v>
          </cell>
          <cell r="AD26">
            <v>424323</v>
          </cell>
        </row>
        <row r="27">
          <cell r="Q27" t="str">
            <v>ibraheem behraam</v>
          </cell>
          <cell r="R27">
            <v>122386</v>
          </cell>
          <cell r="S27">
            <v>111911.11923920995</v>
          </cell>
          <cell r="T27">
            <v>0</v>
          </cell>
          <cell r="U27">
            <v>111911.11923920995</v>
          </cell>
          <cell r="V27">
            <v>0</v>
          </cell>
          <cell r="W27">
            <v>1454844.5501097296</v>
          </cell>
          <cell r="X27">
            <v>0</v>
          </cell>
          <cell r="Y27">
            <v>0</v>
          </cell>
          <cell r="Z27">
            <v>0</v>
          </cell>
          <cell r="AA27">
            <v>0</v>
          </cell>
          <cell r="AB27">
            <v>0</v>
          </cell>
          <cell r="AD27">
            <v>1415500</v>
          </cell>
        </row>
        <row r="28">
          <cell r="Q28" t="str">
            <v>Zia-ullah karachi</v>
          </cell>
          <cell r="R28">
            <v>13622</v>
          </cell>
          <cell r="S28">
            <v>12456.108266276518</v>
          </cell>
          <cell r="T28">
            <v>12456.108266276518</v>
          </cell>
          <cell r="U28">
            <v>0</v>
          </cell>
          <cell r="V28">
            <v>124561.08266276518</v>
          </cell>
          <cell r="W28">
            <v>0</v>
          </cell>
          <cell r="X28">
            <v>0</v>
          </cell>
          <cell r="Y28">
            <v>0</v>
          </cell>
          <cell r="Z28">
            <v>0</v>
          </cell>
          <cell r="AA28">
            <v>0</v>
          </cell>
          <cell r="AB28">
            <v>0</v>
          </cell>
          <cell r="AD28">
            <v>124560</v>
          </cell>
        </row>
        <row r="29">
          <cell r="Q29" t="str">
            <v>ZA</v>
          </cell>
          <cell r="R29">
            <v>32399</v>
          </cell>
          <cell r="S29">
            <v>29626.005852231167</v>
          </cell>
          <cell r="T29">
            <v>0</v>
          </cell>
          <cell r="U29">
            <v>29626.005852231167</v>
          </cell>
          <cell r="V29">
            <v>0</v>
          </cell>
          <cell r="W29">
            <v>385138.07607900514</v>
          </cell>
          <cell r="X29">
            <v>0</v>
          </cell>
          <cell r="Y29">
            <v>0</v>
          </cell>
          <cell r="Z29">
            <v>0</v>
          </cell>
          <cell r="AA29">
            <v>0</v>
          </cell>
          <cell r="AB29">
            <v>0</v>
          </cell>
          <cell r="AD29">
            <v>250000</v>
          </cell>
        </row>
        <row r="30">
          <cell r="Q30" t="str">
            <v>Ahmad Javaid</v>
          </cell>
          <cell r="R30">
            <v>12745</v>
          </cell>
          <cell r="S30">
            <v>11654.16971470373</v>
          </cell>
          <cell r="T30">
            <v>0</v>
          </cell>
          <cell r="U30">
            <v>0</v>
          </cell>
          <cell r="V30">
            <v>0</v>
          </cell>
          <cell r="W30">
            <v>0</v>
          </cell>
          <cell r="X30">
            <v>0</v>
          </cell>
          <cell r="Y30">
            <v>0</v>
          </cell>
          <cell r="Z30">
            <v>0</v>
          </cell>
          <cell r="AA30">
            <v>0</v>
          </cell>
          <cell r="AB30">
            <v>151504.2062911485</v>
          </cell>
          <cell r="AD30">
            <v>0</v>
          </cell>
        </row>
        <row r="31">
          <cell r="Q31" t="str">
            <v>Rehman Ali</v>
          </cell>
          <cell r="R31">
            <v>50131</v>
          </cell>
          <cell r="S31">
            <v>45840.343818580841</v>
          </cell>
          <cell r="T31">
            <v>0</v>
          </cell>
          <cell r="U31">
            <v>45840.343818580841</v>
          </cell>
          <cell r="V31">
            <v>0</v>
          </cell>
          <cell r="W31">
            <v>595924.46964155091</v>
          </cell>
          <cell r="X31">
            <v>0</v>
          </cell>
          <cell r="Y31">
            <v>0</v>
          </cell>
          <cell r="Z31">
            <v>0</v>
          </cell>
          <cell r="AA31">
            <v>0</v>
          </cell>
          <cell r="AB31">
            <v>0</v>
          </cell>
          <cell r="AD31">
            <v>550000</v>
          </cell>
        </row>
        <row r="32">
          <cell r="Q32" t="str">
            <v>Shani Badshah</v>
          </cell>
          <cell r="R32">
            <v>200033</v>
          </cell>
          <cell r="S32">
            <v>182912.39941477691</v>
          </cell>
          <cell r="T32">
            <v>96185.076810534025</v>
          </cell>
          <cell r="U32">
            <v>86727.322604242872</v>
          </cell>
          <cell r="V32">
            <v>961850.76810534031</v>
          </cell>
          <cell r="W32">
            <v>1127455.1938551574</v>
          </cell>
          <cell r="X32">
            <v>0</v>
          </cell>
          <cell r="Y32">
            <v>0</v>
          </cell>
          <cell r="Z32">
            <v>0</v>
          </cell>
          <cell r="AA32">
            <v>0</v>
          </cell>
          <cell r="AB32">
            <v>0</v>
          </cell>
          <cell r="AD32">
            <v>1300000</v>
          </cell>
        </row>
        <row r="33">
          <cell r="Q33" t="str">
            <v>Ahmad Shafique</v>
          </cell>
          <cell r="R33">
            <v>53541</v>
          </cell>
          <cell r="S33">
            <v>48958.485735186543</v>
          </cell>
          <cell r="T33">
            <v>0</v>
          </cell>
          <cell r="U33">
            <v>48958.485735186543</v>
          </cell>
          <cell r="V33">
            <v>0</v>
          </cell>
          <cell r="W33">
            <v>636460.3145574251</v>
          </cell>
          <cell r="X33">
            <v>0</v>
          </cell>
          <cell r="Y33">
            <v>0</v>
          </cell>
          <cell r="Z33">
            <v>0</v>
          </cell>
          <cell r="AA33">
            <v>0</v>
          </cell>
          <cell r="AB33">
            <v>0</v>
          </cell>
          <cell r="AD33">
            <v>636000</v>
          </cell>
        </row>
        <row r="34">
          <cell r="Q34" t="str">
            <v>Hafiz Shawl</v>
          </cell>
          <cell r="R34">
            <v>1445</v>
          </cell>
          <cell r="S34">
            <v>1321.3240673006585</v>
          </cell>
          <cell r="T34">
            <v>0</v>
          </cell>
          <cell r="U34">
            <v>1321.3240673006585</v>
          </cell>
          <cell r="V34">
            <v>0</v>
          </cell>
          <cell r="W34">
            <v>15855.888807607902</v>
          </cell>
          <cell r="X34">
            <v>0</v>
          </cell>
          <cell r="Y34">
            <v>0</v>
          </cell>
          <cell r="Z34">
            <v>0</v>
          </cell>
          <cell r="AA34">
            <v>0</v>
          </cell>
          <cell r="AB34">
            <v>0</v>
          </cell>
          <cell r="AD34">
            <v>15855</v>
          </cell>
        </row>
        <row r="35">
          <cell r="R35">
            <v>0</v>
          </cell>
          <cell r="S35">
            <v>0</v>
          </cell>
          <cell r="T35">
            <v>0</v>
          </cell>
          <cell r="U35">
            <v>0</v>
          </cell>
          <cell r="V35">
            <v>0</v>
          </cell>
          <cell r="W35">
            <v>0</v>
          </cell>
          <cell r="X35">
            <v>0</v>
          </cell>
          <cell r="Y35">
            <v>0</v>
          </cell>
          <cell r="Z35">
            <v>0</v>
          </cell>
          <cell r="AA35">
            <v>0</v>
          </cell>
          <cell r="AB35">
            <v>0</v>
          </cell>
          <cell r="AD35">
            <v>0</v>
          </cell>
        </row>
        <row r="36">
          <cell r="V36">
            <v>0</v>
          </cell>
          <cell r="W36">
            <v>0</v>
          </cell>
          <cell r="X36">
            <v>0</v>
          </cell>
          <cell r="Y36">
            <v>0</v>
          </cell>
          <cell r="Z36">
            <v>0</v>
          </cell>
          <cell r="AA36">
            <v>0</v>
          </cell>
          <cell r="AB36">
            <v>0</v>
          </cell>
          <cell r="AD36">
            <v>0</v>
          </cell>
        </row>
      </sheetData>
      <sheetData sheetId="1"/>
      <sheetData sheetId="2"/>
      <sheetData sheetId="3">
        <row r="21">
          <cell r="F21">
            <v>187051.73646671569</v>
          </cell>
        </row>
      </sheetData>
      <sheetData sheetId="4"/>
      <sheetData sheetId="5"/>
      <sheetData sheetId="6"/>
      <sheetData sheetId="7"/>
      <sheetData sheetId="8">
        <row r="5">
          <cell r="N5">
            <v>5892642</v>
          </cell>
        </row>
        <row r="6">
          <cell r="N6">
            <v>-610916</v>
          </cell>
        </row>
      </sheetData>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5949071" createdVersion="8" refreshedVersion="8" minRefreshableVersion="3" recordCount="766" xr:uid="{B5BDFB73-D93A-4A7A-8149-666BC190B09B}">
  <cacheSource type="worksheet">
    <worksheetSource name="Table14"/>
  </cacheSource>
  <cacheFields count="7">
    <cacheField name="Date" numFmtId="14">
      <sharedItems containsNonDate="0" containsDate="1" containsString="0" containsBlank="1" minDate="2025-12-23T00:00:00" maxDate="2026-05-05T00:00:00"/>
    </cacheField>
    <cacheField name="Party" numFmtId="0">
      <sharedItems containsBlank="1" count="105">
        <s v="omer"/>
        <s v="Closing CF"/>
        <s v="Arb Dasti"/>
        <s v="Dasti"/>
        <s v="Ejaz sahab"/>
        <s v="Parts"/>
        <s v="Zaheer shah wood"/>
        <s v="Faizan"/>
        <s v="Electricity"/>
        <s v="Shani Badshah"/>
        <s v="Transport"/>
        <s v="Crescent dyes"/>
        <s v="Aslam Multani"/>
        <s v="Finish"/>
        <s v="misc"/>
        <s v="Hafiz qureshi"/>
        <s v="Zahid Ejaz"/>
        <s v="ishaq"/>
        <s v="Arshad"/>
        <s v="amjad wood"/>
        <s v="Malik Zaheer"/>
        <s v="Kaleem ullah"/>
        <s v="AS Traders"/>
        <s v="Building Acc"/>
        <s v="salary"/>
        <s v="Loom ac"/>
        <s v="madina dyes"/>
        <s v="irfan punjabi"/>
        <s v="Faizan Kamoki"/>
        <s v="Unicolour"/>
        <s v="ibraheem behraam"/>
        <s v="Shahid Qasayi"/>
        <s v="adjustment"/>
        <s v="advance salary"/>
        <s v="dyes"/>
        <s v="Rashan"/>
        <s v="KK fabrics"/>
        <s v="Shengtai"/>
        <s v="MAK dyes"/>
        <s v="sajad khan"/>
        <s v="Raaz fabrics"/>
        <s v="altaf sahab"/>
        <s v="ahmad javaid"/>
        <s v="Hafiz shawl"/>
        <s v="ZA"/>
        <s v="kabaar"/>
        <s v="abid ghafoor"/>
        <s v="Babar wood"/>
        <s v="Ubaidullah"/>
        <s v="Haroon wood"/>
        <s v="azhar pva"/>
        <s v="aurangzeb wood"/>
        <s v="Wood party"/>
        <m u="1"/>
        <s v="jaranwala" u="1"/>
        <s v="salman Zaffar" u="1"/>
        <s v="temp" u="1"/>
        <s v="Rehman Ali" u="1"/>
        <s v="Faysal Akraam" u="1"/>
        <s v="Faisal Dyes" u="1"/>
        <s v="Ahmad Shafique" u="1"/>
        <s v="Wazir Dyes" u="1"/>
        <s v="Gauhar Kashif" u="1"/>
        <s v="Amjad Sohail" u="1"/>
        <s v="Azam" u="1"/>
        <s v="General Dyes" u="1"/>
        <s v="Rafaqat" u="1"/>
        <s v="Rana Babar" u="1"/>
        <s v="Ibraheem" u="1"/>
        <s v="Badshah Fabrics" u="1"/>
        <s v="Usman shafiq dyes" u="1"/>
        <s v="shehzad kamoki" u="1"/>
        <s v="sufi nawaz sahab" u="1"/>
        <s v="Closing October CF" u="1"/>
        <s v="Aurangzeb" u="1"/>
        <s v="BSC" u="1"/>
        <s v="Haseeb Shamsi" u="1"/>
        <s v="Ashraf Zia" u="1"/>
        <s v="Zia-ullah karachi" u="1"/>
        <s v="Shafi Dyes" u="1"/>
        <s v="Hameed corporation" u="1"/>
        <s v="Zia-ullah" u="1"/>
        <s v="Closing September CF" u="1"/>
        <s v="copper" u="1"/>
        <s v="sunsuper theka" u="1"/>
        <s v="electric bill" u="1"/>
        <s v="Shafique Ansari" u="1"/>
        <s v="Chain Acc" u="1"/>
        <s v="Amjad 7up" u="1"/>
        <s v="Hazrat khan" u="1"/>
        <s v="Al madina" u="1"/>
        <s v="Closing August CF" u="1"/>
        <s v="Cash" u="1"/>
        <s v="Shamil" u="1"/>
        <s v="Closing July CF" u="1"/>
        <s v="Chemicals" u="1"/>
        <s v="Raaz" u="1"/>
        <s v="Diesel" u="1"/>
        <s v="Old Bill" u="1"/>
        <s v="temp (Ashfaq Sahab)" u="1"/>
        <s v="Salary " u="1"/>
        <s v="Aqib" u="1"/>
        <s v="Toll" u="1"/>
        <s v="Self" u="1"/>
        <s v="Aqib Freight" u="1"/>
      </sharedItems>
    </cacheField>
    <cacheField name="Debit" numFmtId="164">
      <sharedItems containsString="0" containsBlank="1" containsNumber="1" minValue="150" maxValue="6825308"/>
    </cacheField>
    <cacheField name="Credit" numFmtId="164">
      <sharedItems containsBlank="1" containsMixedTypes="1" containsNumber="1" minValue="-610916" maxValue="5892642"/>
    </cacheField>
    <cacheField name="Description" numFmtId="0">
      <sharedItems containsDate="1" containsBlank="1" containsMixedTypes="1" minDate="2026-04-11T00:00:00" maxDate="2026-04-12T00:00:00"/>
    </cacheField>
    <cacheField name="Mode" numFmtId="0">
      <sharedItems containsBlank="1"/>
    </cacheField>
    <cacheField name="Withdraw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6296294" createdVersion="8" refreshedVersion="8" minRefreshableVersion="3" recordCount="17" xr:uid="{C9337D87-FB7F-43A5-B835-F515E859066B}">
  <cacheSource type="worksheet">
    <worksheetSource name="Table4"/>
  </cacheSource>
  <cacheFields count="4">
    <cacheField name="Party Name" numFmtId="0">
      <sharedItems count="17">
        <s v="BSC"/>
        <s v="Ejaz Sahab"/>
        <s v="Arshad"/>
        <s v="Shehzad Kamoki"/>
        <s v="Sufi Nawaz Sahab"/>
        <s v="Sajad Khan"/>
        <s v="Raaz Fabrics"/>
        <s v="Azam"/>
        <s v="Ubaidullah"/>
        <s v="Ashraf Zia"/>
        <s v="Hafiz Qureshi"/>
        <s v="Badshah Fabrics"/>
        <s v="Gauhar Kashif"/>
        <s v="Amjad 7up"/>
        <s v="Hazrat Khan"/>
        <s v="Haseeb Shamsi"/>
        <s v="Faizan"/>
      </sharedItems>
    </cacheField>
    <cacheField name="Tiyaar" numFmtId="1">
      <sharedItems containsSemiMixedTypes="0" containsString="0" containsNumber="1" minValue="0" maxValue="830695.86686174106"/>
    </cacheField>
    <cacheField name="Rate" numFmtId="0">
      <sharedItems containsString="0" containsBlank="1" containsNumber="1" minValue="10" maxValue="12"/>
    </cacheField>
    <cacheField name="Total" numFmtId="164">
      <sharedItems containsSemiMixedTypes="0" containsString="0" containsNumber="1" minValue="0" maxValue="5987757.86393562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641204" createdVersion="8" refreshedVersion="8" minRefreshableVersion="3" recordCount="40" xr:uid="{AC867DCC-CE64-4D1A-827D-F1F3EE10EE4E}">
  <cacheSource type="worksheet">
    <worksheetSource name="Table8"/>
  </cacheSource>
  <cacheFields count="9">
    <cacheField name="Date" numFmtId="0">
      <sharedItems containsNonDate="0" containsDate="1" containsString="0" containsBlank="1" minDate="2025-05-16T00:00:00" maxDate="2026-05-03T00:00:00" count="93">
        <d v="2026-02-19T00:00:00"/>
        <d v="2026-02-20T00:00:00"/>
        <d v="2026-02-22T00:00:00"/>
        <d v="2026-02-23T00:00:00"/>
        <d v="2026-02-24T00:00:00"/>
        <d v="2026-02-25T00:00:00"/>
        <d v="2026-02-26T00:00:00"/>
        <d v="2026-03-05T00:00:00"/>
        <d v="2026-03-10T00:00:00"/>
        <d v="2026-03-17T00:00:00"/>
        <d v="2026-04-04T00:00:00"/>
        <d v="2026-04-08T00:00:00"/>
        <d v="2026-04-15T00:00:00"/>
        <d v="2026-04-18T00:00:00"/>
        <d v="2026-04-22T00:00:00"/>
        <d v="2026-04-23T00:00:00"/>
        <m/>
        <d v="2026-04-27T00:00:00"/>
        <d v="2026-05-02T00:00:00"/>
        <d v="2025-12-17T00:00:00" u="1"/>
        <d v="2026-01-22T00:00:00" u="1"/>
        <d v="2026-01-26T00:00:00" u="1"/>
        <d v="2026-01-29T00:00:00" u="1"/>
        <d v="2026-01-31T00:00:00" u="1"/>
        <d v="2026-02-03T00:00:00" u="1"/>
        <d v="2026-02-05T00:00:00" u="1"/>
        <d v="2026-02-07T00:00:00" u="1"/>
        <d v="2026-02-09T00:00:00" u="1"/>
        <d v="2026-02-14T00:00:00" u="1"/>
        <d v="2026-02-17T00:00:00" u="1"/>
        <d v="2025-12-18T00:00:00" u="1"/>
        <d v="2025-12-22T00:00:00" u="1"/>
        <d v="2025-12-26T00:00:00" u="1"/>
        <d v="2025-12-25T00:00:00" u="1"/>
        <d v="2025-12-27T00:00:00" u="1"/>
        <d v="2025-12-29T00:00:00" u="1"/>
        <d v="2026-01-02T00:00:00" u="1"/>
        <d v="2026-01-03T00:00:00" u="1"/>
        <d v="2026-01-06T00:00:00" u="1"/>
        <d v="2026-01-07T00:00:00" u="1"/>
        <d v="2026-01-09T00:00:00" u="1"/>
        <d v="2026-01-12T00:00:00" u="1"/>
        <d v="2026-01-16T00:00:00" u="1"/>
        <d v="2025-10-17T00:00:00" u="1"/>
        <d v="2025-11-18T00:00:00" u="1"/>
        <d v="2025-11-20T00:00:00" u="1"/>
        <d v="2025-11-22T00:00:00" u="1"/>
        <d v="2025-11-25T00:00:00" u="1"/>
        <d v="2025-11-26T00:00:00" u="1"/>
        <d v="2025-11-27T00:00:00" u="1"/>
        <d v="2025-11-29T00:00:00" u="1"/>
        <d v="2025-12-01T00:00:00" u="1"/>
        <d v="2025-12-02T00:00:00" u="1"/>
        <d v="2025-12-04T00:00:00" u="1"/>
        <d v="2025-12-11T00:00:00" u="1"/>
        <d v="2025-12-09T00:00:00" u="1"/>
        <d v="2025-12-06T00:00:00" u="1"/>
        <d v="2025-12-12T00:00:00" u="1"/>
        <d v="2025-12-16T00:00:00" u="1"/>
        <d v="2025-10-18T00:00:00" u="1"/>
        <d v="2025-10-25T00:00:00" u="1"/>
        <d v="2025-10-30T00:00:00" u="1"/>
        <d v="2025-10-31T00:00:00" u="1"/>
        <d v="2025-11-01T00:00:00" u="1"/>
        <d v="2025-11-13T00:00:00" u="1"/>
        <d v="2025-11-14T00:00:00" u="1"/>
        <d v="2025-11-17T00:00:00" u="1"/>
        <d v="2025-09-16T00:00:00" u="1"/>
        <d v="2025-09-19T00:00:00" u="1"/>
        <d v="2025-09-22T00:00:00" u="1"/>
        <d v="2025-09-26T00:00:00" u="1"/>
        <d v="2025-09-27T00:00:00" u="1"/>
        <d v="2025-10-09T00:00:00" u="1"/>
        <d v="2025-10-14T00:00:00" u="1"/>
        <d v="2025-08-16T00:00:00" u="1"/>
        <d v="2025-08-19T00:00:00" u="1"/>
        <d v="2025-08-20T00:00:00" u="1"/>
        <d v="2025-08-23T00:00:00" u="1"/>
        <d v="2025-09-10T00:00:00" u="1"/>
        <d v="2025-09-13T00:00:00" u="1"/>
        <d v="2025-08-21T00:00:00" u="1"/>
        <d v="2025-08-22T00:00:00" u="1"/>
        <d v="2025-08-24T00:00:00" u="1"/>
        <d v="2025-08-25T00:00:00" u="1"/>
        <d v="2025-08-26T00:00:00" u="1"/>
        <d v="2025-08-27T00:00:00" u="1"/>
        <d v="2025-08-28T00:00:00" u="1"/>
        <d v="2025-05-16T00:00:00" u="1"/>
        <d v="2025-07-24T00:00:00" u="1"/>
        <d v="2025-08-01T00:00:00" u="1"/>
        <d v="2025-08-05T00:00:00" u="1"/>
        <d v="2025-08-11T00:00:00" u="1"/>
        <d v="2025-08-13T00:00:00" u="1"/>
      </sharedItems>
    </cacheField>
    <cacheField name="Chemical Name" numFmtId="0">
      <sharedItems containsBlank="1"/>
    </cacheField>
    <cacheField name="Boxes" numFmtId="0">
      <sharedItems containsString="0" containsBlank="1" containsNumber="1" containsInteger="1" minValue="5" maxValue="10"/>
    </cacheField>
    <cacheField name="Rate" numFmtId="0">
      <sharedItems containsNonDate="0" containsString="0" containsBlank="1"/>
    </cacheField>
    <cacheField name="Price" numFmtId="0">
      <sharedItems containsString="0" containsBlank="1" containsNumber="1" containsInteger="1" minValue="7800" maxValue="718750"/>
    </cacheField>
    <cacheField name="Party" numFmtId="0">
      <sharedItems containsBlank="1" count="15">
        <s v="Unicolour"/>
        <s v="madina dyes"/>
        <s v="General Dyes"/>
        <s v="Shafi Dyes"/>
        <s v="MAK dyes"/>
        <s v="wazir dyes"/>
        <s v="Crescent dyes"/>
        <s v="Faisal Dyes"/>
        <s v="dyes"/>
        <m/>
        <s v="Navy" u="1"/>
        <s v="13 carton" u="1"/>
        <s v="usman shafiq Dyes" u="1"/>
        <s v="Al madina" u="1"/>
        <s v="-" u="1"/>
      </sharedItems>
    </cacheField>
    <cacheField name="Paid" numFmtId="0">
      <sharedItems containsSemiMixedTypes="0" containsString="0" containsNumber="1" containsInteger="1" minValue="0" maxValue="400000"/>
    </cacheField>
    <cacheField name="Balance" numFmtId="0">
      <sharedItems containsSemiMixedTypes="0" containsString="0" containsNumber="1" containsInteger="1" minValue="-400000" maxValue="764250"/>
    </cacheField>
    <cacheField name="inf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6527779" createdVersion="8" refreshedVersion="8" minRefreshableVersion="3" recordCount="125" xr:uid="{3E5C2981-ACF5-44A9-8567-B1D65DB3A8D2}">
  <cacheSource type="worksheet">
    <worksheetSource name="Table3"/>
  </cacheSource>
  <cacheFields count="9">
    <cacheField name="Date" numFmtId="14">
      <sharedItems containsNonDate="0" containsDate="1" containsString="0" containsBlank="1" minDate="2025-05-02T00:00:00" maxDate="2026-12-28T00:00:00" count="220">
        <d v="2026-02-20T00:00:00"/>
        <m/>
        <d v="2026-02-21T00:00:00"/>
        <d v="2026-02-22T00:00:00"/>
        <d v="2026-02-19T00:00:00"/>
        <d v="2026-02-23T00:00:00"/>
        <d v="2026-02-24T00:00:00"/>
        <d v="2026-02-25T00:00:00"/>
        <d v="2026-02-27T00:00:00"/>
        <d v="2026-03-02T00:00:00"/>
        <d v="2026-03-03T00:00:00"/>
        <d v="2026-03-04T00:00:00"/>
        <d v="2026-03-05T00:00:00"/>
        <d v="2026-03-06T00:00:00"/>
        <d v="2026-03-09T00:00:00"/>
        <d v="2026-03-11T00:00:00"/>
        <d v="2026-03-17T00:00:00"/>
        <d v="2026-04-10T00:00:00"/>
        <d v="2026-04-14T00:00:00"/>
        <d v="2026-04-15T00:00:00"/>
        <d v="2026-04-17T00:00:00"/>
        <d v="2026-04-19T00:00:00"/>
        <d v="2026-04-18T00:00:00"/>
        <d v="2026-04-21T00:00:00"/>
        <d v="2026-04-23T00:00:00"/>
        <d v="2026-04-24T00:00:00"/>
        <d v="2026-04-25T00:00:00"/>
        <d v="2026-04-30T00:00:00"/>
        <d v="2026-05-02T00:00:00"/>
        <d v="2026-01-20T00:00:00" u="1"/>
        <d v="2026-01-22T00:00:00" u="1"/>
        <d v="2026-01-26T00:00:00" u="1"/>
        <d v="2026-01-27T00:00:00" u="1"/>
        <d v="2026-01-28T00:00:00" u="1"/>
        <d v="2026-01-30T00:00:00" u="1"/>
        <d v="2026-02-01T00:00:00" u="1"/>
        <d v="2026-01-31T00:00:00" u="1"/>
        <d v="2026-02-02T00:00:00" u="1"/>
        <d v="2026-02-04T00:00:00" u="1"/>
        <d v="2026-02-06T00:00:00" u="1"/>
        <d v="2026-02-03T00:00:00" u="1"/>
        <d v="2026-02-07T00:00:00" u="1"/>
        <d v="2026-02-08T00:00:00" u="1"/>
        <d v="2026-02-09T00:00:00" u="1"/>
        <d v="2026-02-10T00:00:00" u="1"/>
        <d v="2026-02-11T00:00:00" u="1"/>
        <d v="2026-02-13T00:00:00" u="1"/>
        <d v="2026-02-14T00:00:00" u="1"/>
        <d v="2026-02-15T00:00:00" u="1"/>
        <d v="2026-02-16T00:00:00" u="1"/>
        <d v="2026-02-17T00:00:00" u="1"/>
        <d v="2026-02-18T00:00:00" u="1"/>
        <d v="2026-01-03T00:00:00" u="1"/>
        <d v="2026-01-02T00:00:00" u="1"/>
        <d v="2025-12-17T00:00:00" u="1"/>
        <d v="2025-12-18T00:00:00" u="1"/>
        <d v="2025-12-19T00:00:00" u="1"/>
        <d v="2025-12-20T00:00:00" u="1"/>
        <d v="2025-12-22T00:00:00" u="1"/>
        <d v="2025-12-21T00:00:00" u="1"/>
        <d v="2025-12-23T00:00:00" u="1"/>
        <d v="2025-12-24T00:00:00" u="1"/>
        <d v="2025-12-25T00:00:00" u="1"/>
        <d v="2025-12-26T00:00:00" u="1"/>
        <d v="2025-12-27T00:00:00" u="1"/>
        <d v="2025-12-29T00:00:00" u="1"/>
        <d v="2025-12-28T00:00:00" u="1"/>
        <d v="2025-12-30T00:00:00" u="1"/>
        <d v="2025-12-31T00:00:00" u="1"/>
        <d v="2026-01-01T00:00:00" u="1"/>
        <d v="2026-01-05T00:00:00" u="1"/>
        <d v="2026-01-04T00:00:00" u="1"/>
        <d v="2026-01-06T00:00:00" u="1"/>
        <d v="2026-01-07T00:00:00" u="1"/>
        <d v="2026-01-08T00:00:00" u="1"/>
        <d v="2026-01-09T00:00:00" u="1"/>
        <d v="2026-01-10T00:00:00" u="1"/>
        <d v="2026-01-12T00:00:00" u="1"/>
        <d v="2026-01-11T00:00:00" u="1"/>
        <d v="2026-01-13T00:00:00" u="1"/>
        <d v="2026-01-14T00:00:00" u="1"/>
        <d v="2026-01-15T00:00:00" u="1"/>
        <d v="2026-01-16T00:00:00" u="1"/>
        <d v="2026-01-18T00:00:00" u="1"/>
        <d v="2026-01-19T00:00:00" u="1"/>
        <d v="2026-12-27T00:00:00" u="1"/>
        <d v="2025-10-17T00:00:00" u="1"/>
        <d v="2025-11-18T00:00:00" u="1"/>
        <d v="2025-11-19T00:00:00" u="1"/>
        <d v="2025-11-20T00:00:00" u="1"/>
        <d v="2025-11-21T00:00:00" u="1"/>
        <d v="2025-11-23T00:00:00" u="1"/>
        <d v="2025-11-24T00:00:00" u="1"/>
        <d v="2025-11-25T00:00:00" u="1"/>
        <d v="2025-11-26T00:00:00" u="1"/>
        <d v="2025-11-27T00:00:00" u="1"/>
        <d v="2025-11-28T00:00:00" u="1"/>
        <d v="2025-11-29T00:00:00" u="1"/>
        <d v="2025-12-01T00:00:00" u="1"/>
        <d v="2025-12-02T00:00:00" u="1"/>
        <d v="2025-12-03T00:00:00" u="1"/>
        <d v="2025-12-04T00:00:00" u="1"/>
        <d v="2025-12-05T00:00:00" u="1"/>
        <d v="2025-12-06T00:00:00" u="1"/>
        <d v="2025-12-07T00:00:00" u="1"/>
        <d v="2025-12-08T00:00:00" u="1"/>
        <d v="2025-12-09T00:00:00" u="1"/>
        <d v="2025-12-10T00:00:00" u="1"/>
        <d v="2025-12-11T00:00:00" u="1"/>
        <d v="2025-12-12T00:00:00" u="1"/>
        <d v="2025-12-14T00:00:00" u="1"/>
        <d v="2025-12-13T00:00:00" u="1"/>
        <d v="2025-12-15T00:00:00" u="1"/>
        <d v="2025-12-16T00:00:00" u="1"/>
        <d v="2025-10-18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0-09T00:00:00" u="1"/>
        <d v="2025-11-10T00:00:00" u="1"/>
        <d v="2025-11-11T00:00:00" u="1"/>
        <d v="2025-11-12T00:00:00" u="1"/>
        <d v="2025-11-14T00:00:00" u="1"/>
        <d v="2025-11-17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10T00:00:00" u="1"/>
        <d v="2025-10-12T00:00:00" u="1"/>
        <d v="2025-10-13T00:00:00" u="1"/>
        <d v="2025-10-14T00:00:00" u="1"/>
        <d v="2025-10-15T00:00:00" u="1"/>
        <d v="2025-10-16T00:00:00" u="1"/>
        <d v="2025-09-01T00:00:00" u="1"/>
        <d v="2025-08-16T00:00:00" u="1"/>
        <d v="2025-08-12T00:00:00" u="1"/>
        <d v="2025-08-13T00:00:00" u="1"/>
        <d v="2025-08-15T00:00:00" u="1"/>
        <d v="2025-08-17T00:00:00" u="1"/>
        <d v="2025-08-18T00:00:00" u="1"/>
        <d v="2025-08-19T00:00:00" u="1"/>
        <d v="2025-08-20T00:00:00" u="1"/>
        <d v="2025-08-21T00:00:00" u="1"/>
        <d v="2025-08-23T00:00:00" u="1"/>
        <d v="2025-08-25T00:00:00" u="1"/>
        <d v="2025-08-24T00:00:00" u="1"/>
        <d v="2025-08-26T00:00:00" u="1"/>
        <d v="2025-08-27T00:00:00" u="1"/>
        <d v="2025-08-28T00:00:00" u="1"/>
        <d v="2025-08-30T00:00:00" u="1"/>
        <d v="2025-08-31T00:00:00" u="1"/>
        <d v="2025-09-02T00:00:00" u="1"/>
        <d v="2025-09-03T00:00:00" u="1"/>
        <d v="2025-09-04T00:00:00" u="1"/>
        <d v="2025-09-05T00:00:00" u="1"/>
        <d v="2025-09-07T00:00:00" u="1"/>
        <d v="2025-09-08T00:00:00" u="1"/>
        <d v="2025-09-09T00:00:00" u="1"/>
        <d v="2025-09-10T00:00:00" u="1"/>
        <d v="2025-09-11T00:00:00" u="1"/>
        <d v="2025-09-12T00:00:00" u="1"/>
        <d v="2025-09-13T00:00:00" u="1"/>
        <d v="2025-09-14T00:00:00" u="1"/>
        <d v="2025-09-15T00:00:00" u="1"/>
        <d v="2025-08-02T00:00:00" u="1"/>
        <d v="2025-07-02T00:00:00" u="1"/>
        <d v="2025-06-02T00:00:00" u="1"/>
        <d v="2025-05-02T00:00:00" u="1"/>
        <d v="2025-07-13T00:00:00" u="1"/>
        <d v="2025-07-14T00:00:00" u="1"/>
        <d v="2025-07-15T00:00:00" u="1"/>
        <d v="2025-07-19T00:00:00" u="1"/>
        <d v="2025-07-20T00:00:00" u="1"/>
        <d v="2025-07-21T00:00:00" u="1"/>
        <d v="2025-07-31T00:00:00" u="1"/>
        <d v="2025-08-03T00:00:00" u="1"/>
        <d v="2025-08-04T00:00:00" u="1"/>
        <d v="2025-08-07T00:00:00" u="1"/>
        <d v="2025-08-08T00:00:00" u="1"/>
        <d v="2025-08-09T00:00:00" u="1"/>
        <d v="2025-08-10T00:00:00" u="1"/>
        <d v="2025-08-11T00:00:00" u="1"/>
        <d v="2025-08-14T00:00:00" u="1"/>
        <d v="2025-08-01T00:00:00" u="1"/>
      </sharedItems>
    </cacheField>
    <cacheField name="Party Name" numFmtId="0">
      <sharedItems containsBlank="1" count="17">
        <s v="Aqib"/>
        <s v="Malik zaheer"/>
        <s v="aslam Multani"/>
        <s v="Rafaqat"/>
        <s v="Kaleem ullah"/>
        <s v="Ishaq"/>
        <s v="Aurangzeb"/>
        <s v="Irfan Punjabi"/>
        <s v="Amjad wood"/>
        <s v="Rana Babar"/>
        <m/>
        <s v="Zaheer shah wood"/>
        <s v="babar wood"/>
        <s v="Haroon wood"/>
        <s v="jaranwala" u="1"/>
        <s v="Shamil" u="1"/>
        <s v="Aqib Freight" u="1"/>
      </sharedItems>
    </cacheField>
    <cacheField name="Vehicle Number" numFmtId="0">
      <sharedItems containsBlank="1" containsMixedTypes="1" containsNumber="1" containsInteger="1" minValue="31" maxValue="9940" count="58">
        <s v="Closing Balance CF"/>
        <m/>
        <n v="9662" u="1"/>
        <n v="2223" u="1"/>
        <n v="8618" u="1"/>
        <n v="3414" u="1"/>
        <n v="112" u="1"/>
        <n v="1435" u="1"/>
        <n v="4646" u="1"/>
        <n v="1196" u="1"/>
        <n v="4366" u="1"/>
        <n v="442" u="1"/>
        <n v="6613" u="1"/>
        <n v="4095" u="1"/>
        <n v="3229" u="1"/>
        <n v="162" u="1"/>
        <n v="8141" u="1"/>
        <n v="5560" u="1"/>
        <n v="685" u="1"/>
        <n v="571" u="1"/>
        <n v="160" u="1"/>
        <n v="6691" u="1"/>
        <n v="1055" u="1"/>
        <n v="8395" u="1"/>
        <n v="4649" u="1"/>
        <n v="52" u="1"/>
        <n v="739" u="1"/>
        <n v="1288" u="1"/>
        <n v="5045" u="1"/>
        <n v="561" u="1"/>
        <n v="447" u="1"/>
        <n v="5946" u="1"/>
        <n v="1910" u="1"/>
        <n v="7286" u="1"/>
        <n v="1961" u="1"/>
        <n v="3220" u="1"/>
        <n v="5679" u="1"/>
        <n v="9373" u="1"/>
        <n v="1973" u="1"/>
        <n v="9940" u="1"/>
        <n v="31" u="1"/>
        <n v="3834" u="1"/>
        <n v="9755" u="1"/>
        <n v="1561" u="1"/>
        <n v="2980" u="1"/>
        <n v="7221" u="1"/>
        <n v="8901" u="1"/>
        <n v="8994" u="1"/>
        <n v="364" u="1"/>
        <n v="4068" u="1"/>
        <n v="6038" u="1"/>
        <n v="2727" u="1"/>
        <n v="2570" u="1"/>
        <n v="6851" u="1"/>
        <n v="303" u="1"/>
        <n v="5963" u="1"/>
        <n v="1671" u="1"/>
        <n v="1972" u="1"/>
      </sharedItems>
    </cacheField>
    <cacheField name="Weight" numFmtId="164">
      <sharedItems containsString="0" containsBlank="1" containsNumber="1" containsInteger="1" minValue="46" maxValue="458"/>
    </cacheField>
    <cacheField name="Rate" numFmtId="164">
      <sharedItems containsString="0" containsBlank="1" containsNumber="1" containsInteger="1" minValue="450" maxValue="1200"/>
    </cacheField>
    <cacheField name="Rent" numFmtId="164">
      <sharedItems containsString="0" containsBlank="1" containsNumber="1" containsInteger="1" minValue="25000" maxValue="100000"/>
    </cacheField>
    <cacheField name="Total" numFmtId="164">
      <sharedItems containsString="0" containsBlank="1" containsNumber="1" containsInteger="1" minValue="0" maxValue="499200"/>
    </cacheField>
    <cacheField name="Paid" numFmtId="164">
      <sharedItems containsString="0" containsBlank="1" containsNumber="1" containsInteger="1" minValue="0" maxValue="0"/>
    </cacheField>
    <cacheField name="balance" numFmtId="164">
      <sharedItems containsString="0" containsBlank="1" containsNumber="1" containsInteger="1" minValue="0" maxValue="134723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6643517" createdVersion="8" refreshedVersion="8" minRefreshableVersion="3" recordCount="44" xr:uid="{376A650C-1F79-4049-BC45-E34989F046B2}">
  <cacheSource type="worksheet">
    <worksheetSource name="Table2"/>
  </cacheSource>
  <cacheFields count="8">
    <cacheField name="Date" numFmtId="14">
      <sharedItems containsNonDate="0" containsDate="1" containsString="0" containsBlank="1" minDate="2026-02-20T00:00:00" maxDate="2026-05-05T00:00:00"/>
    </cacheField>
    <cacheField name="Party Name" numFmtId="14">
      <sharedItems containsBlank="1" count="11">
        <s v="Finish"/>
        <s v="Faysal Akraam"/>
        <s v="AS Traders"/>
        <s v="Abid ghafoor"/>
        <s v="Madina Dyes"/>
        <s v="Shengtai"/>
        <m/>
        <s v="new party"/>
        <s v="azhar pva"/>
        <s v="-" u="1"/>
        <s v="Faysal" u="1"/>
      </sharedItems>
    </cacheField>
    <cacheField name="Item" numFmtId="0">
      <sharedItems containsBlank="1"/>
    </cacheField>
    <cacheField name="Boxes" numFmtId="0">
      <sharedItems containsString="0" containsBlank="1" containsNumber="1" containsInteger="1" minValue="2" maxValue="40"/>
    </cacheField>
    <cacheField name="Quantity" numFmtId="0">
      <sharedItems containsString="0" containsBlank="1" containsNumber="1" containsInteger="1" minValue="125" maxValue="125"/>
    </cacheField>
    <cacheField name="Price" numFmtId="0">
      <sharedItems containsString="0" containsBlank="1" containsNumber="1" containsInteger="1" minValue="0" maxValue="312000"/>
    </cacheField>
    <cacheField name="Paid" numFmtId="0">
      <sharedItems containsString="0" containsBlank="1" containsNumber="1" containsInteger="1" minValue="0" maxValue="312000"/>
    </cacheField>
    <cacheField name="Balance" numFmtId="0">
      <sharedItems containsString="0" containsBlank="1" containsNumber="1" containsInteger="1" minValue="-312000" maxValue="312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147.089996875002" createdVersion="8" refreshedVersion="8" minRefreshableVersion="3" recordCount="236" xr:uid="{46CBB50D-3613-4E5B-8212-DD0313DCD05A}">
  <cacheSource type="worksheet">
    <worksheetSource name="Table1"/>
  </cacheSource>
  <cacheFields count="14">
    <cacheField name="Date" numFmtId="0">
      <sharedItems containsNonDate="0" containsDate="1" containsString="0" containsBlank="1" minDate="2026-02-02T00:00:00" maxDate="2026-05-05T00:00:00"/>
    </cacheField>
    <cacheField name="Party Name" numFmtId="0">
      <sharedItems containsBlank="1" count="44">
        <s v="BSC"/>
        <s v="Ejaz Sahab"/>
        <s v="Arshad"/>
        <s v="Shehzad Kamoki"/>
        <s v="Sufi Nawaz Sahab"/>
        <s v="Sajad Khan"/>
        <s v="Raaz Fabrics"/>
        <s v="Azam"/>
        <s v="Ubaidullah"/>
        <s v="Ashraf Zia"/>
        <s v="Hafiz Qureshi"/>
        <s v="Badshah Fabrics"/>
        <s v="Gauhar Kashif"/>
        <s v="Amjad 7up"/>
        <s v="Hazrat Khan"/>
        <s v="Haseeb Shamsi"/>
        <s v="Faizan"/>
        <s v="Shafique Ansari"/>
        <s v="Amjad sohail"/>
        <s v="Salman Zaffar"/>
        <s v="Shahid Qasayi"/>
        <s v="Hameed corporation"/>
        <s v="ibraheem behraam"/>
        <s v="Zia-ullah karachi"/>
        <s v="ZA"/>
        <s v="Ahmad Javaid"/>
        <s v="Shani Badshah"/>
        <s v="Rehman Ali"/>
        <s v="Ahmad Shafique"/>
        <s v="Hafiz Shawl"/>
        <s v="Zahid Ejaz"/>
        <s v="Faizan Kamoki"/>
        <s v="KK fabrics"/>
        <s v="Rauf Khan"/>
        <s v="Farhaan ali"/>
        <m/>
        <s v="zaid ejaz" u="1"/>
        <s v="Reject" u="1"/>
        <s v="YING" u="1"/>
        <s v="Meow" u="1"/>
        <s v="Umer Sb" u="1"/>
        <s v="-" u="1"/>
        <s v="Sajjad" u="1"/>
        <s v="Haji Ejaz" u="1"/>
      </sharedItems>
    </cacheField>
    <cacheField name="Bill Number" numFmtId="0">
      <sharedItems containsBlank="1" containsMixedTypes="1" containsNumber="1" containsInteger="1" minValue="1509" maxValue="1673"/>
    </cacheField>
    <cacheField name="Quality" numFmtId="0">
      <sharedItems containsBlank="1"/>
    </cacheField>
    <cacheField name="Shipment Number" numFmtId="164">
      <sharedItems containsBlank="1" containsMixedTypes="1" containsNumber="1" containsInteger="1" minValue="1558" maxValue="17000" count="535">
        <m/>
        <n v="2100"/>
        <n v="2080"/>
        <n v="2058"/>
        <n v="2069"/>
        <n v="1809"/>
        <n v="2060"/>
        <n v="2085"/>
        <n v="2078"/>
        <n v="2040"/>
        <n v="2049"/>
        <n v="2095"/>
        <n v="2082"/>
        <n v="2035"/>
        <n v="2102"/>
        <n v="2089"/>
        <n v="2101"/>
        <n v="2084"/>
        <n v="2103"/>
        <n v="2096"/>
        <n v="2105"/>
        <n v="2104"/>
        <n v="2088"/>
        <n v="1996"/>
        <n v="2113"/>
        <n v="2107"/>
        <n v="2108"/>
        <n v="2114"/>
        <n v="2109"/>
        <n v="2110"/>
        <n v="2106"/>
        <n v="2119"/>
        <n v="2112"/>
        <n v="2115"/>
        <n v="1980"/>
        <n v="2093"/>
        <n v="2121"/>
        <n v="2127"/>
        <n v="2118"/>
        <s v="1744+1745"/>
        <n v="2111"/>
        <n v="1810"/>
        <n v="1743"/>
        <n v="2125"/>
        <n v="1702"/>
        <n v="1742"/>
        <n v="1775"/>
        <n v="2126"/>
        <n v="2120"/>
        <n v="2128"/>
        <n v="2123"/>
        <n v="2122"/>
        <n v="2116"/>
        <n v="2130"/>
        <n v="2129"/>
        <n v="2132"/>
        <n v="2097"/>
        <n v="2139"/>
        <n v="2045"/>
        <n v="2098"/>
        <n v="2081"/>
        <n v="2133"/>
        <s v="2137+2138"/>
        <n v="2151"/>
        <n v="2153"/>
        <n v="2148"/>
        <n v="2136"/>
        <n v="2134"/>
        <n v="2117"/>
        <n v="2131"/>
        <n v="2146"/>
        <n v="2152"/>
        <n v="2162"/>
        <n v="2135"/>
        <n v="2154"/>
        <n v="2158"/>
        <n v="2155"/>
        <n v="2166"/>
        <n v="2165"/>
        <s v="2178+2149"/>
        <n v="2147"/>
        <n v="2144"/>
        <s v="2139-b"/>
        <n v="2143"/>
        <n v="2142"/>
        <n v="2140"/>
        <n v="2141"/>
        <s v="2145-b"/>
        <n v="2167"/>
        <n v="2171"/>
        <n v="2178"/>
        <n v="2150"/>
        <n v="2172"/>
        <n v="2170"/>
        <n v="2157"/>
        <n v="2177"/>
        <n v="2180"/>
        <n v="2156"/>
        <n v="2168"/>
        <n v="2149"/>
        <n v="2164"/>
        <n v="2185"/>
        <n v="2186"/>
        <n v="2190"/>
        <n v="2187"/>
        <n v="2145" u="1"/>
        <n v="2024" u="1"/>
        <n v="2023" u="1"/>
        <n v="2025" u="1"/>
        <n v="2039" u="1"/>
        <n v="2037" u="1"/>
        <n v="2026" u="1"/>
        <n v="2041" u="1"/>
        <n v="2006" u="1"/>
        <n v="2020" u="1"/>
        <n v="2034" u="1"/>
        <n v="2046" u="1"/>
        <n v="2033" u="1"/>
        <n v="2032" u="1"/>
        <n v="2021" u="1"/>
        <n v="2052" u="1"/>
        <n v="1989" u="1"/>
        <n v="2012" u="1"/>
        <n v="2015" u="1"/>
        <n v="2061" u="1"/>
        <n v="1978" u="1"/>
        <n v="2043" u="1"/>
        <n v="2044" u="1"/>
        <n v="2050" u="1"/>
        <n v="2059" u="1"/>
        <n v="2051" u="1"/>
        <n v="2042" u="1"/>
        <n v="2036" u="1"/>
        <n v="2057" u="1"/>
        <n v="2056" u="1"/>
        <n v="2065" u="1"/>
        <n v="2053" u="1"/>
        <n v="2068" u="1"/>
        <n v="2067" u="1"/>
        <n v="2047" u="1"/>
        <n v="2055" u="1"/>
        <n v="2087" u="1"/>
        <n v="2077" u="1"/>
        <n v="2076" u="1"/>
        <n v="2070" u="1"/>
        <n v="1990" u="1"/>
        <n v="2064" u="1"/>
        <n v="2062" u="1"/>
        <n v="2063" u="1"/>
        <n v="2072" u="1"/>
        <n v="2091" u="1"/>
        <n v="2090" u="1"/>
        <n v="2083" u="1"/>
        <n v="2073" u="1"/>
        <n v="1977" u="1"/>
        <n v="2094" u="1"/>
        <n v="2079" u="1"/>
        <n v="2066" u="1"/>
        <n v="2099" u="1"/>
        <n v="1979" u="1"/>
        <n v="1976" u="1"/>
        <n v="2048" u="1"/>
        <n v="2075" u="1"/>
        <n v="2074" u="1"/>
        <n v="1971" u="1"/>
        <n v="1951" u="1"/>
        <n v="1934" u="1"/>
        <n v="1924" u="1"/>
        <n v="1835" u="1"/>
        <n v="1628" u="1"/>
        <n v="1958" u="1"/>
        <n v="1987" u="1"/>
        <n v="1974" u="1"/>
        <n v="1972" u="1"/>
        <n v="1982" u="1"/>
        <n v="1986" u="1"/>
        <n v="1981" u="1"/>
        <n v="1954" u="1"/>
        <n v="1948" u="1"/>
        <n v="1947" u="1"/>
        <n v="1985" u="1"/>
        <n v="1983" u="1"/>
        <n v="1984" u="1"/>
        <n v="1993" u="1"/>
        <n v="1941" u="1"/>
        <n v="2000" u="1"/>
        <n v="1995" u="1"/>
        <n v="1992" u="1"/>
        <n v="1718" u="1"/>
        <n v="2001" u="1"/>
        <n v="2004" u="1"/>
        <n v="2005" u="1"/>
        <n v="2003" u="1"/>
        <n v="2008" u="1"/>
        <n v="2009" u="1"/>
        <n v="2007" u="1"/>
        <n v="1998" u="1"/>
        <n v="1991" u="1"/>
        <n v="1999" u="1"/>
        <n v="2002" u="1"/>
        <n v="1969" u="1"/>
        <n v="1994" u="1"/>
        <n v="2011" u="1"/>
        <n v="2010" u="1"/>
        <n v="2022" u="1"/>
        <n v="2027" u="1"/>
        <n v="2028" u="1"/>
        <n v="2029" u="1"/>
        <n v="2018" u="1"/>
        <n v="2030" u="1"/>
        <n v="2016" u="1"/>
        <n v="2014" u="1"/>
        <n v="2013" u="1"/>
        <n v="2031" u="1"/>
        <n v="2019" u="1"/>
        <n v="2017" u="1"/>
        <n v="1879" u="1"/>
        <n v="1867" u="1"/>
        <n v="1878" u="1"/>
        <n v="1897" u="1"/>
        <n v="1920" u="1"/>
        <n v="1898" u="1"/>
        <n v="1875" u="1"/>
        <n v="1918" u="1"/>
        <n v="1906" u="1"/>
        <n v="1873" u="1"/>
        <n v="1883" u="1"/>
        <n v="1917" u="1"/>
        <n v="1900" u="1"/>
        <n v="1930" u="1"/>
        <n v="1911" u="1"/>
        <n v="1887" u="1"/>
        <n v="1882" u="1"/>
        <n v="1890" u="1"/>
        <n v="1877" u="1"/>
        <n v="1853" u="1"/>
        <n v="1889" u="1"/>
        <n v="1884" u="1"/>
        <n v="1926" u="1"/>
        <n v="1905" u="1"/>
        <n v="1843" u="1"/>
        <n v="1935" u="1"/>
        <n v="1888" u="1"/>
        <n v="1925" u="1"/>
        <n v="1893" u="1"/>
        <n v="1894" u="1"/>
        <n v="1936" u="1"/>
        <n v="1937" u="1"/>
        <n v="1939" u="1"/>
        <n v="1913" u="1"/>
        <n v="1912" u="1"/>
        <n v="1915" u="1"/>
        <n v="1899" u="1"/>
        <n v="1919" u="1"/>
        <n v="1886" u="1"/>
        <n v="1907" u="1"/>
        <n v="1938" u="1"/>
        <n v="1870" u="1"/>
        <n v="1921" u="1"/>
        <n v="1922" u="1"/>
        <n v="1933" u="1"/>
        <n v="1842" u="1"/>
        <n v="1910" u="1"/>
        <n v="1923" u="1"/>
        <n v="1914" u="1"/>
        <n v="1904" u="1"/>
        <n v="1909" u="1"/>
        <n v="1940" u="1"/>
        <n v="1943" u="1"/>
        <n v="1961" u="1"/>
        <n v="1928" u="1"/>
        <n v="1927" u="1"/>
        <n v="1852" u="1"/>
        <n v="1931" u="1"/>
        <n v="1908" u="1"/>
        <n v="1929" u="1"/>
        <n v="1975" u="1"/>
        <n v="1903" u="1"/>
        <n v="1942" u="1"/>
        <n v="1946" u="1"/>
        <n v="1968" u="1"/>
        <n v="1945" u="1"/>
        <n v="1962" u="1"/>
        <n v="1970" u="1"/>
        <n v="1944" u="1"/>
        <n v="1955" u="1"/>
        <n v="1902" u="1"/>
        <n v="1959" u="1"/>
        <n v="1960" u="1"/>
        <n v="1966" u="1"/>
        <n v="1892" u="1"/>
        <n v="1949" u="1"/>
        <n v="1956" u="1"/>
        <n v="1818" u="1"/>
        <n v="1780" u="1"/>
        <n v="1800" u="1"/>
        <n v="1826" u="1"/>
        <n v="1803" u="1"/>
        <n v="1829" u="1"/>
        <n v="1813" u="1"/>
        <n v="1827" u="1"/>
        <n v="1761" u="1"/>
        <n v="1786" u="1"/>
        <n v="1834" u="1"/>
        <n v="1796" u="1"/>
        <n v="1836" u="1"/>
        <n v="1828" u="1"/>
        <n v="1837" u="1"/>
        <n v="1840" u="1"/>
        <n v="1825" u="1"/>
        <n v="1838" u="1"/>
        <n v="1845" u="1"/>
        <n v="1807" u="1"/>
        <n v="1791" u="1"/>
        <n v="1850" u="1"/>
        <n v="1801" u="1"/>
        <n v="1824" u="1"/>
        <n v="1814" u="1"/>
        <n v="1815" u="1"/>
        <n v="1833" u="1"/>
        <n v="1665" u="1"/>
        <n v="1860" u="1"/>
        <n v="1830" u="1"/>
        <n v="1839" u="1"/>
        <n v="1648" u="1"/>
        <n v="1863" u="1"/>
        <n v="1831" u="1"/>
        <n v="1832" u="1"/>
        <n v="1847" u="1"/>
        <n v="1841" u="1"/>
        <n v="1797" u="1"/>
        <n v="1816" u="1"/>
        <n v="1846" u="1"/>
        <n v="1876" u="1"/>
        <n v="1874" u="1"/>
        <n v="1865" u="1"/>
        <n v="1851" u="1"/>
        <n v="1868" u="1"/>
        <n v="1881" u="1"/>
        <n v="1869" u="1"/>
        <n v="1866" u="1"/>
        <n v="1896" u="1"/>
        <n v="1895" u="1"/>
        <n v="1916" u="1"/>
        <n v="1844" u="1"/>
        <n v="1862" u="1"/>
        <n v="1891" u="1"/>
        <n v="1901" u="1"/>
        <n v="1864" u="1"/>
        <n v="1708" u="1"/>
        <n v="1720" u="1"/>
        <n v="1723" u="1"/>
        <n v="1724" u="1"/>
        <n v="1714" u="1"/>
        <n v="1690" u="1"/>
        <n v="1716" u="1"/>
        <n v="1696" u="1"/>
        <n v="1694" u="1"/>
        <n v="1687" u="1"/>
        <n v="1719" u="1"/>
        <n v="1688" u="1"/>
        <n v="1710" u="1"/>
        <n v="1725" u="1"/>
        <n v="1736" u="1"/>
        <n v="1728" u="1"/>
        <n v="1726" u="1"/>
        <n v="1730" u="1"/>
        <n v="1729" u="1"/>
        <n v="1748" u="1"/>
        <n v="1756" u="1"/>
        <n v="1757" u="1"/>
        <n v="1697" u="1"/>
        <n v="1727" u="1"/>
        <n v="1755" u="1"/>
        <n v="1763" u="1"/>
        <n v="1701" u="1"/>
        <n v="1753" u="1"/>
        <n v="1751" u="1"/>
        <n v="1760" u="1"/>
        <n v="1762" u="1"/>
        <n v="1767" u="1"/>
        <n v="1764" u="1"/>
        <n v="1765" u="1"/>
        <n v="1770" u="1"/>
        <n v="1772" u="1"/>
        <n v="1721" u="1"/>
        <n v="1769" u="1"/>
        <n v="1771" u="1"/>
        <n v="1746" u="1"/>
        <n v="1759" u="1"/>
        <n v="1722" u="1"/>
        <n v="1773" u="1"/>
        <n v="1779" u="1"/>
        <n v="1749" u="1"/>
        <n v="1782" u="1"/>
        <n v="1713" u="1"/>
        <n v="1706" u="1"/>
        <n v="1711" u="1"/>
        <n v="1768" u="1"/>
        <n v="1684" u="1"/>
        <n v="1691" u="1"/>
        <n v="1784" u="1"/>
        <n v="1781" u="1"/>
        <n v="1747" u="1"/>
        <n v="1777" u="1"/>
        <n v="1750" u="1"/>
        <n v="1788" u="1"/>
        <n v="1787" u="1"/>
        <n v="1734" u="1"/>
        <n v="1776" u="1"/>
        <n v="1766" u="1"/>
        <n v="1793" u="1"/>
        <n v="1804" u="1"/>
        <n v="1811" u="1"/>
        <n v="1812" u="1"/>
        <n v="1806" u="1"/>
        <n v="1785" u="1"/>
        <n v="1752" u="1"/>
        <n v="1783" u="1"/>
        <n v="1790" u="1"/>
        <n v="1794" u="1"/>
        <n v="1802" u="1"/>
        <n v="1789" u="1"/>
        <n v="1778" u="1"/>
        <n v="1808" u="1"/>
        <n v="1795" u="1"/>
        <n v="1799" u="1"/>
        <n v="1792" u="1"/>
        <n v="1817" u="1"/>
        <n v="1798" u="1"/>
        <n v="1605" u="1"/>
        <n v="1624" u="1"/>
        <n v="1646" u="1"/>
        <n v="1640" u="1"/>
        <n v="1649" u="1"/>
        <n v="1607" u="1"/>
        <n v="1647" u="1"/>
        <n v="1643" u="1"/>
        <n v="1644" u="1"/>
        <n v="1651" u="1"/>
        <n v="1641" u="1"/>
        <n v="1652" u="1"/>
        <n v="1655" u="1"/>
        <n v="1650" u="1"/>
        <n v="1653" u="1"/>
        <n v="1662" u="1"/>
        <n v="1663" u="1"/>
        <n v="1598" u="1"/>
        <n v="1661" u="1"/>
        <n v="1658" u="1"/>
        <n v="1656" u="1"/>
        <n v="1654" u="1"/>
        <n v="1659" u="1"/>
        <n v="1669" u="1"/>
        <n v="1666" u="1"/>
        <n v="1657" u="1"/>
        <n v="1676" u="1"/>
        <n v="1683" u="1"/>
        <n v="1673" u="1"/>
        <n v="1679" u="1"/>
        <n v="1668" u="1"/>
        <n v="1664" u="1"/>
        <n v="1660" u="1"/>
        <n v="1678" u="1"/>
        <n v="1677" u="1"/>
        <n v="1667" u="1"/>
        <n v="1675" u="1"/>
        <n v="1681" u="1"/>
        <n v="1674" u="1"/>
        <n v="1680" u="1"/>
        <n v="1682" u="1"/>
        <n v="1633" u="1"/>
        <n v="1685" u="1"/>
        <n v="1686" u="1"/>
        <n v="1692" u="1"/>
        <n v="1693" u="1"/>
        <n v="1700" u="1"/>
        <n v="1672" u="1"/>
        <n v="1705" u="1"/>
        <n v="1704" u="1"/>
        <n v="1689" u="1"/>
        <n v="1699" u="1"/>
        <n v="1695" u="1"/>
        <n v="1595" u="1"/>
        <n v="1593" u="1"/>
        <n v="1599" u="1"/>
        <n v="1597" u="1"/>
        <n v="1600" u="1"/>
        <n v="1602" u="1"/>
        <n v="1558" u="1"/>
        <n v="1603" u="1"/>
        <n v="1619" u="1"/>
        <n v="1621" u="1"/>
        <n v="1601" u="1"/>
        <n v="1606" u="1"/>
        <n v="1609" u="1"/>
        <n v="1614" u="1"/>
        <n v="1623" u="1"/>
        <n v="1610" u="1"/>
        <n v="1620" u="1"/>
        <n v="1608" u="1"/>
        <n v="1625" u="1"/>
        <n v="1618" u="1"/>
        <n v="1611" u="1"/>
        <n v="1629" u="1"/>
        <n v="1631" u="1"/>
        <n v="1604" u="1"/>
        <n v="1627" u="1"/>
        <n v="1615" u="1"/>
        <n v="1630" u="1"/>
        <n v="1635" u="1"/>
        <n v="1617" u="1"/>
        <n v="1637" u="1"/>
        <n v="1642" u="1"/>
        <n v="1613" u="1"/>
        <n v="17000" u="1"/>
        <n v="1574" u="1"/>
        <n v="1573" u="1"/>
        <n v="1570" u="1"/>
        <n v="1571" u="1"/>
        <n v="1575" u="1"/>
        <n v="1579" u="1"/>
        <n v="1580" u="1"/>
        <n v="1577" u="1"/>
        <n v="1578" u="1"/>
        <n v="1583" u="1"/>
        <n v="1589" u="1"/>
        <n v="1572" u="1"/>
        <n v="1592" u="1"/>
        <n v="1590" u="1"/>
        <n v="1591" u="1"/>
        <n v="1576" u="1"/>
        <n v="1581" u="1"/>
        <n v="1596" u="1"/>
        <n v="1594" u="1"/>
      </sharedItems>
    </cacheField>
    <cacheField name="Kora/metre" numFmtId="164">
      <sharedItems containsString="0" containsBlank="1" containsNumber="1" containsInteger="1" minValue="1127" maxValue="101030"/>
    </cacheField>
    <cacheField name="Tiyaar/gaz" numFmtId="164">
      <sharedItems containsString="0" containsBlank="1" containsNumber="1" containsInteger="1" minValue="600" maxValue="51781"/>
    </cacheField>
    <cacheField name="shortage %" numFmtId="165">
      <sharedItems containsMixedTypes="1" containsNumber="1" minValue="-6.9702834606394646" maxValue="90.642526213118757"/>
    </cacheField>
    <cacheField name="tiyar/meters" numFmtId="165">
      <sharedItems containsString="0" containsBlank="1" containsNumber="1" minValue="0" maxValue="2767584.0182882226"/>
    </cacheField>
    <cacheField name="billing" numFmtId="165">
      <sharedItems containsString="0" containsBlank="1" containsNumber="1" minValue="0" maxValue="27675840.182882231"/>
    </cacheField>
    <cacheField name="Total Billing" numFmtId="0">
      <sharedItems containsNonDate="0" containsString="0" containsBlank="1"/>
    </cacheField>
    <cacheField name="Shortage %2" numFmtId="0" formula=" ('Tiyaar/gaz'/ ('Kora/metre'/ 1.0936)) * 100" databaseField="0"/>
    <cacheField name="Shortage2" numFmtId="0" formula=" ('Tiyaar/gaz'/ ('Kora/metre'* 1.0936)) * 100" databaseField="0"/>
    <cacheField name="kora / gaz" numFmtId="0" formula="'Kora/metre'* 1.0936" databaseField="0"/>
  </cacheFields>
  <extLst>
    <ext xmlns:x14="http://schemas.microsoft.com/office/spreadsheetml/2009/9/main" uri="{725AE2AE-9491-48be-B2B4-4EB974FC3084}">
      <x14:pivotCacheDefinition pivotCacheId="1341418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
  <r>
    <d v="2025-12-23T00:00:00"/>
    <x v="0"/>
    <m/>
    <n v="658663"/>
    <s v="Dec Balance"/>
    <s v="Bank"/>
    <m/>
  </r>
  <r>
    <d v="2026-01-20T00:00:00"/>
    <x v="1"/>
    <m/>
    <n v="5892642"/>
    <m/>
    <s v="Bank"/>
    <m/>
  </r>
  <r>
    <d v="2026-01-20T00:00:00"/>
    <x v="1"/>
    <m/>
    <n v="-610916"/>
    <m/>
    <s v="Cash"/>
    <m/>
  </r>
  <r>
    <d v="2026-01-20T00:00:00"/>
    <x v="2"/>
    <n v="6825308"/>
    <m/>
    <s v="Dec Balance"/>
    <s v="Bank"/>
    <m/>
  </r>
  <r>
    <d v="2026-01-20T00:00:00"/>
    <x v="3"/>
    <n v="783072"/>
    <m/>
    <s v="Dec Balance"/>
    <s v="Bank"/>
    <m/>
  </r>
  <r>
    <d v="2026-02-20T00:00:00"/>
    <x v="4"/>
    <m/>
    <n v="200000"/>
    <s v="TID:735461"/>
    <s v="Bank"/>
    <m/>
  </r>
  <r>
    <d v="2026-02-20T00:00:00"/>
    <x v="5"/>
    <n v="8315"/>
    <m/>
    <s v="Diesel x5l"/>
    <s v="Bank"/>
    <m/>
  </r>
  <r>
    <d v="2026-02-20T00:00:00"/>
    <x v="5"/>
    <n v="1100"/>
    <m/>
    <s v="gutkay"/>
    <s v="Bank"/>
    <m/>
  </r>
  <r>
    <d v="2026-02-20T00:00:00"/>
    <x v="5"/>
    <n v="240"/>
    <m/>
    <m/>
    <s v="Bank"/>
    <m/>
  </r>
  <r>
    <d v="2026-02-20T00:00:00"/>
    <x v="5"/>
    <n v="4550"/>
    <m/>
    <s v="pulleys"/>
    <s v="Bank"/>
    <m/>
  </r>
  <r>
    <d v="2026-02-20T00:00:00"/>
    <x v="5"/>
    <n v="10750"/>
    <m/>
    <s v="22 number 2.5kg"/>
    <s v="Bank"/>
    <m/>
  </r>
  <r>
    <d v="2026-02-20T00:00:00"/>
    <x v="6"/>
    <n v="64290"/>
    <m/>
    <s v="Freight"/>
    <s v="Bank"/>
    <m/>
  </r>
  <r>
    <d v="2026-02-20T00:00:00"/>
    <x v="2"/>
    <m/>
    <n v="947000"/>
    <s v="Cash deposited"/>
    <s v="Bank"/>
    <m/>
  </r>
  <r>
    <d v="2026-02-20T00:00:00"/>
    <x v="7"/>
    <m/>
    <n v="694000"/>
    <s v="TID:447580"/>
    <s v="Bank"/>
    <m/>
  </r>
  <r>
    <d v="2026-02-20T00:00:00"/>
    <x v="5"/>
    <n v="2850"/>
    <m/>
    <s v="Bearings 6310"/>
    <s v="Bank"/>
    <m/>
  </r>
  <r>
    <d v="2026-02-20T00:00:00"/>
    <x v="2"/>
    <m/>
    <n v="450000"/>
    <s v="TID:438661"/>
    <s v="Bank"/>
    <m/>
  </r>
  <r>
    <d v="2026-02-20T00:00:00"/>
    <x v="8"/>
    <n v="2222081"/>
    <m/>
    <s v="Bill Nill"/>
    <s v="Bank"/>
    <m/>
  </r>
  <r>
    <d v="2026-02-20T00:00:00"/>
    <x v="5"/>
    <n v="1000"/>
    <m/>
    <m/>
    <s v="Bank"/>
    <m/>
  </r>
  <r>
    <d v="2026-02-20T00:00:00"/>
    <x v="5"/>
    <n v="26300"/>
    <m/>
    <s v="boiler plates"/>
    <s v="Bank"/>
    <m/>
  </r>
  <r>
    <d v="2026-02-20T00:00:00"/>
    <x v="2"/>
    <m/>
    <n v="130000"/>
    <s v="TID:043451"/>
    <s v="Bank"/>
    <m/>
  </r>
  <r>
    <d v="2026-02-20T00:00:00"/>
    <x v="9"/>
    <m/>
    <n v="100000"/>
    <m/>
    <s v="Bank"/>
    <m/>
  </r>
  <r>
    <d v="2026-02-20T00:00:00"/>
    <x v="2"/>
    <n v="100000"/>
    <m/>
    <s v="Shani badshha"/>
    <s v="Bank"/>
    <m/>
  </r>
  <r>
    <d v="2026-02-20T00:00:00"/>
    <x v="10"/>
    <n v="6600"/>
    <m/>
    <m/>
    <s v="Bank"/>
    <m/>
  </r>
  <r>
    <d v="2026-02-20T00:00:00"/>
    <x v="4"/>
    <m/>
    <n v="100000"/>
    <s v="TID:528967"/>
    <s v="Bank"/>
    <m/>
  </r>
  <r>
    <d v="2026-02-20T00:00:00"/>
    <x v="11"/>
    <n v="100000"/>
    <m/>
    <s v="Rubine x2, black x2"/>
    <s v="Bank"/>
    <m/>
  </r>
  <r>
    <d v="2026-02-20T00:00:00"/>
    <x v="0"/>
    <n v="800"/>
    <m/>
    <m/>
    <s v="Bank"/>
    <m/>
  </r>
  <r>
    <d v="2026-02-20T00:00:00"/>
    <x v="12"/>
    <n v="100050"/>
    <m/>
    <m/>
    <s v="Bank"/>
    <m/>
  </r>
  <r>
    <d v="2026-02-20T00:00:00"/>
    <x v="7"/>
    <m/>
    <n v="10000"/>
    <s v="Transport"/>
    <s v="Bank"/>
    <m/>
  </r>
  <r>
    <d v="2026-02-20T00:00:00"/>
    <x v="10"/>
    <n v="10000"/>
    <m/>
    <s v="Faizan transport"/>
    <s v="Bank"/>
    <m/>
  </r>
  <r>
    <d v="2026-02-21T00:00:00"/>
    <x v="13"/>
    <n v="78000"/>
    <m/>
    <s v="Starch"/>
    <s v="Bank"/>
    <m/>
  </r>
  <r>
    <d v="2026-02-21T00:00:00"/>
    <x v="5"/>
    <n v="1300"/>
    <m/>
    <s v="Chain"/>
    <s v="Bank"/>
    <m/>
  </r>
  <r>
    <d v="2026-02-21T00:00:00"/>
    <x v="5"/>
    <n v="800"/>
    <m/>
    <m/>
    <s v="Bank"/>
    <m/>
  </r>
  <r>
    <d v="2026-02-21T00:00:00"/>
    <x v="9"/>
    <m/>
    <n v="100000"/>
    <s v="TID:103244"/>
    <s v="Bank"/>
    <m/>
  </r>
  <r>
    <d v="2026-02-21T00:00:00"/>
    <x v="14"/>
    <n v="820"/>
    <m/>
    <s v="Stationary"/>
    <s v="Bank"/>
    <m/>
  </r>
  <r>
    <d v="2026-02-21T00:00:00"/>
    <x v="15"/>
    <m/>
    <n v="350000"/>
    <m/>
    <s v="Bank"/>
    <m/>
  </r>
  <r>
    <d v="2026-02-21T00:00:00"/>
    <x v="5"/>
    <n v="125000"/>
    <m/>
    <s v="Generator advance"/>
    <s v="Bank"/>
    <m/>
  </r>
  <r>
    <d v="2026-02-21T00:00:00"/>
    <x v="16"/>
    <m/>
    <n v="39278"/>
    <s v="Crinkle"/>
    <s v="Bank"/>
    <m/>
  </r>
  <r>
    <d v="2026-02-21T00:00:00"/>
    <x v="5"/>
    <n v="950"/>
    <m/>
    <s v="Bearings 6310"/>
    <s v="Bank"/>
    <m/>
  </r>
  <r>
    <d v="2026-02-21T00:00:00"/>
    <x v="4"/>
    <m/>
    <n v="29454"/>
    <s v="Bill Nill//TID:011882"/>
    <s v="Bank"/>
    <m/>
  </r>
  <r>
    <d v="2026-02-21T00:00:00"/>
    <x v="17"/>
    <n v="100000"/>
    <m/>
    <s v="TID:940387"/>
    <s v="Bank"/>
    <m/>
  </r>
  <r>
    <d v="2026-02-21T00:00:00"/>
    <x v="18"/>
    <m/>
    <n v="200000"/>
    <s v="receipt #442"/>
    <s v="Bank"/>
    <m/>
  </r>
  <r>
    <d v="2026-02-21T00:00:00"/>
    <x v="19"/>
    <n v="40000"/>
    <m/>
    <s v="TID:098913"/>
    <s v="Bank"/>
    <m/>
  </r>
  <r>
    <d v="2026-02-21T00:00:00"/>
    <x v="20"/>
    <n v="150000"/>
    <m/>
    <s v="TID:937951"/>
    <s v="Bank"/>
    <m/>
  </r>
  <r>
    <d v="2026-02-21T00:00:00"/>
    <x v="21"/>
    <n v="151000"/>
    <m/>
    <s v="TID:749401"/>
    <s v="Bank"/>
    <m/>
  </r>
  <r>
    <d v="2026-02-21T00:00:00"/>
    <x v="22"/>
    <n v="2500"/>
    <m/>
    <s v="Raksha karaya"/>
    <s v="Bank"/>
    <m/>
  </r>
  <r>
    <d v="2026-02-21T00:00:00"/>
    <x v="0"/>
    <m/>
    <n v="5000"/>
    <s v="Cash reserve"/>
    <s v="Bank"/>
    <m/>
  </r>
  <r>
    <d v="2026-02-21T00:00:00"/>
    <x v="23"/>
    <n v="7200"/>
    <m/>
    <s v="Mazdoor"/>
    <s v="Bank"/>
    <m/>
  </r>
  <r>
    <d v="2026-02-22T00:00:00"/>
    <x v="24"/>
    <m/>
    <m/>
    <s v="Khalid Sahab"/>
    <s v="Bank"/>
    <m/>
  </r>
  <r>
    <d v="2026-02-22T00:00:00"/>
    <x v="5"/>
    <n v="2000"/>
    <m/>
    <s v="Battery terminals"/>
    <s v="Bank"/>
    <m/>
  </r>
  <r>
    <d v="2026-02-22T00:00:00"/>
    <x v="5"/>
    <n v="8000"/>
    <m/>
    <s v="pump repair"/>
    <s v="Bank"/>
    <m/>
  </r>
  <r>
    <d v="2026-02-22T00:00:00"/>
    <x v="2"/>
    <m/>
    <n v="6000"/>
    <s v="pump repair"/>
    <s v="Bank"/>
    <m/>
  </r>
  <r>
    <d v="2026-02-22T00:00:00"/>
    <x v="10"/>
    <n v="6000"/>
    <m/>
    <s v="MAK dyes transport"/>
    <s v="Bank"/>
    <m/>
  </r>
  <r>
    <d v="2026-02-23T00:00:00"/>
    <x v="0"/>
    <n v="3470"/>
    <m/>
    <m/>
    <s v="Bank"/>
    <m/>
  </r>
  <r>
    <d v="2026-02-23T00:00:00"/>
    <x v="0"/>
    <m/>
    <n v="5000"/>
    <s v="Cash reserve"/>
    <s v="Bank"/>
    <m/>
  </r>
  <r>
    <d v="2026-02-23T00:00:00"/>
    <x v="23"/>
    <n v="5000"/>
    <m/>
    <s v="Mazdoor"/>
    <s v="Bank"/>
    <m/>
  </r>
  <r>
    <d v="2026-02-23T00:00:00"/>
    <x v="10"/>
    <n v="5000"/>
    <m/>
    <s v="petrol 464"/>
    <s v="Bank"/>
    <m/>
  </r>
  <r>
    <d v="2026-02-23T00:00:00"/>
    <x v="2"/>
    <m/>
    <m/>
    <s v="TID:242087"/>
    <s v="Bank"/>
    <m/>
  </r>
  <r>
    <d v="2026-02-23T00:00:00"/>
    <x v="5"/>
    <n v="1470"/>
    <m/>
    <s v="chain lock"/>
    <s v="Bank"/>
    <m/>
  </r>
  <r>
    <d v="2026-02-23T00:00:00"/>
    <x v="20"/>
    <n v="28500"/>
    <m/>
    <s v="Freight"/>
    <s v="Bank"/>
    <m/>
  </r>
  <r>
    <d v="2026-02-23T00:00:00"/>
    <x v="0"/>
    <n v="150"/>
    <m/>
    <s v="package"/>
    <s v="Bank"/>
    <m/>
  </r>
  <r>
    <d v="2026-02-23T00:00:00"/>
    <x v="25"/>
    <n v="10000"/>
    <m/>
    <s v="Master Abid"/>
    <s v="Bank"/>
    <m/>
  </r>
  <r>
    <d v="2026-02-23T00:00:00"/>
    <x v="5"/>
    <n v="27000"/>
    <m/>
    <s v="kluber"/>
    <s v="Bank"/>
    <m/>
  </r>
  <r>
    <d v="2026-02-23T00:00:00"/>
    <x v="26"/>
    <n v="7800"/>
    <m/>
    <s v="dyes"/>
    <s v="Bank"/>
    <m/>
  </r>
  <r>
    <d v="2026-02-23T00:00:00"/>
    <x v="2"/>
    <m/>
    <m/>
    <m/>
    <s v="Bank"/>
    <m/>
  </r>
  <r>
    <d v="2026-02-23T00:00:00"/>
    <x v="27"/>
    <n v="101000"/>
    <m/>
    <s v="TID:292633"/>
    <s v="Bank"/>
    <m/>
  </r>
  <r>
    <d v="2026-02-24T00:00:00"/>
    <x v="15"/>
    <m/>
    <n v="142180"/>
    <m/>
    <s v="Bank"/>
    <m/>
  </r>
  <r>
    <d v="2026-02-24T00:00:00"/>
    <x v="9"/>
    <m/>
    <n v="110000"/>
    <m/>
    <s v="Bank"/>
    <m/>
  </r>
  <r>
    <d v="2026-02-24T00:00:00"/>
    <x v="10"/>
    <n v="1000"/>
    <m/>
    <s v="petrol bike"/>
    <s v="Bank"/>
    <m/>
  </r>
  <r>
    <d v="2026-02-24T00:00:00"/>
    <x v="23"/>
    <n v="6175"/>
    <m/>
    <s v="Mazdoor"/>
    <s v="Bank"/>
    <m/>
  </r>
  <r>
    <d v="2026-02-24T00:00:00"/>
    <x v="5"/>
    <n v="9500"/>
    <m/>
    <s v="Padding bearing"/>
    <s v="Bank"/>
    <m/>
  </r>
  <r>
    <d v="2026-02-24T00:00:00"/>
    <x v="26"/>
    <n v="27200"/>
    <m/>
    <s v="leaveling+acid"/>
    <s v="Bank"/>
    <m/>
  </r>
  <r>
    <d v="2026-02-24T00:00:00"/>
    <x v="28"/>
    <m/>
    <n v="500000"/>
    <s v="TID:396535"/>
    <s v="Bank"/>
    <m/>
  </r>
  <r>
    <d v="2026-02-24T00:00:00"/>
    <x v="10"/>
    <n v="300"/>
    <m/>
    <s v="puncture"/>
    <s v="Bank"/>
    <m/>
  </r>
  <r>
    <d v="2026-02-24T00:00:00"/>
    <x v="5"/>
    <n v="900"/>
    <m/>
    <s v="belt"/>
    <s v="Bank"/>
    <m/>
  </r>
  <r>
    <d v="2026-02-24T00:00:00"/>
    <x v="12"/>
    <n v="150000"/>
    <m/>
    <s v="TID:678054"/>
    <s v="Bank"/>
    <m/>
  </r>
  <r>
    <d v="2026-02-24T00:00:00"/>
    <x v="20"/>
    <n v="150000"/>
    <m/>
    <s v="TID:999542"/>
    <s v="Bank"/>
    <m/>
  </r>
  <r>
    <d v="2026-02-24T00:00:00"/>
    <x v="21"/>
    <n v="201500"/>
    <m/>
    <s v="TID:246999"/>
    <s v="Bank"/>
    <m/>
  </r>
  <r>
    <d v="2026-02-24T00:00:00"/>
    <x v="10"/>
    <n v="2200"/>
    <m/>
    <s v="Raksha karaya"/>
    <s v="Bank"/>
    <m/>
  </r>
  <r>
    <d v="2026-02-24T00:00:00"/>
    <x v="5"/>
    <n v="8315"/>
    <m/>
    <s v="Diesel x5l"/>
    <s v="Bank"/>
    <m/>
  </r>
  <r>
    <d v="2026-02-24T00:00:00"/>
    <x v="5"/>
    <n v="20000"/>
    <m/>
    <s v="altaf sunsuper"/>
    <s v="Bank"/>
    <m/>
  </r>
  <r>
    <d v="2026-02-24T00:00:00"/>
    <x v="2"/>
    <m/>
    <n v="45000"/>
    <s v="2124/58"/>
    <s v="Bank"/>
    <m/>
  </r>
  <r>
    <d v="2026-02-24T00:00:00"/>
    <x v="2"/>
    <m/>
    <n v="19700"/>
    <s v="270/73"/>
    <s v="Bank"/>
    <m/>
  </r>
  <r>
    <d v="2026-02-24T00:00:00"/>
    <x v="28"/>
    <m/>
    <n v="7928.4930504754948"/>
    <s v="79280 meters/ 10 paisay"/>
    <s v="Bank"/>
    <m/>
  </r>
  <r>
    <d v="2026-02-24T00:00:00"/>
    <x v="10"/>
    <n v="7928"/>
    <m/>
    <s v="Faizan transport"/>
    <s v="Bank"/>
    <m/>
  </r>
  <r>
    <d v="2026-02-24T00:00:00"/>
    <x v="29"/>
    <n v="100000"/>
    <m/>
    <s v="receipt #448"/>
    <s v="Bank"/>
    <m/>
  </r>
  <r>
    <d v="2026-02-24T00:00:00"/>
    <x v="2"/>
    <m/>
    <n v="100000"/>
    <s v="Unicolour"/>
    <s v="Bank"/>
    <m/>
  </r>
  <r>
    <d v="2026-02-25T00:00:00"/>
    <x v="6"/>
    <n v="21200"/>
    <m/>
    <s v="Diesel"/>
    <s v="Bank"/>
    <m/>
  </r>
  <r>
    <d v="2026-02-25T00:00:00"/>
    <x v="6"/>
    <n v="34000"/>
    <m/>
    <s v="Cash"/>
    <s v="Bank"/>
    <m/>
  </r>
  <r>
    <d v="2026-02-25T00:00:00"/>
    <x v="28"/>
    <m/>
    <n v="505052"/>
    <s v="TID:454057"/>
    <s v="Bank"/>
    <m/>
  </r>
  <r>
    <d v="2026-02-25T00:00:00"/>
    <x v="27"/>
    <n v="100000"/>
    <m/>
    <s v="TID:251667"/>
    <s v="Bank"/>
    <m/>
  </r>
  <r>
    <d v="2026-02-25T00:00:00"/>
    <x v="24"/>
    <m/>
    <m/>
    <s v="Khurrum"/>
    <s v="Bank"/>
    <m/>
  </r>
  <r>
    <d v="2026-02-25T00:00:00"/>
    <x v="5"/>
    <n v="2810"/>
    <m/>
    <s v="Lkey"/>
    <s v="Bank"/>
    <m/>
  </r>
  <r>
    <d v="2026-02-25T00:00:00"/>
    <x v="19"/>
    <n v="50000"/>
    <m/>
    <s v="TID:280633"/>
    <s v="Bank"/>
    <m/>
  </r>
  <r>
    <d v="2026-02-25T00:00:00"/>
    <x v="5"/>
    <n v="51500"/>
    <m/>
    <s v="boiler channel"/>
    <s v="Bank"/>
    <m/>
  </r>
  <r>
    <d v="2026-02-25T00:00:00"/>
    <x v="30"/>
    <m/>
    <n v="30000"/>
    <s v="TID:354311"/>
    <s v="Bank"/>
    <m/>
  </r>
  <r>
    <d v="2026-02-25T00:00:00"/>
    <x v="10"/>
    <n v="1500"/>
    <m/>
    <s v="petrol loader"/>
    <s v="Bank"/>
    <m/>
  </r>
  <r>
    <d v="2026-02-25T00:00:00"/>
    <x v="10"/>
    <n v="5000"/>
    <m/>
    <s v="petrol 464"/>
    <s v="Bank"/>
    <m/>
  </r>
  <r>
    <d v="2026-02-25T00:00:00"/>
    <x v="3"/>
    <n v="2000"/>
    <m/>
    <s v="amjad sohail//"/>
    <s v="Bank"/>
    <m/>
  </r>
  <r>
    <d v="2026-02-25T00:00:00"/>
    <x v="29"/>
    <n v="150000"/>
    <m/>
    <s v="reciept #450"/>
    <s v="Bank"/>
    <m/>
  </r>
  <r>
    <d v="2026-02-25T00:00:00"/>
    <x v="2"/>
    <m/>
    <n v="150000"/>
    <s v="Unicolour"/>
    <s v="Bank"/>
    <m/>
  </r>
  <r>
    <d v="2026-02-25T00:00:00"/>
    <x v="5"/>
    <n v="25000"/>
    <m/>
    <s v="kluber"/>
    <s v="Bank"/>
    <m/>
  </r>
  <r>
    <d v="2026-02-25T00:00:00"/>
    <x v="2"/>
    <m/>
    <n v="44500"/>
    <s v="kluber + pins"/>
    <s v="Bank"/>
    <m/>
  </r>
  <r>
    <d v="2026-02-25T00:00:00"/>
    <x v="5"/>
    <n v="19500"/>
    <m/>
    <m/>
    <s v="Bank"/>
    <m/>
  </r>
  <r>
    <d v="2026-02-25T00:00:00"/>
    <x v="31"/>
    <m/>
    <n v="20340"/>
    <s v="Reciept #445"/>
    <s v="Bank"/>
    <m/>
  </r>
  <r>
    <d v="2026-02-25T00:00:00"/>
    <x v="2"/>
    <n v="20340"/>
    <m/>
    <s v="Shahid qasay"/>
    <s v="Bank"/>
    <m/>
  </r>
  <r>
    <d v="2026-02-25T00:00:00"/>
    <x v="9"/>
    <m/>
    <n v="75000"/>
    <s v="reciept #447"/>
    <s v="Bank"/>
    <m/>
  </r>
  <r>
    <d v="2026-02-25T00:00:00"/>
    <x v="2"/>
    <n v="75000"/>
    <m/>
    <s v="Shani badshha"/>
    <s v="Bank"/>
    <m/>
  </r>
  <r>
    <d v="2026-02-26T00:00:00"/>
    <x v="24"/>
    <m/>
    <m/>
    <s v="Naeem Electric"/>
    <s v="Bank"/>
    <m/>
  </r>
  <r>
    <d v="2026-02-26T00:00:00"/>
    <x v="24"/>
    <m/>
    <m/>
    <s v="Amjad fitter"/>
    <s v="Bank"/>
    <m/>
  </r>
  <r>
    <d v="2026-02-26T00:00:00"/>
    <x v="23"/>
    <n v="10000"/>
    <m/>
    <s v="2+1"/>
    <s v="Bank"/>
    <m/>
  </r>
  <r>
    <d v="2026-02-26T00:00:00"/>
    <x v="24"/>
    <m/>
    <m/>
    <s v="Ashraf Guard"/>
    <s v="Bank"/>
    <m/>
  </r>
  <r>
    <d v="2026-02-26T00:00:00"/>
    <x v="18"/>
    <m/>
    <n v="200000"/>
    <s v="50k Jc 150k cash"/>
    <s v="Bank"/>
    <m/>
  </r>
  <r>
    <d v="2026-02-26T00:00:00"/>
    <x v="29"/>
    <n v="150000"/>
    <m/>
    <s v="cash"/>
    <s v="Bank"/>
    <m/>
  </r>
  <r>
    <d v="2026-02-26T00:00:00"/>
    <x v="24"/>
    <m/>
    <m/>
    <s v="Ashfaq sahab boiler theka"/>
    <s v="Bank"/>
    <m/>
  </r>
  <r>
    <d v="2026-02-26T00:00:00"/>
    <x v="19"/>
    <n v="50000"/>
    <m/>
    <s v="Jc"/>
    <s v="Bank"/>
    <m/>
  </r>
  <r>
    <d v="2026-02-26T00:00:00"/>
    <x v="12"/>
    <n v="100295"/>
    <m/>
    <s v="TID:960972"/>
    <s v="Bank"/>
    <m/>
  </r>
  <r>
    <d v="2026-02-26T00:00:00"/>
    <x v="5"/>
    <n v="15000"/>
    <m/>
    <s v="AVR generator"/>
    <s v="Bank"/>
    <m/>
  </r>
  <r>
    <d v="2026-02-26T00:00:00"/>
    <x v="9"/>
    <m/>
    <n v="115000"/>
    <m/>
    <s v="Bank"/>
    <m/>
  </r>
  <r>
    <d v="2026-02-26T00:00:00"/>
    <x v="0"/>
    <n v="860"/>
    <m/>
    <m/>
    <s v="Bank"/>
    <m/>
  </r>
  <r>
    <d v="2026-02-26T00:00:00"/>
    <x v="0"/>
    <n v="300"/>
    <m/>
    <s v="surf"/>
    <s v="Bank"/>
    <m/>
  </r>
  <r>
    <d v="2026-02-27T00:00:00"/>
    <x v="24"/>
    <m/>
    <m/>
    <s v="Khubaib"/>
    <s v="Bank"/>
    <m/>
  </r>
  <r>
    <d v="2026-02-27T00:00:00"/>
    <x v="20"/>
    <n v="3000"/>
    <m/>
    <s v="unloading"/>
    <s v="Bank"/>
    <m/>
  </r>
  <r>
    <d v="2026-02-27T00:00:00"/>
    <x v="21"/>
    <n v="4000"/>
    <m/>
    <s v="unloading"/>
    <s v="Bank"/>
    <m/>
  </r>
  <r>
    <d v="2026-02-27T00:00:00"/>
    <x v="6"/>
    <n v="2000"/>
    <m/>
    <s v="unloading"/>
    <s v="Bank"/>
    <m/>
  </r>
  <r>
    <d v="2026-02-27T00:00:00"/>
    <x v="17"/>
    <n v="1000"/>
    <m/>
    <s v="unloading"/>
    <s v="Bank"/>
    <m/>
  </r>
  <r>
    <d v="2026-02-27T00:00:00"/>
    <x v="12"/>
    <n v="4000"/>
    <m/>
    <s v="unloading"/>
    <s v="Bank"/>
    <m/>
  </r>
  <r>
    <d v="2026-02-27T00:00:00"/>
    <x v="4"/>
    <m/>
    <n v="105000"/>
    <s v="TID:071372"/>
    <s v="Bank"/>
    <m/>
  </r>
  <r>
    <d v="2026-02-27T00:00:00"/>
    <x v="5"/>
    <n v="8315"/>
    <m/>
    <s v="diesel"/>
    <s v="Bank"/>
    <m/>
  </r>
  <r>
    <d v="2026-02-27T00:00:00"/>
    <x v="22"/>
    <n v="60000"/>
    <m/>
    <s v="2 drums"/>
    <s v="Bank"/>
    <m/>
  </r>
  <r>
    <d v="2026-02-27T00:00:00"/>
    <x v="5"/>
    <n v="3000"/>
    <m/>
    <s v="shaft puller"/>
    <s v="Bank"/>
    <m/>
  </r>
  <r>
    <d v="2026-02-27T00:00:00"/>
    <x v="5"/>
    <n v="2800"/>
    <m/>
    <s v="sockets/plugs"/>
    <s v="Bank"/>
    <m/>
  </r>
  <r>
    <d v="2026-02-27T00:00:00"/>
    <x v="5"/>
    <n v="400"/>
    <m/>
    <s v="welding plug"/>
    <s v="Bank"/>
    <m/>
  </r>
  <r>
    <d v="2026-02-27T00:00:00"/>
    <x v="14"/>
    <n v="190"/>
    <m/>
    <s v="stamp ink"/>
    <s v="Bank"/>
    <m/>
  </r>
  <r>
    <d v="2026-02-27T00:00:00"/>
    <x v="3"/>
    <n v="4100"/>
    <m/>
    <s v="taha exp"/>
    <s v="Bank"/>
    <m/>
  </r>
  <r>
    <d v="2026-02-27T00:00:00"/>
    <x v="3"/>
    <n v="500"/>
    <m/>
    <s v="mama"/>
    <s v="Bank"/>
    <m/>
  </r>
  <r>
    <d v="2026-02-27T00:00:00"/>
    <x v="0"/>
    <n v="1310"/>
    <m/>
    <m/>
    <s v="Bank"/>
    <m/>
  </r>
  <r>
    <d v="2026-02-28T00:00:00"/>
    <x v="2"/>
    <m/>
    <n v="379000"/>
    <m/>
    <s v="Bank"/>
    <m/>
  </r>
  <r>
    <d v="2026-02-28T00:00:00"/>
    <x v="2"/>
    <m/>
    <n v="221000"/>
    <m/>
    <s v="Bank"/>
    <m/>
  </r>
  <r>
    <d v="2026-02-28T00:00:00"/>
    <x v="2"/>
    <m/>
    <n v="320000"/>
    <m/>
    <s v="Bank"/>
    <m/>
  </r>
  <r>
    <d v="2026-02-28T00:00:00"/>
    <x v="15"/>
    <m/>
    <n v="192000"/>
    <m/>
    <s v="Bank"/>
    <m/>
  </r>
  <r>
    <d v="2026-02-28T00:00:00"/>
    <x v="2"/>
    <n v="192000"/>
    <m/>
    <s v="Hafiz qureshi"/>
    <s v="Bank"/>
    <m/>
  </r>
  <r>
    <d v="2026-02-28T00:00:00"/>
    <x v="5"/>
    <n v="18000"/>
    <m/>
    <s v="oil+garari"/>
    <s v="Bank"/>
    <m/>
  </r>
  <r>
    <d v="2026-02-28T00:00:00"/>
    <x v="2"/>
    <m/>
    <n v="18000"/>
    <s v="oil+garari"/>
    <s v="Bank"/>
    <m/>
  </r>
  <r>
    <d v="2026-02-28T00:00:00"/>
    <x v="23"/>
    <n v="3600"/>
    <m/>
    <s v="Mazdoor"/>
    <s v="Bank"/>
    <m/>
  </r>
  <r>
    <d v="2026-02-28T00:00:00"/>
    <x v="24"/>
    <m/>
    <m/>
    <s v="General"/>
    <s v="Bank"/>
    <m/>
  </r>
  <r>
    <d v="2026-02-28T00:00:00"/>
    <x v="24"/>
    <m/>
    <m/>
    <s v="Khubaib"/>
    <s v="Bank"/>
    <m/>
  </r>
  <r>
    <d v="2026-02-28T00:00:00"/>
    <x v="2"/>
    <m/>
    <m/>
    <s v="transfer TID:407646"/>
    <s v="Bank"/>
    <m/>
  </r>
  <r>
    <d v="2026-02-28T00:00:00"/>
    <x v="2"/>
    <m/>
    <n v="150000"/>
    <s v="TID:641997"/>
    <s v="Bank"/>
    <m/>
  </r>
  <r>
    <d v="2026-02-28T00:00:00"/>
    <x v="9"/>
    <m/>
    <n v="100000"/>
    <m/>
    <s v="Bank"/>
    <m/>
  </r>
  <r>
    <d v="2026-02-28T00:00:00"/>
    <x v="2"/>
    <n v="100000"/>
    <m/>
    <s v="Shani badshha"/>
    <s v="Bank"/>
    <m/>
  </r>
  <r>
    <d v="2026-02-28T00:00:00"/>
    <x v="21"/>
    <n v="200400"/>
    <m/>
    <s v="TID:629828"/>
    <s v="Bank"/>
    <m/>
  </r>
  <r>
    <d v="2026-02-28T00:00:00"/>
    <x v="10"/>
    <n v="1500"/>
    <m/>
    <s v="petrol loader"/>
    <s v="Bank"/>
    <m/>
  </r>
  <r>
    <d v="2026-02-28T00:00:00"/>
    <x v="10"/>
    <n v="5000"/>
    <m/>
    <s v="petrol 464"/>
    <s v="Bank"/>
    <m/>
  </r>
  <r>
    <d v="2026-02-28T00:00:00"/>
    <x v="0"/>
    <n v="1610"/>
    <m/>
    <m/>
    <s v="Bank"/>
    <m/>
  </r>
  <r>
    <d v="2026-03-01T00:00:00"/>
    <x v="0"/>
    <m/>
    <n v="187051.73646671569"/>
    <s v="January salary"/>
    <s v="Bank"/>
    <m/>
  </r>
  <r>
    <d v="2026-03-01T00:00:00"/>
    <x v="32"/>
    <n v="187052"/>
    <m/>
    <m/>
    <s v="Bank"/>
    <m/>
  </r>
  <r>
    <d v="2026-03-01T00:00:00"/>
    <x v="14"/>
    <n v="2500"/>
    <m/>
    <s v="ptcl"/>
    <s v="Bank"/>
    <m/>
  </r>
  <r>
    <d v="2026-03-01T00:00:00"/>
    <x v="3"/>
    <n v="1000"/>
    <m/>
    <s v="mama"/>
    <s v="Bank"/>
    <m/>
  </r>
  <r>
    <d v="2026-03-01T00:00:00"/>
    <x v="24"/>
    <m/>
    <m/>
    <s v="Master Tanveer"/>
    <s v="Bank"/>
    <m/>
  </r>
  <r>
    <d v="2026-03-01T00:00:00"/>
    <x v="2"/>
    <m/>
    <n v="20900"/>
    <s v="lights+bearing"/>
    <s v="Bank"/>
    <m/>
  </r>
  <r>
    <d v="2026-03-02T00:00:00"/>
    <x v="0"/>
    <n v="2500"/>
    <m/>
    <m/>
    <s v="Bank"/>
    <m/>
  </r>
  <r>
    <d v="2026-03-02T00:00:00"/>
    <x v="24"/>
    <m/>
    <m/>
    <s v="Master Waheed"/>
    <s v="Bank"/>
    <m/>
  </r>
  <r>
    <d v="2026-03-02T00:00:00"/>
    <x v="2"/>
    <m/>
    <n v="200000"/>
    <s v="Transfer"/>
    <s v="Bank"/>
    <m/>
  </r>
  <r>
    <d v="2026-03-02T00:00:00"/>
    <x v="24"/>
    <m/>
    <m/>
    <s v="Nasir"/>
    <s v="Bank"/>
    <m/>
  </r>
  <r>
    <d v="2026-03-02T00:00:00"/>
    <x v="24"/>
    <m/>
    <m/>
    <s v="aslam"/>
    <s v="Bank"/>
    <m/>
  </r>
  <r>
    <d v="2026-03-02T00:00:00"/>
    <x v="23"/>
    <n v="7200"/>
    <m/>
    <s v="Mazdoor"/>
    <s v="Bank"/>
    <m/>
  </r>
  <r>
    <d v="2026-03-02T00:00:00"/>
    <x v="21"/>
    <n v="1000"/>
    <m/>
    <s v="unloading"/>
    <s v="Bank"/>
    <m/>
  </r>
  <r>
    <d v="2026-03-02T00:00:00"/>
    <x v="24"/>
    <m/>
    <m/>
    <m/>
    <s v="Bank"/>
    <m/>
  </r>
  <r>
    <d v="2026-03-02T00:00:00"/>
    <x v="24"/>
    <m/>
    <m/>
    <s v="Master Akbar"/>
    <s v="Bank"/>
    <m/>
  </r>
  <r>
    <d v="2026-03-02T00:00:00"/>
    <x v="24"/>
    <m/>
    <m/>
    <s v="Master Tanveer"/>
    <s v="Bank"/>
    <m/>
  </r>
  <r>
    <d v="2026-03-02T00:00:00"/>
    <x v="33"/>
    <n v="12000"/>
    <m/>
    <s v="Nasir"/>
    <s v="Bank"/>
    <m/>
  </r>
  <r>
    <d v="2026-03-02T00:00:00"/>
    <x v="5"/>
    <n v="20900"/>
    <m/>
    <s v="lights+bearing"/>
    <s v="Bank"/>
    <m/>
  </r>
  <r>
    <d v="2026-03-02T00:00:00"/>
    <x v="34"/>
    <n v="23000"/>
    <m/>
    <s v="softner"/>
    <s v="Bank"/>
    <m/>
  </r>
  <r>
    <d v="2026-03-02T00:00:00"/>
    <x v="2"/>
    <m/>
    <n v="23000"/>
    <s v="softner"/>
    <s v="Bank"/>
    <m/>
  </r>
  <r>
    <d v="2026-03-02T00:00:00"/>
    <x v="10"/>
    <n v="2000"/>
    <m/>
    <s v="mtag 464"/>
    <s v="Bank"/>
    <m/>
  </r>
  <r>
    <d v="2026-03-02T00:00:00"/>
    <x v="4"/>
    <m/>
    <n v="100000"/>
    <s v="TID:215480"/>
    <s v="Bank"/>
    <m/>
  </r>
  <r>
    <d v="2026-03-02T00:00:00"/>
    <x v="5"/>
    <n v="1600"/>
    <m/>
    <s v="Silai machine exp"/>
    <s v="Bank"/>
    <m/>
  </r>
  <r>
    <d v="2026-03-02T00:00:00"/>
    <x v="24"/>
    <m/>
    <m/>
    <s v="Zubair Gujjar"/>
    <s v="Bank"/>
    <m/>
  </r>
  <r>
    <d v="2026-03-02T00:00:00"/>
    <x v="5"/>
    <n v="2120"/>
    <m/>
    <s v="copper"/>
    <s v="Bank"/>
    <m/>
  </r>
  <r>
    <d v="2026-03-02T00:00:00"/>
    <x v="33"/>
    <n v="5000"/>
    <m/>
    <s v="Munawar bajwa"/>
    <s v="Bank"/>
    <m/>
  </r>
  <r>
    <d v="2026-03-02T00:00:00"/>
    <x v="33"/>
    <n v="10000"/>
    <m/>
    <s v="Naeem Electric"/>
    <s v="Bank"/>
    <m/>
  </r>
  <r>
    <d v="2026-03-02T00:00:00"/>
    <x v="2"/>
    <m/>
    <n v="175000"/>
    <s v="TID:326068"/>
    <s v="Bank"/>
    <m/>
  </r>
  <r>
    <d v="2026-03-02T00:00:00"/>
    <x v="12"/>
    <n v="125000"/>
    <m/>
    <s v="TID:182984"/>
    <s v="Bank"/>
    <m/>
  </r>
  <r>
    <d v="2026-03-02T00:00:00"/>
    <x v="14"/>
    <n v="430"/>
    <m/>
    <s v="piodine+patti"/>
    <s v="Bank"/>
    <m/>
  </r>
  <r>
    <d v="2026-03-02T00:00:00"/>
    <x v="3"/>
    <n v="1000"/>
    <m/>
    <s v="mama"/>
    <s v="Bank"/>
    <m/>
  </r>
  <r>
    <d v="2026-03-02T00:00:00"/>
    <x v="28"/>
    <m/>
    <n v="8701"/>
    <s v="87001 meters/10 paisay"/>
    <s v="Bank"/>
    <m/>
  </r>
  <r>
    <d v="2026-03-02T00:00:00"/>
    <x v="10"/>
    <n v="8701"/>
    <m/>
    <s v="Faizan transport"/>
    <s v="Bank"/>
    <m/>
  </r>
  <r>
    <d v="2026-03-02T00:00:00"/>
    <x v="9"/>
    <m/>
    <n v="90000"/>
    <s v="TID:322919"/>
    <s v="Bank"/>
    <m/>
  </r>
  <r>
    <d v="2026-03-02T00:00:00"/>
    <x v="2"/>
    <n v="90000"/>
    <m/>
    <s v="Shani badshha"/>
    <s v="Bank"/>
    <m/>
  </r>
  <r>
    <d v="2026-03-03T00:00:00"/>
    <x v="18"/>
    <m/>
    <n v="60000"/>
    <s v="Jazzcash"/>
    <s v="Bank"/>
    <m/>
  </r>
  <r>
    <d v="2026-03-03T00:00:00"/>
    <x v="22"/>
    <n v="2500"/>
    <m/>
    <s v="Pva karaya"/>
    <s v="Bank"/>
    <m/>
  </r>
  <r>
    <d v="2026-03-03T00:00:00"/>
    <x v="6"/>
    <n v="100000"/>
    <m/>
    <s v="TID:091262"/>
    <s v="Bank"/>
    <m/>
  </r>
  <r>
    <d v="2026-03-03T00:00:00"/>
    <x v="28"/>
    <m/>
    <n v="500000"/>
    <s v="TID:451610"/>
    <s v="Bank"/>
    <m/>
  </r>
  <r>
    <d v="2026-03-03T00:00:00"/>
    <x v="5"/>
    <n v="10500"/>
    <m/>
    <s v="silai machine motor"/>
    <s v="Bank"/>
    <m/>
  </r>
  <r>
    <d v="2026-03-03T00:00:00"/>
    <x v="17"/>
    <n v="150000"/>
    <m/>
    <s v="TID:040021"/>
    <s v="Bank"/>
    <m/>
  </r>
  <r>
    <d v="2026-03-03T00:00:00"/>
    <x v="12"/>
    <n v="100210"/>
    <m/>
    <s v="TID:188533"/>
    <s v="Bank"/>
    <m/>
  </r>
  <r>
    <d v="2026-03-03T00:00:00"/>
    <x v="28"/>
    <m/>
    <n v="500000"/>
    <s v="TID:222396"/>
    <s v="Bank"/>
    <m/>
  </r>
  <r>
    <d v="2026-03-03T00:00:00"/>
    <x v="35"/>
    <n v="70415"/>
    <m/>
    <s v="Bill Nill"/>
    <s v="Bank"/>
    <m/>
  </r>
  <r>
    <d v="2026-03-03T00:00:00"/>
    <x v="21"/>
    <n v="250000"/>
    <m/>
    <s v="TID:218700"/>
    <s v="Bank"/>
    <m/>
  </r>
  <r>
    <d v="2026-03-03T00:00:00"/>
    <x v="27"/>
    <n v="150000"/>
    <m/>
    <s v="TID:195084"/>
    <s v="Bank"/>
    <m/>
  </r>
  <r>
    <d v="2026-03-03T00:00:00"/>
    <x v="12"/>
    <n v="31000"/>
    <m/>
    <s v="Freight"/>
    <s v="Bank"/>
    <m/>
  </r>
  <r>
    <d v="2026-03-03T00:00:00"/>
    <x v="36"/>
    <m/>
    <n v="257000"/>
    <s v="TID:468721"/>
    <s v="Bank"/>
    <m/>
  </r>
  <r>
    <d v="2026-03-03T00:00:00"/>
    <x v="0"/>
    <n v="1410"/>
    <m/>
    <m/>
    <s v="Bank"/>
    <m/>
  </r>
  <r>
    <d v="2026-03-03T00:00:00"/>
    <x v="12"/>
    <n v="18500"/>
    <m/>
    <s v="Freight"/>
    <s v="Bank"/>
    <m/>
  </r>
  <r>
    <d v="2026-03-03T00:00:00"/>
    <x v="23"/>
    <n v="3600"/>
    <m/>
    <s v="Mazdoor"/>
    <s v="Bank"/>
    <m/>
  </r>
  <r>
    <d v="2026-03-03T00:00:00"/>
    <x v="10"/>
    <n v="5000"/>
    <m/>
    <s v="petrol 464"/>
    <s v="Bank"/>
    <m/>
  </r>
  <r>
    <d v="2026-03-04T00:00:00"/>
    <x v="9"/>
    <m/>
    <n v="100000"/>
    <s v="cash"/>
    <s v="Bank"/>
    <m/>
  </r>
  <r>
    <d v="2026-03-04T00:00:00"/>
    <x v="37"/>
    <n v="84500"/>
    <m/>
    <s v="SM"/>
    <s v="Bank"/>
    <m/>
  </r>
  <r>
    <d v="2026-03-04T00:00:00"/>
    <x v="12"/>
    <n v="2000"/>
    <m/>
    <s v="unloading"/>
    <s v="Bank"/>
    <m/>
  </r>
  <r>
    <d v="2026-03-04T00:00:00"/>
    <x v="21"/>
    <n v="1000"/>
    <m/>
    <s v="unloading"/>
    <s v="Bank"/>
    <m/>
  </r>
  <r>
    <d v="2026-03-04T00:00:00"/>
    <x v="24"/>
    <m/>
    <m/>
    <s v="Ashfaq sahab boiler theka"/>
    <s v="Bank"/>
    <m/>
  </r>
  <r>
    <d v="2026-03-04T00:00:00"/>
    <x v="5"/>
    <n v="200000"/>
    <m/>
    <s v="Umar clip"/>
    <s v="Bank"/>
    <m/>
  </r>
  <r>
    <d v="2026-03-04T00:00:00"/>
    <x v="12"/>
    <n v="140000"/>
    <m/>
    <s v="TID:235114"/>
    <s v="Bank"/>
    <m/>
  </r>
  <r>
    <d v="2026-03-04T00:00:00"/>
    <x v="5"/>
    <n v="3900"/>
    <m/>
    <m/>
    <s v="Bank"/>
    <m/>
  </r>
  <r>
    <d v="2026-03-04T00:00:00"/>
    <x v="0"/>
    <n v="3720"/>
    <m/>
    <s v="gutkay"/>
    <s v="Bank"/>
    <m/>
  </r>
  <r>
    <d v="2026-03-04T00:00:00"/>
    <x v="5"/>
    <n v="3500"/>
    <m/>
    <s v="cam switch+bulbs"/>
    <s v="Bank"/>
    <m/>
  </r>
  <r>
    <d v="2026-03-04T00:00:00"/>
    <x v="5"/>
    <n v="1860"/>
    <m/>
    <s v="malo chain"/>
    <s v="Bank"/>
    <m/>
  </r>
  <r>
    <d v="2026-03-04T00:00:00"/>
    <x v="0"/>
    <n v="650"/>
    <m/>
    <m/>
    <s v="Bank"/>
    <m/>
  </r>
  <r>
    <d v="2026-03-04T00:00:00"/>
    <x v="23"/>
    <n v="3600"/>
    <m/>
    <s v="Mazdoor"/>
    <s v="Bank"/>
    <m/>
  </r>
  <r>
    <d v="2026-03-04T00:00:00"/>
    <x v="10"/>
    <n v="5110"/>
    <m/>
    <s v="Faizan transport"/>
    <s v="Bank"/>
    <m/>
  </r>
  <r>
    <d v="2026-03-04T00:00:00"/>
    <x v="28"/>
    <m/>
    <n v="5110"/>
    <s v="51100 meters / 10 paisay"/>
    <s v="Bank"/>
    <m/>
  </r>
  <r>
    <d v="2026-03-05T00:00:00"/>
    <x v="33"/>
    <n v="25000"/>
    <m/>
    <s v="ghulam abbas"/>
    <s v="Bank"/>
    <m/>
  </r>
  <r>
    <d v="2026-03-05T00:00:00"/>
    <x v="24"/>
    <n v="10000"/>
    <m/>
    <s v="Khalid sahab"/>
    <s v="Bank"/>
    <m/>
  </r>
  <r>
    <d v="2026-03-05T00:00:00"/>
    <x v="4"/>
    <m/>
    <n v="100000"/>
    <s v="TID:396552"/>
    <s v="Bank"/>
    <m/>
  </r>
  <r>
    <d v="2026-03-05T00:00:00"/>
    <x v="37"/>
    <n v="4000"/>
    <m/>
    <s v="leaveling+ME transport"/>
    <s v="Bank"/>
    <m/>
  </r>
  <r>
    <d v="2026-03-05T00:00:00"/>
    <x v="9"/>
    <m/>
    <n v="60000"/>
    <m/>
    <s v="Bank"/>
    <m/>
  </r>
  <r>
    <d v="2026-03-05T00:00:00"/>
    <x v="2"/>
    <m/>
    <n v="400000"/>
    <s v="MAK dyes"/>
    <s v="Bank"/>
    <m/>
  </r>
  <r>
    <d v="2026-03-05T00:00:00"/>
    <x v="38"/>
    <n v="400000"/>
    <m/>
    <m/>
    <s v="Bank"/>
    <m/>
  </r>
  <r>
    <d v="2026-03-05T00:00:00"/>
    <x v="20"/>
    <n v="150077"/>
    <m/>
    <s v="TID:745869"/>
    <s v="Bank"/>
    <m/>
  </r>
  <r>
    <d v="2026-03-06T00:00:00"/>
    <x v="39"/>
    <m/>
    <n v="200000"/>
    <s v="TID:590254"/>
    <s v="Bank"/>
    <m/>
  </r>
  <r>
    <d v="2026-03-06T00:00:00"/>
    <x v="12"/>
    <n v="201200"/>
    <m/>
    <s v="TID:978544"/>
    <s v="Bank"/>
    <m/>
  </r>
  <r>
    <d v="2026-03-06T00:00:00"/>
    <x v="14"/>
    <n v="1500"/>
    <m/>
    <s v="package khalid sb"/>
    <s v="Bank"/>
    <m/>
  </r>
  <r>
    <d v="2026-03-06T00:00:00"/>
    <x v="14"/>
    <n v="2600"/>
    <m/>
    <s v="package device"/>
    <s v="Bank"/>
    <m/>
  </r>
  <r>
    <d v="2026-03-06T00:00:00"/>
    <x v="0"/>
    <n v="760"/>
    <m/>
    <m/>
    <s v="Bank"/>
    <m/>
  </r>
  <r>
    <d v="2026-03-06T00:00:00"/>
    <x v="0"/>
    <n v="500"/>
    <m/>
    <m/>
    <s v="Bank"/>
    <m/>
  </r>
  <r>
    <d v="2026-03-06T00:00:00"/>
    <x v="10"/>
    <n v="1200"/>
    <m/>
    <s v="chain karaya"/>
    <s v="Bank"/>
    <m/>
  </r>
  <r>
    <d v="2026-03-07T00:00:00"/>
    <x v="10"/>
    <n v="11000"/>
    <m/>
    <s v="petrol 464"/>
    <s v="Bank"/>
    <m/>
  </r>
  <r>
    <d v="2026-03-07T00:00:00"/>
    <x v="5"/>
    <n v="2600"/>
    <m/>
    <s v="pankhay x2"/>
    <s v="Bank"/>
    <m/>
  </r>
  <r>
    <d v="2026-03-07T00:00:00"/>
    <x v="33"/>
    <n v="3000"/>
    <m/>
    <s v="Khubaib"/>
    <s v="Bank"/>
    <m/>
  </r>
  <r>
    <d v="2026-03-07T00:00:00"/>
    <x v="23"/>
    <n v="7200"/>
    <m/>
    <s v="mazdoor x2"/>
    <s v="Bank"/>
    <m/>
  </r>
  <r>
    <d v="2026-03-07T00:00:00"/>
    <x v="15"/>
    <m/>
    <n v="508900"/>
    <s v="TID:407116"/>
    <s v="Bank"/>
    <m/>
  </r>
  <r>
    <d v="2026-03-07T00:00:00"/>
    <x v="12"/>
    <n v="1000"/>
    <m/>
    <s v="unloading"/>
    <s v="Bank"/>
    <m/>
  </r>
  <r>
    <d v="2026-03-07T00:00:00"/>
    <x v="24"/>
    <m/>
    <m/>
    <m/>
    <s v="Bank"/>
    <m/>
  </r>
  <r>
    <d v="2026-03-07T00:00:00"/>
    <x v="5"/>
    <n v="3350"/>
    <m/>
    <s v="bearings+elect"/>
    <s v="Bank"/>
    <m/>
  </r>
  <r>
    <d v="2026-03-07T00:00:00"/>
    <x v="21"/>
    <n v="200310"/>
    <m/>
    <s v="TID:766050"/>
    <s v="Bank"/>
    <m/>
  </r>
  <r>
    <d v="2026-03-07T00:00:00"/>
    <x v="23"/>
    <n v="29000"/>
    <m/>
    <s v="Cement old"/>
    <s v="Bank"/>
    <m/>
  </r>
  <r>
    <d v="2026-03-07T00:00:00"/>
    <x v="19"/>
    <n v="50000"/>
    <m/>
    <m/>
    <s v="Bank"/>
    <m/>
  </r>
  <r>
    <d v="2026-03-07T00:00:00"/>
    <x v="40"/>
    <m/>
    <n v="50000"/>
    <m/>
    <s v="Bank"/>
    <m/>
  </r>
  <r>
    <d v="2026-03-07T00:00:00"/>
    <x v="27"/>
    <n v="100000"/>
    <m/>
    <m/>
    <s v="Bank"/>
    <m/>
  </r>
  <r>
    <d v="2026-03-07T00:00:00"/>
    <x v="28"/>
    <m/>
    <n v="500000"/>
    <s v="TID:027719"/>
    <s v="Bank"/>
    <m/>
  </r>
  <r>
    <d v="2026-03-07T00:00:00"/>
    <x v="24"/>
    <n v="30000"/>
    <m/>
    <s v="Khalid sahab"/>
    <s v="Bank"/>
    <m/>
  </r>
  <r>
    <d v="2026-03-07T00:00:00"/>
    <x v="30"/>
    <m/>
    <n v="100000"/>
    <s v="TID:405941"/>
    <s v="Bank"/>
    <m/>
  </r>
  <r>
    <d v="2026-03-07T00:00:00"/>
    <x v="0"/>
    <n v="1890"/>
    <m/>
    <m/>
    <s v="Bank"/>
    <m/>
  </r>
  <r>
    <d v="2026-03-08T00:00:00"/>
    <x v="10"/>
    <n v="2700"/>
    <m/>
    <s v="Chemical karay"/>
    <s v="Bank"/>
    <m/>
  </r>
  <r>
    <d v="2026-03-08T00:00:00"/>
    <x v="5"/>
    <n v="10121"/>
    <m/>
    <s v="Diesel 32l"/>
    <s v="Bank"/>
    <m/>
  </r>
  <r>
    <d v="2026-03-08T00:00:00"/>
    <x v="33"/>
    <n v="10000"/>
    <m/>
    <s v="Khubaib"/>
    <s v="Bank"/>
    <m/>
  </r>
  <r>
    <d v="2026-03-08T00:00:00"/>
    <x v="0"/>
    <n v="250"/>
    <m/>
    <m/>
    <s v="Bank"/>
    <m/>
  </r>
  <r>
    <d v="2026-03-09T00:00:00"/>
    <x v="23"/>
    <n v="7200"/>
    <m/>
    <s v="Mazdoor x2"/>
    <s v="Bank"/>
    <m/>
  </r>
  <r>
    <d v="2026-03-09T00:00:00"/>
    <x v="4"/>
    <m/>
    <n v="52214"/>
    <s v="TID:878336"/>
    <s v="Bank"/>
    <m/>
  </r>
  <r>
    <d v="2026-03-09T00:00:00"/>
    <x v="5"/>
    <n v="500"/>
    <m/>
    <s v="nuts"/>
    <s v="Bank"/>
    <m/>
  </r>
  <r>
    <d v="2026-03-09T00:00:00"/>
    <x v="16"/>
    <m/>
    <n v="75000"/>
    <s v="TID:887050"/>
    <s v="Bank"/>
    <m/>
  </r>
  <r>
    <d v="2026-03-09T00:00:00"/>
    <x v="5"/>
    <n v="8407"/>
    <m/>
    <s v="silai cones"/>
    <s v="Bank"/>
    <m/>
  </r>
  <r>
    <d v="2026-03-09T00:00:00"/>
    <x v="12"/>
    <n v="100000"/>
    <m/>
    <s v="TID:274658"/>
    <s v="Bank"/>
    <m/>
  </r>
  <r>
    <d v="2026-03-09T00:00:00"/>
    <x v="24"/>
    <m/>
    <m/>
    <s v="Ashfaq sahab boiler theka"/>
    <s v="Bank"/>
    <m/>
  </r>
  <r>
    <d v="2026-03-09T00:00:00"/>
    <x v="0"/>
    <n v="3985"/>
    <m/>
    <m/>
    <s v="Bank"/>
    <m/>
  </r>
  <r>
    <d v="2026-03-09T00:00:00"/>
    <x v="16"/>
    <m/>
    <n v="55000"/>
    <s v="cash"/>
    <s v="Bank"/>
    <m/>
  </r>
  <r>
    <d v="2026-03-09T00:00:00"/>
    <x v="9"/>
    <m/>
    <n v="50000"/>
    <s v="cash"/>
    <s v="Bank"/>
    <m/>
  </r>
  <r>
    <d v="2026-03-09T00:00:00"/>
    <x v="2"/>
    <n v="55000"/>
    <m/>
    <s v="zahid ejaz"/>
    <s v="Bank"/>
    <m/>
  </r>
  <r>
    <d v="2026-03-09T00:00:00"/>
    <x v="2"/>
    <n v="50000"/>
    <m/>
    <s v="Shani Badshah"/>
    <s v="Bank"/>
    <m/>
  </r>
  <r>
    <d v="2026-03-10T00:00:00"/>
    <x v="5"/>
    <n v="6550"/>
    <m/>
    <s v="plumbing"/>
    <s v="Bank"/>
    <m/>
  </r>
  <r>
    <d v="2026-03-10T00:00:00"/>
    <x v="5"/>
    <n v="3900"/>
    <m/>
    <s v="plumber"/>
    <s v="Bank"/>
    <m/>
  </r>
  <r>
    <d v="2026-03-10T00:00:00"/>
    <x v="34"/>
    <n v="129125"/>
    <m/>
    <m/>
    <s v="Bank"/>
    <m/>
  </r>
  <r>
    <d v="2026-03-10T00:00:00"/>
    <x v="23"/>
    <n v="3600"/>
    <m/>
    <s v="mazdoor"/>
    <s v="Bank"/>
    <m/>
  </r>
  <r>
    <d v="2026-03-10T00:00:00"/>
    <x v="21"/>
    <n v="200250"/>
    <m/>
    <s v="TID:650064"/>
    <s v="Bank"/>
    <m/>
  </r>
  <r>
    <d v="2026-03-10T00:00:00"/>
    <x v="3"/>
    <n v="4482"/>
    <m/>
    <s v="optix"/>
    <s v="Bank"/>
    <m/>
  </r>
  <r>
    <d v="2026-03-10T00:00:00"/>
    <x v="10"/>
    <n v="5000"/>
    <m/>
    <s v="petrol 935"/>
    <s v="Bank"/>
    <m/>
  </r>
  <r>
    <d v="2026-03-10T00:00:00"/>
    <x v="9"/>
    <m/>
    <n v="65000"/>
    <s v="cash"/>
    <s v="Bank"/>
    <m/>
  </r>
  <r>
    <d v="2026-03-10T00:00:00"/>
    <x v="2"/>
    <n v="65000"/>
    <m/>
    <s v="Shani Badshah"/>
    <s v="Bank"/>
    <m/>
  </r>
  <r>
    <d v="2026-03-11T00:00:00"/>
    <x v="39"/>
    <m/>
    <n v="175000"/>
    <s v="TID:918204"/>
    <s v="Bank"/>
    <m/>
  </r>
  <r>
    <d v="2026-03-11T00:00:00"/>
    <x v="5"/>
    <n v="9000"/>
    <m/>
    <s v="silai machine"/>
    <s v="Bank"/>
    <m/>
  </r>
  <r>
    <d v="2026-03-11T00:00:00"/>
    <x v="41"/>
    <n v="5000"/>
    <m/>
    <s v="abdur rehman"/>
    <s v="Bank"/>
    <m/>
  </r>
  <r>
    <d v="2026-03-12T00:00:00"/>
    <x v="5"/>
    <n v="500"/>
    <m/>
    <s v="bolts"/>
    <s v="Bank"/>
    <m/>
  </r>
  <r>
    <d v="2026-03-12T00:00:00"/>
    <x v="5"/>
    <n v="2400"/>
    <m/>
    <s v="bolts"/>
    <s v="Bank"/>
    <m/>
  </r>
  <r>
    <d v="2026-03-12T00:00:00"/>
    <x v="5"/>
    <n v="400"/>
    <m/>
    <s v="malo star"/>
    <s v="Bank"/>
    <m/>
  </r>
  <r>
    <d v="2026-03-12T00:00:00"/>
    <x v="23"/>
    <n v="10000"/>
    <m/>
    <s v="tractor"/>
    <s v="Bank"/>
    <m/>
  </r>
  <r>
    <d v="2026-03-12T00:00:00"/>
    <x v="5"/>
    <n v="11121"/>
    <m/>
    <s v="Diesel 32l"/>
    <s v="Bank"/>
    <m/>
  </r>
  <r>
    <d v="2026-03-12T00:00:00"/>
    <x v="24"/>
    <m/>
    <m/>
    <s v="nazim"/>
    <s v="Bank"/>
    <m/>
  </r>
  <r>
    <d v="2026-03-12T00:00:00"/>
    <x v="2"/>
    <m/>
    <n v="200400"/>
    <s v="pindi das"/>
    <s v="Bank"/>
    <m/>
  </r>
  <r>
    <d v="2026-03-12T00:00:00"/>
    <x v="10"/>
    <n v="7236"/>
    <m/>
    <s v="petrol 464"/>
    <s v="Bank"/>
    <m/>
  </r>
  <r>
    <d v="2026-03-12T00:00:00"/>
    <x v="0"/>
    <n v="4578"/>
    <m/>
    <m/>
    <s v="Bank"/>
    <m/>
  </r>
  <r>
    <d v="2026-03-12T00:00:00"/>
    <x v="9"/>
    <m/>
    <n v="50000"/>
    <s v="cash"/>
    <s v="Bank"/>
    <m/>
  </r>
  <r>
    <d v="2026-03-12T00:00:00"/>
    <x v="2"/>
    <n v="50000"/>
    <m/>
    <s v="Shani Badshah"/>
    <s v="Bank"/>
    <m/>
  </r>
  <r>
    <d v="2026-03-13T00:00:00"/>
    <x v="24"/>
    <n v="16000"/>
    <m/>
    <s v="Ashraf Guard"/>
    <s v="Bank"/>
    <m/>
  </r>
  <r>
    <d v="2026-03-13T00:00:00"/>
    <x v="19"/>
    <n v="50000"/>
    <m/>
    <s v="TID:509305"/>
    <s v="Bank"/>
    <m/>
  </r>
  <r>
    <d v="2026-03-13T00:00:00"/>
    <x v="18"/>
    <m/>
    <n v="100000"/>
    <s v="TID:883271"/>
    <s v="Bank"/>
    <m/>
  </r>
  <r>
    <d v="2026-03-13T00:00:00"/>
    <x v="33"/>
    <n v="35000"/>
    <m/>
    <s v="ghulam abbas"/>
    <s v="Bank"/>
    <m/>
  </r>
  <r>
    <d v="2026-03-13T00:00:00"/>
    <x v="33"/>
    <n v="8000"/>
    <m/>
    <s v="nasir opt"/>
    <s v="Bank"/>
    <m/>
  </r>
  <r>
    <d v="2026-03-13T00:00:00"/>
    <x v="21"/>
    <n v="1000"/>
    <m/>
    <s v="unloading"/>
    <s v="Bank"/>
    <m/>
  </r>
  <r>
    <d v="2026-03-13T00:00:00"/>
    <x v="12"/>
    <n v="1000"/>
    <m/>
    <s v="unloading"/>
    <s v="Bank"/>
    <m/>
  </r>
  <r>
    <d v="2026-03-13T00:00:00"/>
    <x v="2"/>
    <m/>
    <n v="980000"/>
    <m/>
    <s v="Bank"/>
    <m/>
  </r>
  <r>
    <d v="2026-03-13T00:00:00"/>
    <x v="24"/>
    <n v="60000"/>
    <m/>
    <s v="Master Tanveer"/>
    <s v="Bank"/>
    <m/>
  </r>
  <r>
    <d v="2026-03-13T00:00:00"/>
    <x v="24"/>
    <n v="970360"/>
    <m/>
    <s v="General"/>
    <s v="Bank"/>
    <m/>
  </r>
  <r>
    <d v="2026-03-13T00:00:00"/>
    <x v="9"/>
    <m/>
    <n v="50000"/>
    <s v="cash"/>
    <s v="Bank"/>
    <m/>
  </r>
  <r>
    <d v="2026-03-13T00:00:00"/>
    <x v="40"/>
    <m/>
    <n v="150000"/>
    <s v="Cash"/>
    <s v="Bank"/>
    <m/>
  </r>
  <r>
    <d v="2026-03-13T00:00:00"/>
    <x v="2"/>
    <n v="50000"/>
    <m/>
    <s v="Shani Badshah"/>
    <s v="Bank"/>
    <m/>
  </r>
  <r>
    <d v="2026-03-13T00:00:00"/>
    <x v="2"/>
    <n v="150000"/>
    <m/>
    <s v="Raaz fabrics"/>
    <s v="Bank"/>
    <m/>
  </r>
  <r>
    <d v="2026-03-14T00:00:00"/>
    <x v="14"/>
    <n v="15000"/>
    <m/>
    <s v="Environment"/>
    <s v="Bank"/>
    <m/>
  </r>
  <r>
    <d v="2026-03-14T00:00:00"/>
    <x v="24"/>
    <n v="50000"/>
    <m/>
    <s v="Khubaib"/>
    <s v="Bank"/>
    <m/>
  </r>
  <r>
    <d v="2026-03-14T00:00:00"/>
    <x v="33"/>
    <n v="10000"/>
    <m/>
    <s v="aqeel abbas fitter"/>
    <s v="Bank"/>
    <m/>
  </r>
  <r>
    <d v="2026-03-14T00:00:00"/>
    <x v="2"/>
    <m/>
    <n v="130000"/>
    <s v="Waheed master"/>
    <s v="Bank"/>
    <m/>
  </r>
  <r>
    <d v="2026-03-14T00:00:00"/>
    <x v="24"/>
    <n v="60000"/>
    <m/>
    <s v="Waheed master"/>
    <s v="Bank"/>
    <m/>
  </r>
  <r>
    <d v="2026-03-14T00:00:00"/>
    <x v="21"/>
    <n v="4000"/>
    <m/>
    <s v="unloading"/>
    <s v="Bank"/>
    <m/>
  </r>
  <r>
    <d v="2026-03-14T00:00:00"/>
    <x v="12"/>
    <n v="2000"/>
    <m/>
    <s v="unloading"/>
    <s v="Bank"/>
    <m/>
  </r>
  <r>
    <d v="2026-03-14T00:00:00"/>
    <x v="23"/>
    <n v="3600"/>
    <m/>
    <m/>
    <s v="Bank"/>
    <m/>
  </r>
  <r>
    <d v="2026-03-14T00:00:00"/>
    <x v="2"/>
    <m/>
    <n v="54000"/>
    <s v="tanveer sb"/>
    <s v="Bank"/>
    <m/>
  </r>
  <r>
    <d v="2026-03-14T00:00:00"/>
    <x v="24"/>
    <n v="54000"/>
    <m/>
    <s v="tanveer sb"/>
    <s v="Bank"/>
    <m/>
  </r>
  <r>
    <d v="2026-03-14T00:00:00"/>
    <x v="2"/>
    <m/>
    <n v="120000"/>
    <s v="tanveer sb pva adjust"/>
    <s v="Bank"/>
    <m/>
  </r>
  <r>
    <d v="2026-03-14T00:00:00"/>
    <x v="22"/>
    <n v="120000"/>
    <m/>
    <s v="tanveer sb pva adjust"/>
    <s v="Bank"/>
    <m/>
  </r>
  <r>
    <d v="2026-03-14T00:00:00"/>
    <x v="4"/>
    <m/>
    <n v="200000"/>
    <s v="50k transfer 150K cash"/>
    <s v="Bank"/>
    <m/>
  </r>
  <r>
    <d v="2026-03-14T00:00:00"/>
    <x v="10"/>
    <n v="3000"/>
    <m/>
    <s v="raksha karaya"/>
    <s v="Bank"/>
    <m/>
  </r>
  <r>
    <d v="2026-03-15T00:00:00"/>
    <x v="5"/>
    <n v="2900"/>
    <m/>
    <s v="disc"/>
    <s v="Bank"/>
    <m/>
  </r>
  <r>
    <d v="2026-03-15T00:00:00"/>
    <x v="21"/>
    <n v="150000"/>
    <m/>
    <s v="TID:034331"/>
    <s v="Bank"/>
    <m/>
  </r>
  <r>
    <d v="2026-03-15T00:00:00"/>
    <x v="41"/>
    <n v="5000"/>
    <m/>
    <s v="abdur rehman"/>
    <s v="Bank"/>
    <m/>
  </r>
  <r>
    <d v="2026-03-15T00:00:00"/>
    <x v="42"/>
    <m/>
    <n v="130000"/>
    <s v="TID:996807"/>
    <s v="Bank"/>
    <m/>
  </r>
  <r>
    <d v="2026-03-15T00:00:00"/>
    <x v="43"/>
    <m/>
    <n v="40000"/>
    <s v="TID:253453"/>
    <s v="Bank"/>
    <m/>
  </r>
  <r>
    <d v="2026-03-15T00:00:00"/>
    <x v="5"/>
    <n v="1400"/>
    <m/>
    <s v="kundi etc"/>
    <s v="Bank"/>
    <m/>
  </r>
  <r>
    <d v="2026-03-15T00:00:00"/>
    <x v="2"/>
    <n v="150000"/>
    <m/>
    <s v="ejaz sahab cash"/>
    <s v="Bank"/>
    <m/>
  </r>
  <r>
    <d v="2026-03-16T00:00:00"/>
    <x v="5"/>
    <n v="33000"/>
    <m/>
    <s v="U+bearings"/>
    <s v="Bank"/>
    <m/>
  </r>
  <r>
    <d v="2026-03-16T00:00:00"/>
    <x v="3"/>
    <n v="50000"/>
    <m/>
    <s v="hotel advance"/>
    <s v="Bank"/>
    <m/>
  </r>
  <r>
    <d v="2026-03-16T00:00:00"/>
    <x v="5"/>
    <n v="7000"/>
    <m/>
    <s v="flunge"/>
    <s v="Bank"/>
    <m/>
  </r>
  <r>
    <d v="2026-03-16T00:00:00"/>
    <x v="24"/>
    <n v="40000"/>
    <m/>
    <s v="Tanveer sb"/>
    <s v="Bank"/>
    <m/>
  </r>
  <r>
    <d v="2026-03-16T00:00:00"/>
    <x v="10"/>
    <n v="800"/>
    <m/>
    <s v="karaya"/>
    <s v="Bank"/>
    <m/>
  </r>
  <r>
    <d v="2026-03-16T00:00:00"/>
    <x v="3"/>
    <n v="6575"/>
    <m/>
    <s v="Medicine+groccery"/>
    <s v="Bank"/>
    <m/>
  </r>
  <r>
    <d v="2026-03-17T00:00:00"/>
    <x v="24"/>
    <n v="165000"/>
    <m/>
    <s v="Ashfaq sahab boiler theka"/>
    <s v="Bank"/>
    <m/>
  </r>
  <r>
    <d v="2026-03-17T00:00:00"/>
    <x v="24"/>
    <n v="50000"/>
    <m/>
    <s v="Khalid sahab"/>
    <s v="Bank"/>
    <m/>
  </r>
  <r>
    <d v="2026-03-17T00:00:00"/>
    <x v="35"/>
    <n v="44730"/>
    <m/>
    <s v="Till 14 march"/>
    <s v="Bank"/>
    <m/>
  </r>
  <r>
    <d v="2026-03-17T00:00:00"/>
    <x v="5"/>
    <n v="1150"/>
    <m/>
    <m/>
    <s v="Bank"/>
    <m/>
  </r>
  <r>
    <d v="2026-03-17T00:00:00"/>
    <x v="3"/>
    <n v="600"/>
    <m/>
    <s v="juice etc"/>
    <s v="Bank"/>
    <m/>
  </r>
  <r>
    <d v="2026-03-17T00:00:00"/>
    <x v="0"/>
    <n v="7060"/>
    <m/>
    <m/>
    <s v="Bank"/>
    <m/>
  </r>
  <r>
    <d v="2026-03-17T00:00:00"/>
    <x v="3"/>
    <n v="2640"/>
    <m/>
    <s v="Kfc arshad mammu"/>
    <s v="Bank"/>
    <m/>
  </r>
  <r>
    <d v="2026-03-17T00:00:00"/>
    <x v="2"/>
    <n v="100000"/>
    <m/>
    <s v="Hafiz qureshi 200k-100k uni"/>
    <s v="Bank"/>
    <m/>
  </r>
  <r>
    <d v="2026-03-17T00:00:00"/>
    <x v="15"/>
    <m/>
    <n v="200000"/>
    <m/>
    <s v="Bank"/>
    <m/>
  </r>
  <r>
    <d v="2026-03-17T00:00:00"/>
    <x v="29"/>
    <n v="100000"/>
    <m/>
    <m/>
    <s v="Bank"/>
    <m/>
  </r>
  <r>
    <d v="2026-03-18T00:00:00"/>
    <x v="24"/>
    <n v="50000"/>
    <m/>
    <s v="Ashfaq sahab boiler theka"/>
    <s v="Bank"/>
    <m/>
  </r>
  <r>
    <d v="2026-03-18T00:00:00"/>
    <x v="14"/>
    <n v="2710"/>
    <m/>
    <s v="karaya ect"/>
    <s v="Bank"/>
    <m/>
  </r>
  <r>
    <d v="2026-03-18T00:00:00"/>
    <x v="24"/>
    <n v="2666"/>
    <m/>
    <s v="nazim"/>
    <s v="Bank"/>
    <m/>
  </r>
  <r>
    <d v="2026-03-18T00:00:00"/>
    <x v="3"/>
    <n v="900"/>
    <m/>
    <s v="geyser switch"/>
    <s v="Bank"/>
    <m/>
  </r>
  <r>
    <d v="2026-03-18T00:00:00"/>
    <x v="4"/>
    <m/>
    <n v="100000"/>
    <s v="TID:699220"/>
    <s v="Bank"/>
    <m/>
  </r>
  <r>
    <d v="2026-03-18T00:00:00"/>
    <x v="14"/>
    <n v="20000"/>
    <m/>
    <s v="cheque//license factory"/>
    <s v="Bank"/>
    <m/>
  </r>
  <r>
    <d v="2026-03-18T00:00:00"/>
    <x v="0"/>
    <n v="1341"/>
    <m/>
    <m/>
    <s v="Bank"/>
    <m/>
  </r>
  <r>
    <d v="2026-03-19T00:00:00"/>
    <x v="5"/>
    <n v="50000"/>
    <m/>
    <s v="Ghulam mustafa"/>
    <s v="Bank"/>
    <m/>
  </r>
  <r>
    <d v="2026-03-19T00:00:00"/>
    <x v="2"/>
    <m/>
    <n v="50000"/>
    <s v="Ghulam mustafa"/>
    <s v="Bank"/>
    <m/>
  </r>
  <r>
    <d v="2026-03-19T00:00:00"/>
    <x v="2"/>
    <m/>
    <n v="1800000"/>
    <s v="Bank Deposit"/>
    <s v="Bank"/>
    <m/>
  </r>
  <r>
    <d v="2026-03-20T00:00:00"/>
    <x v="3"/>
    <n v="2500"/>
    <m/>
    <s v="trip exp"/>
    <s v="Bank"/>
    <m/>
  </r>
  <r>
    <d v="2026-03-20T00:00:00"/>
    <x v="3"/>
    <n v="581"/>
    <m/>
    <s v="saman"/>
    <s v="Bank"/>
    <m/>
  </r>
  <r>
    <d v="2026-03-20T00:00:00"/>
    <x v="10"/>
    <n v="5000"/>
    <m/>
    <s v="petrol 464"/>
    <s v="Bank"/>
    <m/>
  </r>
  <r>
    <d v="2026-03-20T00:00:00"/>
    <x v="0"/>
    <n v="1120"/>
    <m/>
    <m/>
    <s v="Bank"/>
    <m/>
  </r>
  <r>
    <d v="2026-03-20T00:00:00"/>
    <x v="39"/>
    <m/>
    <n v="300000"/>
    <s v="TID:317547"/>
    <s v="Bank"/>
    <m/>
  </r>
  <r>
    <d v="2026-03-20T00:00:00"/>
    <x v="27"/>
    <n v="100470"/>
    <m/>
    <s v="TID:454415"/>
    <s v="Bank"/>
    <m/>
  </r>
  <r>
    <d v="2026-03-20T00:00:00"/>
    <x v="5"/>
    <n v="20000"/>
    <m/>
    <s v="folding"/>
    <s v="Bank"/>
    <m/>
  </r>
  <r>
    <d v="2026-03-20T00:00:00"/>
    <x v="12"/>
    <n v="104470"/>
    <m/>
    <s v="TID:964482"/>
    <s v="Bank"/>
    <m/>
  </r>
  <r>
    <d v="2026-03-20T00:00:00"/>
    <x v="2"/>
    <n v="75060"/>
    <m/>
    <s v="Sajad khan 300k balance"/>
    <s v="Bank"/>
    <m/>
  </r>
  <r>
    <d v="2026-03-20T00:00:00"/>
    <x v="10"/>
    <n v="8151"/>
    <m/>
    <s v="petrol 464"/>
    <s v="Bank"/>
    <m/>
  </r>
  <r>
    <d v="2026-03-21T00:00:00"/>
    <x v="3"/>
    <n v="35102"/>
    <m/>
    <s v="Nishat dolmen"/>
    <s v="Bank"/>
    <m/>
  </r>
  <r>
    <d v="2026-03-21T00:00:00"/>
    <x v="0"/>
    <n v="1200"/>
    <m/>
    <m/>
    <s v="Bank"/>
    <m/>
  </r>
  <r>
    <d v="2026-03-22T00:00:00"/>
    <x v="3"/>
    <n v="50000"/>
    <m/>
    <s v="trip exp"/>
    <s v="Bank"/>
    <m/>
  </r>
  <r>
    <d v="2026-03-24T00:00:00"/>
    <x v="2"/>
    <m/>
    <n v="490000"/>
    <s v="TID:754023"/>
    <s v="Bank"/>
    <m/>
  </r>
  <r>
    <d v="2026-03-24T00:00:00"/>
    <x v="2"/>
    <m/>
    <n v="125000"/>
    <s v="Arshad silk"/>
    <s v="Bank"/>
    <m/>
  </r>
  <r>
    <d v="2026-03-24T00:00:00"/>
    <x v="8"/>
    <n v="2576170"/>
    <m/>
    <m/>
    <s v="Bank"/>
    <m/>
  </r>
  <r>
    <d v="2026-03-24T00:00:00"/>
    <x v="2"/>
    <m/>
    <n v="130000"/>
    <s v="cash deposit"/>
    <s v="Bank"/>
    <m/>
  </r>
  <r>
    <d v="2026-03-24T00:00:00"/>
    <x v="10"/>
    <n v="5000"/>
    <m/>
    <s v="petrol 697"/>
    <s v="Bank"/>
    <m/>
  </r>
  <r>
    <d v="2026-03-24T00:00:00"/>
    <x v="3"/>
    <n v="730"/>
    <m/>
    <m/>
    <s v="Bank"/>
    <m/>
  </r>
  <r>
    <d v="2026-03-26T00:00:00"/>
    <x v="30"/>
    <m/>
    <n v="50000"/>
    <m/>
    <s v="Bank"/>
    <m/>
  </r>
  <r>
    <d v="2026-03-26T00:00:00"/>
    <x v="5"/>
    <n v="896"/>
    <m/>
    <m/>
    <s v="Bank"/>
    <m/>
  </r>
  <r>
    <d v="2026-03-26T00:00:00"/>
    <x v="5"/>
    <n v="4200"/>
    <m/>
    <m/>
    <s v="Bank"/>
    <m/>
  </r>
  <r>
    <d v="2026-03-27T00:00:00"/>
    <x v="33"/>
    <n v="5000"/>
    <m/>
    <s v="Tanveer sb"/>
    <s v="Bank"/>
    <m/>
  </r>
  <r>
    <d v="2026-03-28T00:00:00"/>
    <x v="5"/>
    <n v="1250"/>
    <m/>
    <s v="rods"/>
    <s v="Bank"/>
    <m/>
  </r>
  <r>
    <d v="2026-03-28T00:00:00"/>
    <x v="44"/>
    <m/>
    <n v="135000"/>
    <s v="TID:108212"/>
    <s v="Bank"/>
    <m/>
  </r>
  <r>
    <d v="2026-03-28T00:00:00"/>
    <x v="9"/>
    <m/>
    <n v="75000"/>
    <s v="Reciept #474"/>
    <s v="Bank"/>
    <m/>
  </r>
  <r>
    <d v="2026-03-28T00:00:00"/>
    <x v="18"/>
    <m/>
    <n v="125000"/>
    <s v="Reciept #475"/>
    <s v="Bank"/>
    <m/>
  </r>
  <r>
    <d v="2026-03-28T00:00:00"/>
    <x v="21"/>
    <n v="200100"/>
    <m/>
    <s v="TID:545990"/>
    <s v="Bank"/>
    <m/>
  </r>
  <r>
    <d v="2026-03-28T00:00:00"/>
    <x v="0"/>
    <n v="3040"/>
    <m/>
    <m/>
    <s v="Bank"/>
    <m/>
  </r>
  <r>
    <d v="2026-03-28T00:00:00"/>
    <x v="3"/>
    <n v="3500"/>
    <m/>
    <s v="tarjuma kitaab"/>
    <s v="Bank"/>
    <m/>
  </r>
  <r>
    <d v="2026-03-29T00:00:00"/>
    <x v="23"/>
    <n v="10000"/>
    <m/>
    <s v="tractor"/>
    <s v="Bank"/>
    <m/>
  </r>
  <r>
    <d v="2026-03-30T00:00:00"/>
    <x v="10"/>
    <n v="5000"/>
    <m/>
    <s v="petrol 464"/>
    <s v="Bank"/>
    <m/>
  </r>
  <r>
    <d v="2026-03-31T00:00:00"/>
    <x v="45"/>
    <m/>
    <n v="463280"/>
    <m/>
    <s v="Bank"/>
    <m/>
  </r>
  <r>
    <d v="2026-03-31T00:00:00"/>
    <x v="23"/>
    <n v="52000"/>
    <m/>
    <s v="bricks"/>
    <s v="Bank"/>
    <m/>
  </r>
  <r>
    <d v="2026-03-31T00:00:00"/>
    <x v="33"/>
    <n v="5000"/>
    <m/>
    <s v="Tanveer sb"/>
    <s v="Bank"/>
    <m/>
  </r>
  <r>
    <d v="2026-03-31T00:00:00"/>
    <x v="23"/>
    <n v="3280"/>
    <m/>
    <s v="Mazdoor"/>
    <s v="Bank"/>
    <m/>
  </r>
  <r>
    <d v="2026-04-01T00:00:00"/>
    <x v="4"/>
    <m/>
    <n v="100000"/>
    <s v="TID:562667"/>
    <s v="Bank"/>
    <m/>
  </r>
  <r>
    <d v="2026-04-01T00:00:00"/>
    <x v="5"/>
    <n v="30000"/>
    <m/>
    <s v="monfort"/>
    <s v="Bank"/>
    <m/>
  </r>
  <r>
    <d v="2026-04-01T00:00:00"/>
    <x v="33"/>
    <n v="40000"/>
    <m/>
    <s v="Khubaib"/>
    <s v="Bank"/>
    <m/>
  </r>
  <r>
    <d v="2026-04-01T00:00:00"/>
    <x v="14"/>
    <n v="2000"/>
    <m/>
    <s v="khalid sb package"/>
    <s v="Bank"/>
    <m/>
  </r>
  <r>
    <d v="2026-04-01T00:00:00"/>
    <x v="5"/>
    <n v="2625"/>
    <m/>
    <m/>
    <s v="Bank"/>
    <m/>
  </r>
  <r>
    <d v="2026-04-01T00:00:00"/>
    <x v="20"/>
    <n v="150000"/>
    <m/>
    <s v="TID:639064"/>
    <s v="Bank"/>
    <m/>
  </r>
  <r>
    <d v="2026-04-01T00:00:00"/>
    <x v="0"/>
    <n v="250000"/>
    <m/>
    <s v="TID:638703"/>
    <s v="Bank"/>
    <m/>
  </r>
  <r>
    <d v="2026-04-01T00:00:00"/>
    <x v="0"/>
    <m/>
    <n v="5000"/>
    <s v="cash-&gt;abid looms"/>
    <s v="Bank"/>
    <m/>
  </r>
  <r>
    <d v="2026-04-01T00:00:00"/>
    <x v="25"/>
    <n v="5000"/>
    <m/>
    <m/>
    <s v="Bank"/>
    <m/>
  </r>
  <r>
    <d v="2026-04-01T00:00:00"/>
    <x v="23"/>
    <m/>
    <m/>
    <m/>
    <s v="Bank"/>
    <m/>
  </r>
  <r>
    <d v="2026-04-01T00:00:00"/>
    <x v="24"/>
    <m/>
    <m/>
    <s v="Bajwa//salary"/>
    <s v="Bank"/>
    <m/>
  </r>
  <r>
    <d v="2026-04-01T00:00:00"/>
    <x v="5"/>
    <n v="3400"/>
    <m/>
    <s v="tire"/>
    <s v="Bank"/>
    <m/>
  </r>
  <r>
    <d v="2026-04-02T00:00:00"/>
    <x v="0"/>
    <n v="100000"/>
    <m/>
    <s v="TID:484568"/>
    <s v="Bank"/>
    <m/>
  </r>
  <r>
    <d v="2026-04-02T00:00:00"/>
    <x v="23"/>
    <m/>
    <m/>
    <s v="mazdoor"/>
    <s v="Bank"/>
    <m/>
  </r>
  <r>
    <d v="2026-04-02T00:00:00"/>
    <x v="4"/>
    <m/>
    <n v="60635"/>
    <s v="TID:018126"/>
    <s v="Bank"/>
    <m/>
  </r>
  <r>
    <d v="2026-04-02T00:00:00"/>
    <x v="24"/>
    <n v="15150"/>
    <m/>
    <s v="Ashraf Guard"/>
    <s v="Bank"/>
    <m/>
  </r>
  <r>
    <d v="2026-04-02T00:00:00"/>
    <x v="18"/>
    <m/>
    <n v="100000"/>
    <s v="against cash"/>
    <s v="Bank"/>
    <m/>
  </r>
  <r>
    <d v="2026-04-02T00:00:00"/>
    <x v="21"/>
    <n v="150100"/>
    <m/>
    <s v="TID:331316"/>
    <s v="Bank"/>
    <m/>
  </r>
  <r>
    <d v="2026-04-02T00:00:00"/>
    <x v="10"/>
    <n v="12038"/>
    <m/>
    <m/>
    <s v="Bank"/>
    <m/>
  </r>
  <r>
    <d v="2026-04-02T00:00:00"/>
    <x v="0"/>
    <n v="7512"/>
    <m/>
    <m/>
    <s v="Bank"/>
    <m/>
  </r>
  <r>
    <d v="2026-04-02T00:00:00"/>
    <x v="3"/>
    <n v="4214"/>
    <m/>
    <s v="Petrol azm697"/>
    <s v="Bank"/>
    <m/>
  </r>
  <r>
    <d v="2026-04-03T00:00:00"/>
    <x v="3"/>
    <n v="5615"/>
    <m/>
    <s v="grocceries"/>
    <s v="Bank"/>
    <m/>
  </r>
  <r>
    <d v="2026-04-03T00:00:00"/>
    <x v="2"/>
    <m/>
    <n v="121000"/>
    <s v="pindi das"/>
    <s v="Bank"/>
    <m/>
  </r>
  <r>
    <d v="2026-04-03T00:00:00"/>
    <x v="27"/>
    <n v="60214"/>
    <m/>
    <s v="TID:702623"/>
    <s v="Bank"/>
    <m/>
  </r>
  <r>
    <d v="2026-04-04T00:00:00"/>
    <x v="29"/>
    <n v="100000"/>
    <m/>
    <m/>
    <s v="Bank"/>
    <m/>
  </r>
  <r>
    <d v="2026-04-04T00:00:00"/>
    <x v="2"/>
    <m/>
    <n v="100000"/>
    <s v="unicolor"/>
    <s v="Bank"/>
    <m/>
  </r>
  <r>
    <d v="2026-04-04T00:00:00"/>
    <x v="3"/>
    <n v="8000"/>
    <m/>
    <s v="abdullah groccery"/>
    <s v="Bank"/>
    <m/>
  </r>
  <r>
    <d v="2026-04-04T00:00:00"/>
    <x v="14"/>
    <n v="5000"/>
    <m/>
    <s v="cylinder"/>
    <s v="Bank"/>
    <m/>
  </r>
  <r>
    <d v="2026-04-04T00:00:00"/>
    <x v="24"/>
    <n v="25000"/>
    <m/>
    <s v="Bajwa//salary"/>
    <s v="Bank"/>
    <m/>
  </r>
  <r>
    <d v="2026-04-04T00:00:00"/>
    <x v="14"/>
    <n v="15000"/>
    <m/>
    <s v="environment"/>
    <s v="Bank"/>
    <m/>
  </r>
  <r>
    <d v="2026-04-04T00:00:00"/>
    <x v="25"/>
    <n v="6000"/>
    <m/>
    <s v="abid master"/>
    <s v="Bank"/>
    <m/>
  </r>
  <r>
    <d v="2026-04-04T00:00:00"/>
    <x v="10"/>
    <n v="400"/>
    <m/>
    <m/>
    <s v="Bank"/>
    <m/>
  </r>
  <r>
    <d v="2026-04-04T00:00:00"/>
    <x v="23"/>
    <n v="17200"/>
    <m/>
    <s v="Mazdoor 8 din"/>
    <s v="Bank"/>
    <m/>
  </r>
  <r>
    <d v="2026-04-04T00:00:00"/>
    <x v="14"/>
    <n v="1480"/>
    <m/>
    <s v="khalid sb exp"/>
    <s v="Bank"/>
    <m/>
  </r>
  <r>
    <d v="2026-04-04T00:00:00"/>
    <x v="14"/>
    <n v="12100"/>
    <m/>
    <s v="medicine khalid sb"/>
    <s v="Bank"/>
    <m/>
  </r>
  <r>
    <d v="2026-04-06T00:00:00"/>
    <x v="10"/>
    <n v="4400"/>
    <m/>
    <s v="raksha karaya"/>
    <s v="Bank"/>
    <m/>
  </r>
  <r>
    <d v="2026-04-06T00:00:00"/>
    <x v="15"/>
    <m/>
    <n v="100000"/>
    <s v="tid:830448"/>
    <s v="Bank"/>
    <m/>
  </r>
  <r>
    <d v="2026-04-06T00:00:00"/>
    <x v="23"/>
    <n v="11340"/>
    <m/>
    <s v="excavation"/>
    <s v="Bank"/>
    <m/>
  </r>
  <r>
    <d v="2026-04-06T00:00:00"/>
    <x v="21"/>
    <n v="100000"/>
    <m/>
    <s v="TID:571979"/>
    <s v="Bank"/>
    <m/>
  </r>
  <r>
    <d v="2026-04-06T00:00:00"/>
    <x v="24"/>
    <n v="20000"/>
    <m/>
    <s v="nasir opt"/>
    <s v="Bank"/>
    <m/>
  </r>
  <r>
    <d v="2026-04-06T00:00:00"/>
    <x v="0"/>
    <m/>
    <n v="20000"/>
    <s v="TID:663499"/>
    <s v="Bank"/>
    <m/>
  </r>
  <r>
    <d v="2026-04-06T00:00:00"/>
    <x v="0"/>
    <m/>
    <n v="2000"/>
    <s v="Khubaib"/>
    <s v="Bank"/>
    <m/>
  </r>
  <r>
    <d v="2026-04-06T00:00:00"/>
    <x v="33"/>
    <n v="2000"/>
    <m/>
    <s v="Khubaib"/>
    <s v="Bank"/>
    <m/>
  </r>
  <r>
    <d v="2026-04-07T00:00:00"/>
    <x v="0"/>
    <m/>
    <n v="12000"/>
    <s v="TID:087404"/>
    <s v="Bank"/>
    <m/>
  </r>
  <r>
    <d v="2026-04-07T00:00:00"/>
    <x v="46"/>
    <n v="312000"/>
    <m/>
    <s v="starch"/>
    <s v="Bank"/>
    <m/>
  </r>
  <r>
    <d v="2026-04-07T00:00:00"/>
    <x v="0"/>
    <m/>
    <n v="12000"/>
    <s v="TID:673014"/>
    <s v="Bank"/>
    <m/>
  </r>
  <r>
    <d v="2026-04-07T00:00:00"/>
    <x v="2"/>
    <m/>
    <n v="300000"/>
    <s v="TID:1229322"/>
    <s v="Bank"/>
    <m/>
  </r>
  <r>
    <d v="2026-04-07T00:00:00"/>
    <x v="2"/>
    <m/>
    <n v="20000"/>
    <s v="jc"/>
    <s v="Bank"/>
    <m/>
  </r>
  <r>
    <d v="2026-04-07T00:00:00"/>
    <x v="24"/>
    <n v="10000"/>
    <m/>
    <s v="Tanveer sb"/>
    <s v="Bank"/>
    <m/>
  </r>
  <r>
    <d v="2026-04-07T00:00:00"/>
    <x v="24"/>
    <n v="10000"/>
    <m/>
    <s v="Khalid sahab"/>
    <s v="Bank"/>
    <m/>
  </r>
  <r>
    <d v="2026-04-08T00:00:00"/>
    <x v="2"/>
    <m/>
    <n v="150000"/>
    <s v="TID:991133"/>
    <s v="Bank"/>
    <m/>
  </r>
  <r>
    <d v="2026-04-08T00:00:00"/>
    <x v="12"/>
    <n v="150000"/>
    <m/>
    <s v="TID:991133"/>
    <s v="Bank"/>
    <m/>
  </r>
  <r>
    <d v="2026-04-08T00:00:00"/>
    <x v="2"/>
    <m/>
    <n v="30000"/>
    <s v="JC"/>
    <s v="Bank"/>
    <m/>
  </r>
  <r>
    <d v="2026-04-08T00:00:00"/>
    <x v="5"/>
    <n v="1600"/>
    <m/>
    <m/>
    <s v="Bank"/>
    <m/>
  </r>
  <r>
    <d v="2026-04-08T00:00:00"/>
    <x v="10"/>
    <n v="5305"/>
    <m/>
    <s v="bike+loader"/>
    <s v="Bank"/>
    <m/>
  </r>
  <r>
    <d v="2026-04-08T00:00:00"/>
    <x v="5"/>
    <n v="15673"/>
    <m/>
    <s v="Diesel 30l"/>
    <s v="Bank"/>
    <m/>
  </r>
  <r>
    <d v="2026-04-08T00:00:00"/>
    <x v="5"/>
    <n v="400"/>
    <m/>
    <m/>
    <s v="Bank"/>
    <m/>
  </r>
  <r>
    <d v="2026-04-08T00:00:00"/>
    <x v="2"/>
    <m/>
    <n v="74380"/>
    <s v="madina dyes"/>
    <s v="Bank"/>
    <m/>
  </r>
  <r>
    <d v="2026-04-08T00:00:00"/>
    <x v="26"/>
    <n v="74380"/>
    <m/>
    <s v="dyes"/>
    <s v="Bank"/>
    <m/>
  </r>
  <r>
    <d v="2026-04-08T00:00:00"/>
    <x v="10"/>
    <n v="2800"/>
    <m/>
    <s v="dyes transport"/>
    <s v="Bank"/>
    <m/>
  </r>
  <r>
    <d v="2026-04-08T00:00:00"/>
    <x v="5"/>
    <n v="6800"/>
    <m/>
    <s v="ball valve"/>
    <s v="Bank"/>
    <m/>
  </r>
  <r>
    <d v="2026-04-08T00:00:00"/>
    <x v="23"/>
    <n v="15000"/>
    <m/>
    <s v="3 din"/>
    <s v="Bank"/>
    <m/>
  </r>
  <r>
    <d v="2026-04-08T00:00:00"/>
    <x v="12"/>
    <n v="50000"/>
    <m/>
    <s v="TID:698371"/>
    <s v="Bank"/>
    <m/>
  </r>
  <r>
    <d v="2026-04-08T00:00:00"/>
    <x v="2"/>
    <m/>
    <n v="50000"/>
    <s v="TID:698371"/>
    <s v="Bank"/>
    <m/>
  </r>
  <r>
    <d v="2026-04-09T00:00:00"/>
    <x v="5"/>
    <n v="1300"/>
    <m/>
    <m/>
    <s v="Bank"/>
    <m/>
  </r>
  <r>
    <d v="2026-04-09T00:00:00"/>
    <x v="19"/>
    <n v="34336"/>
    <m/>
    <s v="bill NILl"/>
    <s v="Bank"/>
    <m/>
  </r>
  <r>
    <d v="2026-04-09T00:00:00"/>
    <x v="0"/>
    <m/>
    <n v="34336"/>
    <s v="amjad wood"/>
    <s v="Bank"/>
    <m/>
  </r>
  <r>
    <d v="2026-04-09T00:00:00"/>
    <x v="26"/>
    <n v="27000"/>
    <m/>
    <s v="pva+np9"/>
    <s v="Bank"/>
    <m/>
  </r>
  <r>
    <d v="2026-04-09T00:00:00"/>
    <x v="2"/>
    <m/>
    <n v="27000"/>
    <s v="madina dyes"/>
    <s v="Bank"/>
    <m/>
  </r>
  <r>
    <d v="2026-04-09T00:00:00"/>
    <x v="2"/>
    <m/>
    <n v="1000000"/>
    <s v="cash"/>
    <s v="Bank"/>
    <m/>
  </r>
  <r>
    <d v="2026-04-09T00:00:00"/>
    <x v="2"/>
    <m/>
    <n v="45000"/>
    <s v="cash"/>
    <s v="Bank"/>
    <m/>
  </r>
  <r>
    <d v="2026-04-09T00:00:00"/>
    <x v="24"/>
    <n v="841267"/>
    <m/>
    <s v="general "/>
    <s v="Bank"/>
    <m/>
  </r>
  <r>
    <d v="2026-04-09T00:00:00"/>
    <x v="24"/>
    <n v="165000"/>
    <m/>
    <s v="Ashfaq sahab boiler theka"/>
    <s v="Bank"/>
    <m/>
  </r>
  <r>
    <d v="2026-04-09T00:00:00"/>
    <x v="24"/>
    <n v="50000"/>
    <m/>
    <s v="Tanveer sb"/>
    <s v="Bank"/>
    <m/>
  </r>
  <r>
    <d v="2026-04-10T00:00:00"/>
    <x v="2"/>
    <m/>
    <n v="62000"/>
    <s v="TID:712499"/>
    <s v="Bank"/>
    <m/>
  </r>
  <r>
    <d v="2026-04-10T00:00:00"/>
    <x v="5"/>
    <n v="2200"/>
    <m/>
    <m/>
    <s v="Bank"/>
    <m/>
  </r>
  <r>
    <d v="2026-04-10T00:00:00"/>
    <x v="5"/>
    <n v="30000"/>
    <m/>
    <s v="Kluber"/>
    <s v="Bank"/>
    <m/>
  </r>
  <r>
    <d v="2026-04-10T00:00:00"/>
    <x v="47"/>
    <n v="50000"/>
    <m/>
    <s v="TID:906577"/>
    <s v="Bank"/>
    <m/>
  </r>
  <r>
    <d v="2026-04-10T00:00:00"/>
    <x v="2"/>
    <m/>
    <n v="77000"/>
    <s v="JC"/>
    <s v="Bank"/>
    <m/>
  </r>
  <r>
    <d v="2026-04-10T00:00:00"/>
    <x v="10"/>
    <n v="3044"/>
    <m/>
    <s v="loader"/>
    <s v="Bank"/>
    <m/>
  </r>
  <r>
    <d v="2026-04-10T00:00:00"/>
    <x v="24"/>
    <n v="40000"/>
    <m/>
    <s v="Khalid sb Apr 10th"/>
    <s v="Bank"/>
    <m/>
  </r>
  <r>
    <d v="2026-04-10T00:00:00"/>
    <x v="5"/>
    <n v="1200"/>
    <m/>
    <m/>
    <s v="Bank"/>
    <m/>
  </r>
  <r>
    <d v="2026-04-10T00:00:00"/>
    <x v="14"/>
    <n v="600"/>
    <m/>
    <m/>
    <s v="Bank"/>
    <m/>
  </r>
  <r>
    <d v="2026-04-10T00:00:00"/>
    <x v="10"/>
    <n v="7636.4"/>
    <m/>
    <s v="petrol 464"/>
    <s v="Bank"/>
    <m/>
  </r>
  <r>
    <d v="2026-04-10T00:00:00"/>
    <x v="2"/>
    <m/>
    <n v="50000"/>
    <s v="pindi das"/>
    <s v="Bank"/>
    <m/>
  </r>
  <r>
    <d v="2026-04-10T00:00:00"/>
    <x v="24"/>
    <n v="14000"/>
    <m/>
    <s v="aslam"/>
    <s v="Bank"/>
    <m/>
  </r>
  <r>
    <d v="2026-04-10T00:00:00"/>
    <x v="24"/>
    <n v="22400"/>
    <m/>
    <s v="mursaleen"/>
    <s v="Bank"/>
    <m/>
  </r>
  <r>
    <d v="2026-04-11T00:00:00"/>
    <x v="28"/>
    <m/>
    <n v="5965"/>
    <s v="Transport"/>
    <s v="Bank"/>
    <m/>
  </r>
  <r>
    <d v="2026-04-11T00:00:00"/>
    <x v="10"/>
    <n v="5965"/>
    <m/>
    <s v="Faizan"/>
    <s v="Bank"/>
    <m/>
  </r>
  <r>
    <d v="2026-04-11T00:00:00"/>
    <x v="3"/>
    <n v="4471"/>
    <m/>
    <s v="optix"/>
    <s v="Bank"/>
    <m/>
  </r>
  <r>
    <d v="2026-04-11T00:00:00"/>
    <x v="10"/>
    <n v="1500"/>
    <m/>
    <s v="dyes transport"/>
    <s v="Bank"/>
    <m/>
  </r>
  <r>
    <d v="2026-04-11T00:00:00"/>
    <x v="48"/>
    <m/>
    <n v="400000"/>
    <s v="TID:390444"/>
    <s v="Bank"/>
    <m/>
  </r>
  <r>
    <d v="2026-04-11T00:00:00"/>
    <x v="21"/>
    <n v="200200"/>
    <m/>
    <s v="TID:989700"/>
    <s v="Bank"/>
    <m/>
  </r>
  <r>
    <d v="2026-04-11T00:00:00"/>
    <x v="24"/>
    <n v="29000"/>
    <m/>
    <s v="Khubaib"/>
    <s v="Bank"/>
    <m/>
  </r>
  <r>
    <d v="2026-04-11T00:00:00"/>
    <x v="10"/>
    <n v="6000"/>
    <m/>
    <s v="yarn transport"/>
    <s v="Bank"/>
    <m/>
  </r>
  <r>
    <d v="2026-04-11T00:00:00"/>
    <x v="0"/>
    <n v="1490"/>
    <m/>
    <m/>
    <s v="Bank"/>
    <m/>
  </r>
  <r>
    <d v="2026-04-12T00:00:00"/>
    <x v="5"/>
    <n v="4500"/>
    <m/>
    <m/>
    <s v="Bank"/>
    <m/>
  </r>
  <r>
    <d v="2026-04-12T00:00:00"/>
    <x v="47"/>
    <n v="100000"/>
    <m/>
    <s v="TID:971496"/>
    <s v="Bank"/>
    <m/>
  </r>
  <r>
    <d v="2026-04-12T00:00:00"/>
    <x v="2"/>
    <m/>
    <n v="40000"/>
    <s v="TID:194758"/>
    <s v="Bank"/>
    <m/>
  </r>
  <r>
    <d v="2026-04-12T00:00:00"/>
    <x v="12"/>
    <n v="100000"/>
    <m/>
    <s v="TID:880579"/>
    <s v="Bank"/>
    <m/>
  </r>
  <r>
    <d v="2026-04-12T00:00:00"/>
    <x v="5"/>
    <n v="1600"/>
    <m/>
    <m/>
    <s v="Bank"/>
    <m/>
  </r>
  <r>
    <d v="2026-04-12T00:00:00"/>
    <x v="5"/>
    <n v="5040"/>
    <m/>
    <m/>
    <s v="Bank"/>
    <m/>
  </r>
  <r>
    <d v="2026-04-12T00:00:00"/>
    <x v="0"/>
    <m/>
    <n v="5040"/>
    <s v="TID:686582"/>
    <s v="Bank"/>
    <m/>
  </r>
  <r>
    <d v="2026-04-12T00:00:00"/>
    <x v="2"/>
    <m/>
    <n v="10000"/>
    <s v="TID:754017"/>
    <s v="Bank"/>
    <m/>
  </r>
  <r>
    <d v="2026-04-12T00:00:00"/>
    <x v="10"/>
    <n v="7392"/>
    <m/>
    <s v="petrol 464'"/>
    <s v="Bank"/>
    <m/>
  </r>
  <r>
    <d v="2026-04-13T00:00:00"/>
    <x v="18"/>
    <m/>
    <n v="100000"/>
    <s v="TID:264635"/>
    <s v="Bank"/>
    <m/>
  </r>
  <r>
    <d v="2026-04-13T00:00:00"/>
    <x v="5"/>
    <n v="1000"/>
    <m/>
    <m/>
    <s v="Bank"/>
    <m/>
  </r>
  <r>
    <d v="2026-04-13T00:00:00"/>
    <x v="35"/>
    <n v="65310"/>
    <m/>
    <s v="Bill NILL 10/4"/>
    <s v="Bank"/>
    <m/>
  </r>
  <r>
    <d v="2026-04-13T00:00:00"/>
    <x v="0"/>
    <m/>
    <n v="70000"/>
    <s v="TID:242367"/>
    <s v="Bank"/>
    <m/>
  </r>
  <r>
    <d v="2026-04-13T00:00:00"/>
    <x v="12"/>
    <n v="100000"/>
    <m/>
    <s v="TID:945970"/>
    <s v="Bank"/>
    <m/>
  </r>
  <r>
    <d v="2026-04-13T00:00:00"/>
    <x v="10"/>
    <n v="3920"/>
    <m/>
    <m/>
    <s v="Bank"/>
    <m/>
  </r>
  <r>
    <d v="2026-04-13T00:00:00"/>
    <x v="21"/>
    <n v="1000"/>
    <m/>
    <s v="unloading"/>
    <s v="Bank"/>
    <m/>
  </r>
  <r>
    <d v="2026-04-13T00:00:00"/>
    <x v="21"/>
    <n v="10000"/>
    <m/>
    <s v="Cash-Freight"/>
    <s v="Bank"/>
    <m/>
  </r>
  <r>
    <d v="2026-04-13T00:00:00"/>
    <x v="30"/>
    <m/>
    <n v="28000"/>
    <s v="TID:914411"/>
    <s v="Bank"/>
    <m/>
  </r>
  <r>
    <d v="2026-04-13T00:00:00"/>
    <x v="10"/>
    <n v="1700"/>
    <m/>
    <s v="chemical karaya"/>
    <s v="Bank"/>
    <m/>
  </r>
  <r>
    <d v="2026-04-13T00:00:00"/>
    <x v="26"/>
    <n v="98950"/>
    <m/>
    <s v="finish"/>
    <s v="Bank"/>
    <m/>
  </r>
  <r>
    <d v="2026-04-13T00:00:00"/>
    <x v="2"/>
    <m/>
    <n v="100000"/>
    <s v="madina dyes"/>
    <s v="Bank"/>
    <m/>
  </r>
  <r>
    <d v="2026-04-14T00:00:00"/>
    <x v="5"/>
    <n v="2600"/>
    <m/>
    <m/>
    <s v="Bank"/>
    <m/>
  </r>
  <r>
    <d v="2026-04-14T00:00:00"/>
    <x v="14"/>
    <n v="500"/>
    <m/>
    <m/>
    <m/>
    <m/>
  </r>
  <r>
    <d v="2026-04-14T00:00:00"/>
    <x v="48"/>
    <m/>
    <n v="200000"/>
    <s v="TID:155611"/>
    <s v="Bank"/>
    <m/>
  </r>
  <r>
    <d v="2026-04-14T00:00:00"/>
    <x v="12"/>
    <n v="85000"/>
    <m/>
    <s v="TID:004432"/>
    <s v="Bank"/>
    <m/>
  </r>
  <r>
    <d v="2026-04-14T00:00:00"/>
    <x v="2"/>
    <m/>
    <n v="85000"/>
    <s v="aslam multani"/>
    <s v="Bank"/>
    <m/>
  </r>
  <r>
    <d v="2026-04-14T00:00:00"/>
    <x v="14"/>
    <n v="2020"/>
    <m/>
    <s v="stationary"/>
    <s v="Bank"/>
    <m/>
  </r>
  <r>
    <d v="2026-04-14T00:00:00"/>
    <x v="28"/>
    <m/>
    <n v="500000"/>
    <s v="TID:964595"/>
    <s v="Bank"/>
    <m/>
  </r>
  <r>
    <d v="2026-04-14T00:00:00"/>
    <x v="2"/>
    <n v="200000"/>
    <m/>
    <s v="TID:324169"/>
    <s v="Bank"/>
    <m/>
  </r>
  <r>
    <d v="2026-04-14T00:00:00"/>
    <x v="37"/>
    <n v="4000"/>
    <m/>
    <s v="karaya"/>
    <s v="Bank"/>
    <m/>
  </r>
  <r>
    <d v="2026-04-14T00:00:00"/>
    <x v="23"/>
    <n v="3900"/>
    <m/>
    <m/>
    <s v="Bank"/>
    <m/>
  </r>
  <r>
    <d v="2026-04-14T00:00:00"/>
    <x v="24"/>
    <n v="6670"/>
    <m/>
    <s v="aqeel abbas"/>
    <s v="Bank"/>
    <m/>
  </r>
  <r>
    <d v="2026-04-15T00:00:00"/>
    <x v="39"/>
    <m/>
    <n v="164000"/>
    <m/>
    <s v="Bank"/>
    <m/>
  </r>
  <r>
    <d v="2026-04-15T00:00:00"/>
    <x v="2"/>
    <n v="164000"/>
    <m/>
    <s v="Sajad khan"/>
    <s v="Bank"/>
    <m/>
  </r>
  <r>
    <d v="2026-04-15T00:00:00"/>
    <x v="38"/>
    <n v="400000"/>
    <m/>
    <s v="TID:396977"/>
    <s v="Bank"/>
    <m/>
  </r>
  <r>
    <d v="2026-04-15T00:00:00"/>
    <x v="5"/>
    <n v="3210"/>
    <m/>
    <s v="elkey bolts"/>
    <s v="Bank"/>
    <m/>
  </r>
  <r>
    <d v="2026-04-15T00:00:00"/>
    <x v="12"/>
    <n v="50000"/>
    <m/>
    <s v="TID:326122"/>
    <s v="Bank"/>
    <m/>
  </r>
  <r>
    <d v="2026-04-15T00:00:00"/>
    <x v="0"/>
    <n v="2490"/>
    <m/>
    <m/>
    <s v="Bank"/>
    <m/>
  </r>
  <r>
    <d v="2026-04-15T00:00:00"/>
    <x v="9"/>
    <m/>
    <n v="676071"/>
    <s v="Kapra adjust BSC"/>
    <s v="Bank"/>
    <m/>
  </r>
  <r>
    <d v="2026-04-15T00:00:00"/>
    <x v="2"/>
    <n v="676071"/>
    <m/>
    <s v="Shani Badshah kapra adjust"/>
    <s v="Bank"/>
    <m/>
  </r>
  <r>
    <d v="2026-04-16T00:00:00"/>
    <x v="5"/>
    <n v="27000"/>
    <m/>
    <m/>
    <s v="Bank"/>
    <m/>
  </r>
  <r>
    <d v="2026-04-16T00:00:00"/>
    <x v="2"/>
    <m/>
    <n v="27000"/>
    <s v="Parts"/>
    <s v="Bank"/>
    <m/>
  </r>
  <r>
    <d v="2026-04-16T00:00:00"/>
    <x v="5"/>
    <n v="600"/>
    <m/>
    <m/>
    <s v="Bank"/>
    <m/>
  </r>
  <r>
    <d v="2026-04-16T00:00:00"/>
    <x v="2"/>
    <m/>
    <n v="600"/>
    <m/>
    <s v="Bank"/>
    <m/>
  </r>
  <r>
    <d v="2026-04-16T00:00:00"/>
    <x v="5"/>
    <n v="3800"/>
    <m/>
    <m/>
    <s v="Bank"/>
    <m/>
  </r>
  <r>
    <d v="2026-04-16T00:00:00"/>
    <x v="2"/>
    <m/>
    <n v="3800"/>
    <m/>
    <s v="Bank"/>
    <m/>
  </r>
  <r>
    <d v="2026-04-16T00:00:00"/>
    <x v="5"/>
    <n v="2635"/>
    <m/>
    <m/>
    <s v="Bank"/>
    <m/>
  </r>
  <r>
    <d v="2026-04-16T00:00:00"/>
    <x v="28"/>
    <m/>
    <n v="400000"/>
    <s v="TID:340911"/>
    <s v="Bank"/>
    <m/>
  </r>
  <r>
    <d v="2026-04-16T00:00:00"/>
    <x v="12"/>
    <n v="200125"/>
    <m/>
    <s v="TID:516344"/>
    <s v="Bank"/>
    <m/>
  </r>
  <r>
    <d v="2026-04-16T00:00:00"/>
    <x v="21"/>
    <n v="203000"/>
    <m/>
    <s v="TID:994176"/>
    <s v="Bank"/>
    <m/>
  </r>
  <r>
    <d v="2026-04-16T00:00:00"/>
    <x v="18"/>
    <m/>
    <n v="100000"/>
    <s v="Cash"/>
    <s v="Bank"/>
    <m/>
  </r>
  <r>
    <d v="2026-04-16T00:00:00"/>
    <x v="29"/>
    <n v="90000"/>
    <m/>
    <m/>
    <s v="Bank"/>
    <m/>
  </r>
  <r>
    <d v="2026-04-16T00:00:00"/>
    <x v="2"/>
    <n v="10000"/>
    <m/>
    <s v="Arshad-uni"/>
    <s v="Bank"/>
    <m/>
  </r>
  <r>
    <d v="2026-04-16T00:00:00"/>
    <x v="10"/>
    <n v="7763"/>
    <m/>
    <s v="petrol 464"/>
    <s v="Bank"/>
    <m/>
  </r>
  <r>
    <d v="2026-04-16T00:00:00"/>
    <x v="13"/>
    <n v="38800"/>
    <m/>
    <s v="STarch"/>
    <s v="Bank"/>
    <m/>
  </r>
  <r>
    <d v="2026-04-16T00:00:00"/>
    <x v="48"/>
    <m/>
    <n v="200000"/>
    <s v="TID:337814"/>
    <s v="Bank"/>
    <m/>
  </r>
  <r>
    <d v="2026-04-16T00:00:00"/>
    <x v="24"/>
    <n v="50000"/>
    <m/>
    <s v="Ashfaq sahab boiler theka"/>
    <s v="Bank"/>
    <m/>
  </r>
  <r>
    <d v="2026-04-16T00:00:00"/>
    <x v="10"/>
    <n v="3943"/>
    <m/>
    <s v="Starch karaya"/>
    <s v="Bank"/>
    <m/>
  </r>
  <r>
    <d v="2026-04-16T00:00:00"/>
    <x v="10"/>
    <n v="1500"/>
    <m/>
    <s v="oil change"/>
    <s v="Bank"/>
    <m/>
  </r>
  <r>
    <d v="2026-04-17T00:00:00"/>
    <x v="3"/>
    <n v="1437"/>
    <m/>
    <s v="pharmacy"/>
    <s v="Bank"/>
    <m/>
  </r>
  <r>
    <d v="2026-04-17T00:00:00"/>
    <x v="0"/>
    <n v="2880"/>
    <m/>
    <m/>
    <s v="Bank"/>
    <m/>
  </r>
  <r>
    <d v="2026-04-17T00:00:00"/>
    <x v="5"/>
    <n v="6000"/>
    <m/>
    <s v="SHAFT"/>
    <s v="Bank"/>
    <m/>
  </r>
  <r>
    <d v="2026-04-17T00:00:00"/>
    <x v="12"/>
    <n v="50000"/>
    <m/>
    <s v="TID:664920"/>
    <s v="Bank"/>
    <m/>
  </r>
  <r>
    <d v="2026-04-17T00:00:00"/>
    <x v="10"/>
    <n v="2010"/>
    <m/>
    <s v="Mtag"/>
    <s v="Bank"/>
    <m/>
  </r>
  <r>
    <d v="2026-04-17T00:00:00"/>
    <x v="5"/>
    <n v="1320"/>
    <m/>
    <m/>
    <s v="Bank"/>
    <m/>
  </r>
  <r>
    <d v="2026-04-17T00:00:00"/>
    <x v="10"/>
    <n v="1000"/>
    <m/>
    <m/>
    <s v="Bank"/>
    <m/>
  </r>
  <r>
    <d v="2026-04-18T00:00:00"/>
    <x v="5"/>
    <n v="1370"/>
    <m/>
    <s v="bolts"/>
    <s v="Bank"/>
    <m/>
  </r>
  <r>
    <d v="2026-04-18T00:00:00"/>
    <x v="2"/>
    <m/>
    <n v="1370"/>
    <s v="bolts"/>
    <s v="Bank"/>
    <m/>
  </r>
  <r>
    <d v="2026-04-18T00:00:00"/>
    <x v="33"/>
    <n v="5000"/>
    <m/>
    <s v="khalid sahab"/>
    <s v="Bank"/>
    <m/>
  </r>
  <r>
    <d v="2026-04-18T00:00:00"/>
    <x v="35"/>
    <n v="10000"/>
    <m/>
    <s v="3 din"/>
    <s v="Bank"/>
    <m/>
  </r>
  <r>
    <d v="2026-04-18T00:00:00"/>
    <x v="18"/>
    <m/>
    <n v="100000"/>
    <s v="Cash"/>
    <s v="Bank"/>
    <m/>
  </r>
  <r>
    <d v="2026-04-18T00:00:00"/>
    <x v="29"/>
    <n v="100000"/>
    <m/>
    <s v="Cash"/>
    <s v="Bank"/>
    <m/>
  </r>
  <r>
    <d v="2026-04-18T00:00:00"/>
    <x v="5"/>
    <n v="1100"/>
    <m/>
    <m/>
    <s v="Bank"/>
    <m/>
  </r>
  <r>
    <d v="2026-04-18T00:00:00"/>
    <x v="35"/>
    <n v="30000"/>
    <m/>
    <s v="Atta"/>
    <s v="Bank"/>
    <m/>
  </r>
  <r>
    <d v="2026-04-18T00:00:00"/>
    <x v="5"/>
    <n v="1800"/>
    <m/>
    <m/>
    <s v="Bank"/>
    <m/>
  </r>
  <r>
    <d v="2026-04-18T00:00:00"/>
    <x v="5"/>
    <n v="550"/>
    <m/>
    <m/>
    <s v="Bank"/>
    <m/>
  </r>
  <r>
    <d v="2026-04-18T00:00:00"/>
    <x v="10"/>
    <n v="950"/>
    <m/>
    <m/>
    <s v="Bank"/>
    <m/>
  </r>
  <r>
    <d v="2026-04-18T00:00:00"/>
    <x v="12"/>
    <n v="48800"/>
    <m/>
    <s v="TID:349095"/>
    <s v="Bank"/>
    <m/>
  </r>
  <r>
    <d v="2026-04-18T00:00:00"/>
    <x v="48"/>
    <m/>
    <n v="123800"/>
    <m/>
    <s v="Bank"/>
    <m/>
  </r>
  <r>
    <d v="2026-04-18T00:00:00"/>
    <x v="2"/>
    <m/>
    <n v="48800"/>
    <s v="Aslam multani"/>
    <s v="Bank"/>
    <m/>
  </r>
  <r>
    <d v="2026-04-18T00:00:00"/>
    <x v="2"/>
    <n v="123800"/>
    <m/>
    <s v="Ubaid"/>
    <s v="Bank"/>
    <m/>
  </r>
  <r>
    <d v="2026-04-19T00:00:00"/>
    <x v="33"/>
    <n v="75000"/>
    <m/>
    <s v="Master tanveer"/>
    <s v="Bank"/>
    <m/>
  </r>
  <r>
    <d v="2026-04-19T00:00:00"/>
    <x v="2"/>
    <m/>
    <n v="75000"/>
    <s v="Advance master tanveer"/>
    <s v="Bank"/>
    <m/>
  </r>
  <r>
    <d v="2026-04-19T00:00:00"/>
    <x v="13"/>
    <n v="31000"/>
    <m/>
    <s v="Starch"/>
    <s v="Bank"/>
    <m/>
  </r>
  <r>
    <d v="2026-04-19T00:00:00"/>
    <x v="2"/>
    <m/>
    <n v="31000"/>
    <s v="starch"/>
    <s v="Bank"/>
    <m/>
  </r>
  <r>
    <d v="2026-04-19T00:00:00"/>
    <x v="2"/>
    <m/>
    <n v="48500"/>
    <s v="MZ karaya"/>
    <s v="Bank"/>
    <m/>
  </r>
  <r>
    <d v="2026-04-19T00:00:00"/>
    <x v="20"/>
    <n v="48500"/>
    <m/>
    <s v="Freight"/>
    <s v="Bank"/>
    <m/>
  </r>
  <r>
    <d v="2026-04-19T00:00:00"/>
    <x v="3"/>
    <n v="3000"/>
    <m/>
    <s v="mama"/>
    <s v="Bank"/>
    <m/>
  </r>
  <r>
    <d v="2026-04-19T00:00:00"/>
    <x v="49"/>
    <n v="25000"/>
    <m/>
    <s v="Freight"/>
    <s v="Bank"/>
    <m/>
  </r>
  <r>
    <d v="2026-04-19T00:00:00"/>
    <x v="14"/>
    <n v="480"/>
    <m/>
    <s v="tape"/>
    <s v="Bank"/>
    <m/>
  </r>
  <r>
    <d v="2026-04-19T00:00:00"/>
    <x v="3"/>
    <n v="4000"/>
    <s v=" "/>
    <s v="hooria laptop"/>
    <s v="Bank"/>
    <m/>
  </r>
  <r>
    <d v="2026-04-19T00:00:00"/>
    <x v="5"/>
    <n v="5400"/>
    <m/>
    <s v="lights x3"/>
    <s v="Bank"/>
    <m/>
  </r>
  <r>
    <d v="2026-04-20T00:00:00"/>
    <x v="10"/>
    <n v="7014"/>
    <m/>
    <s v="petrol 464"/>
    <m/>
    <m/>
  </r>
  <r>
    <d v="2026-04-20T00:00:00"/>
    <x v="2"/>
    <m/>
    <n v="15000"/>
    <s v="TID:456265"/>
    <s v="Bank"/>
    <m/>
  </r>
  <r>
    <d v="2026-04-20T00:00:00"/>
    <x v="0"/>
    <m/>
    <n v="8800"/>
    <s v="abd laptop"/>
    <s v="Bank"/>
    <m/>
  </r>
  <r>
    <d v="2026-04-20T00:00:00"/>
    <x v="3"/>
    <n v="8800"/>
    <m/>
    <s v="abd laptop"/>
    <s v="Bank"/>
    <m/>
  </r>
  <r>
    <d v="2026-04-20T00:00:00"/>
    <x v="2"/>
    <m/>
    <n v="50000"/>
    <s v="TID:959052"/>
    <s v="Bank"/>
    <m/>
  </r>
  <r>
    <d v="2026-04-20T00:00:00"/>
    <x v="33"/>
    <n v="50000"/>
    <m/>
    <s v="Ghulam Abbas"/>
    <s v="Bank"/>
    <m/>
  </r>
  <r>
    <d v="2026-04-20T00:00:00"/>
    <x v="5"/>
    <n v="4000"/>
    <m/>
    <m/>
    <s v="Bank"/>
    <m/>
  </r>
  <r>
    <d v="2026-04-20T00:00:00"/>
    <x v="2"/>
    <m/>
    <n v="50000"/>
    <s v="TID:908223"/>
    <s v="Bank"/>
    <m/>
  </r>
  <r>
    <d v="2026-04-20T00:00:00"/>
    <x v="13"/>
    <n v="31200"/>
    <m/>
    <s v="Starch"/>
    <s v="Bank"/>
    <m/>
  </r>
  <r>
    <d v="2026-04-20T00:00:00"/>
    <x v="35"/>
    <n v="19685"/>
    <m/>
    <m/>
    <s v="Bank"/>
    <m/>
  </r>
  <r>
    <d v="2026-04-20T00:00:00"/>
    <x v="10"/>
    <n v="600"/>
    <m/>
    <s v="karaya"/>
    <s v="Bank"/>
    <m/>
  </r>
  <r>
    <d v="2026-04-20T00:00:00"/>
    <x v="2"/>
    <m/>
    <n v="280000"/>
    <s v="TID:740139"/>
    <s v="Bank"/>
    <m/>
  </r>
  <r>
    <d v="2026-04-20T00:00:00"/>
    <x v="21"/>
    <n v="150000"/>
    <m/>
    <s v="TID:673380"/>
    <s v="Bank"/>
    <m/>
  </r>
  <r>
    <d v="2026-04-20T00:00:00"/>
    <x v="27"/>
    <n v="100000"/>
    <m/>
    <s v="TID:836616"/>
    <s v="Bank"/>
    <m/>
  </r>
  <r>
    <d v="2026-04-20T00:00:00"/>
    <x v="3"/>
    <n v="20000"/>
    <m/>
    <s v="Ashfaq sahab ID fan"/>
    <s v="Bank"/>
    <m/>
  </r>
  <r>
    <d v="2026-04-20T00:00:00"/>
    <x v="33"/>
    <n v="10000"/>
    <m/>
    <s v="Khubaib"/>
    <s v="Bank"/>
    <m/>
  </r>
  <r>
    <d v="2026-04-20T00:00:00"/>
    <x v="10"/>
    <n v="4226"/>
    <m/>
    <s v="Faizan"/>
    <s v="Bank"/>
    <m/>
  </r>
  <r>
    <d v="2026-04-20T00:00:00"/>
    <x v="28"/>
    <m/>
    <n v="4226"/>
    <s v="Transport"/>
    <s v="Bank"/>
    <m/>
  </r>
  <r>
    <d v="2026-04-21T00:00:00"/>
    <x v="28"/>
    <m/>
    <n v="1000000"/>
    <s v="TID:942506"/>
    <s v="Bank"/>
    <m/>
  </r>
  <r>
    <d v="2026-04-21T00:00:00"/>
    <x v="5"/>
    <n v="4000"/>
    <m/>
    <m/>
    <s v="Bank"/>
    <m/>
  </r>
  <r>
    <d v="2026-04-21T00:00:00"/>
    <x v="8"/>
    <n v="923841"/>
    <m/>
    <s v="March bill"/>
    <s v="Bank"/>
    <m/>
  </r>
  <r>
    <d v="2026-04-21T00:00:00"/>
    <x v="5"/>
    <n v="1560"/>
    <m/>
    <s v="nuts"/>
    <s v="Bank"/>
    <m/>
  </r>
  <r>
    <d v="2026-04-21T00:00:00"/>
    <x v="5"/>
    <n v="3700"/>
    <m/>
    <s v="nuts"/>
    <s v="Bank"/>
    <m/>
  </r>
  <r>
    <d v="2026-04-21T00:00:00"/>
    <x v="5"/>
    <n v="2350"/>
    <m/>
    <s v="ball valves"/>
    <s v="Bank"/>
    <m/>
  </r>
  <r>
    <d v="2026-04-21T00:00:00"/>
    <x v="37"/>
    <n v="50000"/>
    <m/>
    <s v="Cash reciept#493"/>
    <s v="Bank"/>
    <m/>
  </r>
  <r>
    <d v="2026-04-21T00:00:00"/>
    <x v="2"/>
    <m/>
    <n v="50000"/>
    <s v="Shengtai"/>
    <s v="Bank"/>
    <m/>
  </r>
  <r>
    <d v="2026-04-21T00:00:00"/>
    <x v="33"/>
    <n v="25000"/>
    <m/>
    <s v="Tanveer sb"/>
    <s v="Bank"/>
    <m/>
  </r>
  <r>
    <d v="2026-04-21T00:00:00"/>
    <x v="2"/>
    <m/>
    <n v="800000"/>
    <s v="Cash"/>
    <s v="Bank"/>
    <m/>
  </r>
  <r>
    <d v="2026-04-21T00:00:00"/>
    <x v="15"/>
    <m/>
    <n v="100000"/>
    <s v="Cash"/>
    <s v="Bank"/>
    <m/>
  </r>
  <r>
    <d v="2026-04-21T00:00:00"/>
    <x v="36"/>
    <m/>
    <n v="287000"/>
    <s v="Cash"/>
    <s v="Bank"/>
    <m/>
  </r>
  <r>
    <d v="2026-04-21T00:00:00"/>
    <x v="2"/>
    <n v="387000"/>
    <m/>
    <s v="KK+HQ"/>
    <s v="Bank"/>
    <m/>
  </r>
  <r>
    <d v="2026-04-21T00:00:00"/>
    <x v="24"/>
    <n v="495910"/>
    <m/>
    <s v="General"/>
    <s v="Bank"/>
    <m/>
  </r>
  <r>
    <d v="2026-04-21T00:00:00"/>
    <x v="24"/>
    <n v="45000"/>
    <m/>
    <s v="khalid sahab"/>
    <s v="Bank"/>
    <m/>
  </r>
  <r>
    <d v="2026-04-22T00:00:00"/>
    <x v="2"/>
    <m/>
    <n v="100000"/>
    <s v="TID:189620"/>
    <s v="Bank"/>
    <m/>
  </r>
  <r>
    <d v="2026-04-22T00:00:00"/>
    <x v="26"/>
    <n v="136375"/>
    <m/>
    <d v="2026-04-11T00:00:00"/>
    <s v="Bank"/>
    <m/>
  </r>
  <r>
    <d v="2026-04-22T00:00:00"/>
    <x v="2"/>
    <m/>
    <n v="300000"/>
    <s v="TID:587339"/>
    <s v="Bank"/>
    <m/>
  </r>
  <r>
    <d v="2026-04-22T00:00:00"/>
    <x v="20"/>
    <n v="200000"/>
    <m/>
    <s v="TID:136539"/>
    <s v="Bank"/>
    <m/>
  </r>
  <r>
    <d v="2026-04-22T00:00:00"/>
    <x v="27"/>
    <n v="100000"/>
    <m/>
    <s v="TID:104141"/>
    <s v="Bank"/>
    <m/>
  </r>
  <r>
    <d v="2026-04-22T00:00:00"/>
    <x v="2"/>
    <m/>
    <n v="17000"/>
    <s v="jazzcash"/>
    <s v="Bank"/>
    <m/>
  </r>
  <r>
    <d v="2026-04-22T00:00:00"/>
    <x v="24"/>
    <n v="16000"/>
    <m/>
    <s v="Ashraf guard"/>
    <s v="Bank"/>
    <m/>
  </r>
  <r>
    <d v="2026-04-22T00:00:00"/>
    <x v="34"/>
    <n v="60000"/>
    <m/>
    <s v="H3R x2"/>
    <s v="Bank"/>
    <m/>
  </r>
  <r>
    <d v="2026-04-22T00:00:00"/>
    <x v="2"/>
    <m/>
    <n v="60000"/>
    <s v="H3R x2"/>
    <s v="Bank"/>
    <m/>
  </r>
  <r>
    <d v="2026-04-22T00:00:00"/>
    <x v="5"/>
    <n v="2400"/>
    <m/>
    <s v="generator meter"/>
    <s v="Bank"/>
    <m/>
  </r>
  <r>
    <d v="2026-04-22T00:00:00"/>
    <x v="10"/>
    <n v="10000"/>
    <m/>
    <s v="5k+5k 464"/>
    <s v="Bank"/>
    <m/>
  </r>
  <r>
    <d v="2026-04-22T00:00:00"/>
    <x v="14"/>
    <n v="400"/>
    <m/>
    <s v="carborator"/>
    <s v="Bank"/>
    <m/>
  </r>
  <r>
    <d v="2026-04-22T00:00:00"/>
    <x v="14"/>
    <n v="1050"/>
    <m/>
    <s v="dori"/>
    <s v="Bank"/>
    <m/>
  </r>
  <r>
    <d v="2026-04-22T00:00:00"/>
    <x v="12"/>
    <n v="6000"/>
    <m/>
    <s v="unloading"/>
    <s v="Bank"/>
    <m/>
  </r>
  <r>
    <d v="2026-04-22T00:00:00"/>
    <x v="21"/>
    <n v="2000"/>
    <m/>
    <s v="unloading"/>
    <s v="Bank"/>
    <m/>
  </r>
  <r>
    <d v="2026-04-22T00:00:00"/>
    <x v="27"/>
    <n v="2000"/>
    <m/>
    <s v="unloading"/>
    <s v="Bank"/>
    <m/>
  </r>
  <r>
    <d v="2026-04-22T00:00:00"/>
    <x v="20"/>
    <n v="1000"/>
    <m/>
    <s v="unloading"/>
    <s v="Bank"/>
    <m/>
  </r>
  <r>
    <d v="2026-04-22T00:00:00"/>
    <x v="49"/>
    <n v="1000"/>
    <m/>
    <s v="unloading"/>
    <s v="Bank"/>
    <m/>
  </r>
  <r>
    <d v="2026-04-23T00:00:00"/>
    <x v="2"/>
    <m/>
    <n v="30000"/>
    <s v="Haroon wood"/>
    <s v="Bank"/>
    <m/>
  </r>
  <r>
    <d v="2026-04-23T00:00:00"/>
    <x v="49"/>
    <n v="30000"/>
    <m/>
    <s v="Freight"/>
    <s v="Bank"/>
    <m/>
  </r>
  <r>
    <d v="2026-04-23T00:00:00"/>
    <x v="5"/>
    <n v="2100"/>
    <m/>
    <s v="bearings"/>
    <s v="Bank"/>
    <m/>
  </r>
  <r>
    <d v="2026-04-23T00:00:00"/>
    <x v="5"/>
    <n v="2600"/>
    <m/>
    <s v="seals"/>
    <s v="Bank"/>
    <m/>
  </r>
  <r>
    <d v="2026-04-23T00:00:00"/>
    <x v="5"/>
    <n v="550"/>
    <m/>
    <s v="nut kablay"/>
    <s v="Bank"/>
    <m/>
  </r>
  <r>
    <d v="2026-04-23T00:00:00"/>
    <x v="26"/>
    <n v="30000"/>
    <m/>
    <s v="Rubine B"/>
    <s v="Bank"/>
    <m/>
  </r>
  <r>
    <d v="2026-04-23T00:00:00"/>
    <x v="2"/>
    <m/>
    <n v="142000"/>
    <s v="TID:015229"/>
    <s v="Bank"/>
    <m/>
  </r>
  <r>
    <d v="2026-04-23T00:00:00"/>
    <x v="27"/>
    <n v="100000"/>
    <m/>
    <s v="TID:353370"/>
    <s v="Bank"/>
    <m/>
  </r>
  <r>
    <d v="2026-04-23T00:00:00"/>
    <x v="24"/>
    <n v="43000"/>
    <m/>
    <s v="Ashfaq sahab boiler theka"/>
    <s v="Bank"/>
    <m/>
  </r>
  <r>
    <d v="2026-04-23T00:00:00"/>
    <x v="0"/>
    <n v="2923"/>
    <m/>
    <m/>
    <s v="Bank"/>
    <m/>
  </r>
  <r>
    <d v="2026-04-23T00:00:00"/>
    <x v="5"/>
    <n v="21312"/>
    <m/>
    <s v="30L x2"/>
    <s v="Bank"/>
    <m/>
  </r>
  <r>
    <d v="2026-04-23T00:00:00"/>
    <x v="20"/>
    <n v="70000"/>
    <m/>
    <s v="Freight"/>
    <s v="Bank"/>
    <m/>
  </r>
  <r>
    <d v="2026-04-23T00:00:00"/>
    <x v="33"/>
    <n v="50000"/>
    <m/>
    <s v="Waqas ADM"/>
    <s v="Bank"/>
    <m/>
  </r>
  <r>
    <d v="2026-04-23T00:00:00"/>
    <x v="33"/>
    <n v="20000"/>
    <m/>
    <s v="Tanveer sb"/>
    <s v="Bank"/>
    <m/>
  </r>
  <r>
    <d v="2026-04-23T00:00:00"/>
    <x v="10"/>
    <n v="5000"/>
    <m/>
    <s v="kora karaya"/>
    <s v="Bank"/>
    <m/>
  </r>
  <r>
    <d v="2026-04-23T00:00:00"/>
    <x v="5"/>
    <n v="5500"/>
    <m/>
    <s v="Fans x3 + capacitors"/>
    <s v="Bank"/>
    <m/>
  </r>
  <r>
    <d v="2026-04-23T00:00:00"/>
    <x v="3"/>
    <n v="645"/>
    <m/>
    <s v="groccery overcharge"/>
    <s v="Bank"/>
    <m/>
  </r>
  <r>
    <m/>
    <x v="2"/>
    <m/>
    <n v="20000"/>
    <m/>
    <s v="Bank"/>
    <m/>
  </r>
  <r>
    <d v="2026-04-23T00:00:00"/>
    <x v="28"/>
    <m/>
    <n v="4414"/>
    <s v="Transport"/>
    <s v="Bank"/>
    <m/>
  </r>
  <r>
    <d v="2026-04-23T00:00:00"/>
    <x v="10"/>
    <n v="4414"/>
    <m/>
    <s v="Faizan transport"/>
    <s v="Bank"/>
    <m/>
  </r>
  <r>
    <d v="2026-04-24T00:00:00"/>
    <x v="0"/>
    <n v="1133"/>
    <m/>
    <m/>
    <s v="Bank"/>
    <m/>
  </r>
  <r>
    <d v="2026-04-24T00:00:00"/>
    <x v="2"/>
    <m/>
    <n v="47400"/>
    <s v="starch"/>
    <s v="Bank"/>
    <m/>
  </r>
  <r>
    <d v="2026-04-24T00:00:00"/>
    <x v="13"/>
    <n v="47400"/>
    <m/>
    <s v="starch"/>
    <s v="Bank"/>
    <m/>
  </r>
  <r>
    <d v="2026-04-24T00:00:00"/>
    <x v="5"/>
    <n v="32000"/>
    <m/>
    <s v="Kluber"/>
    <s v="Bank"/>
    <m/>
  </r>
  <r>
    <d v="2026-04-24T00:00:00"/>
    <x v="2"/>
    <m/>
    <n v="32000"/>
    <s v="Kluber"/>
    <s v="Bank"/>
    <m/>
  </r>
  <r>
    <d v="2026-04-24T00:00:00"/>
    <x v="5"/>
    <n v="10656"/>
    <m/>
    <s v="Diesel"/>
    <s v="Bank"/>
    <m/>
  </r>
  <r>
    <d v="2026-04-25T00:00:00"/>
    <x v="14"/>
    <n v="400"/>
    <m/>
    <s v="chalk"/>
    <s v="Bank"/>
    <m/>
  </r>
  <r>
    <d v="2026-04-25T00:00:00"/>
    <x v="5"/>
    <n v="690"/>
    <m/>
    <s v="bulbs"/>
    <s v="Bank"/>
    <m/>
  </r>
  <r>
    <d v="2026-04-25T00:00:00"/>
    <x v="0"/>
    <m/>
    <n v="600"/>
    <m/>
    <s v="Bank"/>
    <m/>
  </r>
  <r>
    <d v="2026-04-25T00:00:00"/>
    <x v="33"/>
    <n v="3000"/>
    <m/>
    <s v="Khubaib"/>
    <s v="Bank"/>
    <m/>
  </r>
  <r>
    <d v="2026-04-25T00:00:00"/>
    <x v="2"/>
    <m/>
    <n v="8000"/>
    <s v="jc"/>
    <s v="Bank"/>
    <m/>
  </r>
  <r>
    <d v="2026-04-25T00:00:00"/>
    <x v="2"/>
    <m/>
    <n v="147000"/>
    <s v="TID:920574"/>
    <s v="Bank"/>
    <m/>
  </r>
  <r>
    <d v="2026-04-25T00:00:00"/>
    <x v="13"/>
    <n v="55000"/>
    <m/>
    <s v="Starch"/>
    <s v="Bank"/>
    <m/>
  </r>
  <r>
    <d v="2026-04-25T00:00:00"/>
    <x v="27"/>
    <n v="100000"/>
    <m/>
    <s v="TID:831830"/>
    <s v="Bank"/>
    <m/>
  </r>
  <r>
    <d v="2026-04-25T00:00:00"/>
    <x v="3"/>
    <n v="8000"/>
    <m/>
    <s v="697 chaabi"/>
    <s v="Bank"/>
    <m/>
  </r>
  <r>
    <d v="2026-04-25T00:00:00"/>
    <x v="2"/>
    <m/>
    <n v="10000"/>
    <s v="TID:499789"/>
    <s v="Bank"/>
    <m/>
  </r>
  <r>
    <d v="2026-04-25T00:00:00"/>
    <x v="18"/>
    <m/>
    <n v="98000"/>
    <s v="TID:954169"/>
    <s v="Bank"/>
    <m/>
  </r>
  <r>
    <d v="2026-04-25T00:00:00"/>
    <x v="33"/>
    <n v="10000"/>
    <m/>
    <s v="Tanveer sb"/>
    <s v="Bank"/>
    <m/>
  </r>
  <r>
    <d v="2026-04-25T00:00:00"/>
    <x v="5"/>
    <n v="10656"/>
    <m/>
    <s v="Diesel"/>
    <s v="Bank"/>
    <m/>
  </r>
  <r>
    <d v="2026-04-25T00:00:00"/>
    <x v="20"/>
    <n v="75000"/>
    <m/>
    <s v="TID:152359"/>
    <s v="Bank"/>
    <m/>
  </r>
  <r>
    <d v="2026-04-26T00:00:00"/>
    <x v="5"/>
    <n v="11456"/>
    <m/>
    <s v="Diesel//paid 27/4"/>
    <s v="Bank"/>
    <m/>
  </r>
  <r>
    <d v="2026-04-27T00:00:00"/>
    <x v="29"/>
    <n v="200000"/>
    <m/>
    <s v="125k bank + 75k cash"/>
    <s v="Bank"/>
    <m/>
  </r>
  <r>
    <d v="2026-04-27T00:00:00"/>
    <x v="2"/>
    <m/>
    <n v="200000"/>
    <s v="Unicolour"/>
    <s v="Bank"/>
    <m/>
  </r>
  <r>
    <d v="2026-04-27T00:00:00"/>
    <x v="15"/>
    <m/>
    <n v="86594"/>
    <s v="TID:217686"/>
    <s v="Bank"/>
    <m/>
  </r>
  <r>
    <d v="2026-04-27T00:00:00"/>
    <x v="2"/>
    <n v="86594"/>
    <m/>
    <s v="Hafiz qureshi"/>
    <s v="Bank"/>
    <m/>
  </r>
  <r>
    <d v="2026-04-27T00:00:00"/>
    <x v="5"/>
    <n v="6200"/>
    <m/>
    <s v="Exhaust 10'"/>
    <s v="Bank"/>
    <m/>
  </r>
  <r>
    <d v="2026-04-27T00:00:00"/>
    <x v="2"/>
    <m/>
    <n v="6200"/>
    <s v="Exhaust 10'"/>
    <s v="Bank"/>
    <m/>
  </r>
  <r>
    <d v="2026-04-27T00:00:00"/>
    <x v="10"/>
    <n v="1500"/>
    <m/>
    <m/>
    <s v="Bank"/>
    <m/>
  </r>
  <r>
    <d v="2026-04-27T00:00:00"/>
    <x v="5"/>
    <n v="1460"/>
    <m/>
    <s v="exhaust 4'"/>
    <s v="Bank"/>
    <m/>
  </r>
  <r>
    <d v="2026-04-27T00:00:00"/>
    <x v="2"/>
    <m/>
    <n v="7000"/>
    <s v="jazzcash"/>
    <s v="Bank"/>
    <m/>
  </r>
  <r>
    <d v="2026-04-27T00:00:00"/>
    <x v="10"/>
    <n v="2500"/>
    <m/>
    <s v="Dyes karaya"/>
    <s v="Bank"/>
    <m/>
  </r>
  <r>
    <d v="2026-04-27T00:00:00"/>
    <x v="10"/>
    <n v="4500"/>
    <m/>
    <s v="loom dhaga karaya"/>
    <s v="Bank"/>
    <m/>
  </r>
  <r>
    <d v="2026-04-27T00:00:00"/>
    <x v="10"/>
    <n v="5000"/>
    <m/>
    <s v="petrol 464"/>
    <s v="Bank"/>
    <m/>
  </r>
  <r>
    <d v="2026-04-27T00:00:00"/>
    <x v="0"/>
    <n v="1350"/>
    <m/>
    <m/>
    <s v="Bank"/>
    <m/>
  </r>
  <r>
    <d v="2026-04-27T00:00:00"/>
    <x v="28"/>
    <m/>
    <n v="3927"/>
    <s v="Transport"/>
    <s v="Bank"/>
    <m/>
  </r>
  <r>
    <d v="2026-04-27T00:00:00"/>
    <x v="10"/>
    <n v="3927"/>
    <m/>
    <m/>
    <s v="Bank"/>
    <m/>
  </r>
  <r>
    <d v="2026-04-28T00:00:00"/>
    <x v="2"/>
    <m/>
    <n v="50000"/>
    <s v="TID:375442"/>
    <s v="Bank"/>
    <m/>
  </r>
  <r>
    <d v="2026-04-28T00:00:00"/>
    <x v="13"/>
    <n v="39000"/>
    <m/>
    <s v="starch"/>
    <s v="Bank"/>
    <m/>
  </r>
  <r>
    <d v="2026-04-28T00:00:00"/>
    <x v="10"/>
    <n v="600"/>
    <m/>
    <s v="raksha"/>
    <s v="Bank"/>
    <m/>
  </r>
  <r>
    <d v="2026-04-28T00:00:00"/>
    <x v="5"/>
    <n v="190"/>
    <m/>
    <m/>
    <s v="Bank"/>
    <m/>
  </r>
  <r>
    <d v="2026-04-28T00:00:00"/>
    <x v="5"/>
    <n v="950"/>
    <m/>
    <s v="oil"/>
    <s v="Bank"/>
    <m/>
  </r>
  <r>
    <d v="2026-04-28T00:00:00"/>
    <x v="2"/>
    <m/>
    <n v="60000"/>
    <s v="TID:838126"/>
    <s v="Bank"/>
    <m/>
  </r>
  <r>
    <d v="2026-04-28T00:00:00"/>
    <x v="5"/>
    <n v="500"/>
    <m/>
    <m/>
    <s v="Bank"/>
    <m/>
  </r>
  <r>
    <d v="2026-04-28T00:00:00"/>
    <x v="33"/>
    <n v="60000"/>
    <m/>
    <s v="Ghulam Abbas"/>
    <s v="Bank"/>
    <m/>
  </r>
  <r>
    <d v="2026-04-28T00:00:00"/>
    <x v="33"/>
    <n v="5000"/>
    <m/>
    <s v="khalid sahab"/>
    <s v="Bank"/>
    <m/>
  </r>
  <r>
    <d v="2026-04-29T00:00:00"/>
    <x v="14"/>
    <n v="800"/>
    <m/>
    <m/>
    <s v="Bank"/>
    <m/>
  </r>
  <r>
    <d v="2026-04-29T00:00:00"/>
    <x v="5"/>
    <n v="34369"/>
    <m/>
    <s v="Diesel 90l"/>
    <s v="Bank"/>
    <m/>
  </r>
  <r>
    <d v="2026-04-29T00:00:00"/>
    <x v="2"/>
    <m/>
    <n v="40000"/>
    <s v="bank deposit"/>
    <s v="Bank"/>
    <m/>
  </r>
  <r>
    <d v="2026-04-29T00:00:00"/>
    <x v="2"/>
    <m/>
    <n v="200000"/>
    <s v="TID:827936"/>
    <s v="Bank"/>
    <m/>
  </r>
  <r>
    <d v="2026-04-29T00:00:00"/>
    <x v="20"/>
    <n v="200500"/>
    <m/>
    <s v="TID:402179"/>
    <s v="Bank"/>
    <m/>
  </r>
  <r>
    <d v="2026-04-29T00:00:00"/>
    <x v="2"/>
    <m/>
    <n v="300000"/>
    <s v="TID:630862"/>
    <s v="Bank"/>
    <m/>
  </r>
  <r>
    <d v="2026-04-29T00:00:00"/>
    <x v="27"/>
    <n v="150000"/>
    <m/>
    <s v="TID:386282"/>
    <s v="Bank"/>
    <m/>
  </r>
  <r>
    <d v="2026-04-29T00:00:00"/>
    <x v="12"/>
    <n v="150000"/>
    <m/>
    <s v="TID:180942"/>
    <s v="Bank"/>
    <m/>
  </r>
  <r>
    <d v="2026-04-29T00:00:00"/>
    <x v="50"/>
    <n v="3000"/>
    <m/>
    <s v="transport"/>
    <s v="Bank"/>
    <m/>
  </r>
  <r>
    <d v="2026-04-29T00:00:00"/>
    <x v="35"/>
    <n v="5000"/>
    <m/>
    <m/>
    <s v="Bank"/>
    <m/>
  </r>
  <r>
    <d v="2026-04-29T00:00:00"/>
    <x v="5"/>
    <n v="600"/>
    <m/>
    <m/>
    <s v="Bank"/>
    <m/>
  </r>
  <r>
    <d v="2026-04-29T00:00:00"/>
    <x v="2"/>
    <m/>
    <n v="176000"/>
    <s v="TID:906536"/>
    <s v="Bank"/>
    <m/>
  </r>
  <r>
    <d v="2026-04-29T00:00:00"/>
    <x v="51"/>
    <n v="26000"/>
    <m/>
    <s v="Freight"/>
    <s v="Bank"/>
    <m/>
  </r>
  <r>
    <d v="2026-04-29T00:00:00"/>
    <x v="21"/>
    <n v="150000"/>
    <m/>
    <s v="TID:533530"/>
    <s v="Bank"/>
    <m/>
  </r>
  <r>
    <d v="2026-04-29T00:00:00"/>
    <x v="2"/>
    <m/>
    <n v="20000"/>
    <s v="TID:597402"/>
    <s v="Bank"/>
    <m/>
  </r>
  <r>
    <d v="2026-04-29T00:00:00"/>
    <x v="24"/>
    <n v="10000"/>
    <m/>
    <s v="Naeem elec"/>
    <s v="Bank"/>
    <m/>
  </r>
  <r>
    <d v="2026-04-30T00:00:00"/>
    <x v="5"/>
    <n v="590"/>
    <m/>
    <m/>
    <s v="Bank"/>
    <m/>
  </r>
  <r>
    <d v="2026-04-30T00:00:00"/>
    <x v="2"/>
    <m/>
    <n v="12500"/>
    <s v="khalid sahab"/>
    <s v="Bank"/>
    <m/>
  </r>
  <r>
    <d v="2026-04-30T00:00:00"/>
    <x v="14"/>
    <n v="12500"/>
    <m/>
    <s v="khalid sahab"/>
    <s v="Bank"/>
    <m/>
  </r>
  <r>
    <d v="2026-04-30T00:00:00"/>
    <x v="3"/>
    <n v="12000"/>
    <m/>
    <s v="AC repair// mahir"/>
    <s v="Bank"/>
    <m/>
  </r>
  <r>
    <d v="2026-04-30T00:00:00"/>
    <x v="31"/>
    <m/>
    <n v="100000"/>
    <s v="cash"/>
    <s v="Bank"/>
    <m/>
  </r>
  <r>
    <d v="2026-04-30T00:00:00"/>
    <x v="20"/>
    <n v="82600"/>
    <m/>
    <s v="Freight"/>
    <s v="Bank"/>
    <m/>
  </r>
  <r>
    <d v="2026-04-30T00:00:00"/>
    <x v="2"/>
    <m/>
    <n v="715000"/>
    <s v="Cash"/>
    <s v="Bank"/>
    <m/>
  </r>
  <r>
    <d v="2026-04-30T00:00:00"/>
    <x v="24"/>
    <n v="16000"/>
    <m/>
    <s v="Ashraf guard"/>
    <s v="Bank"/>
    <m/>
  </r>
  <r>
    <d v="2026-05-01T00:00:00"/>
    <x v="10"/>
    <n v="1500"/>
    <m/>
    <m/>
    <s v="Bank"/>
    <m/>
  </r>
  <r>
    <d v="2026-05-01T00:00:00"/>
    <x v="10"/>
    <n v="14000"/>
    <m/>
    <s v="petrol 464"/>
    <s v="Bank"/>
    <m/>
  </r>
  <r>
    <d v="2026-05-01T00:00:00"/>
    <x v="14"/>
    <n v="2000"/>
    <m/>
    <s v="load khalid sb"/>
    <s v="Bank"/>
    <m/>
  </r>
  <r>
    <d v="2026-05-01T00:00:00"/>
    <x v="2"/>
    <m/>
    <n v="42000"/>
    <s v="JC"/>
    <s v="Bank"/>
    <m/>
  </r>
  <r>
    <d v="2026-05-01T00:00:00"/>
    <x v="3"/>
    <n v="43000"/>
    <m/>
    <s v="AZM Ac repair"/>
    <s v="Bank"/>
    <m/>
  </r>
  <r>
    <d v="2026-05-01T00:00:00"/>
    <x v="24"/>
    <n v="15000"/>
    <m/>
    <s v="shoaib"/>
    <s v="Bank"/>
    <m/>
  </r>
  <r>
    <d v="2026-05-01T00:00:00"/>
    <x v="2"/>
    <m/>
    <n v="30000"/>
    <s v="TID:709631"/>
    <s v="Bank"/>
    <m/>
  </r>
  <r>
    <d v="2026-05-01T00:00:00"/>
    <x v="13"/>
    <n v="39000"/>
    <m/>
    <s v="Starch"/>
    <s v="Bank"/>
    <m/>
  </r>
  <r>
    <d v="2026-05-01T00:00:00"/>
    <x v="10"/>
    <n v="600"/>
    <m/>
    <m/>
    <s v="Bank"/>
    <m/>
  </r>
  <r>
    <d v="2026-05-01T00:00:00"/>
    <x v="31"/>
    <m/>
    <n v="100000"/>
    <s v="Reciept #807"/>
    <s v="Bank"/>
    <m/>
  </r>
  <r>
    <d v="2026-05-01T00:00:00"/>
    <x v="20"/>
    <n v="60900"/>
    <m/>
    <s v="Freight"/>
    <s v="Bank"/>
    <m/>
  </r>
  <r>
    <d v="2026-05-02T00:00:00"/>
    <x v="28"/>
    <m/>
    <n v="800000"/>
    <s v="TID:561868"/>
    <s v="Bank"/>
    <m/>
  </r>
  <r>
    <d v="2026-05-02T00:00:00"/>
    <x v="5"/>
    <n v="4500"/>
    <m/>
    <s v="bearings"/>
    <s v="Bank"/>
    <m/>
  </r>
  <r>
    <d v="2026-05-02T00:00:00"/>
    <x v="26"/>
    <n v="56000"/>
    <m/>
    <s v="Black x2"/>
    <s v="Bank"/>
    <m/>
  </r>
  <r>
    <d v="2026-05-02T00:00:00"/>
    <x v="13"/>
    <n v="48000"/>
    <m/>
    <s v="BP26+disp pdr"/>
    <s v="Bank"/>
    <m/>
  </r>
  <r>
    <d v="2026-05-02T00:00:00"/>
    <x v="13"/>
    <n v="4400"/>
    <m/>
    <s v="NP9"/>
    <s v="Bank"/>
    <m/>
  </r>
  <r>
    <d v="2026-05-02T00:00:00"/>
    <x v="5"/>
    <n v="10620"/>
    <m/>
    <s v="Silai cones x18"/>
    <s v="Bank"/>
    <m/>
  </r>
  <r>
    <d v="2026-05-02T00:00:00"/>
    <x v="20"/>
    <n v="200500"/>
    <m/>
    <s v="TID:568913"/>
    <s v="Bank"/>
    <m/>
  </r>
  <r>
    <d v="2026-05-02T00:00:00"/>
    <x v="20"/>
    <n v="4000"/>
    <m/>
    <s v="unloading"/>
    <s v="Bank"/>
    <m/>
  </r>
  <r>
    <d v="2026-05-02T00:00:00"/>
    <x v="51"/>
    <n v="1000"/>
    <m/>
    <s v="unloading"/>
    <s v="Bank"/>
    <m/>
  </r>
  <r>
    <d v="2026-05-02T00:00:00"/>
    <x v="49"/>
    <n v="1000"/>
    <m/>
    <s v="unloading"/>
    <s v="Bank"/>
    <m/>
  </r>
  <r>
    <d v="2026-05-02T00:00:00"/>
    <x v="27"/>
    <n v="2000"/>
    <m/>
    <s v="unloading"/>
    <s v="Bank"/>
    <m/>
  </r>
  <r>
    <d v="2026-05-02T00:00:00"/>
    <x v="24"/>
    <n v="27600"/>
    <m/>
    <s v="Tanveer sb"/>
    <s v="Bank"/>
    <m/>
  </r>
  <r>
    <d v="2026-05-02T00:00:00"/>
    <x v="24"/>
    <n v="1019630"/>
    <m/>
    <s v="General"/>
    <s v="Bank"/>
    <m/>
  </r>
  <r>
    <d v="2026-05-02T00:00:00"/>
    <x v="2"/>
    <n v="500000"/>
    <m/>
    <s v="TID:355856"/>
    <s v="Bank"/>
    <m/>
  </r>
  <r>
    <d v="2026-05-02T00:00:00"/>
    <x v="2"/>
    <m/>
    <n v="400000"/>
    <s v="Cash"/>
    <s v="Bank"/>
    <m/>
  </r>
  <r>
    <d v="2026-05-03T00:00:00"/>
    <x v="5"/>
    <n v="1160"/>
    <m/>
    <s v="copper"/>
    <s v="Bank"/>
    <m/>
  </r>
  <r>
    <d v="2026-05-03T00:00:00"/>
    <x v="5"/>
    <n v="10200"/>
    <m/>
    <s v="bearings"/>
    <s v="Bank"/>
    <m/>
  </r>
  <r>
    <d v="2026-05-03T00:00:00"/>
    <x v="2"/>
    <m/>
    <n v="10200"/>
    <s v="bearings"/>
    <s v="Bank"/>
    <m/>
  </r>
  <r>
    <d v="2026-05-03T00:00:00"/>
    <x v="5"/>
    <n v="10000"/>
    <m/>
    <s v="Diesel"/>
    <s v="Bank"/>
    <m/>
  </r>
  <r>
    <d v="2026-05-03T00:00:00"/>
    <x v="2"/>
    <m/>
    <n v="10000"/>
    <s v="Diesel"/>
    <s v="Bank"/>
    <m/>
  </r>
  <r>
    <d v="2026-05-03T00:00:00"/>
    <x v="0"/>
    <n v="5610"/>
    <m/>
    <m/>
    <s v="Bank"/>
    <m/>
  </r>
  <r>
    <d v="2026-05-04T00:00:00"/>
    <x v="0"/>
    <n v="3370"/>
    <m/>
    <m/>
    <s v="Bank"/>
    <m/>
  </r>
  <r>
    <d v="2026-05-04T00:00:00"/>
    <x v="25"/>
    <n v="5000"/>
    <m/>
    <s v="abid master"/>
    <s v="Bank"/>
    <m/>
  </r>
  <r>
    <d v="2026-05-04T00:00:00"/>
    <x v="5"/>
    <n v="52160"/>
    <m/>
    <s v="Diesel"/>
    <s v="Bank"/>
    <m/>
  </r>
  <r>
    <d v="2026-05-04T00:00:00"/>
    <x v="10"/>
    <n v="2000"/>
    <m/>
    <s v="farhan gari"/>
    <s v="Bank"/>
    <m/>
  </r>
  <r>
    <d v="2026-05-04T00:00:00"/>
    <x v="10"/>
    <n v="3000"/>
    <m/>
    <s v="4 pheray"/>
    <s v="Bank"/>
    <m/>
  </r>
  <r>
    <d v="2026-05-04T00:00:00"/>
    <x v="10"/>
    <n v="5000"/>
    <m/>
    <s v="loom dhaga karaya"/>
    <s v="Bank"/>
    <m/>
  </r>
  <r>
    <d v="2026-05-04T00:00:00"/>
    <x v="5"/>
    <n v="10000"/>
    <m/>
    <s v="degi plate"/>
    <s v="Bank"/>
    <m/>
  </r>
  <r>
    <d v="2026-05-04T00:00:00"/>
    <x v="48"/>
    <m/>
    <n v="178000"/>
    <s v="Cash"/>
    <s v="Bank"/>
    <m/>
  </r>
  <r>
    <d v="2026-05-04T00:00:00"/>
    <x v="18"/>
    <m/>
    <n v="100000"/>
    <s v="UBL"/>
    <s v="Bank"/>
    <m/>
  </r>
  <r>
    <d v="2026-05-04T00:00:00"/>
    <x v="3"/>
    <n v="9000"/>
    <m/>
    <s v="AC repair// mahir"/>
    <s v="Bank"/>
    <m/>
  </r>
  <r>
    <d v="2026-05-04T00:00:00"/>
    <x v="27"/>
    <n v="150000"/>
    <m/>
    <s v="TID:485743"/>
    <s v="Bank"/>
    <m/>
  </r>
  <r>
    <d v="2026-05-04T00:00:00"/>
    <x v="35"/>
    <n v="18000"/>
    <m/>
    <s v="Rashan"/>
    <s v="Bank"/>
    <m/>
  </r>
  <r>
    <d v="2026-05-04T00:00:00"/>
    <x v="13"/>
    <n v="39000"/>
    <m/>
    <s v="starch"/>
    <s v="Bank"/>
    <m/>
  </r>
  <r>
    <d v="2026-05-04T00:00:00"/>
    <x v="10"/>
    <n v="700"/>
    <m/>
    <s v="karaya"/>
    <s v="Bank"/>
    <m/>
  </r>
  <r>
    <d v="2026-05-04T00:00:00"/>
    <x v="30"/>
    <m/>
    <n v="100000"/>
    <s v="cash"/>
    <s v="Bank"/>
    <m/>
  </r>
  <r>
    <d v="2026-05-04T00:00:00"/>
    <x v="5"/>
    <n v="24080"/>
    <m/>
    <s v="Diesel"/>
    <s v="Bank"/>
    <m/>
  </r>
  <r>
    <d v="2026-05-04T00:00:00"/>
    <x v="52"/>
    <n v="60000"/>
    <m/>
    <m/>
    <s v="Bank"/>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830695.86686174106"/>
    <n v="10"/>
    <n v="5987757.8639356261"/>
  </r>
  <r>
    <x v="1"/>
    <n v="83720.73884418435"/>
    <n v="10"/>
    <n v="1004648.8661302122"/>
  </r>
  <r>
    <x v="2"/>
    <n v="115056.69348939284"/>
    <n v="10"/>
    <n v="1189264.8134601316"/>
  </r>
  <r>
    <x v="3"/>
    <n v="0"/>
    <n v="10.5"/>
    <n v="0"/>
  </r>
  <r>
    <x v="4"/>
    <n v="0"/>
    <n v="10"/>
    <n v="0"/>
  </r>
  <r>
    <x v="5"/>
    <n v="63240.673006583762"/>
    <n v="10"/>
    <n v="632406.73006583762"/>
  </r>
  <r>
    <x v="6"/>
    <n v="23264.447695683983"/>
    <n v="10"/>
    <n v="232644.47695683982"/>
  </r>
  <r>
    <x v="7"/>
    <n v="0"/>
    <n v="10"/>
    <n v="0"/>
  </r>
  <r>
    <x v="8"/>
    <n v="100178.31016825166"/>
    <n v="10"/>
    <n v="1202139.72201902"/>
  </r>
  <r>
    <x v="9"/>
    <n v="0"/>
    <n v="12"/>
    <n v="0"/>
  </r>
  <r>
    <x v="10"/>
    <n v="215558.70519385519"/>
    <m/>
    <n v="1682095.8302852965"/>
  </r>
  <r>
    <x v="11"/>
    <n v="0"/>
    <m/>
    <n v="0"/>
  </r>
  <r>
    <x v="12"/>
    <n v="0"/>
    <m/>
    <n v="0"/>
  </r>
  <r>
    <x v="13"/>
    <n v="0"/>
    <m/>
    <n v="0"/>
  </r>
  <r>
    <x v="14"/>
    <n v="0"/>
    <m/>
    <n v="0"/>
  </r>
  <r>
    <x v="15"/>
    <n v="0"/>
    <m/>
    <n v="0"/>
  </r>
  <r>
    <x v="16"/>
    <n v="50968.361375274326"/>
    <m/>
    <n v="611620.3365032919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Dyes"/>
    <m/>
    <m/>
    <m/>
    <x v="0"/>
    <n v="0"/>
    <n v="764250"/>
    <s v="closing CF"/>
  </r>
  <r>
    <x v="0"/>
    <s v="Dyes"/>
    <m/>
    <m/>
    <m/>
    <x v="1"/>
    <n v="0"/>
    <n v="0"/>
    <s v="closing CF"/>
  </r>
  <r>
    <x v="0"/>
    <s v="Dyes"/>
    <m/>
    <m/>
    <m/>
    <x v="2"/>
    <n v="0"/>
    <n v="0"/>
    <s v="closing CF"/>
  </r>
  <r>
    <x v="0"/>
    <s v="Dyes"/>
    <m/>
    <m/>
    <m/>
    <x v="3"/>
    <n v="0"/>
    <n v="0"/>
    <s v="closing CF"/>
  </r>
  <r>
    <x v="0"/>
    <s v="Dyes"/>
    <m/>
    <m/>
    <m/>
    <x v="4"/>
    <n v="0"/>
    <n v="483125"/>
    <s v="closing CF"/>
  </r>
  <r>
    <x v="0"/>
    <s v="Dyes"/>
    <m/>
    <m/>
    <m/>
    <x v="5"/>
    <n v="0"/>
    <n v="0"/>
    <s v="closing CF"/>
  </r>
  <r>
    <x v="0"/>
    <s v="Dyes"/>
    <m/>
    <m/>
    <m/>
    <x v="6"/>
    <n v="0"/>
    <n v="0"/>
    <s v="closing CF"/>
  </r>
  <r>
    <x v="0"/>
    <s v="Dyes"/>
    <m/>
    <m/>
    <m/>
    <x v="7"/>
    <n v="0"/>
    <n v="0"/>
    <s v="closing CF"/>
  </r>
  <r>
    <x v="1"/>
    <s v="Dyes"/>
    <m/>
    <m/>
    <n v="100000"/>
    <x v="6"/>
    <n v="100000"/>
    <n v="0"/>
    <m/>
  </r>
  <r>
    <x v="2"/>
    <s v="Dyes"/>
    <m/>
    <m/>
    <n v="718750"/>
    <x v="4"/>
    <n v="0"/>
    <n v="718750"/>
    <m/>
  </r>
  <r>
    <x v="3"/>
    <s v="Dyes"/>
    <m/>
    <m/>
    <n v="7800"/>
    <x v="1"/>
    <n v="7800"/>
    <n v="0"/>
    <m/>
  </r>
  <r>
    <x v="4"/>
    <s v="leaveling + acid"/>
    <m/>
    <m/>
    <n v="27200"/>
    <x v="1"/>
    <n v="27200"/>
    <n v="0"/>
    <m/>
  </r>
  <r>
    <x v="4"/>
    <s v="Payment"/>
    <m/>
    <m/>
    <m/>
    <x v="0"/>
    <n v="100000"/>
    <n v="-100000"/>
    <m/>
  </r>
  <r>
    <x v="5"/>
    <s v="Payment"/>
    <m/>
    <m/>
    <m/>
    <x v="0"/>
    <n v="150000"/>
    <n v="-150000"/>
    <m/>
  </r>
  <r>
    <x v="6"/>
    <s v="Payment"/>
    <m/>
    <m/>
    <m/>
    <x v="0"/>
    <n v="150000"/>
    <n v="-150000"/>
    <m/>
  </r>
  <r>
    <x v="7"/>
    <s v="Payment"/>
    <m/>
    <m/>
    <m/>
    <x v="4"/>
    <n v="400000"/>
    <n v="-400000"/>
    <m/>
  </r>
  <r>
    <x v="8"/>
    <s v="Dyes"/>
    <m/>
    <m/>
    <n v="129125"/>
    <x v="8"/>
    <n v="129125"/>
    <n v="0"/>
    <m/>
  </r>
  <r>
    <x v="9"/>
    <s v="Payment"/>
    <m/>
    <m/>
    <m/>
    <x v="0"/>
    <n v="100000"/>
    <n v="-100000"/>
    <m/>
  </r>
  <r>
    <x v="10"/>
    <s v="Payment"/>
    <m/>
    <m/>
    <m/>
    <x v="0"/>
    <n v="100000"/>
    <n v="-100000"/>
    <m/>
  </r>
  <r>
    <x v="11"/>
    <s v="Dyes"/>
    <m/>
    <m/>
    <n v="74380"/>
    <x v="1"/>
    <n v="74380"/>
    <n v="0"/>
    <m/>
  </r>
  <r>
    <x v="11"/>
    <s v="Dyes"/>
    <n v="10"/>
    <m/>
    <n v="290000"/>
    <x v="0"/>
    <n v="0"/>
    <n v="290000"/>
    <m/>
  </r>
  <r>
    <x v="12"/>
    <s v="Payment"/>
    <m/>
    <m/>
    <m/>
    <x v="4"/>
    <n v="400000"/>
    <n v="-400000"/>
    <m/>
  </r>
  <r>
    <x v="13"/>
    <s v="Dyes"/>
    <n v="5"/>
    <m/>
    <n v="181250"/>
    <x v="0"/>
    <n v="100000"/>
    <n v="81250"/>
    <m/>
  </r>
  <r>
    <x v="14"/>
    <s v="Dyes//11/4/26"/>
    <m/>
    <m/>
    <n v="136375"/>
    <x v="1"/>
    <n v="136375"/>
    <n v="0"/>
    <m/>
  </r>
  <r>
    <x v="14"/>
    <s v="Dyes"/>
    <n v="7"/>
    <m/>
    <n v="254375"/>
    <x v="0"/>
    <n v="0"/>
    <n v="254375"/>
    <m/>
  </r>
  <r>
    <x v="14"/>
    <s v="H3R"/>
    <m/>
    <m/>
    <n v="60000"/>
    <x v="8"/>
    <n v="60000"/>
    <n v="0"/>
    <m/>
  </r>
  <r>
    <x v="15"/>
    <s v="Rubine B"/>
    <m/>
    <m/>
    <n v="30000"/>
    <x v="1"/>
    <n v="30000"/>
    <n v="0"/>
    <m/>
  </r>
  <r>
    <x v="16"/>
    <m/>
    <m/>
    <m/>
    <m/>
    <x v="9"/>
    <n v="0"/>
    <n v="0"/>
    <m/>
  </r>
  <r>
    <x v="17"/>
    <s v="Dyes+Payment"/>
    <n v="8"/>
    <m/>
    <n v="271500"/>
    <x v="0"/>
    <n v="200000"/>
    <n v="71500"/>
    <m/>
  </r>
  <r>
    <x v="18"/>
    <s v="Black"/>
    <m/>
    <m/>
    <n v="56000"/>
    <x v="1"/>
    <n v="56000"/>
    <n v="0"/>
    <m/>
  </r>
  <r>
    <x v="16"/>
    <m/>
    <m/>
    <m/>
    <m/>
    <x v="9"/>
    <n v="0"/>
    <n v="0"/>
    <m/>
  </r>
  <r>
    <x v="16"/>
    <m/>
    <m/>
    <m/>
    <m/>
    <x v="9"/>
    <n v="0"/>
    <n v="0"/>
    <m/>
  </r>
  <r>
    <x v="16"/>
    <m/>
    <m/>
    <m/>
    <m/>
    <x v="9"/>
    <n v="0"/>
    <n v="0"/>
    <m/>
  </r>
  <r>
    <x v="16"/>
    <m/>
    <m/>
    <m/>
    <m/>
    <x v="9"/>
    <n v="0"/>
    <n v="0"/>
    <m/>
  </r>
  <r>
    <x v="16"/>
    <m/>
    <m/>
    <m/>
    <m/>
    <x v="9"/>
    <n v="0"/>
    <n v="0"/>
    <m/>
  </r>
  <r>
    <x v="16"/>
    <m/>
    <m/>
    <m/>
    <m/>
    <x v="9"/>
    <n v="0"/>
    <n v="0"/>
    <m/>
  </r>
  <r>
    <x v="16"/>
    <m/>
    <m/>
    <m/>
    <m/>
    <x v="9"/>
    <n v="0"/>
    <n v="0"/>
    <m/>
  </r>
  <r>
    <x v="16"/>
    <m/>
    <m/>
    <m/>
    <m/>
    <x v="9"/>
    <n v="0"/>
    <n v="0"/>
    <m/>
  </r>
  <r>
    <x v="16"/>
    <m/>
    <m/>
    <m/>
    <m/>
    <x v="9"/>
    <n v="0"/>
    <n v="0"/>
    <m/>
  </r>
  <r>
    <x v="16"/>
    <m/>
    <m/>
    <m/>
    <m/>
    <x v="9"/>
    <n v="0"/>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x v="0"/>
    <x v="0"/>
    <m/>
    <m/>
    <m/>
    <n v="0"/>
    <m/>
    <n v="0"/>
  </r>
  <r>
    <x v="0"/>
    <x v="1"/>
    <x v="0"/>
    <m/>
    <m/>
    <m/>
    <n v="0"/>
    <n v="0"/>
    <n v="1271575"/>
  </r>
  <r>
    <x v="0"/>
    <x v="2"/>
    <x v="0"/>
    <m/>
    <m/>
    <m/>
    <n v="0"/>
    <n v="0"/>
    <n v="224850"/>
  </r>
  <r>
    <x v="0"/>
    <x v="3"/>
    <x v="0"/>
    <m/>
    <m/>
    <m/>
    <n v="0"/>
    <m/>
    <n v="35680"/>
  </r>
  <r>
    <x v="0"/>
    <x v="4"/>
    <x v="0"/>
    <m/>
    <m/>
    <m/>
    <n v="0"/>
    <m/>
    <n v="1347239"/>
  </r>
  <r>
    <x v="0"/>
    <x v="5"/>
    <x v="0"/>
    <m/>
    <m/>
    <m/>
    <n v="0"/>
    <m/>
    <n v="97520"/>
  </r>
  <r>
    <x v="0"/>
    <x v="6"/>
    <x v="0"/>
    <m/>
    <m/>
    <m/>
    <n v="0"/>
    <m/>
    <n v="326400"/>
  </r>
  <r>
    <x v="0"/>
    <x v="7"/>
    <x v="0"/>
    <m/>
    <m/>
    <m/>
    <n v="0"/>
    <m/>
    <n v="664986"/>
  </r>
  <r>
    <x v="0"/>
    <x v="8"/>
    <x v="0"/>
    <m/>
    <m/>
    <m/>
    <m/>
    <m/>
    <n v="79266"/>
  </r>
  <r>
    <x v="0"/>
    <x v="9"/>
    <x v="0"/>
    <m/>
    <m/>
    <m/>
    <m/>
    <m/>
    <n v="10"/>
  </r>
  <r>
    <x v="1"/>
    <x v="10"/>
    <x v="1"/>
    <m/>
    <m/>
    <m/>
    <m/>
    <m/>
    <m/>
  </r>
  <r>
    <x v="1"/>
    <x v="10"/>
    <x v="1"/>
    <m/>
    <m/>
    <m/>
    <m/>
    <m/>
    <m/>
  </r>
  <r>
    <x v="0"/>
    <x v="11"/>
    <x v="1"/>
    <n v="256"/>
    <n v="820"/>
    <n v="64290"/>
    <n v="209920"/>
    <m/>
    <n v="209920"/>
  </r>
  <r>
    <x v="2"/>
    <x v="5"/>
    <x v="1"/>
    <n v="458"/>
    <n v="820"/>
    <n v="100000"/>
    <n v="375560"/>
    <m/>
    <n v="375560"/>
  </r>
  <r>
    <x v="3"/>
    <x v="4"/>
    <x v="1"/>
    <n v="141"/>
    <n v="580"/>
    <m/>
    <n v="81780"/>
    <m/>
    <n v="81780"/>
  </r>
  <r>
    <x v="3"/>
    <x v="2"/>
    <x v="1"/>
    <n v="173"/>
    <n v="820"/>
    <m/>
    <n v="141860"/>
    <m/>
    <n v="141860"/>
  </r>
  <r>
    <x v="3"/>
    <x v="4"/>
    <x v="1"/>
    <n v="251"/>
    <n v="830"/>
    <m/>
    <n v="208330"/>
    <m/>
    <n v="208330"/>
  </r>
  <r>
    <x v="3"/>
    <x v="1"/>
    <x v="1"/>
    <n v="280"/>
    <n v="705"/>
    <m/>
    <n v="197400"/>
    <m/>
    <n v="197400"/>
  </r>
  <r>
    <x v="3"/>
    <x v="2"/>
    <x v="1"/>
    <n v="134"/>
    <n v="800"/>
    <m/>
    <n v="107200"/>
    <m/>
    <n v="107200"/>
  </r>
  <r>
    <x v="3"/>
    <x v="4"/>
    <x v="1"/>
    <n v="124"/>
    <n v="580"/>
    <m/>
    <n v="71920"/>
    <m/>
    <n v="71920"/>
  </r>
  <r>
    <x v="4"/>
    <x v="4"/>
    <x v="1"/>
    <n v="300"/>
    <n v="580"/>
    <m/>
    <n v="174000"/>
    <m/>
    <n v="174000"/>
  </r>
  <r>
    <x v="5"/>
    <x v="4"/>
    <x v="1"/>
    <n v="228"/>
    <n v="830"/>
    <m/>
    <n v="189240"/>
    <m/>
    <n v="189240"/>
  </r>
  <r>
    <x v="6"/>
    <x v="2"/>
    <x v="1"/>
    <n v="173"/>
    <n v="820"/>
    <m/>
    <n v="141860"/>
    <m/>
    <n v="141860"/>
  </r>
  <r>
    <x v="7"/>
    <x v="8"/>
    <x v="1"/>
    <n v="108"/>
    <n v="720"/>
    <m/>
    <n v="71260"/>
    <m/>
    <n v="77760"/>
  </r>
  <r>
    <x v="7"/>
    <x v="11"/>
    <x v="1"/>
    <n v="248"/>
    <n v="810"/>
    <m/>
    <n v="200880"/>
    <m/>
    <n v="200880"/>
  </r>
  <r>
    <x v="8"/>
    <x v="8"/>
    <x v="1"/>
    <n v="137"/>
    <n v="480"/>
    <m/>
    <n v="65760"/>
    <m/>
    <n v="65760"/>
  </r>
  <r>
    <x v="9"/>
    <x v="4"/>
    <x v="1"/>
    <n v="295"/>
    <n v="580"/>
    <m/>
    <n v="171100"/>
    <m/>
    <n v="171100"/>
  </r>
  <r>
    <x v="10"/>
    <x v="4"/>
    <x v="1"/>
    <n v="247"/>
    <n v="580"/>
    <m/>
    <n v="143260"/>
    <m/>
    <n v="143260"/>
  </r>
  <r>
    <x v="11"/>
    <x v="2"/>
    <x v="1"/>
    <n v="183"/>
    <n v="820"/>
    <m/>
    <n v="150060"/>
    <m/>
    <n v="150060"/>
  </r>
  <r>
    <x v="11"/>
    <x v="2"/>
    <x v="1"/>
    <n v="204"/>
    <n v="820"/>
    <m/>
    <n v="167280"/>
    <m/>
    <n v="167280"/>
  </r>
  <r>
    <x v="12"/>
    <x v="4"/>
    <x v="1"/>
    <n v="282"/>
    <n v="580"/>
    <m/>
    <n v="163560"/>
    <m/>
    <n v="163560"/>
  </r>
  <r>
    <x v="12"/>
    <x v="2"/>
    <x v="1"/>
    <n v="185"/>
    <n v="820"/>
    <m/>
    <n v="151700"/>
    <m/>
    <n v="151700"/>
  </r>
  <r>
    <x v="12"/>
    <x v="8"/>
    <x v="1"/>
    <n v="129"/>
    <n v="450"/>
    <m/>
    <n v="58050"/>
    <m/>
    <n v="58050"/>
  </r>
  <r>
    <x v="13"/>
    <x v="2"/>
    <x v="1"/>
    <n v="121"/>
    <n v="820"/>
    <m/>
    <n v="99220"/>
    <m/>
    <n v="99220"/>
  </r>
  <r>
    <x v="13"/>
    <x v="2"/>
    <x v="1"/>
    <n v="192"/>
    <n v="820"/>
    <m/>
    <n v="157440"/>
    <m/>
    <n v="157440"/>
  </r>
  <r>
    <x v="13"/>
    <x v="4"/>
    <x v="1"/>
    <n v="275"/>
    <n v="830"/>
    <m/>
    <n v="228250"/>
    <m/>
    <n v="228250"/>
  </r>
  <r>
    <x v="13"/>
    <x v="2"/>
    <x v="1"/>
    <n v="182"/>
    <n v="820"/>
    <m/>
    <n v="149240"/>
    <m/>
    <n v="149240"/>
  </r>
  <r>
    <x v="14"/>
    <x v="4"/>
    <x v="1"/>
    <n v="246"/>
    <n v="580"/>
    <m/>
    <n v="142680"/>
    <m/>
    <n v="142680"/>
  </r>
  <r>
    <x v="14"/>
    <x v="4"/>
    <x v="1"/>
    <n v="260"/>
    <n v="830"/>
    <m/>
    <n v="215800"/>
    <m/>
    <n v="215800"/>
  </r>
  <r>
    <x v="15"/>
    <x v="4"/>
    <x v="1"/>
    <n v="272"/>
    <n v="580"/>
    <m/>
    <n v="157760"/>
    <m/>
    <n v="157760"/>
  </r>
  <r>
    <x v="16"/>
    <x v="4"/>
    <x v="1"/>
    <n v="262"/>
    <n v="580"/>
    <m/>
    <n v="151960"/>
    <m/>
    <n v="151960"/>
  </r>
  <r>
    <x v="1"/>
    <x v="10"/>
    <x v="1"/>
    <m/>
    <m/>
    <m/>
    <n v="0"/>
    <m/>
    <n v="0"/>
  </r>
  <r>
    <x v="17"/>
    <x v="12"/>
    <x v="1"/>
    <n v="337"/>
    <n v="830"/>
    <m/>
    <n v="279710"/>
    <m/>
    <n v="279710"/>
  </r>
  <r>
    <x v="17"/>
    <x v="12"/>
    <x v="1"/>
    <n v="205"/>
    <n v="830"/>
    <m/>
    <n v="170150"/>
    <m/>
    <n v="170150"/>
  </r>
  <r>
    <x v="17"/>
    <x v="12"/>
    <x v="1"/>
    <n v="284"/>
    <n v="830"/>
    <m/>
    <n v="235720"/>
    <m/>
    <n v="235720"/>
  </r>
  <r>
    <x v="17"/>
    <x v="2"/>
    <x v="1"/>
    <n v="235"/>
    <n v="950"/>
    <m/>
    <n v="223250"/>
    <m/>
    <n v="223250"/>
  </r>
  <r>
    <x v="18"/>
    <x v="2"/>
    <x v="1"/>
    <n v="200"/>
    <n v="950"/>
    <m/>
    <n v="190000"/>
    <m/>
    <n v="190000"/>
  </r>
  <r>
    <x v="18"/>
    <x v="2"/>
    <x v="1"/>
    <n v="229"/>
    <n v="950"/>
    <m/>
    <n v="217550"/>
    <m/>
    <n v="217550"/>
  </r>
  <r>
    <x v="19"/>
    <x v="4"/>
    <x v="1"/>
    <n v="213"/>
    <n v="975"/>
    <m/>
    <n v="207675"/>
    <m/>
    <n v="207675"/>
  </r>
  <r>
    <x v="19"/>
    <x v="2"/>
    <x v="1"/>
    <n v="192"/>
    <n v="950"/>
    <m/>
    <n v="182400"/>
    <m/>
    <n v="182400"/>
  </r>
  <r>
    <x v="20"/>
    <x v="2"/>
    <x v="1"/>
    <n v="191"/>
    <n v="950"/>
    <m/>
    <n v="181450"/>
    <m/>
    <n v="181450"/>
  </r>
  <r>
    <x v="1"/>
    <x v="10"/>
    <x v="1"/>
    <m/>
    <m/>
    <m/>
    <n v="0"/>
    <m/>
    <n v="0"/>
  </r>
  <r>
    <x v="1"/>
    <x v="10"/>
    <x v="1"/>
    <m/>
    <m/>
    <m/>
    <n v="0"/>
    <m/>
    <n v="0"/>
  </r>
  <r>
    <x v="1"/>
    <x v="10"/>
    <x v="1"/>
    <m/>
    <m/>
    <m/>
    <n v="0"/>
    <m/>
    <n v="0"/>
  </r>
  <r>
    <x v="21"/>
    <x v="7"/>
    <x v="1"/>
    <n v="210"/>
    <n v="960"/>
    <m/>
    <n v="201600"/>
    <m/>
    <n v="201600"/>
  </r>
  <r>
    <x v="21"/>
    <x v="2"/>
    <x v="1"/>
    <n v="203"/>
    <n v="700"/>
    <n v="48800"/>
    <n v="142100"/>
    <m/>
    <n v="142100"/>
  </r>
  <r>
    <x v="21"/>
    <x v="1"/>
    <x v="1"/>
    <n v="261"/>
    <n v="1000"/>
    <n v="48500"/>
    <n v="261000"/>
    <m/>
    <n v="261000"/>
  </r>
  <r>
    <x v="21"/>
    <x v="13"/>
    <x v="1"/>
    <n v="288"/>
    <n v="1100"/>
    <n v="25000"/>
    <n v="316800"/>
    <m/>
    <n v="316800"/>
  </r>
  <r>
    <x v="22"/>
    <x v="4"/>
    <x v="1"/>
    <n v="192"/>
    <n v="975"/>
    <m/>
    <n v="187200"/>
    <m/>
    <n v="187200"/>
  </r>
  <r>
    <x v="23"/>
    <x v="7"/>
    <x v="1"/>
    <n v="208"/>
    <n v="960"/>
    <m/>
    <n v="199680"/>
    <m/>
    <n v="199680"/>
  </r>
  <r>
    <x v="24"/>
    <x v="13"/>
    <x v="1"/>
    <n v="278"/>
    <n v="1100"/>
    <n v="30000"/>
    <n v="305800"/>
    <m/>
    <n v="305800"/>
  </r>
  <r>
    <x v="24"/>
    <x v="1"/>
    <x v="1"/>
    <n v="357"/>
    <n v="1060"/>
    <n v="70000"/>
    <n v="378420"/>
    <m/>
    <n v="378420"/>
  </r>
  <r>
    <x v="25"/>
    <x v="1"/>
    <x v="1"/>
    <n v="377"/>
    <n v="1060"/>
    <n v="100000"/>
    <n v="399620"/>
    <m/>
    <n v="399620"/>
  </r>
  <r>
    <x v="26"/>
    <x v="7"/>
    <x v="1"/>
    <n v="243"/>
    <n v="960"/>
    <m/>
    <n v="233280"/>
    <m/>
    <n v="233280"/>
  </r>
  <r>
    <x v="26"/>
    <x v="7"/>
    <x v="1"/>
    <n v="199"/>
    <n v="960"/>
    <m/>
    <n v="191040"/>
    <m/>
    <n v="191040"/>
  </r>
  <r>
    <x v="27"/>
    <x v="1"/>
    <x v="1"/>
    <n v="416"/>
    <n v="1200"/>
    <n v="82600"/>
    <n v="499200"/>
    <m/>
    <n v="499200"/>
  </r>
  <r>
    <x v="27"/>
    <x v="6"/>
    <x v="1"/>
    <n v="245"/>
    <n v="920"/>
    <m/>
    <n v="225400"/>
    <m/>
    <n v="225400"/>
  </r>
  <r>
    <x v="28"/>
    <x v="1"/>
    <x v="1"/>
    <n v="239"/>
    <n v="1200"/>
    <n v="60200"/>
    <n v="286800"/>
    <m/>
    <n v="286800"/>
  </r>
  <r>
    <x v="28"/>
    <x v="1"/>
    <x v="1"/>
    <n v="46"/>
    <n v="580"/>
    <m/>
    <n v="26680"/>
    <m/>
    <n v="2668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d v="2026-02-20T00:00:00"/>
    <x v="0"/>
    <s v="Closing CF"/>
    <m/>
    <m/>
    <n v="0"/>
    <n v="0"/>
    <n v="0"/>
  </r>
  <r>
    <d v="2026-02-20T00:00:00"/>
    <x v="1"/>
    <s v="Closing CF"/>
    <m/>
    <m/>
    <n v="0"/>
    <n v="0"/>
    <n v="0"/>
  </r>
  <r>
    <d v="2026-02-20T00:00:00"/>
    <x v="2"/>
    <s v="Closing CF"/>
    <m/>
    <m/>
    <n v="0"/>
    <n v="0"/>
    <n v="120000"/>
  </r>
  <r>
    <d v="2026-02-20T00:00:00"/>
    <x v="3"/>
    <s v="Closing CF"/>
    <m/>
    <m/>
    <n v="0"/>
    <n v="0"/>
    <n v="0"/>
  </r>
  <r>
    <d v="2026-02-20T00:00:00"/>
    <x v="4"/>
    <s v="Closing CF"/>
    <m/>
    <m/>
    <n v="0"/>
    <n v="0"/>
    <n v="0"/>
  </r>
  <r>
    <d v="2026-02-20T00:00:00"/>
    <x v="5"/>
    <s v="Closing CF"/>
    <m/>
    <m/>
    <n v="84500"/>
    <m/>
    <n v="84500"/>
  </r>
  <r>
    <m/>
    <x v="6"/>
    <m/>
    <m/>
    <m/>
    <m/>
    <m/>
    <m/>
  </r>
  <r>
    <m/>
    <x v="6"/>
    <m/>
    <m/>
    <m/>
    <m/>
    <m/>
    <m/>
  </r>
  <r>
    <m/>
    <x v="6"/>
    <m/>
    <m/>
    <m/>
    <m/>
    <m/>
    <m/>
  </r>
  <r>
    <m/>
    <x v="6"/>
    <m/>
    <m/>
    <m/>
    <m/>
    <m/>
    <m/>
  </r>
  <r>
    <m/>
    <x v="6"/>
    <m/>
    <m/>
    <m/>
    <m/>
    <m/>
    <m/>
  </r>
  <r>
    <m/>
    <x v="6"/>
    <m/>
    <m/>
    <m/>
    <m/>
    <m/>
    <m/>
  </r>
  <r>
    <m/>
    <x v="6"/>
    <m/>
    <m/>
    <m/>
    <m/>
    <m/>
    <m/>
  </r>
  <r>
    <m/>
    <x v="6"/>
    <m/>
    <m/>
    <m/>
    <m/>
    <m/>
    <m/>
  </r>
  <r>
    <m/>
    <x v="6"/>
    <m/>
    <m/>
    <m/>
    <m/>
    <m/>
    <m/>
  </r>
  <r>
    <m/>
    <x v="6"/>
    <m/>
    <m/>
    <m/>
    <m/>
    <m/>
    <m/>
  </r>
  <r>
    <m/>
    <x v="6"/>
    <m/>
    <m/>
    <m/>
    <m/>
    <m/>
    <m/>
  </r>
  <r>
    <d v="2026-02-21T00:00:00"/>
    <x v="0"/>
    <s v="Starch"/>
    <m/>
    <m/>
    <n v="78000"/>
    <n v="78000"/>
    <n v="0"/>
  </r>
  <r>
    <d v="2026-02-21T00:00:00"/>
    <x v="2"/>
    <s v="PVA"/>
    <n v="2"/>
    <n v="125"/>
    <n v="60000"/>
    <n v="2500"/>
    <n v="57500"/>
  </r>
  <r>
    <d v="2026-02-25T00:00:00"/>
    <x v="3"/>
    <s v="Starch"/>
    <n v="40"/>
    <m/>
    <n v="312000"/>
    <n v="0"/>
    <n v="312000"/>
  </r>
  <r>
    <d v="2026-02-27T00:00:00"/>
    <x v="2"/>
    <s v="payment"/>
    <m/>
    <m/>
    <n v="0"/>
    <n v="60000"/>
    <n v="-60000"/>
  </r>
  <r>
    <d v="2026-03-03T00:00:00"/>
    <x v="2"/>
    <s v="PVA"/>
    <n v="2"/>
    <n v="125"/>
    <n v="60000"/>
    <n v="2500"/>
    <n v="57500"/>
  </r>
  <r>
    <d v="2026-03-04T00:00:00"/>
    <x v="5"/>
    <m/>
    <m/>
    <m/>
    <n v="0"/>
    <n v="84500"/>
    <n v="-84500"/>
  </r>
  <r>
    <d v="2026-03-05T00:00:00"/>
    <x v="5"/>
    <s v="leaveling+ME"/>
    <m/>
    <m/>
    <n v="0"/>
    <n v="4000"/>
    <n v="-4000"/>
  </r>
  <r>
    <d v="2026-03-07T00:00:00"/>
    <x v="7"/>
    <s v="leaveling+ME"/>
    <m/>
    <m/>
    <n v="0"/>
    <n v="0"/>
    <n v="0"/>
  </r>
  <r>
    <d v="2026-03-14T00:00:00"/>
    <x v="2"/>
    <s v="Payment adjust"/>
    <m/>
    <m/>
    <n v="0"/>
    <n v="120000"/>
    <n v="-120000"/>
  </r>
  <r>
    <d v="2026-04-09T00:00:00"/>
    <x v="4"/>
    <s v="bp26+np9"/>
    <m/>
    <m/>
    <n v="27000"/>
    <n v="27000"/>
    <n v="0"/>
  </r>
  <r>
    <d v="2026-04-07T00:00:00"/>
    <x v="3"/>
    <m/>
    <m/>
    <m/>
    <n v="0"/>
    <n v="312000"/>
    <n v="-312000"/>
  </r>
  <r>
    <d v="2026-04-13T00:00:00"/>
    <x v="4"/>
    <m/>
    <m/>
    <m/>
    <n v="98950"/>
    <n v="98950"/>
    <n v="0"/>
  </r>
  <r>
    <m/>
    <x v="6"/>
    <m/>
    <m/>
    <m/>
    <n v="0"/>
    <n v="0"/>
    <n v="0"/>
  </r>
  <r>
    <d v="2026-04-14T00:00:00"/>
    <x v="5"/>
    <s v="PVA"/>
    <m/>
    <m/>
    <n v="0"/>
    <n v="4000"/>
    <n v="-4000"/>
  </r>
  <r>
    <d v="2026-04-16T00:00:00"/>
    <x v="0"/>
    <m/>
    <m/>
    <m/>
    <n v="38800"/>
    <n v="38800"/>
    <n v="0"/>
  </r>
  <r>
    <d v="2026-04-19T00:00:00"/>
    <x v="0"/>
    <m/>
    <m/>
    <m/>
    <n v="31000"/>
    <n v="31000"/>
    <n v="0"/>
  </r>
  <r>
    <d v="2026-04-20T00:00:00"/>
    <x v="0"/>
    <m/>
    <m/>
    <m/>
    <n v="31200"/>
    <n v="31200"/>
    <n v="0"/>
  </r>
  <r>
    <d v="2026-04-09T00:00:00"/>
    <x v="4"/>
    <m/>
    <m/>
    <m/>
    <n v="27000"/>
    <n v="27000"/>
    <n v="0"/>
  </r>
  <r>
    <d v="2026-04-21T00:00:00"/>
    <x v="5"/>
    <s v="payment"/>
    <m/>
    <m/>
    <n v="0"/>
    <n v="50000"/>
    <n v="-50000"/>
  </r>
  <r>
    <d v="2026-04-24T00:00:00"/>
    <x v="0"/>
    <m/>
    <m/>
    <m/>
    <n v="47400"/>
    <n v="47400"/>
    <n v="0"/>
  </r>
  <r>
    <d v="2026-04-25T00:00:00"/>
    <x v="0"/>
    <m/>
    <m/>
    <m/>
    <n v="55000"/>
    <n v="55000"/>
    <n v="0"/>
  </r>
  <r>
    <d v="2026-04-25T00:00:00"/>
    <x v="8"/>
    <m/>
    <m/>
    <m/>
    <n v="0"/>
    <n v="0"/>
    <n v="0"/>
  </r>
  <r>
    <d v="2026-04-28T00:00:00"/>
    <x v="0"/>
    <s v="Starch"/>
    <m/>
    <m/>
    <n v="39000"/>
    <n v="39000"/>
    <n v="0"/>
  </r>
  <r>
    <d v="2026-05-01T00:00:00"/>
    <x v="0"/>
    <s v="Starch"/>
    <m/>
    <m/>
    <n v="39000"/>
    <n v="39000"/>
    <n v="0"/>
  </r>
  <r>
    <d v="2026-05-02T00:00:00"/>
    <x v="0"/>
    <m/>
    <m/>
    <m/>
    <n v="52400"/>
    <n v="52400"/>
    <n v="0"/>
  </r>
  <r>
    <d v="2026-04-29T00:00:00"/>
    <x v="8"/>
    <m/>
    <m/>
    <m/>
    <n v="0"/>
    <n v="3000"/>
    <n v="-3000"/>
  </r>
  <r>
    <d v="2026-05-04T00:00:00"/>
    <x v="0"/>
    <m/>
    <m/>
    <m/>
    <n v="39000"/>
    <n v="3900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d v="2026-02-19T00:00:00"/>
    <x v="0"/>
    <s v="January Closing CF"/>
    <s v="Chamki"/>
    <x v="0"/>
    <m/>
    <m/>
    <e v="#DIV/0!"/>
    <n v="2767584.0182882226"/>
    <n v="27675840.182882231"/>
    <m/>
  </r>
  <r>
    <d v="2026-02-19T00:00:00"/>
    <x v="1"/>
    <s v="January Closing CF"/>
    <s v="Chamki"/>
    <x v="0"/>
    <m/>
    <m/>
    <e v="#DIV/0!"/>
    <n v="148145.57425018289"/>
    <n v="1481455.7425018288"/>
    <m/>
  </r>
  <r>
    <d v="2026-02-19T00:00:00"/>
    <x v="2"/>
    <s v="January Closing CF"/>
    <s v="Chamki"/>
    <x v="0"/>
    <m/>
    <m/>
    <e v="#DIV/0!"/>
    <n v="671848.9392831017"/>
    <n v="6718489.3928310173"/>
    <m/>
  </r>
  <r>
    <d v="2026-02-19T00:00:00"/>
    <x v="3"/>
    <s v="January Closing CF"/>
    <s v="Chamki"/>
    <x v="0"/>
    <m/>
    <m/>
    <e v="#DIV/0!"/>
    <n v="131178.67593269935"/>
    <n v="1354241.9972933433"/>
    <m/>
  </r>
  <r>
    <d v="2026-02-19T00:00:00"/>
    <x v="4"/>
    <s v="January Closing CF"/>
    <s v="Chamki"/>
    <x v="0"/>
    <m/>
    <m/>
    <e v="#DIV/0!"/>
    <n v="599330.65106071695"/>
    <n v="5408917.8595464528"/>
    <m/>
  </r>
  <r>
    <d v="2026-02-19T00:00:00"/>
    <x v="5"/>
    <s v="January Closing CF"/>
    <s v="Chamki"/>
    <x v="0"/>
    <m/>
    <m/>
    <e v="#DIV/0!"/>
    <n v="942295.17190929048"/>
    <n v="9422951.7190929055"/>
    <m/>
  </r>
  <r>
    <d v="2026-02-19T00:00:00"/>
    <x v="6"/>
    <s v="January Closing CF"/>
    <s v="Chamki"/>
    <x v="0"/>
    <m/>
    <m/>
    <e v="#DIV/0!"/>
    <n v="162638.07607900514"/>
    <n v="1626380.7607900514"/>
    <m/>
  </r>
  <r>
    <d v="2026-02-19T00:00:00"/>
    <x v="7"/>
    <s v="January Closing CF"/>
    <s v="Chamki"/>
    <x v="0"/>
    <m/>
    <m/>
    <e v="#DIV/0!"/>
    <n v="501118.32479882962"/>
    <n v="5011183.2479882967"/>
    <m/>
  </r>
  <r>
    <d v="2026-02-19T00:00:00"/>
    <x v="8"/>
    <s v="January Closing CF"/>
    <s v="Chamki"/>
    <x v="0"/>
    <m/>
    <m/>
    <e v="#DIV/0!"/>
    <n v="46132.955376737387"/>
    <n v="461329.5537673739"/>
    <m/>
  </r>
  <r>
    <d v="2026-02-19T00:00:00"/>
    <x v="9"/>
    <s v="January Closing CF"/>
    <s v="Chamki"/>
    <x v="0"/>
    <m/>
    <m/>
    <e v="#DIV/0!"/>
    <n v="21310.35113386979"/>
    <n v="255724.21360643749"/>
    <m/>
  </r>
  <r>
    <d v="2026-02-19T00:00:00"/>
    <x v="10"/>
    <s v="January Closing CF"/>
    <s v="Chamki"/>
    <x v="0"/>
    <m/>
    <m/>
    <e v="#DIV/0!"/>
    <n v="415715.98390636436"/>
    <n v="4157159.8390636435"/>
    <m/>
  </r>
  <r>
    <d v="2026-02-19T00:00:00"/>
    <x v="11"/>
    <s v="January Closing CF"/>
    <s v="Chamki"/>
    <x v="0"/>
    <m/>
    <m/>
    <e v="#DIV/0!"/>
    <n v="481526.15215801029"/>
    <n v="4861679.7732260432"/>
    <m/>
  </r>
  <r>
    <d v="2026-02-19T00:00:00"/>
    <x v="12"/>
    <s v="January Closing CF"/>
    <s v="Chamki"/>
    <x v="0"/>
    <m/>
    <m/>
    <e v="#DIV/0!"/>
    <n v="121404.53547915144"/>
    <n v="1214045.3547915143"/>
    <m/>
  </r>
  <r>
    <d v="2026-02-19T00:00:00"/>
    <x v="13"/>
    <s v="January Closing CF"/>
    <s v="Chamki"/>
    <x v="0"/>
    <m/>
    <m/>
    <e v="#DIV/0!"/>
    <n v="48385.149963423559"/>
    <n v="483851.49963423557"/>
    <m/>
  </r>
  <r>
    <d v="2026-02-19T00:00:00"/>
    <x v="14"/>
    <s v="January Closing CF"/>
    <s v="Chamki"/>
    <x v="0"/>
    <m/>
    <m/>
    <e v="#DIV/0!"/>
    <n v="8915.5084125822978"/>
    <n v="89155.084125822978"/>
    <m/>
  </r>
  <r>
    <d v="2026-02-19T00:00:00"/>
    <x v="15"/>
    <s v="January Closing CF"/>
    <s v="Chamki"/>
    <x v="0"/>
    <m/>
    <m/>
    <e v="#DIV/0!"/>
    <n v="47437.820043891741"/>
    <n v="474378.20043891744"/>
    <m/>
  </r>
  <r>
    <d v="2026-02-19T00:00:00"/>
    <x v="16"/>
    <s v="January Closing CF"/>
    <s v="Chamki"/>
    <x v="0"/>
    <m/>
    <m/>
    <e v="#DIV/0!"/>
    <n v="0"/>
    <n v="30000"/>
    <m/>
  </r>
  <r>
    <d v="2026-02-19T00:00:00"/>
    <x v="17"/>
    <s v="January Closing CF"/>
    <s v="Chamki"/>
    <x v="0"/>
    <m/>
    <m/>
    <e v="#DIV/0!"/>
    <n v="64300.475493782011"/>
    <n v="643004.75493782014"/>
    <m/>
  </r>
  <r>
    <d v="2026-02-19T00:00:00"/>
    <x v="18"/>
    <s v="January Closing CF"/>
    <s v="Chamki"/>
    <x v="0"/>
    <m/>
    <m/>
    <e v="#DIV/0!"/>
    <n v="360797.36649597657"/>
    <n v="3607973.6649597664"/>
    <m/>
  </r>
  <r>
    <d v="2026-02-19T00:00:00"/>
    <x v="19"/>
    <s v="January Closing CF"/>
    <s v="Chamki"/>
    <x v="0"/>
    <m/>
    <m/>
    <e v="#DIV/0!"/>
    <n v="72939.831748354074"/>
    <n v="729398.31748354062"/>
    <m/>
  </r>
  <r>
    <d v="2026-02-19T00:00:00"/>
    <x v="20"/>
    <s v="January Closing CF"/>
    <s v="Chamki"/>
    <x v="0"/>
    <m/>
    <m/>
    <e v="#DIV/0!"/>
    <n v="310998.53694220923"/>
    <n v="3109985.3694220926"/>
    <m/>
  </r>
  <r>
    <d v="2026-02-19T00:00:00"/>
    <x v="21"/>
    <s v="January Closing CF"/>
    <s v="Chamki"/>
    <x v="0"/>
    <m/>
    <m/>
    <e v="#DIV/0!"/>
    <n v="42432.333577176301"/>
    <n v="424323.335771763"/>
    <m/>
  </r>
  <r>
    <d v="2026-02-19T00:00:00"/>
    <x v="22"/>
    <s v="January Closing CF"/>
    <s v="Chamki"/>
    <x v="0"/>
    <m/>
    <m/>
    <e v="#DIV/0!"/>
    <n v="0"/>
    <n v="0"/>
    <m/>
  </r>
  <r>
    <d v="2026-02-19T00:00:00"/>
    <x v="23"/>
    <s v="January Closing CF"/>
    <s v="Chamki"/>
    <x v="0"/>
    <m/>
    <m/>
    <e v="#DIV/0!"/>
    <n v="12456.108266276518"/>
    <n v="124561.08266276518"/>
    <m/>
  </r>
  <r>
    <d v="2026-02-19T00:00:00"/>
    <x v="24"/>
    <s v="January Closing CF"/>
    <s v="Chamki"/>
    <x v="0"/>
    <m/>
    <m/>
    <e v="#DIV/0!"/>
    <n v="0"/>
    <n v="0"/>
    <m/>
  </r>
  <r>
    <d v="2026-02-19T00:00:00"/>
    <x v="25"/>
    <s v="January Closing CF"/>
    <s v="Chamki"/>
    <x v="0"/>
    <m/>
    <m/>
    <e v="#DIV/0!"/>
    <n v="0"/>
    <n v="0"/>
    <m/>
  </r>
  <r>
    <d v="2026-02-19T00:00:00"/>
    <x v="26"/>
    <s v="January Closing CF"/>
    <s v="Chamki"/>
    <x v="0"/>
    <m/>
    <m/>
    <e v="#DIV/0!"/>
    <n v="96185.076810534025"/>
    <n v="961850.76810534031"/>
    <m/>
  </r>
  <r>
    <d v="2026-02-19T00:00:00"/>
    <x v="0"/>
    <s v="January Closing CF"/>
    <s v="Silky"/>
    <x v="0"/>
    <m/>
    <m/>
    <e v="#DIV/0!"/>
    <n v="561031.45574250189"/>
    <n v="7205053.0358449165"/>
    <m/>
  </r>
  <r>
    <d v="2026-02-19T00:00:00"/>
    <x v="1"/>
    <s v="January Closing CF"/>
    <s v="Silky"/>
    <x v="0"/>
    <m/>
    <m/>
    <e v="#DIV/0!"/>
    <n v="382650.87783467449"/>
    <n v="4915317.3006583769"/>
    <m/>
  </r>
  <r>
    <d v="2026-02-19T00:00:00"/>
    <x v="2"/>
    <s v="January Closing CF"/>
    <s v="Silky"/>
    <x v="0"/>
    <m/>
    <m/>
    <e v="#DIV/0!"/>
    <n v="146176.84711046086"/>
    <n v="1885504.7549378201"/>
    <m/>
  </r>
  <r>
    <d v="2026-02-19T00:00:00"/>
    <x v="3"/>
    <s v="January Closing CF"/>
    <s v="Silky"/>
    <x v="0"/>
    <m/>
    <m/>
    <e v="#DIV/0!"/>
    <n v="0"/>
    <n v="0"/>
    <m/>
  </r>
  <r>
    <d v="2026-02-19T00:00:00"/>
    <x v="4"/>
    <s v="January Closing CF"/>
    <s v="Silky"/>
    <x v="0"/>
    <m/>
    <m/>
    <e v="#DIV/0!"/>
    <n v="485823.88441843458"/>
    <n v="5829886.6130212145"/>
    <m/>
  </r>
  <r>
    <d v="2026-02-19T00:00:00"/>
    <x v="5"/>
    <s v="January Closing CF"/>
    <s v="Silky"/>
    <x v="0"/>
    <m/>
    <m/>
    <e v="#DIV/0!"/>
    <n v="0"/>
    <n v="0"/>
    <m/>
  </r>
  <r>
    <d v="2026-02-19T00:00:00"/>
    <x v="6"/>
    <s v="January Closing CF"/>
    <s v="Silky"/>
    <x v="0"/>
    <m/>
    <m/>
    <e v="#DIV/0!"/>
    <n v="0"/>
    <n v="0"/>
    <m/>
  </r>
  <r>
    <d v="2026-02-19T00:00:00"/>
    <x v="7"/>
    <s v="January Closing CF"/>
    <s v="Silky"/>
    <x v="0"/>
    <m/>
    <m/>
    <e v="#DIV/0!"/>
    <n v="183991.40453547917"/>
    <n v="2391888.2589612291"/>
    <m/>
  </r>
  <r>
    <d v="2026-02-19T00:00:00"/>
    <x v="8"/>
    <s v="January Closing CF"/>
    <s v="Silky"/>
    <x v="0"/>
    <m/>
    <m/>
    <e v="#DIV/0!"/>
    <n v="112548.46378931969"/>
    <n v="1448134.6013167519"/>
    <m/>
  </r>
  <r>
    <d v="2026-02-19T00:00:00"/>
    <x v="9"/>
    <s v="January Closing CF"/>
    <s v="Silky"/>
    <x v="0"/>
    <m/>
    <m/>
    <e v="#DIV/0!"/>
    <n v="0"/>
    <n v="0"/>
    <m/>
  </r>
  <r>
    <d v="2026-02-19T00:00:00"/>
    <x v="10"/>
    <s v="January Closing CF"/>
    <s v="Silky"/>
    <x v="0"/>
    <m/>
    <m/>
    <e v="#DIV/0!"/>
    <n v="0"/>
    <n v="0"/>
    <m/>
  </r>
  <r>
    <d v="2026-02-19T00:00:00"/>
    <x v="11"/>
    <s v="January Closing CF"/>
    <s v="Silky"/>
    <x v="0"/>
    <m/>
    <m/>
    <e v="#DIV/0!"/>
    <n v="141474.94513533285"/>
    <n v="1776019.5683979518"/>
    <m/>
  </r>
  <r>
    <d v="2026-02-19T00:00:00"/>
    <x v="12"/>
    <s v="January Closing CF"/>
    <s v="Silky"/>
    <x v="0"/>
    <m/>
    <m/>
    <e v="#DIV/0!"/>
    <n v="0"/>
    <n v="0"/>
    <m/>
  </r>
  <r>
    <d v="2026-02-19T00:00:00"/>
    <x v="13"/>
    <s v="January Closing CF"/>
    <s v="Silky"/>
    <x v="0"/>
    <m/>
    <m/>
    <e v="#DIV/0!"/>
    <n v="0"/>
    <n v="0"/>
    <m/>
  </r>
  <r>
    <d v="2026-02-19T00:00:00"/>
    <x v="14"/>
    <s v="January Closing CF"/>
    <s v="Silky"/>
    <x v="0"/>
    <m/>
    <m/>
    <e v="#DIV/0!"/>
    <n v="0"/>
    <n v="0"/>
    <m/>
  </r>
  <r>
    <d v="2026-02-19T00:00:00"/>
    <x v="15"/>
    <s v="January Closing CF"/>
    <s v="Silky"/>
    <x v="0"/>
    <m/>
    <m/>
    <e v="#DIV/0!"/>
    <n v="9232.809070958303"/>
    <n v="120026.51792245793"/>
    <m/>
  </r>
  <r>
    <d v="2026-02-19T00:00:00"/>
    <x v="16"/>
    <s v="January Closing CF"/>
    <s v="Silky"/>
    <x v="0"/>
    <m/>
    <m/>
    <e v="#DIV/0!"/>
    <n v="462841.07534747623"/>
    <n v="6016933.9795171916"/>
    <m/>
  </r>
  <r>
    <d v="2026-02-19T00:00:00"/>
    <x v="17"/>
    <s v="January Closing CF"/>
    <s v="Silky"/>
    <x v="0"/>
    <m/>
    <m/>
    <e v="#DIV/0!"/>
    <n v="7565.8376005852242"/>
    <n v="98355.888807607917"/>
    <m/>
  </r>
  <r>
    <d v="2026-02-19T00:00:00"/>
    <x v="18"/>
    <s v="January Closing CF"/>
    <s v="Silky"/>
    <x v="0"/>
    <m/>
    <m/>
    <e v="#DIV/0!"/>
    <n v="46600.219458668624"/>
    <n v="605802.85296269215"/>
    <m/>
  </r>
  <r>
    <d v="2026-02-19T00:00:00"/>
    <x v="19"/>
    <s v="January Closing CF"/>
    <s v="Silky"/>
    <x v="0"/>
    <m/>
    <m/>
    <e v="#DIV/0!"/>
    <n v="31409.107534747625"/>
    <n v="408318.39795171918"/>
    <m/>
  </r>
  <r>
    <d v="2026-02-19T00:00:00"/>
    <x v="27"/>
    <s v="January Closing CF"/>
    <s v="Silky"/>
    <x v="0"/>
    <m/>
    <m/>
    <e v="#DIV/0!"/>
    <n v="45840.343818580841"/>
    <n v="595924.46964155091"/>
    <m/>
  </r>
  <r>
    <d v="2026-02-19T00:00:00"/>
    <x v="26"/>
    <s v="January Closing CF"/>
    <s v="Silky"/>
    <x v="0"/>
    <m/>
    <m/>
    <e v="#DIV/0!"/>
    <n v="86727.322604242872"/>
    <n v="1127455.1938551574"/>
    <m/>
  </r>
  <r>
    <d v="2026-02-19T00:00:00"/>
    <x v="28"/>
    <s v="January Closing CF"/>
    <s v="Silky"/>
    <x v="0"/>
    <m/>
    <m/>
    <e v="#DIV/0!"/>
    <n v="48958.485735186543"/>
    <n v="636460.3145574251"/>
    <m/>
  </r>
  <r>
    <d v="2026-02-19T00:00:00"/>
    <x v="29"/>
    <s v="January Closing CF"/>
    <s v="Silky"/>
    <x v="0"/>
    <m/>
    <m/>
    <e v="#DIV/0!"/>
    <n v="1321.3240673006585"/>
    <n v="15855.888807607902"/>
    <m/>
  </r>
  <r>
    <d v="2026-02-19T00:00:00"/>
    <x v="20"/>
    <s v="January Closing CF"/>
    <s v="Silky"/>
    <x v="0"/>
    <m/>
    <m/>
    <e v="#DIV/0!"/>
    <n v="0"/>
    <n v="0"/>
    <m/>
  </r>
  <r>
    <d v="2026-02-19T00:00:00"/>
    <x v="21"/>
    <s v="January Closing CF"/>
    <s v="Silky"/>
    <x v="0"/>
    <m/>
    <m/>
    <e v="#DIV/0!"/>
    <n v="0"/>
    <n v="0"/>
    <m/>
  </r>
  <r>
    <d v="2026-02-19T00:00:00"/>
    <x v="22"/>
    <s v="January Closing CF"/>
    <s v="Silky"/>
    <x v="0"/>
    <m/>
    <m/>
    <e v="#DIV/0!"/>
    <n v="111911.11923920995"/>
    <n v="1454844.5501097296"/>
    <m/>
  </r>
  <r>
    <d v="2026-02-19T00:00:00"/>
    <x v="23"/>
    <s v="January Closing CF"/>
    <s v="Silky"/>
    <x v="0"/>
    <m/>
    <m/>
    <e v="#DIV/0!"/>
    <n v="0"/>
    <n v="0"/>
    <m/>
  </r>
  <r>
    <d v="2026-02-19T00:00:00"/>
    <x v="24"/>
    <s v="January Closing CF"/>
    <s v="Silky"/>
    <x v="0"/>
    <m/>
    <m/>
    <e v="#DIV/0!"/>
    <n v="29626.005852231167"/>
    <n v="385138.07607900514"/>
    <m/>
  </r>
  <r>
    <d v="2026-02-19T00:00:00"/>
    <x v="25"/>
    <s v="January Closing CF"/>
    <s v="Silky"/>
    <x v="0"/>
    <m/>
    <m/>
    <e v="#DIV/0!"/>
    <n v="0"/>
    <n v="0"/>
    <m/>
  </r>
  <r>
    <d v="2026-02-19T00:00:00"/>
    <x v="5"/>
    <s v="January Closing CF"/>
    <s v="Slub"/>
    <x v="0"/>
    <m/>
    <m/>
    <e v="#DIV/0!"/>
    <m/>
    <n v="71359.729334308722"/>
    <m/>
  </r>
  <r>
    <d v="2026-02-19T00:00:00"/>
    <x v="16"/>
    <s v="January Closing CF"/>
    <s v="Slub"/>
    <x v="0"/>
    <m/>
    <m/>
    <e v="#DIV/0!"/>
    <m/>
    <n v="44550.109729334312"/>
    <m/>
  </r>
  <r>
    <d v="2026-02-19T00:00:00"/>
    <x v="17"/>
    <s v="January Closing CF"/>
    <s v="Satin"/>
    <x v="0"/>
    <m/>
    <m/>
    <e v="#DIV/0!"/>
    <m/>
    <n v="94656.181419166067"/>
    <m/>
  </r>
  <r>
    <d v="2026-02-19T00:00:00"/>
    <x v="4"/>
    <s v="January Closing CF"/>
    <s v="Satin"/>
    <x v="0"/>
    <m/>
    <m/>
    <e v="#DIV/0!"/>
    <m/>
    <n v="239959.76591075349"/>
    <m/>
  </r>
  <r>
    <d v="2026-02-19T00:00:00"/>
    <x v="19"/>
    <s v="January Closing CF"/>
    <s v="Black-Chamki"/>
    <x v="0"/>
    <m/>
    <m/>
    <e v="#DIV/0!"/>
    <m/>
    <n v="161653.2553035845"/>
    <m/>
  </r>
  <r>
    <d v="2026-02-19T00:00:00"/>
    <x v="20"/>
    <s v="January Closing CF"/>
    <s v="Black-Chamki"/>
    <x v="0"/>
    <m/>
    <m/>
    <e v="#DIV/0!"/>
    <m/>
    <n v="23767.373811265548"/>
    <m/>
  </r>
  <r>
    <d v="2026-02-19T00:00:00"/>
    <x v="5"/>
    <s v="January Closing CF"/>
    <s v="Black-Chamki"/>
    <x v="0"/>
    <m/>
    <m/>
    <e v="#DIV/0!"/>
    <m/>
    <n v="322297.00073152891"/>
    <m/>
  </r>
  <r>
    <d v="2026-02-19T00:00:00"/>
    <x v="19"/>
    <s v="January Closing CF"/>
    <s v="Kataan"/>
    <x v="0"/>
    <m/>
    <m/>
    <e v="#DIV/0!"/>
    <m/>
    <n v="1970409.6561814193"/>
    <m/>
  </r>
  <r>
    <d v="2026-02-19T00:00:00"/>
    <x v="20"/>
    <s v="January Closing CF"/>
    <s v="Kataan"/>
    <x v="0"/>
    <m/>
    <m/>
    <e v="#DIV/0!"/>
    <m/>
    <n v="523143.74542794435"/>
    <m/>
  </r>
  <r>
    <d v="2026-02-19T00:00:00"/>
    <x v="0"/>
    <s v="January Closing CF"/>
    <s v="Kataan"/>
    <x v="0"/>
    <m/>
    <m/>
    <e v="#DIV/0!"/>
    <m/>
    <n v="126666.9714703731"/>
    <m/>
  </r>
  <r>
    <d v="2026-02-19T00:00:00"/>
    <x v="25"/>
    <s v="January Closing CF"/>
    <s v="Munaar"/>
    <x v="0"/>
    <m/>
    <m/>
    <e v="#DIV/0!"/>
    <m/>
    <n v="151504.2062911485"/>
    <m/>
  </r>
  <r>
    <d v="2026-02-19T00:00:00"/>
    <x v="16"/>
    <n v="1509"/>
    <s v="Silky"/>
    <x v="1"/>
    <n v="51893"/>
    <n v="35712"/>
    <n v="1.7818176338343648"/>
    <n v="32655.449890270669"/>
    <n v="424520.84857351868"/>
    <m/>
  </r>
  <r>
    <d v="2026-02-19T00:00:00"/>
    <x v="16"/>
    <n v="1510"/>
    <s v="Silky"/>
    <x v="1"/>
    <n v="51893"/>
    <n v="20027"/>
    <n v="1.7818176338343648"/>
    <n v="18312.91148500366"/>
    <n v="238067.8493050476"/>
    <m/>
  </r>
  <r>
    <d v="2026-02-20T00:00:00"/>
    <x v="0"/>
    <n v="1511"/>
    <s v="Kataan"/>
    <x v="2"/>
    <n v="53024"/>
    <n v="30060"/>
    <n v="25.742036069628114"/>
    <n v="27487.198244330655"/>
    <n v="302359.18068763718"/>
    <m/>
  </r>
  <r>
    <d v="2026-02-20T00:00:00"/>
    <x v="10"/>
    <n v="1512"/>
    <s v="Chamki"/>
    <x v="3"/>
    <n v="25007"/>
    <n v="19622"/>
    <n v="1.6332486157716346"/>
    <n v="17942.574981711779"/>
    <n v="179425.74981711779"/>
    <m/>
  </r>
  <r>
    <d v="2026-02-20T00:00:00"/>
    <x v="10"/>
    <n v="1513"/>
    <s v="Chamki"/>
    <x v="3"/>
    <n v="25007"/>
    <n v="7279"/>
    <n v="1.6332486157716346"/>
    <n v="6655.9985369422102"/>
    <n v="66559.985369422095"/>
    <m/>
  </r>
  <r>
    <d v="2026-02-20T00:00:00"/>
    <x v="0"/>
    <n v="1514"/>
    <s v="Kataan"/>
    <x v="2"/>
    <n v="53024"/>
    <n v="10650"/>
    <n v="25.742036069628114"/>
    <n v="9738.4784198975867"/>
    <n v="107123.26261887346"/>
    <m/>
  </r>
  <r>
    <d v="2026-02-21T00:00:00"/>
    <x v="30"/>
    <n v="1515"/>
    <s v="Crinkle"/>
    <x v="4"/>
    <n v="3875"/>
    <n v="3905"/>
    <n v="7.8509568869905735"/>
    <n v="3570.7754206291152"/>
    <n v="39278.529626920266"/>
    <m/>
  </r>
  <r>
    <d v="2026-02-21T00:00:00"/>
    <x v="0"/>
    <n v="1516"/>
    <s v="Crinkle"/>
    <x v="5"/>
    <n v="13927"/>
    <n v="6913"/>
    <n v="5.4795543005121914"/>
    <n v="6321.3240673006585"/>
    <n v="63213.240673006585"/>
    <m/>
  </r>
  <r>
    <d v="2026-02-21T00:00:00"/>
    <x v="10"/>
    <n v="1517"/>
    <s v="Chamki"/>
    <x v="6"/>
    <n v="25162"/>
    <n v="26931"/>
    <n v="2.1301730695844441"/>
    <n v="24626.005852231167"/>
    <n v="246260.05852231168"/>
    <m/>
  </r>
  <r>
    <d v="2026-02-21T00:00:00"/>
    <x v="2"/>
    <n v="1518"/>
    <s v="Chamki"/>
    <x v="7"/>
    <n v="25013"/>
    <n v="2608"/>
    <n v="90.465820977188429"/>
    <n v="2384.7841989758599"/>
    <n v="23847.841989758599"/>
    <m/>
  </r>
  <r>
    <d v="2026-02-21T00:00:00"/>
    <x v="2"/>
    <n v="1519"/>
    <s v="Chamki"/>
    <x v="8"/>
    <n v="25072"/>
    <n v="22243"/>
    <n v="18.876649149498448"/>
    <n v="20339.246525237748"/>
    <n v="203392.46525237747"/>
    <m/>
  </r>
  <r>
    <d v="2026-02-21T00:00:00"/>
    <x v="0"/>
    <n v="1520"/>
    <s v="Chamki"/>
    <x v="9"/>
    <n v="13976"/>
    <n v="10555"/>
    <n v="30.941547198269447"/>
    <n v="9651.6093635698617"/>
    <n v="96516.09363569862"/>
    <m/>
  </r>
  <r>
    <d v="2026-02-21T00:00:00"/>
    <x v="0"/>
    <n v="1521"/>
    <s v="Chamki"/>
    <x v="10"/>
    <n v="55052"/>
    <n v="12715"/>
    <n v="42.745492842811217"/>
    <n v="11626.737381126555"/>
    <n v="116267.37381126556"/>
    <m/>
  </r>
  <r>
    <d v="2026-02-23T00:00:00"/>
    <x v="0"/>
    <n v="1522"/>
    <s v="Chamki"/>
    <x v="10"/>
    <n v="55052"/>
    <n v="21755"/>
    <n v="42.745492842811217"/>
    <n v="19893.013899049016"/>
    <n v="198930.13899049017"/>
    <m/>
  </r>
  <r>
    <d v="2026-02-23T00:00:00"/>
    <x v="0"/>
    <n v="1523"/>
    <s v="Chamki"/>
    <x v="11"/>
    <n v="101030"/>
    <n v="50792"/>
    <n v="1.8467502355583747"/>
    <n v="46444.769568397955"/>
    <n v="464447.69568397955"/>
    <m/>
  </r>
  <r>
    <d v="2026-02-23T00:00:00"/>
    <x v="0"/>
    <n v="1524"/>
    <s v="Kataan"/>
    <x v="12"/>
    <n v="83635"/>
    <n v="25471"/>
    <n v="6.704591121180087"/>
    <n v="23290.96561814192"/>
    <n v="256200.62179956111"/>
    <m/>
  </r>
  <r>
    <d v="2026-02-23T00:00:00"/>
    <x v="0"/>
    <n v="1525"/>
    <s v="Kataan"/>
    <x v="2"/>
    <n v="53024"/>
    <n v="2350"/>
    <n v="25.742036069628114"/>
    <n v="2148.8661302121436"/>
    <n v="23637.52743233358"/>
    <m/>
  </r>
  <r>
    <d v="2026-02-23T00:00:00"/>
    <x v="0"/>
    <n v="1526"/>
    <s v="Chamki"/>
    <x v="11"/>
    <n v="101030"/>
    <n v="22068"/>
    <n v="1.8467502355583747"/>
    <n v="20179.224579370886"/>
    <n v="201792.24579370886"/>
    <m/>
  </r>
  <r>
    <d v="2026-02-23T00:00:00"/>
    <x v="0"/>
    <n v="1527"/>
    <s v="Chamki"/>
    <x v="13"/>
    <m/>
    <n v="3059"/>
    <e v="#DIV/0!"/>
    <n v="2797.1836137527434"/>
    <n v="27971.836137527433"/>
    <m/>
  </r>
  <r>
    <d v="2026-02-23T00:00:00"/>
    <x v="0"/>
    <n v="1528"/>
    <s v="Chamki"/>
    <x v="11"/>
    <n v="101030"/>
    <n v="35586"/>
    <n v="1.8467502355583747"/>
    <n v="32540.234089246529"/>
    <n v="325402.34089246532"/>
    <m/>
  </r>
  <r>
    <d v="2026-02-23T00:00:00"/>
    <x v="31"/>
    <n v="1529"/>
    <s v="Kataan"/>
    <x v="14"/>
    <n v="9391"/>
    <n v="9691"/>
    <n v="5.6377578900310539"/>
    <n v="8861.5581565471839"/>
    <n v="97477.139722019027"/>
    <m/>
  </r>
  <r>
    <d v="2026-02-24T00:00:00"/>
    <x v="0"/>
    <n v="1530"/>
    <s v="Chamki"/>
    <x v="15"/>
    <n v="7943"/>
    <n v="5405"/>
    <n v="37.776758158278611"/>
    <n v="4942.39209948793"/>
    <n v="49423.9209948793"/>
    <m/>
  </r>
  <r>
    <d v="2026-02-24T00:00:00"/>
    <x v="31"/>
    <n v="1531"/>
    <s v="Silky"/>
    <x v="16"/>
    <n v="72930"/>
    <n v="24947"/>
    <n v="3.4370322936956512"/>
    <n v="22811.814191660571"/>
    <n v="296553.58449158742"/>
    <m/>
  </r>
  <r>
    <d v="2026-02-24T00:00:00"/>
    <x v="31"/>
    <n v="1532"/>
    <s v="Silky"/>
    <x v="16"/>
    <n v="72930"/>
    <n v="30659"/>
    <n v="3.4370322936956512"/>
    <n v="28034.930504754939"/>
    <n v="364454.09656181419"/>
    <m/>
  </r>
  <r>
    <d v="2026-02-24T00:00:00"/>
    <x v="31"/>
    <n v="1533"/>
    <s v="Silky"/>
    <x v="16"/>
    <n v="72930"/>
    <n v="21409"/>
    <n v="3.4370322936956512"/>
    <n v="19576.627651792249"/>
    <n v="254496.15947329922"/>
    <m/>
  </r>
  <r>
    <d v="2026-02-25T00:00:00"/>
    <x v="0"/>
    <n v="1534"/>
    <s v="Silky"/>
    <x v="17"/>
    <n v="5816"/>
    <n v="6358"/>
    <n v="8"/>
    <n v="5813.8258961228976"/>
    <n v="75579.736649597675"/>
    <m/>
  </r>
  <r>
    <d v="2026-02-25T00:00:00"/>
    <x v="18"/>
    <n v="1535"/>
    <s v="Chamki"/>
    <x v="18"/>
    <n v="2069"/>
    <n v="2212"/>
    <n v="2.2388885569293109"/>
    <n v="2022.6773957571327"/>
    <n v="20226.773957571328"/>
    <m/>
  </r>
  <r>
    <d v="2026-02-25T00:00:00"/>
    <x v="0"/>
    <n v="1536"/>
    <s v="Chamki"/>
    <x v="19"/>
    <n v="73470"/>
    <n v="11908"/>
    <n v="7.5532474277255375"/>
    <n v="10888.807607900513"/>
    <n v="108888.07607900513"/>
    <m/>
  </r>
  <r>
    <d v="2026-02-25T00:00:00"/>
    <x v="1"/>
    <n v="1537"/>
    <s v="Silky"/>
    <x v="20"/>
    <n v="14584"/>
    <n v="15320"/>
    <n v="3.9441967447565958"/>
    <n v="14008.778346744697"/>
    <n v="182114.11850768107"/>
    <m/>
  </r>
  <r>
    <d v="2026-02-25T00:00:00"/>
    <x v="2"/>
    <n v="1538"/>
    <s v="Silky"/>
    <x v="21"/>
    <n v="20046"/>
    <n v="21160"/>
    <n v="3.4773057811948433"/>
    <n v="19348.939283101685"/>
    <n v="251536.21068032191"/>
    <m/>
  </r>
  <r>
    <d v="2026-02-26T00:00:00"/>
    <x v="10"/>
    <n v="1539"/>
    <s v="Chamki"/>
    <x v="22"/>
    <n v="19717"/>
    <n v="21223"/>
    <n v="1.5745438778021281"/>
    <n v="19406.547183613755"/>
    <n v="194065.47183613756"/>
    <m/>
  </r>
  <r>
    <d v="2026-02-26T00:00:00"/>
    <x v="6"/>
    <n v="1540"/>
    <s v="Chamki"/>
    <x v="23"/>
    <n v="24005"/>
    <n v="8269"/>
    <n v="3.0849918946720294"/>
    <n v="7561.2655449890281"/>
    <n v="75612.655449890284"/>
    <m/>
  </r>
  <r>
    <d v="2026-02-27T00:00:00"/>
    <x v="0"/>
    <n v="1541"/>
    <s v="Silky"/>
    <x v="24"/>
    <n v="46469"/>
    <n v="9555"/>
    <n v="3.5154490121652202"/>
    <n v="8737.1982443306515"/>
    <n v="113583.57717629847"/>
    <m/>
  </r>
  <r>
    <d v="2026-02-27T00:00:00"/>
    <x v="26"/>
    <n v="1542"/>
    <s v="Chamki"/>
    <x v="25"/>
    <n v="50292"/>
    <n v="43079"/>
    <n v="2.6151794369455814"/>
    <n v="39391.916605705926"/>
    <n v="393919.16605705925"/>
    <m/>
  </r>
  <r>
    <d v="2026-02-27T00:00:00"/>
    <x v="26"/>
    <n v="1543"/>
    <s v="Chamki"/>
    <x v="25"/>
    <n v="50292"/>
    <n v="10482"/>
    <n v="2.6151794369455814"/>
    <n v="9584.8573518653993"/>
    <n v="95848.573518653997"/>
    <m/>
  </r>
  <r>
    <d v="2026-02-27T00:00:00"/>
    <x v="6"/>
    <n v="1544"/>
    <s v="Chamki"/>
    <x v="23"/>
    <n v="24005"/>
    <n v="17173"/>
    <n v="3.0849918946720294"/>
    <n v="15703.182150694955"/>
    <n v="157031.82150694955"/>
    <m/>
  </r>
  <r>
    <d v="2026-03-02T00:00:00"/>
    <x v="31"/>
    <n v="1545"/>
    <s v="Silky"/>
    <x v="26"/>
    <n v="46392"/>
    <n v="33424"/>
    <n v="3.5997175811534561"/>
    <n v="30563.277249451356"/>
    <n v="397322.60424286762"/>
    <m/>
  </r>
  <r>
    <d v="2026-03-02T00:00:00"/>
    <x v="31"/>
    <n v="1546"/>
    <s v="Silky"/>
    <x v="26"/>
    <n v="46392"/>
    <n v="15484"/>
    <n v="3.5997175811534561"/>
    <n v="14158.741770299928"/>
    <n v="184063.64301389907"/>
    <m/>
  </r>
  <r>
    <d v="2026-03-02T00:00:00"/>
    <x v="0"/>
    <n v="1547"/>
    <s v="Silky"/>
    <x v="24"/>
    <n v="46469"/>
    <n v="6890"/>
    <n v="3.5154490121652202"/>
    <n v="6300.2926115581568"/>
    <n v="81903.803950256042"/>
    <m/>
  </r>
  <r>
    <d v="2026-03-02T00:00:00"/>
    <x v="0"/>
    <n v="1548"/>
    <s v="Silky"/>
    <x v="27"/>
    <n v="22835"/>
    <n v="3207"/>
    <n v="-6.9702834606394646"/>
    <n v="2932.5164594001467"/>
    <n v="38122.713972201906"/>
    <m/>
  </r>
  <r>
    <d v="2026-03-02T00:00:00"/>
    <x v="31"/>
    <n v="1549"/>
    <s v="Silky"/>
    <x v="28"/>
    <n v="45985"/>
    <n v="46245"/>
    <n v="8.0418784185772267"/>
    <n v="42286.942209217268"/>
    <n v="549730.24871982448"/>
    <m/>
  </r>
  <r>
    <d v="2026-03-02T00:00:00"/>
    <x v="32"/>
    <n v="1550"/>
    <s v="Chamki"/>
    <x v="29"/>
    <n v="26023"/>
    <n v="28166"/>
    <n v="1.0286916016923868"/>
    <n v="25755.30358449159"/>
    <n v="257553.0358449159"/>
    <m/>
  </r>
  <r>
    <d v="2026-03-02T00:00:00"/>
    <x v="29"/>
    <s v="1551-black"/>
    <s v="custom"/>
    <x v="30"/>
    <m/>
    <n v="1390"/>
    <e v="#DIV/0!"/>
    <n v="1271.031455742502"/>
    <n v="31775.78639356255"/>
    <m/>
  </r>
  <r>
    <d v="2026-03-02T00:00:00"/>
    <x v="29"/>
    <s v="1551-white"/>
    <s v="custom"/>
    <x v="30"/>
    <m/>
    <n v="1448"/>
    <e v="#DIV/0!"/>
    <n v="1324.0673006583761"/>
    <n v="19861.009509875643"/>
    <m/>
  </r>
  <r>
    <d v="2026-03-02T00:00:00"/>
    <x v="2"/>
    <n v="1552"/>
    <s v="Chamki"/>
    <x v="31"/>
    <n v="25082"/>
    <n v="13375"/>
    <n v="2.9408849872199596"/>
    <n v="12230.248719824434"/>
    <n v="122302.48719824434"/>
    <m/>
  </r>
  <r>
    <d v="2026-03-02T00:00:00"/>
    <x v="2"/>
    <n v="1553"/>
    <s v="Chamki"/>
    <x v="31"/>
    <n v="25082"/>
    <n v="13248"/>
    <n v="2.9408849872199596"/>
    <n v="12114.118507681054"/>
    <n v="121141.18507681054"/>
    <m/>
  </r>
  <r>
    <d v="2026-03-02T00:00:00"/>
    <x v="1"/>
    <n v="1554"/>
    <s v="Silky"/>
    <x v="32"/>
    <n v="13945"/>
    <n v="14730"/>
    <n v="3.411432152071967"/>
    <n v="13469.275786393564"/>
    <n v="175100.58522311633"/>
    <m/>
  </r>
  <r>
    <d v="2026-03-02T00:00:00"/>
    <x v="0"/>
    <n v="1555"/>
    <s v="Silky"/>
    <x v="33"/>
    <n v="18783"/>
    <n v="16742"/>
    <n v="2.3907632393858194"/>
    <n v="15309.070958302855"/>
    <n v="199017.92245793712"/>
    <m/>
  </r>
  <r>
    <d v="2026-03-02T00:00:00"/>
    <x v="0"/>
    <n v="1556"/>
    <s v="Silky"/>
    <x v="27"/>
    <n v="22835"/>
    <n v="2504"/>
    <n v="-6.9702834606394646"/>
    <n v="2289.6854425749821"/>
    <n v="29765.910753474767"/>
    <m/>
  </r>
  <r>
    <d v="2026-03-02T00:00:00"/>
    <x v="26"/>
    <n v="1557"/>
    <s v="Chamki"/>
    <x v="34"/>
    <n v="24845"/>
    <n v="26443"/>
    <n v="2.6775076432182345"/>
    <n v="24179.773226042431"/>
    <n v="241797.73226042429"/>
    <m/>
  </r>
  <r>
    <d v="2026-03-03T00:00:00"/>
    <x v="26"/>
    <n v="1558"/>
    <s v="Chamki"/>
    <x v="35"/>
    <n v="30363"/>
    <n v="14204"/>
    <n v="2.7766223284938292"/>
    <n v="12988.295537673739"/>
    <n v="129882.95537673739"/>
    <m/>
  </r>
  <r>
    <d v="2026-03-03T00:00:00"/>
    <x v="0"/>
    <n v="1559"/>
    <s v="Silky"/>
    <x v="24"/>
    <n v="46469"/>
    <n v="11528"/>
    <n v="3.5154490121652202"/>
    <n v="10541.331382589613"/>
    <n v="137037.30797366498"/>
    <m/>
  </r>
  <r>
    <d v="2026-03-03T00:00:00"/>
    <x v="26"/>
    <n v="1560"/>
    <s v="Chamki"/>
    <x v="35"/>
    <n v="30363"/>
    <n v="18079"/>
    <n v="2.7766223284938292"/>
    <n v="16531.638624725678"/>
    <n v="165316.38624725677"/>
    <m/>
  </r>
  <r>
    <d v="2026-03-03T00:00:00"/>
    <x v="10"/>
    <n v="1561"/>
    <s v="Chamki"/>
    <x v="36"/>
    <n v="52527"/>
    <n v="28294"/>
    <n v="3.1152808457764678"/>
    <n v="25872.34820775421"/>
    <n v="258723.48207754211"/>
    <m/>
  </r>
  <r>
    <d v="2026-03-03T00:00:00"/>
    <x v="10"/>
    <n v="1562"/>
    <s v="Chamki"/>
    <x v="36"/>
    <n v="52527"/>
    <n v="27360"/>
    <n v="3.1152808457764678"/>
    <n v="25018.288222384785"/>
    <n v="250182.88222384785"/>
    <m/>
  </r>
  <r>
    <d v="2026-03-04T00:00:00"/>
    <x v="31"/>
    <n v="1563"/>
    <s v="Kataan"/>
    <x v="37"/>
    <n v="40476"/>
    <n v="41559"/>
    <n v="6.112235140670208"/>
    <n v="38002.011704462333"/>
    <n v="418022.12874908565"/>
    <m/>
  </r>
  <r>
    <d v="2026-03-04T00:00:00"/>
    <x v="31"/>
    <n v="1564"/>
    <s v="Kataan"/>
    <x v="38"/>
    <n v="14074"/>
    <n v="14324"/>
    <n v="6.9345966180016632"/>
    <n v="13098.024871982445"/>
    <n v="144078.27359180688"/>
    <m/>
  </r>
  <r>
    <d v="2026-03-04T00:00:00"/>
    <x v="0"/>
    <n v="1565"/>
    <s v="Crinkle"/>
    <x v="39"/>
    <n v="24035"/>
    <n v="13601"/>
    <n v="3.1070422933879769"/>
    <n v="12436.905632772496"/>
    <n v="124369.05632772496"/>
    <m/>
  </r>
  <r>
    <d v="2026-03-04T00:00:00"/>
    <x v="30"/>
    <n v="1566"/>
    <s v="Crinkle"/>
    <x v="40"/>
    <n v="12102"/>
    <n v="3559"/>
    <n v="8.1584270835184327"/>
    <n v="3254.3891733723485"/>
    <n v="35798.280907095832"/>
    <m/>
  </r>
  <r>
    <d v="2026-03-05T00:00:00"/>
    <x v="30"/>
    <n v="1567"/>
    <s v="Crinkle"/>
    <x v="40"/>
    <n v="12102"/>
    <n v="8596"/>
    <n v="8.1584270835184327"/>
    <n v="7860.2779809802496"/>
    <n v="86463.057790782739"/>
    <m/>
  </r>
  <r>
    <d v="2026-03-05T00:00:00"/>
    <x v="0"/>
    <n v="1568"/>
    <s v="Crinkle"/>
    <x v="39"/>
    <n v="24035"/>
    <n v="11867"/>
    <n v="3.1070422933879769"/>
    <n v="10851.316752011706"/>
    <n v="108513.16752011706"/>
    <m/>
  </r>
  <r>
    <d v="2026-03-05T00:00:00"/>
    <x v="0"/>
    <n v="1569"/>
    <s v="Crinkle"/>
    <x v="41"/>
    <n v="14038"/>
    <n v="11418"/>
    <n v="9.1190772501392132"/>
    <n v="10440.746159473299"/>
    <n v="104407.461594733"/>
    <m/>
  </r>
  <r>
    <d v="2026-03-05T00:00:00"/>
    <x v="0"/>
    <n v="1570"/>
    <s v="Crinkle"/>
    <x v="42"/>
    <n v="12042"/>
    <n v="12864"/>
    <n v="2.3170184529712685"/>
    <n v="11762.984637893198"/>
    <n v="117629.84637893198"/>
    <m/>
  </r>
  <r>
    <d v="2026-03-05T00:00:00"/>
    <x v="0"/>
    <n v="1571"/>
    <s v="Crinkle"/>
    <x v="5"/>
    <n v="13927"/>
    <n v="1124"/>
    <n v="5.4795543005121914"/>
    <n v="1027.7980980248722"/>
    <n v="10277.980980248722"/>
    <m/>
  </r>
  <r>
    <d v="2026-03-06T00:00:00"/>
    <x v="0"/>
    <n v="1572"/>
    <s v="Silky"/>
    <x v="24"/>
    <n v="46469"/>
    <n v="21059"/>
    <n v="3.5154490121652202"/>
    <n v="19256.583760058526"/>
    <n v="250335.58888076083"/>
    <m/>
  </r>
  <r>
    <d v="2026-03-06T00:00:00"/>
    <x v="0"/>
    <n v="1573"/>
    <s v="Silky"/>
    <x v="27"/>
    <n v="22835"/>
    <n v="13109"/>
    <n v="-6.9702834606394646"/>
    <n v="11987.015362106804"/>
    <n v="155831.19970738844"/>
    <m/>
  </r>
  <r>
    <d v="2026-03-06T00:00:00"/>
    <x v="22"/>
    <n v="1574"/>
    <s v="Silky"/>
    <x v="43"/>
    <n v="6940"/>
    <n v="7232"/>
    <n v="4.7115098798563793"/>
    <n v="6613.0212143379667"/>
    <n v="85969.275786393569"/>
    <m/>
  </r>
  <r>
    <d v="2026-03-06T00:00:00"/>
    <x v="0"/>
    <n v="1575"/>
    <s v="Crinkle"/>
    <x v="44"/>
    <n v="11866"/>
    <n v="8122"/>
    <n v="6.1237463798073719"/>
    <n v="7426.8471104608634"/>
    <n v="74268.47110460863"/>
    <m/>
  </r>
  <r>
    <d v="2026-03-07T00:00:00"/>
    <x v="0"/>
    <n v="1576"/>
    <s v="Crinkle"/>
    <x v="45"/>
    <n v="12026"/>
    <n v="11659"/>
    <n v="11.349415938716533"/>
    <n v="10661.119239209949"/>
    <n v="106611.19239209949"/>
    <m/>
  </r>
  <r>
    <d v="2026-03-07T00:00:00"/>
    <x v="0"/>
    <n v="1577"/>
    <s v="Crinkle"/>
    <x v="46"/>
    <n v="11886"/>
    <n v="7064"/>
    <n v="45.655391668300695"/>
    <n v="6459.4001463057793"/>
    <n v="64594.001463057793"/>
    <m/>
  </r>
  <r>
    <d v="2026-03-07T00:00:00"/>
    <x v="0"/>
    <n v="1578"/>
    <s v="Crinkle"/>
    <x v="44"/>
    <n v="11866"/>
    <n v="4060"/>
    <n v="6.1237463798073719"/>
    <n v="3712.5091441111927"/>
    <n v="37125.09144111193"/>
    <m/>
  </r>
  <r>
    <d v="2026-03-07T00:00:00"/>
    <x v="0"/>
    <n v="1579"/>
    <s v="Crinkle"/>
    <x v="41"/>
    <n v="14038"/>
    <n v="2534"/>
    <n v="9.1190772501392132"/>
    <n v="2317.1177761521581"/>
    <n v="23171.17776152158"/>
    <m/>
  </r>
  <r>
    <d v="2026-03-07T00:00:00"/>
    <x v="0"/>
    <n v="1580"/>
    <s v="Crinkle"/>
    <x v="5"/>
    <n v="13927"/>
    <n v="6359"/>
    <n v="5.4795543005121914"/>
    <n v="5814.7403072421366"/>
    <n v="58147.403072421366"/>
    <m/>
  </r>
  <r>
    <d v="2026-03-07T00:00:00"/>
    <x v="22"/>
    <n v="1581"/>
    <s v="Silky"/>
    <x v="47"/>
    <n v="6713"/>
    <n v="5729"/>
    <n v="1.3939804532602125"/>
    <n v="5238.6613021214343"/>
    <n v="68102.596927578648"/>
    <m/>
  </r>
  <r>
    <d v="2026-03-07T00:00:00"/>
    <x v="18"/>
    <n v="1582"/>
    <s v="Silky"/>
    <x v="48"/>
    <n v="50958"/>
    <n v="8527"/>
    <n v="4.1535360258959741"/>
    <n v="7797.1836137527443"/>
    <n v="101363.38697878568"/>
    <m/>
  </r>
  <r>
    <d v="2026-03-09T00:00:00"/>
    <x v="10"/>
    <n v="1583"/>
    <s v="Chamki"/>
    <x v="49"/>
    <n v="50106"/>
    <n v="37548"/>
    <n v="2.8303595499705807"/>
    <n v="34334.308705193856"/>
    <n v="343343.08705193858"/>
    <m/>
  </r>
  <r>
    <d v="2026-03-09T00:00:00"/>
    <x v="10"/>
    <n v="1584"/>
    <s v="Chamki"/>
    <x v="49"/>
    <n v="50106"/>
    <n v="15097"/>
    <n v="2.8303595499705807"/>
    <n v="13804.864667154354"/>
    <n v="138048.64667154354"/>
    <m/>
  </r>
  <r>
    <d v="2026-03-09T00:00:00"/>
    <x v="5"/>
    <n v="1585"/>
    <s v="Chamki"/>
    <x v="50"/>
    <n v="28681"/>
    <n v="30821"/>
    <n v="1.7361141310564818"/>
    <n v="28183.065106071692"/>
    <n v="281830.65106071695"/>
    <m/>
  </r>
  <r>
    <d v="2026-03-09T00:00:00"/>
    <x v="5"/>
    <n v="1586"/>
    <s v="Chamki"/>
    <x v="51"/>
    <n v="35746"/>
    <n v="23303"/>
    <n v="1.9257877790184352"/>
    <n v="21308.52231163131"/>
    <n v="213085.22311631311"/>
    <m/>
  </r>
  <r>
    <d v="2026-03-09T00:00:00"/>
    <x v="5"/>
    <n v="1587"/>
    <s v="Chamki"/>
    <x v="51"/>
    <n v="35746"/>
    <n v="15036"/>
    <n v="1.9257877790184352"/>
    <n v="13749.085588880762"/>
    <n v="137490.85588880762"/>
    <m/>
  </r>
  <r>
    <d v="2026-03-09T00:00:00"/>
    <x v="0"/>
    <n v="1588"/>
    <s v="Chamki"/>
    <x v="19"/>
    <n v="73470"/>
    <n v="20434"/>
    <n v="7.5532474277255375"/>
    <n v="18685.076810534018"/>
    <n v="186850.76810534019"/>
    <m/>
  </r>
  <r>
    <d v="2026-03-09T00:00:00"/>
    <x v="0"/>
    <n v="1589"/>
    <s v="Chamki"/>
    <x v="19"/>
    <n v="73470"/>
    <n v="41936"/>
    <n v="7.5532474277255375"/>
    <n v="38346.74469641551"/>
    <n v="383467.44696415507"/>
    <m/>
  </r>
  <r>
    <d v="2026-03-09T00:00:00"/>
    <x v="0"/>
    <n v="1590"/>
    <s v="Chamki"/>
    <x v="52"/>
    <n v="16029"/>
    <n v="6594"/>
    <n v="5.2045070285235937"/>
    <n v="6029.6269202633512"/>
    <n v="60296.269202633513"/>
    <m/>
  </r>
  <r>
    <d v="2026-03-10T00:00:00"/>
    <x v="18"/>
    <n v="1591"/>
    <s v="Silky"/>
    <x v="48"/>
    <n v="50958"/>
    <n v="5615"/>
    <n v="4.1535360258959741"/>
    <n v="5134.4184345281647"/>
    <n v="66747.439648866144"/>
    <m/>
  </r>
  <r>
    <d v="2026-03-10T00:00:00"/>
    <x v="1"/>
    <n v="1592"/>
    <s v="Silky"/>
    <x v="53"/>
    <n v="6402"/>
    <n v="6963"/>
    <n v="0.54600713429209691"/>
    <n v="6367.0446232626191"/>
    <n v="82771.580102414053"/>
    <m/>
  </r>
  <r>
    <d v="2026-03-10T00:00:00"/>
    <x v="22"/>
    <n v="1593"/>
    <s v="Silky"/>
    <x v="47"/>
    <n v="6713"/>
    <n v="1510"/>
    <n v="1.3939804532602125"/>
    <n v="1380.7607900512071"/>
    <n v="17949.890270665692"/>
    <m/>
  </r>
  <r>
    <d v="2026-03-10T00:00:00"/>
    <x v="0"/>
    <n v="1594"/>
    <s v="Chamki"/>
    <x v="52"/>
    <n v="16029"/>
    <n v="5735"/>
    <n v="5.2045070285235937"/>
    <n v="5244.1477688368695"/>
    <n v="52441.477688368694"/>
    <m/>
  </r>
  <r>
    <d v="2026-03-10T00:00:00"/>
    <x v="0"/>
    <n v="1595"/>
    <s v="Chamki"/>
    <x v="54"/>
    <n v="13663"/>
    <n v="5660"/>
    <n v="62.119835066281723"/>
    <n v="5175.5669348939291"/>
    <n v="51755.669348939293"/>
    <m/>
  </r>
  <r>
    <d v="2026-03-10T00:00:00"/>
    <x v="0"/>
    <n v="1596"/>
    <s v="Silky"/>
    <x v="27"/>
    <n v="22835"/>
    <n v="1458"/>
    <n v="-6.9702834606394646"/>
    <n v="1333.2114118507682"/>
    <n v="17331.748354059986"/>
    <m/>
  </r>
  <r>
    <d v="2026-03-10T00:00:00"/>
    <x v="0"/>
    <n v="1597"/>
    <s v="Kataan"/>
    <x v="12"/>
    <n v="83635"/>
    <n v="20744"/>
    <n v="6.704591121180087"/>
    <n v="18968.544257498172"/>
    <n v="208653.98683247989"/>
    <m/>
  </r>
  <r>
    <d v="2026-03-11T00:00:00"/>
    <x v="18"/>
    <n v="1598"/>
    <s v="Silky"/>
    <x v="48"/>
    <n v="20958"/>
    <n v="39271"/>
    <n v="4.1535360258959741"/>
    <n v="35909.839063643019"/>
    <n v="466827.90782735927"/>
    <m/>
  </r>
  <r>
    <d v="2026-03-11T00:00:00"/>
    <x v="0"/>
    <n v="1599"/>
    <s v="Silky"/>
    <x v="33"/>
    <n v="18783"/>
    <n v="3308"/>
    <n v="2.3907632393858194"/>
    <n v="3024.8719824433069"/>
    <n v="39323.335771762991"/>
    <m/>
  </r>
  <r>
    <d v="2026-03-11T00:00:00"/>
    <x v="0"/>
    <n v="1600"/>
    <s v="Silky"/>
    <x v="27"/>
    <n v="22835"/>
    <n v="6435"/>
    <n v="-6.9702834606394646"/>
    <n v="5884.2355523043161"/>
    <n v="76495.062179956105"/>
    <m/>
  </r>
  <r>
    <d v="2026-03-11T00:00:00"/>
    <x v="0"/>
    <n v="1601"/>
    <s v="Kataan"/>
    <x v="12"/>
    <n v="83635"/>
    <n v="1806"/>
    <n v="6.704591121180087"/>
    <n v="1651.4264813460134"/>
    <n v="18165.691294806147"/>
    <m/>
  </r>
  <r>
    <d v="2026-03-11T00:00:00"/>
    <x v="0"/>
    <n v="1602"/>
    <s v="Chamki"/>
    <x v="55"/>
    <n v="12291"/>
    <n v="12924"/>
    <n v="3.849570376311533"/>
    <n v="11817.84930504755"/>
    <n v="118178.4930504755"/>
    <m/>
  </r>
  <r>
    <d v="2026-03-11T00:00:00"/>
    <x v="0"/>
    <n v="1603"/>
    <s v="Chamki"/>
    <x v="56"/>
    <n v="9338"/>
    <n v="9739"/>
    <n v="4.632149386692376"/>
    <n v="8905.4498902706673"/>
    <n v="89054.498902706677"/>
    <m/>
  </r>
  <r>
    <d v="2026-03-11T00:00:00"/>
    <x v="0"/>
    <n v="1604"/>
    <s v="Chamki"/>
    <x v="57"/>
    <n v="13663"/>
    <n v="8959"/>
    <n v="40.040919144667477"/>
    <n v="8192.2092172640823"/>
    <n v="81922.092172640827"/>
    <m/>
  </r>
  <r>
    <d v="2026-03-11T00:00:00"/>
    <x v="0"/>
    <n v="1605"/>
    <s v="Chamki"/>
    <x v="52"/>
    <n v="16029"/>
    <n v="4288"/>
    <n v="5.2045070285235937"/>
    <n v="3920.9948792977325"/>
    <n v="39209.948792977324"/>
    <m/>
  </r>
  <r>
    <d v="2026-03-11T00:00:00"/>
    <x v="0"/>
    <n v="1606"/>
    <s v="Chamki"/>
    <x v="58"/>
    <n v="5552"/>
    <n v="3923"/>
    <n v="35.388421816004666"/>
    <n v="3587.2348207754208"/>
    <n v="35872.348207754207"/>
    <m/>
  </r>
  <r>
    <d v="2026-03-11T00:00:00"/>
    <x v="0"/>
    <n v="1607"/>
    <s v="Chamki"/>
    <x v="59"/>
    <n v="1127"/>
    <n v="1095"/>
    <n v="11.155263924850473"/>
    <n v="1001.280175566935"/>
    <n v="10012.80175566935"/>
    <m/>
  </r>
  <r>
    <d v="2026-03-13T00:00:00"/>
    <x v="0"/>
    <n v="1608"/>
    <s v="Kataan"/>
    <x v="12"/>
    <n v="83635"/>
    <n v="9298"/>
    <n v="6.704591121180087"/>
    <n v="8502.1945866861752"/>
    <n v="93524.140453547923"/>
    <m/>
  </r>
  <r>
    <d v="2026-03-13T00:00:00"/>
    <x v="0"/>
    <n v="1609"/>
    <s v="Kataan"/>
    <x v="60"/>
    <n v="68014"/>
    <n v="37213"/>
    <n v="5.2327300659666491"/>
    <n v="34027.980980248722"/>
    <n v="374307.79078273592"/>
    <m/>
  </r>
  <r>
    <d v="2026-03-13T00:00:00"/>
    <x v="0"/>
    <n v="1610"/>
    <s v="Kataan"/>
    <x v="12"/>
    <n v="83635"/>
    <n v="28012"/>
    <n v="6.704591121180087"/>
    <n v="25614.48427212875"/>
    <n v="281759.32699341624"/>
    <m/>
  </r>
  <r>
    <d v="2026-03-13T00:00:00"/>
    <x v="0"/>
    <n v="1611"/>
    <s v="Kataan"/>
    <x v="60"/>
    <n v="68014"/>
    <n v="33275"/>
    <n v="5.2327300659666491"/>
    <n v="30427.029992684715"/>
    <n v="334697.32991953188"/>
    <m/>
  </r>
  <r>
    <d v="2026-03-13T00:00:00"/>
    <x v="1"/>
    <n v="1612"/>
    <s v="Silky"/>
    <x v="61"/>
    <n v="30295"/>
    <n v="31787"/>
    <n v="4.0555000915769313"/>
    <n v="29066.386247256771"/>
    <n v="377863.02121433802"/>
    <m/>
  </r>
  <r>
    <d v="2026-04-11T00:00:00"/>
    <x v="8"/>
    <n v="1613"/>
    <s v="Silky"/>
    <x v="62"/>
    <n v="78365"/>
    <n v="28736"/>
    <n v="1.7584184749482432"/>
    <n v="26276.517922457941"/>
    <n v="315318.21506949526"/>
    <m/>
  </r>
  <r>
    <d v="2026-04-11T00:00:00"/>
    <x v="8"/>
    <n v="1614"/>
    <s v="Silky"/>
    <x v="62"/>
    <n v="78365"/>
    <n v="19637"/>
    <n v="1.7584184749482432"/>
    <n v="17956.291148500368"/>
    <n v="215475.4937820044"/>
    <m/>
  </r>
  <r>
    <d v="2026-04-11T00:00:00"/>
    <x v="0"/>
    <n v="1615"/>
    <s v="Silky"/>
    <x v="63"/>
    <n v="61027"/>
    <n v="20336"/>
    <n v="5.0916566376672563"/>
    <n v="18595.464520848574"/>
    <n v="241741.03877103148"/>
    <m/>
  </r>
  <r>
    <d v="2026-04-11T00:00:00"/>
    <x v="0"/>
    <n v="1616"/>
    <s v="Silky"/>
    <x v="64"/>
    <n v="20212"/>
    <n v="21525"/>
    <n v="2.6187445991292577"/>
    <n v="19682.699341623997"/>
    <n v="255875.09144111196"/>
    <m/>
  </r>
  <r>
    <d v="2026-04-11T00:00:00"/>
    <x v="0"/>
    <n v="1617"/>
    <s v="Chamki"/>
    <x v="65"/>
    <n v="28859"/>
    <n v="2172"/>
    <n v="2.1108939402745932"/>
    <n v="1986.1009509875641"/>
    <n v="19861.009509875643"/>
    <m/>
  </r>
  <r>
    <d v="2026-04-11T00:00:00"/>
    <x v="2"/>
    <n v="1618"/>
    <s v="Chamki"/>
    <x v="66"/>
    <n v="24072"/>
    <n v="6820"/>
    <n v="2.1581621874196912"/>
    <n v="6236.2838332114125"/>
    <n v="62362.838332114123"/>
    <m/>
  </r>
  <r>
    <d v="2026-04-11T00:00:00"/>
    <x v="8"/>
    <n v="1619"/>
    <s v="Silky"/>
    <x v="62"/>
    <n v="78365"/>
    <n v="35820"/>
    <n v="1.7584184749482432"/>
    <n v="32754.206291148505"/>
    <n v="393050.47549378208"/>
    <m/>
  </r>
  <r>
    <d v="2026-04-11T00:00:00"/>
    <x v="2"/>
    <n v="1620"/>
    <s v="Chamki"/>
    <x v="66"/>
    <n v="24072"/>
    <n v="18937"/>
    <n v="2.1581621874196912"/>
    <n v="17316.203365032921"/>
    <n v="173162.03365032922"/>
    <m/>
  </r>
  <r>
    <d v="2026-04-11T00:00:00"/>
    <x v="31"/>
    <n v="1621"/>
    <s v="Silky"/>
    <x v="67"/>
    <n v="45364"/>
    <n v="48061"/>
    <n v="3.1224918398825707"/>
    <n v="43947.512801755671"/>
    <n v="571317.66642282368"/>
    <m/>
  </r>
  <r>
    <d v="2026-04-11T00:00:00"/>
    <x v="31"/>
    <n v="1622"/>
    <s v="Silky"/>
    <x v="68"/>
    <n v="16284"/>
    <n v="17178"/>
    <n v="3.5387238621275401"/>
    <n v="15707.754206291151"/>
    <n v="204200.80468178497"/>
    <m/>
  </r>
  <r>
    <d v="2026-04-13T00:00:00"/>
    <x v="0"/>
    <n v="1623"/>
    <s v="Silky"/>
    <x v="63"/>
    <n v="61027"/>
    <n v="36335"/>
    <n v="5.0916566376672563"/>
    <n v="33225.128017556694"/>
    <n v="431926.664228237"/>
    <m/>
  </r>
  <r>
    <d v="2026-04-12T00:00:00"/>
    <x v="0"/>
    <n v="1624"/>
    <s v="Silky"/>
    <x v="63"/>
    <n v="61027"/>
    <n v="6670"/>
    <n v="5.0916566376672563"/>
    <n v="6099.1221653255307"/>
    <n v="79288.588149231902"/>
    <m/>
  </r>
  <r>
    <d v="2026-04-12T00:00:00"/>
    <x v="0"/>
    <n v="1625"/>
    <s v="Chamki"/>
    <x v="65"/>
    <n v="28857"/>
    <n v="21620"/>
    <n v="2.1108939402745932"/>
    <n v="19769.56839795172"/>
    <n v="197695.6839795172"/>
    <m/>
  </r>
  <r>
    <d v="2026-04-13T00:00:00"/>
    <x v="2"/>
    <n v="1626"/>
    <s v="Chamki"/>
    <x v="69"/>
    <n v="25617"/>
    <n v="27435"/>
    <n v="2.0694497547420525"/>
    <n v="25086.869056327727"/>
    <n v="250868.69056327728"/>
    <m/>
  </r>
  <r>
    <d v="2026-04-13T00:00:00"/>
    <x v="1"/>
    <n v="1627"/>
    <s v="Silky"/>
    <x v="70"/>
    <n v="20038"/>
    <n v="4919"/>
    <n v="3.1558400414486698"/>
    <n v="4497.9882955376743"/>
    <n v="58473.847841989766"/>
    <m/>
  </r>
  <r>
    <d v="2026-04-18T00:00:00"/>
    <x v="0"/>
    <n v="1628"/>
    <s v="Silky"/>
    <x v="71"/>
    <n v="22707"/>
    <n v="23910"/>
    <n v="3.714405861586684"/>
    <n v="21863.569861009513"/>
    <n v="284226.40819312364"/>
    <m/>
  </r>
  <r>
    <d v="2026-04-18T00:00:00"/>
    <x v="1"/>
    <n v="1629"/>
    <s v="Silky"/>
    <x v="70"/>
    <n v="20038"/>
    <n v="16303"/>
    <n v="3.1558400414486698"/>
    <n v="14907.644476956841"/>
    <n v="193799.37820043892"/>
    <m/>
  </r>
  <r>
    <d v="2026-04-18T00:00:00"/>
    <x v="0"/>
    <n v="1630"/>
    <s v="Silky"/>
    <x v="72"/>
    <n v="3017"/>
    <n v="3252"/>
    <n v="1.4363619567149186"/>
    <n v="2973.6649597659111"/>
    <n v="38657.644476956848"/>
    <m/>
  </r>
  <r>
    <d v="2026-04-18T00:00:00"/>
    <x v="0"/>
    <n v="1631"/>
    <s v="Chamki"/>
    <x v="65"/>
    <n v="28857"/>
    <n v="7102"/>
    <n v="2.1108939402745932"/>
    <n v="6494.1477688368695"/>
    <n v="64941.477688368694"/>
    <m/>
  </r>
  <r>
    <d v="2026-04-18T00:00:00"/>
    <x v="0"/>
    <n v="1632"/>
    <s v="Chamki"/>
    <x v="73"/>
    <n v="14433"/>
    <n v="10979"/>
    <n v="30.441906200185073"/>
    <n v="10039.319678127287"/>
    <n v="100393.19678127287"/>
    <m/>
  </r>
  <r>
    <d v="2026-04-18T00:00:00"/>
    <x v="0"/>
    <n v="1633"/>
    <s v="Chamki"/>
    <x v="74"/>
    <n v="10364"/>
    <n v="11077"/>
    <n v="2.2681207273955124"/>
    <n v="10128.93196781273"/>
    <n v="101289.3196781273"/>
    <m/>
  </r>
  <r>
    <d v="2026-04-18T00:00:00"/>
    <x v="32"/>
    <n v="1634"/>
    <s v="Chamki"/>
    <x v="75"/>
    <n v="29532"/>
    <n v="31473"/>
    <n v="2.5488921989175992"/>
    <n v="28779.261155815657"/>
    <n v="287792.61155815655"/>
    <m/>
  </r>
  <r>
    <d v="2026-04-20T00:00:00"/>
    <x v="31"/>
    <n v="1635"/>
    <s v="Kataan"/>
    <x v="76"/>
    <n v="44910"/>
    <n v="33115"/>
    <n v="5.8936372297549582"/>
    <n v="30280.724213606441"/>
    <n v="363368.69056327728"/>
    <m/>
  </r>
  <r>
    <d v="2026-04-20T00:00:00"/>
    <x v="31"/>
    <n v="1636"/>
    <s v="Kataan"/>
    <x v="76"/>
    <n v="44910"/>
    <n v="13104"/>
    <n v="5.8936372297549582"/>
    <n v="11982.443306510608"/>
    <n v="143789.3196781273"/>
    <m/>
  </r>
  <r>
    <d v="2026-04-20T00:00:00"/>
    <x v="10"/>
    <n v="1637"/>
    <s v="Chamki"/>
    <x v="49"/>
    <n v="50106"/>
    <n v="600"/>
    <n v="2.8303595499705807"/>
    <n v="548.64667154352605"/>
    <n v="5486.466715435261"/>
    <m/>
  </r>
  <r>
    <d v="2026-04-21T00:00:00"/>
    <x v="33"/>
    <n v="1638"/>
    <s v="Satin"/>
    <x v="77"/>
    <n v="16758"/>
    <n v="16701"/>
    <n v="8.8699122662964101"/>
    <n v="15271.580102414047"/>
    <n v="229073.70153621072"/>
    <m/>
  </r>
  <r>
    <d v="2026-04-21T00:00:00"/>
    <x v="33"/>
    <n v="1639"/>
    <s v="Satin"/>
    <x v="78"/>
    <n v="5601"/>
    <n v="5649"/>
    <n v="7.7752470526281456"/>
    <n v="5165.5084125822978"/>
    <n v="77482.626188734459"/>
    <m/>
  </r>
  <r>
    <d v="2026-04-21T00:00:00"/>
    <x v="0"/>
    <n v="1640"/>
    <s v="Chamki"/>
    <x v="79"/>
    <n v="23377"/>
    <n v="12483"/>
    <n v="51.171690116511705"/>
    <n v="11414.59400146306"/>
    <n v="114145.9400146306"/>
    <m/>
  </r>
  <r>
    <d v="2026-04-21T00:00:00"/>
    <x v="0"/>
    <n v="1641"/>
    <s v="Chamki"/>
    <x v="80"/>
    <n v="37086"/>
    <n v="4157"/>
    <n v="89.750291153865618"/>
    <n v="3801.2070226773963"/>
    <n v="38012.070226773962"/>
    <m/>
  </r>
  <r>
    <d v="2026-04-22T00:00:00"/>
    <x v="29"/>
    <n v="1642"/>
    <s v="custom"/>
    <x v="81"/>
    <n v="2940"/>
    <n v="3292"/>
    <n v="-2.3891634195741318"/>
    <n v="3010.2414045354794"/>
    <n v="60204.82809070959"/>
    <m/>
  </r>
  <r>
    <d v="2026-04-22T00:00:00"/>
    <x v="29"/>
    <n v="1643"/>
    <s v="custom"/>
    <x v="82"/>
    <n v="3710"/>
    <n v="3636"/>
    <n v="10.382780874561519"/>
    <n v="3324.7988295537675"/>
    <n v="66495.976591075349"/>
    <m/>
  </r>
  <r>
    <d v="2026-04-22T00:00:00"/>
    <x v="29"/>
    <n v="1644"/>
    <s v="custom"/>
    <x v="83"/>
    <n v="5180"/>
    <n v="5214"/>
    <n v="7.9586954495513282"/>
    <n v="4767.7395757132408"/>
    <n v="95354.791514264813"/>
    <m/>
  </r>
  <r>
    <d v="2026-04-22T00:00:00"/>
    <x v="29"/>
    <n v="1645"/>
    <s v="custom"/>
    <x v="84"/>
    <n v="4200"/>
    <n v="4467"/>
    <n v="2.745845960915446"/>
    <n v="4084.6744696415512"/>
    <n v="81693.489392831019"/>
    <m/>
  </r>
  <r>
    <d v="2026-04-22T00:00:00"/>
    <x v="29"/>
    <n v="1646"/>
    <s v="custom"/>
    <x v="85"/>
    <n v="4200"/>
    <n v="4253"/>
    <n v="7.4049883303723902"/>
    <n v="3888.9904901243603"/>
    <n v="77779.809802487202"/>
    <m/>
  </r>
  <r>
    <d v="2026-04-22T00:00:00"/>
    <x v="29"/>
    <n v="1647"/>
    <s v="custom"/>
    <x v="86"/>
    <n v="2968"/>
    <n v="3096"/>
    <n v="4.6153360793600342"/>
    <n v="2831.0168251645941"/>
    <n v="56620.336503291881"/>
    <m/>
  </r>
  <r>
    <d v="2026-04-22T00:00:00"/>
    <x v="29"/>
    <n v="1648"/>
    <s v="custom"/>
    <x v="87"/>
    <n v="5362"/>
    <n v="5154"/>
    <n v="12.106025577044221"/>
    <n v="4712.8749085588888"/>
    <n v="94257.49817117778"/>
    <m/>
  </r>
  <r>
    <d v="2026-04-23T00:00:00"/>
    <x v="31"/>
    <n v="1649"/>
    <s v="Silky"/>
    <x v="88"/>
    <n v="47687"/>
    <n v="35027"/>
    <n v="4.562761726141872"/>
    <n v="32029.078273591811"/>
    <n v="416378.01755669352"/>
    <m/>
  </r>
  <r>
    <d v="2026-04-23T00:00:00"/>
    <x v="31"/>
    <n v="1650"/>
    <s v="Silky"/>
    <x v="88"/>
    <n v="47687"/>
    <n v="13248"/>
    <n v="4.562761726141872"/>
    <n v="12114.118507681054"/>
    <n v="157483.5405998537"/>
    <m/>
  </r>
  <r>
    <d v="2026-04-23T00:00:00"/>
    <x v="1"/>
    <n v="1651"/>
    <s v="Silky"/>
    <x v="89"/>
    <n v="15000"/>
    <n v="1535"/>
    <n v="90.642526213118757"/>
    <n v="1403.6210680321874"/>
    <n v="18247.073884418438"/>
    <m/>
  </r>
  <r>
    <d v="2026-04-24T00:00:00"/>
    <x v="0"/>
    <n v="1652"/>
    <s v="Chamki"/>
    <x v="90"/>
    <n v="15645"/>
    <n v="10649"/>
    <n v="37.759258492947602"/>
    <n v="9737.5640087783468"/>
    <n v="97375.640087783468"/>
    <m/>
  </r>
  <r>
    <d v="2026-04-24T00:00:00"/>
    <x v="0"/>
    <n v="1653"/>
    <s v="Chamki"/>
    <x v="91"/>
    <n v="14993"/>
    <n v="6728"/>
    <n v="58.966464281722104"/>
    <n v="6152.1580102414055"/>
    <n v="61521.580102414053"/>
    <m/>
  </r>
  <r>
    <d v="2026-04-24T00:00:00"/>
    <x v="20"/>
    <n v="1654"/>
    <s v="Chamki"/>
    <x v="92"/>
    <n v="78432"/>
    <n v="4817"/>
    <n v="2.5084090589677857"/>
    <n v="4404.718361375275"/>
    <n v="44047.18361375275"/>
    <m/>
  </r>
  <r>
    <d v="2026-04-24T00:00:00"/>
    <x v="33"/>
    <n v="1655"/>
    <s v="Chamki"/>
    <x v="93"/>
    <n v="83592"/>
    <n v="49176"/>
    <n v="3.0467366383261378"/>
    <n v="44967.081199707391"/>
    <n v="449670.81199707394"/>
    <m/>
  </r>
  <r>
    <d v="2026-04-25T00:00:00"/>
    <x v="33"/>
    <n v="1656"/>
    <s v="Chamki"/>
    <x v="93"/>
    <n v="83592"/>
    <n v="39455"/>
    <n v="3.0467366383261378"/>
    <n v="36078.090709583033"/>
    <n v="360780.90709583031"/>
    <m/>
  </r>
  <r>
    <d v="2026-04-27T00:00:00"/>
    <x v="10"/>
    <n v="1657"/>
    <s v="Kataan"/>
    <x v="94"/>
    <n v="50133"/>
    <n v="51781"/>
    <n v="5.5529847299672213"/>
    <n v="47349.122165325534"/>
    <n v="520840.34381858085"/>
    <m/>
  </r>
  <r>
    <d v="2026-04-27T00:00:00"/>
    <x v="31"/>
    <n v="1658"/>
    <s v="Kataan"/>
    <x v="95"/>
    <n v="7882"/>
    <n v="8164"/>
    <n v="5.2873334500265088"/>
    <n v="7465.2523774689107"/>
    <n v="89583.028529626929"/>
    <m/>
  </r>
  <r>
    <d v="2026-04-27T00:00:00"/>
    <x v="31"/>
    <n v="1659"/>
    <s v="Kataan"/>
    <x v="96"/>
    <n v="34252"/>
    <n v="34786"/>
    <n v="7.1332909206610964"/>
    <n v="31808.705193855159"/>
    <n v="381704.46232626191"/>
    <m/>
  </r>
  <r>
    <d v="2026-04-28T00:00:00"/>
    <x v="8"/>
    <n v="1660"/>
    <s v="Silky"/>
    <x v="97"/>
    <n v="23596"/>
    <n v="25362"/>
    <n v="1.7151432185758466"/>
    <n v="23191.294806144844"/>
    <n v="278295.53767373814"/>
    <m/>
  </r>
  <r>
    <d v="2026-04-28T00:00:00"/>
    <x v="22"/>
    <n v="1661"/>
    <s v="Silky"/>
    <x v="98"/>
    <n v="22019"/>
    <n v="23463"/>
    <n v="2.562204956130671"/>
    <n v="21454.828090709583"/>
    <n v="278912.7651792246"/>
    <m/>
  </r>
  <r>
    <d v="2026-04-29T00:00:00"/>
    <x v="20"/>
    <n v="1662"/>
    <s v="Chamki"/>
    <x v="92"/>
    <n v="78482"/>
    <n v="34684"/>
    <n v="2.5084090589677857"/>
    <n v="31715.43525969276"/>
    <n v="317154.35259692761"/>
    <m/>
  </r>
  <r>
    <d v="2026-04-29T00:00:00"/>
    <x v="0"/>
    <n v="1663"/>
    <s v="Chamki"/>
    <x v="99"/>
    <n v="16408"/>
    <n v="10093"/>
    <e v="#DIV/0!"/>
    <n v="9229.1514264813468"/>
    <n v="92291.514264813464"/>
    <m/>
  </r>
  <r>
    <d v="2026-04-30T00:00:00"/>
    <x v="20"/>
    <n v="1664"/>
    <s v="Chamki"/>
    <x v="92"/>
    <n v="78482"/>
    <n v="44174"/>
    <n v="2.5084090589677857"/>
    <n v="40393.196781272862"/>
    <n v="403931.9678127286"/>
    <m/>
  </r>
  <r>
    <d v="2026-05-01T00:00:00"/>
    <x v="0"/>
    <n v="1665"/>
    <s v="Chamki"/>
    <x v="91"/>
    <n v="14993"/>
    <n v="5614"/>
    <n v="58.966464281722104"/>
    <n v="5133.5040234089247"/>
    <n v="51335.040234089247"/>
    <m/>
  </r>
  <r>
    <d v="2026-05-02T00:00:00"/>
    <x v="31"/>
    <n v="1666"/>
    <s v="Silky"/>
    <x v="100"/>
    <n v="45908"/>
    <n v="33781"/>
    <n v="3.8043804921633608"/>
    <n v="30889.722019019755"/>
    <n v="401566.38624725683"/>
    <m/>
  </r>
  <r>
    <d v="2026-02-02T00:00:00"/>
    <x v="31"/>
    <n v="1667"/>
    <s v="Silky"/>
    <x v="100"/>
    <n v="45908"/>
    <n v="14514"/>
    <n v="3.8043804921633608"/>
    <n v="13271.762984637895"/>
    <n v="172532.91880029262"/>
    <m/>
  </r>
  <r>
    <d v="2026-05-02T00:00:00"/>
    <x v="31"/>
    <n v="1668"/>
    <s v="Silky"/>
    <x v="88"/>
    <n v="47687"/>
    <n v="1496"/>
    <n v="4.562761726141872"/>
    <n v="1367.9590343818581"/>
    <n v="17783.467446964154"/>
    <m/>
  </r>
  <r>
    <d v="2026-05-04T00:00:00"/>
    <x v="34"/>
    <n v="1669"/>
    <s v="Silky"/>
    <x v="101"/>
    <n v="50029"/>
    <n v="36039"/>
    <s v="NF"/>
    <n v="32954.462326261892"/>
    <n v="428408.01024140458"/>
    <m/>
  </r>
  <r>
    <d v="2026-05-04T00:00:00"/>
    <x v="34"/>
    <n v="1670"/>
    <s v="Silky"/>
    <x v="101"/>
    <n v="50029"/>
    <n v="16005"/>
    <s v="NF"/>
    <n v="14635.149963423557"/>
    <n v="190256.94952450623"/>
    <m/>
  </r>
  <r>
    <d v="2026-05-04T00:00:00"/>
    <x v="34"/>
    <n v="1671"/>
    <s v="Silky"/>
    <x v="102"/>
    <n v="36740"/>
    <n v="38709"/>
    <s v="NF"/>
    <n v="35395.940014630578"/>
    <n v="460147.22019019752"/>
    <m/>
  </r>
  <r>
    <d v="2026-05-04T00:00:00"/>
    <x v="34"/>
    <n v="1672"/>
    <s v="Silky"/>
    <x v="103"/>
    <n v="39984"/>
    <n v="41078"/>
    <s v="NF"/>
    <n v="37562.179956108266"/>
    <n v="488308.33942940744"/>
    <m/>
  </r>
  <r>
    <d v="2026-05-04T00:00:00"/>
    <x v="34"/>
    <n v="1673"/>
    <s v="Silky"/>
    <x v="104"/>
    <n v="30346"/>
    <n v="32052"/>
    <s v="NF"/>
    <n v="29308.705193855159"/>
    <n v="381013.16752011707"/>
    <m/>
  </r>
  <r>
    <m/>
    <x v="35"/>
    <m/>
    <m/>
    <x v="0"/>
    <m/>
    <m/>
    <e v="#DIV/0!"/>
    <m/>
    <m/>
    <m/>
  </r>
  <r>
    <m/>
    <x v="35"/>
    <m/>
    <m/>
    <x v="0"/>
    <m/>
    <m/>
    <e v="#DI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32CB-E765-4B1C-8CB9-BD089352B6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7:X75" firstHeaderRow="0" firstDataRow="1" firstDataCol="1"/>
  <pivotFields count="4">
    <pivotField axis="axisRow" showAll="0" includeNewItemsInFilter="1">
      <items count="18">
        <item x="0"/>
        <item x="1"/>
        <item x="2"/>
        <item x="3"/>
        <item x="4"/>
        <item x="5"/>
        <item x="6"/>
        <item x="7"/>
        <item x="8"/>
        <item x="9"/>
        <item x="10"/>
        <item x="11"/>
        <item x="12"/>
        <item x="13"/>
        <item x="14"/>
        <item x="15"/>
        <item x="16"/>
        <item t="default"/>
      </items>
    </pivotField>
    <pivotField dataField="1" showAll="0"/>
    <pivotField showAll="0"/>
    <pivotField dataField="1"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iyaar" fld="1" baseField="0" baseItem="0"/>
    <dataField name="Sum of Total" fld="3" baseField="0" baseItem="0"/>
  </dataFields>
  <formats count="4">
    <format dxfId="134">
      <pivotArea field="0" grandRow="1" outline="0" collapsedLevelsAreSubtotals="1" axis="axisRow" fieldPosition="0">
        <references count="1">
          <reference field="4294967294" count="1" selected="0">
            <x v="1"/>
          </reference>
        </references>
      </pivotArea>
    </format>
    <format dxfId="133">
      <pivotArea field="0" grandRow="1" outline="0" collapsedLevelsAreSubtotals="1" axis="axisRow" fieldPosition="0">
        <references count="1">
          <reference field="4294967294" count="1" selected="0">
            <x v="0"/>
          </reference>
        </references>
      </pivotArea>
    </format>
    <format dxfId="132">
      <pivotArea collapsedLevelsAreSubtotals="1" fieldPosition="0">
        <references count="2">
          <reference field="4294967294" count="1" selected="0">
            <x v="1"/>
          </reference>
          <reference field="0" count="0"/>
        </references>
      </pivotArea>
    </format>
    <format dxfId="131">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66807-2FAF-42B6-B070-4BF70FC56CD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ri #">
  <location ref="L8:P68" firstHeaderRow="0" firstDataRow="1" firstDataCol="1" rowPageCount="1" colPageCount="1"/>
  <pivotFields count="9">
    <pivotField axis="axisRow" numFmtId="14" showAll="0">
      <items count="221">
        <item m="1" x="204"/>
        <item m="1" x="205"/>
        <item m="1" x="206"/>
        <item m="1" x="207"/>
        <item m="1" x="208"/>
        <item m="1" x="209"/>
        <item m="1" x="210"/>
        <item m="1" x="219"/>
        <item m="1" x="200"/>
        <item m="1" x="211"/>
        <item m="1" x="212"/>
        <item m="1" x="213"/>
        <item m="1" x="214"/>
        <item m="1" x="215"/>
        <item m="1" x="216"/>
        <item m="1" x="217"/>
        <item m="1" x="171"/>
        <item m="1" x="172"/>
        <item m="1" x="218"/>
        <item m="1" x="173"/>
        <item m="1" x="170"/>
        <item m="1" x="174"/>
        <item m="1" x="176"/>
        <item m="1" x="177"/>
        <item m="1" x="178"/>
        <item m="1" x="180"/>
        <item m="1" x="181"/>
        <item m="1" x="182"/>
        <item m="1" x="175"/>
        <item m="1" x="179"/>
        <item m="1" x="183"/>
        <item m="1" x="184"/>
        <item m="1" x="185"/>
        <item m="1" x="186"/>
        <item m="1" x="169"/>
        <item m="1" x="187"/>
        <item m="1" x="201"/>
        <item m="1" x="202"/>
        <item m="1" x="203"/>
        <item m="1" x="188"/>
        <item m="1" x="189"/>
        <item m="1" x="190"/>
        <item m="1" x="191"/>
        <item m="1" x="192"/>
        <item m="1" x="193"/>
        <item m="1" x="194"/>
        <item m="1" x="195"/>
        <item m="1" x="196"/>
        <item m="1" x="197"/>
        <item m="1" x="198"/>
        <item m="1" x="199"/>
        <item m="1" x="140"/>
        <item m="1" x="141"/>
        <item m="1" x="142"/>
        <item m="1" x="143"/>
        <item m="1" x="144"/>
        <item m="1" x="145"/>
        <item m="1" x="146"/>
        <item m="1" x="147"/>
        <item m="1" x="149"/>
        <item m="1" x="150"/>
        <item m="1" x="151"/>
        <item m="1" x="148"/>
        <item m="1" x="152"/>
        <item m="1" x="153"/>
        <item m="1" x="154"/>
        <item m="1" x="155"/>
        <item m="1" x="156"/>
        <item m="1" x="157"/>
        <item m="1" x="158"/>
        <item m="1" x="159"/>
        <item m="1" x="160"/>
        <item m="1" x="161"/>
        <item m="1" x="162"/>
        <item m="1" x="163"/>
        <item m="1" x="164"/>
        <item m="1" x="165"/>
        <item m="1" x="166"/>
        <item m="1" x="167"/>
        <item m="1" x="168"/>
        <item m="1" x="86"/>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87"/>
        <item m="1" x="90"/>
        <item m="1" x="88"/>
        <item m="1" x="89"/>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54"/>
        <item m="1" x="55"/>
        <item m="1" x="56"/>
        <item m="1" x="57"/>
        <item m="1" x="58"/>
        <item m="1" x="59"/>
        <item m="1" x="60"/>
        <item m="1" x="61"/>
        <item x="1"/>
        <item m="1" x="62"/>
        <item m="1" x="63"/>
        <item m="1" x="64"/>
        <item m="1" x="65"/>
        <item m="1" x="66"/>
        <item m="1" x="67"/>
        <item m="1" x="85"/>
        <item m="1" x="68"/>
        <item m="1" x="69"/>
        <item m="1" x="53"/>
        <item m="1" x="52"/>
        <item m="1" x="70"/>
        <item m="1" x="71"/>
        <item m="1" x="72"/>
        <item m="1" x="73"/>
        <item m="1" x="74"/>
        <item m="1" x="75"/>
        <item m="1" x="76"/>
        <item m="1" x="77"/>
        <item m="1" x="78"/>
        <item m="1" x="79"/>
        <item m="1" x="80"/>
        <item m="1" x="81"/>
        <item m="1" x="82"/>
        <item m="1" x="83"/>
        <item m="1" x="84"/>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x="4"/>
        <item x="0"/>
        <item x="2"/>
        <item x="3"/>
        <item x="5"/>
        <item x="6"/>
        <item x="7"/>
        <item x="8"/>
        <item x="9"/>
        <item x="10"/>
        <item x="11"/>
        <item x="12"/>
        <item x="13"/>
        <item x="14"/>
        <item x="15"/>
        <item x="16"/>
        <item x="17"/>
        <item x="18"/>
        <item x="19"/>
        <item x="21"/>
        <item x="22"/>
        <item x="20"/>
        <item x="23"/>
        <item x="24"/>
        <item x="25"/>
        <item x="26"/>
        <item x="27"/>
        <item x="28"/>
        <item t="default"/>
      </items>
    </pivotField>
    <pivotField axis="axisPage" showAll="0">
      <items count="18">
        <item x="0"/>
        <item x="1"/>
        <item x="10"/>
        <item m="1" x="16"/>
        <item x="3"/>
        <item x="4"/>
        <item x="5"/>
        <item m="1" x="15"/>
        <item x="6"/>
        <item x="7"/>
        <item x="8"/>
        <item x="9"/>
        <item x="2"/>
        <item x="11"/>
        <item x="12"/>
        <item m="1" x="14"/>
        <item x="13"/>
        <item t="default"/>
      </items>
    </pivotField>
    <pivotField axis="axisRow" showAll="0">
      <items count="59">
        <item m="1" x="48"/>
        <item m="1" x="32"/>
        <item m="1" x="44"/>
        <item m="1" x="14"/>
        <item m="1" x="49"/>
        <item m="1" x="50"/>
        <item m="1" x="45"/>
        <item m="1" x="46"/>
        <item m="1" x="47"/>
        <item m="1" x="25"/>
        <item m="1" x="51"/>
        <item m="1" x="52"/>
        <item m="1" x="53"/>
        <item m="1" x="54"/>
        <item m="1" x="55"/>
        <item m="1" x="56"/>
        <item m="1" x="21"/>
        <item m="1" x="22"/>
        <item m="1" x="57"/>
        <item m="1" x="23"/>
        <item x="0"/>
        <item m="1" x="24"/>
        <item m="1" x="26"/>
        <item m="1" x="27"/>
        <item m="1" x="28"/>
        <item m="1" x="29"/>
        <item m="1" x="30"/>
        <item m="1" x="31"/>
        <item m="1" x="33"/>
        <item m="1" x="34"/>
        <item m="1" x="16"/>
        <item m="1" x="35"/>
        <item m="1" x="36"/>
        <item m="1" x="37"/>
        <item m="1" x="20"/>
        <item m="1" x="38"/>
        <item m="1" x="39"/>
        <item m="1" x="18"/>
        <item m="1" x="40"/>
        <item m="1" x="41"/>
        <item m="1" x="42"/>
        <item m="1" x="43"/>
        <item m="1" x="6"/>
        <item m="1" x="7"/>
        <item m="1" x="8"/>
        <item m="1" x="9"/>
        <item m="1" x="10"/>
        <item m="1" x="11"/>
        <item m="1" x="12"/>
        <item m="1" x="13"/>
        <item m="1" x="15"/>
        <item m="1" x="17"/>
        <item m="1" x="19"/>
        <item m="1" x="5"/>
        <item x="1"/>
        <item m="1" x="2"/>
        <item m="1" x="4"/>
        <item m="1" x="3"/>
        <item t="default"/>
      </items>
    </pivotField>
    <pivotField dataField="1" numFmtId="164" showAll="0"/>
    <pivotField numFmtId="164" showAll="0"/>
    <pivotField numFmtId="164" showAll="0"/>
    <pivotField dataField="1" numFmtId="164" showAll="0"/>
    <pivotField dataField="1" numFmtId="164" showAll="0"/>
    <pivotField dataField="1" numFmtId="164" showAll="0"/>
  </pivotFields>
  <rowFields count="2">
    <field x="0"/>
    <field x="2"/>
  </rowFields>
  <rowItems count="60">
    <i>
      <x v="142"/>
    </i>
    <i r="1">
      <x v="54"/>
    </i>
    <i>
      <x v="192"/>
    </i>
    <i r="1">
      <x v="54"/>
    </i>
    <i>
      <x v="193"/>
    </i>
    <i r="1">
      <x v="20"/>
    </i>
    <i r="1">
      <x v="54"/>
    </i>
    <i>
      <x v="194"/>
    </i>
    <i r="1">
      <x v="54"/>
    </i>
    <i>
      <x v="195"/>
    </i>
    <i r="1">
      <x v="54"/>
    </i>
    <i>
      <x v="196"/>
    </i>
    <i r="1">
      <x v="54"/>
    </i>
    <i>
      <x v="197"/>
    </i>
    <i r="1">
      <x v="54"/>
    </i>
    <i>
      <x v="198"/>
    </i>
    <i r="1">
      <x v="54"/>
    </i>
    <i>
      <x v="199"/>
    </i>
    <i r="1">
      <x v="54"/>
    </i>
    <i>
      <x v="200"/>
    </i>
    <i r="1">
      <x v="54"/>
    </i>
    <i>
      <x v="201"/>
    </i>
    <i r="1">
      <x v="54"/>
    </i>
    <i>
      <x v="202"/>
    </i>
    <i r="1">
      <x v="54"/>
    </i>
    <i>
      <x v="203"/>
    </i>
    <i r="1">
      <x v="54"/>
    </i>
    <i>
      <x v="204"/>
    </i>
    <i r="1">
      <x v="54"/>
    </i>
    <i>
      <x v="205"/>
    </i>
    <i r="1">
      <x v="54"/>
    </i>
    <i>
      <x v="206"/>
    </i>
    <i r="1">
      <x v="54"/>
    </i>
    <i>
      <x v="207"/>
    </i>
    <i r="1">
      <x v="54"/>
    </i>
    <i>
      <x v="208"/>
    </i>
    <i r="1">
      <x v="54"/>
    </i>
    <i>
      <x v="209"/>
    </i>
    <i r="1">
      <x v="54"/>
    </i>
    <i>
      <x v="210"/>
    </i>
    <i r="1">
      <x v="54"/>
    </i>
    <i>
      <x v="211"/>
    </i>
    <i r="1">
      <x v="54"/>
    </i>
    <i>
      <x v="212"/>
    </i>
    <i r="1">
      <x v="54"/>
    </i>
    <i>
      <x v="213"/>
    </i>
    <i r="1">
      <x v="54"/>
    </i>
    <i>
      <x v="214"/>
    </i>
    <i r="1">
      <x v="54"/>
    </i>
    <i>
      <x v="215"/>
    </i>
    <i r="1">
      <x v="54"/>
    </i>
    <i>
      <x v="216"/>
    </i>
    <i r="1">
      <x v="54"/>
    </i>
    <i>
      <x v="217"/>
    </i>
    <i r="1">
      <x v="54"/>
    </i>
    <i>
      <x v="218"/>
    </i>
    <i r="1">
      <x v="54"/>
    </i>
    <i>
      <x v="219"/>
    </i>
    <i r="1">
      <x v="54"/>
    </i>
    <i t="grand">
      <x/>
    </i>
  </rowItems>
  <colFields count="1">
    <field x="-2"/>
  </colFields>
  <colItems count="4">
    <i>
      <x/>
    </i>
    <i i="1">
      <x v="1"/>
    </i>
    <i i="2">
      <x v="2"/>
    </i>
    <i i="3">
      <x v="3"/>
    </i>
  </colItems>
  <pageFields count="1">
    <pageField fld="1" hier="-1"/>
  </pageFields>
  <dataFields count="4">
    <dataField name="Sum of Weight" fld="3" baseField="0" baseItem="0" numFmtId="164"/>
    <dataField name="Sum of total" fld="6" baseField="0" baseItem="0" numFmtId="164"/>
    <dataField name="Sum of Paid" fld="7" baseField="0" baseItem="0" numFmtId="164"/>
    <dataField name="Sum of balance" fld="8" baseField="0" baseItem="0" numFmtId="164"/>
  </dataFields>
  <formats count="2">
    <format dxfId="88">
      <pivotArea dataOnly="0" labelOnly="1" outline="0" fieldPosition="0">
        <references count="1">
          <reference field="1" count="1">
            <x v="1"/>
          </reference>
        </references>
      </pivotArea>
    </format>
    <format dxfId="87">
      <pivotArea dataOnly="0" labelOnly="1" outline="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47DD-2C16-4A8B-96A1-89F799ED19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3:L217" firstHeaderRow="0" firstDataRow="1" firstDataCol="1"/>
  <pivotFields count="7">
    <pivotField numFmtId="14" showAll="0"/>
    <pivotField axis="axisRow" showAll="0">
      <items count="106">
        <item x="33"/>
        <item x="18"/>
        <item m="1" x="75"/>
        <item m="1" x="92"/>
        <item m="1" x="95"/>
        <item x="13"/>
        <item x="20"/>
        <item x="14"/>
        <item x="5"/>
        <item x="35"/>
        <item x="24"/>
        <item m="1" x="103"/>
        <item m="1" x="71"/>
        <item x="10"/>
        <item m="1" x="58"/>
        <item m="1" x="101"/>
        <item x="3"/>
        <item m="1" x="56"/>
        <item x="0"/>
        <item x="4"/>
        <item m="1" x="53"/>
        <item x="39"/>
        <item m="1" x="104"/>
        <item m="1" x="72"/>
        <item x="15"/>
        <item m="1" x="102"/>
        <item m="1" x="94"/>
        <item x="29"/>
        <item m="1" x="96"/>
        <item m="1" x="97"/>
        <item m="1" x="98"/>
        <item m="1" x="99"/>
        <item x="48"/>
        <item m="1" x="100"/>
        <item x="40"/>
        <item m="1" x="66"/>
        <item x="34"/>
        <item m="1" x="64"/>
        <item m="1" x="91"/>
        <item m="1" x="87"/>
        <item m="1" x="69"/>
        <item x="21"/>
        <item x="17"/>
        <item m="1" x="93"/>
        <item x="2"/>
        <item x="22"/>
        <item m="1" x="82"/>
        <item x="7"/>
        <item x="26"/>
        <item m="1" x="83"/>
        <item m="1" x="84"/>
        <item m="1" x="85"/>
        <item m="1" x="86"/>
        <item m="1" x="88"/>
        <item m="1" x="63"/>
        <item m="1" x="76"/>
        <item m="1" x="89"/>
        <item m="1" x="90"/>
        <item m="1" x="74"/>
        <item m="1" x="65"/>
        <item m="1" x="73"/>
        <item x="8"/>
        <item m="1" x="77"/>
        <item x="46"/>
        <item m="1" x="81"/>
        <item x="25"/>
        <item x="30"/>
        <item m="1" x="79"/>
        <item x="31"/>
        <item m="1" x="78"/>
        <item x="27"/>
        <item m="1" x="80"/>
        <item x="19"/>
        <item x="44"/>
        <item x="1"/>
        <item m="1" x="67"/>
        <item m="1" x="55"/>
        <item m="1" x="70"/>
        <item x="12"/>
        <item m="1" x="62"/>
        <item m="1" x="68"/>
        <item m="1" x="57"/>
        <item x="9"/>
        <item x="32"/>
        <item m="1" x="59"/>
        <item m="1" x="60"/>
        <item m="1" x="61"/>
        <item x="43"/>
        <item x="23"/>
        <item x="11"/>
        <item x="6"/>
        <item x="16"/>
        <item x="28"/>
        <item x="36"/>
        <item x="37"/>
        <item x="38"/>
        <item x="41"/>
        <item x="42"/>
        <item x="45"/>
        <item x="47"/>
        <item m="1" x="54"/>
        <item x="49"/>
        <item x="50"/>
        <item x="51"/>
        <item x="52"/>
        <item t="default"/>
      </items>
    </pivotField>
    <pivotField dataField="1" showAll="0"/>
    <pivotField dataField="1" showAll="0"/>
    <pivotField showAll="0"/>
    <pivotField showAll="0"/>
    <pivotField showAll="0"/>
  </pivotFields>
  <rowFields count="1">
    <field x="1"/>
  </rowFields>
  <rowItems count="54">
    <i>
      <x/>
    </i>
    <i>
      <x v="1"/>
    </i>
    <i>
      <x v="5"/>
    </i>
    <i>
      <x v="6"/>
    </i>
    <i>
      <x v="7"/>
    </i>
    <i>
      <x v="8"/>
    </i>
    <i>
      <x v="9"/>
    </i>
    <i>
      <x v="10"/>
    </i>
    <i>
      <x v="13"/>
    </i>
    <i>
      <x v="16"/>
    </i>
    <i>
      <x v="18"/>
    </i>
    <i>
      <x v="19"/>
    </i>
    <i>
      <x v="21"/>
    </i>
    <i>
      <x v="24"/>
    </i>
    <i>
      <x v="27"/>
    </i>
    <i>
      <x v="32"/>
    </i>
    <i>
      <x v="34"/>
    </i>
    <i>
      <x v="36"/>
    </i>
    <i>
      <x v="41"/>
    </i>
    <i>
      <x v="42"/>
    </i>
    <i>
      <x v="44"/>
    </i>
    <i>
      <x v="45"/>
    </i>
    <i>
      <x v="47"/>
    </i>
    <i>
      <x v="48"/>
    </i>
    <i>
      <x v="61"/>
    </i>
    <i>
      <x v="63"/>
    </i>
    <i>
      <x v="65"/>
    </i>
    <i>
      <x v="66"/>
    </i>
    <i>
      <x v="68"/>
    </i>
    <i>
      <x v="70"/>
    </i>
    <i>
      <x v="72"/>
    </i>
    <i>
      <x v="73"/>
    </i>
    <i>
      <x v="74"/>
    </i>
    <i>
      <x v="78"/>
    </i>
    <i>
      <x v="82"/>
    </i>
    <i>
      <x v="83"/>
    </i>
    <i>
      <x v="87"/>
    </i>
    <i>
      <x v="88"/>
    </i>
    <i>
      <x v="89"/>
    </i>
    <i>
      <x v="90"/>
    </i>
    <i>
      <x v="91"/>
    </i>
    <i>
      <x v="92"/>
    </i>
    <i>
      <x v="93"/>
    </i>
    <i>
      <x v="94"/>
    </i>
    <i>
      <x v="95"/>
    </i>
    <i>
      <x v="96"/>
    </i>
    <i>
      <x v="97"/>
    </i>
    <i>
      <x v="98"/>
    </i>
    <i>
      <x v="99"/>
    </i>
    <i>
      <x v="101"/>
    </i>
    <i>
      <x v="102"/>
    </i>
    <i>
      <x v="103"/>
    </i>
    <i>
      <x v="104"/>
    </i>
    <i t="grand">
      <x/>
    </i>
  </rowItems>
  <colFields count="1">
    <field x="-2"/>
  </colFields>
  <colItems count="2">
    <i>
      <x/>
    </i>
    <i i="1">
      <x v="1"/>
    </i>
  </colItems>
  <dataFields count="2">
    <dataField name="Sum of Credit" fld="3" baseField="0" baseItem="0"/>
    <dataField name="Sum of Debit" fld="2"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1352D-875A-40F5-872B-61931E55FFF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14" firstHeaderRow="0" firstDataRow="1" firstDataCol="1" rowPageCount="1" colPageCount="1"/>
  <pivotFields count="9">
    <pivotField axis="axisRow" showAll="0">
      <items count="94">
        <item m="1" x="88"/>
        <item m="1" x="89"/>
        <item m="1" x="90"/>
        <item m="1" x="91"/>
        <item m="1" x="92"/>
        <item m="1" x="87"/>
        <item m="1" x="75"/>
        <item m="1" x="76"/>
        <item m="1" x="80"/>
        <item m="1" x="81"/>
        <item m="1" x="77"/>
        <item m="1" x="82"/>
        <item m="1" x="83"/>
        <item m="1" x="84"/>
        <item m="1" x="85"/>
        <item m="1" x="86"/>
        <item m="1" x="74"/>
        <item m="1" x="78"/>
        <item m="1" x="79"/>
        <item m="1" x="67"/>
        <item m="1" x="68"/>
        <item m="1" x="69"/>
        <item m="1" x="70"/>
        <item m="1" x="71"/>
        <item m="1" x="72"/>
        <item m="1" x="73"/>
        <item m="1" x="43"/>
        <item m="1" x="59"/>
        <item m="1" x="60"/>
        <item m="1" x="61"/>
        <item m="1" x="62"/>
        <item m="1" x="63"/>
        <item m="1" x="64"/>
        <item m="1" x="65"/>
        <item m="1" x="66"/>
        <item m="1" x="44"/>
        <item m="1" x="45"/>
        <item m="1" x="46"/>
        <item m="1" x="47"/>
        <item m="1" x="48"/>
        <item m="1" x="49"/>
        <item m="1" x="50"/>
        <item m="1" x="52"/>
        <item m="1" x="53"/>
        <item m="1" x="51"/>
        <item m="1" x="54"/>
        <item m="1" x="55"/>
        <item m="1" x="56"/>
        <item m="1" x="57"/>
        <item m="1" x="58"/>
        <item m="1" x="19"/>
        <item m="1" x="30"/>
        <item m="1" x="31"/>
        <item m="1" x="32"/>
        <item m="1" x="33"/>
        <item m="1" x="34"/>
        <item m="1" x="35"/>
        <item m="1" x="36"/>
        <item m="1" x="37"/>
        <item m="1" x="38"/>
        <item m="1" x="39"/>
        <item m="1" x="40"/>
        <item m="1" x="41"/>
        <item m="1" x="42"/>
        <item m="1" x="20"/>
        <item m="1" x="21"/>
        <item m="1" x="22"/>
        <item m="1" x="23"/>
        <item m="1" x="24"/>
        <item x="16"/>
        <item m="1" x="25"/>
        <item m="1" x="26"/>
        <item m="1" x="27"/>
        <item m="1" x="28"/>
        <item m="1" x="29"/>
        <item x="0"/>
        <item x="1"/>
        <item x="2"/>
        <item x="3"/>
        <item x="4"/>
        <item x="5"/>
        <item x="6"/>
        <item x="7"/>
        <item x="8"/>
        <item x="9"/>
        <item x="10"/>
        <item x="11"/>
        <item x="12"/>
        <item x="13"/>
        <item x="14"/>
        <item x="15"/>
        <item x="17"/>
        <item x="18"/>
        <item t="default"/>
      </items>
    </pivotField>
    <pivotField showAll="0"/>
    <pivotField showAll="0"/>
    <pivotField showAll="0"/>
    <pivotField dataField="1" showAll="0"/>
    <pivotField axis="axisPage" showAll="0">
      <items count="16">
        <item x="0"/>
        <item x="9"/>
        <item m="1" x="14"/>
        <item m="1" x="13"/>
        <item x="1"/>
        <item x="2"/>
        <item x="3"/>
        <item m="1" x="12"/>
        <item x="8"/>
        <item m="1" x="11"/>
        <item x="4"/>
        <item m="1" x="10"/>
        <item x="7"/>
        <item x="5"/>
        <item x="6"/>
        <item t="default"/>
      </items>
    </pivotField>
    <pivotField showAll="0"/>
    <pivotField dataField="1" showAll="0"/>
    <pivotField showAll="0"/>
  </pivotFields>
  <rowFields count="1">
    <field x="0"/>
  </rowFields>
  <rowItems count="5">
    <i>
      <x v="75"/>
    </i>
    <i>
      <x v="77"/>
    </i>
    <i>
      <x v="82"/>
    </i>
    <i>
      <x v="87"/>
    </i>
    <i t="grand">
      <x/>
    </i>
  </rowItems>
  <colFields count="1">
    <field x="-2"/>
  </colFields>
  <colItems count="2">
    <i>
      <x/>
    </i>
    <i i="1">
      <x v="1"/>
    </i>
  </colItems>
  <pageFields count="1">
    <pageField fld="5" item="10" hier="-1"/>
  </pageFields>
  <dataFields count="2">
    <dataField name="Sum of Price" fld="4"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051E1-B88F-4951-8A35-C5B5AE69E8E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M14" firstHeaderRow="0" firstDataRow="1" firstDataCol="1"/>
  <pivotFields count="8">
    <pivotField numFmtId="14" showAll="0"/>
    <pivotField axis="axisRow" showAll="0">
      <items count="12">
        <item m="1" x="10"/>
        <item x="6"/>
        <item x="1"/>
        <item m="1" x="9"/>
        <item x="0"/>
        <item x="2"/>
        <item x="3"/>
        <item x="4"/>
        <item x="5"/>
        <item x="7"/>
        <item x="8"/>
        <item t="default"/>
      </items>
    </pivotField>
    <pivotField showAll="0"/>
    <pivotField showAll="0"/>
    <pivotField showAll="0"/>
    <pivotField dataField="1" showAll="0"/>
    <pivotField dataField="1" showAll="0"/>
    <pivotField dataField="1" showAll="0"/>
  </pivotFields>
  <rowFields count="1">
    <field x="1"/>
  </rowFields>
  <rowItems count="10">
    <i>
      <x v="1"/>
    </i>
    <i>
      <x v="2"/>
    </i>
    <i>
      <x v="4"/>
    </i>
    <i>
      <x v="5"/>
    </i>
    <i>
      <x v="6"/>
    </i>
    <i>
      <x v="7"/>
    </i>
    <i>
      <x v="8"/>
    </i>
    <i>
      <x v="9"/>
    </i>
    <i>
      <x v="10"/>
    </i>
    <i t="grand">
      <x/>
    </i>
  </rowItems>
  <colFields count="1">
    <field x="-2"/>
  </colFields>
  <colItems count="3">
    <i>
      <x/>
    </i>
    <i i="1">
      <x v="1"/>
    </i>
    <i i="2">
      <x v="2"/>
    </i>
  </colItems>
  <dataFields count="3">
    <dataField name="Sum of Price" fld="5" baseField="0" baseItem="0"/>
    <dataField name="Sum of Paid" fld="6"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D3480-4DC4-4678-B47A-3C0EAA1BC14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 number">
  <location ref="A3:C109" firstHeaderRow="0" firstDataRow="1" firstDataCol="1" rowPageCount="1" colPageCount="1"/>
  <pivotFields count="14">
    <pivotField showAll="0"/>
    <pivotField axis="axisPage" multipleItemSelectionAllowed="1" showAll="0">
      <items count="45">
        <item m="1" x="41"/>
        <item x="2"/>
        <item x="0"/>
        <item x="1"/>
        <item m="1" x="43"/>
        <item m="1" x="39"/>
        <item x="6"/>
        <item m="1" x="42"/>
        <item x="3"/>
        <item x="4"/>
        <item m="1" x="40"/>
        <item m="1" x="38"/>
        <item x="35"/>
        <item x="5"/>
        <item x="10"/>
        <item x="8"/>
        <item x="9"/>
        <item x="7"/>
        <item x="11"/>
        <item m="1" x="37"/>
        <item x="13"/>
        <item x="14"/>
        <item x="15"/>
        <item x="16"/>
        <item x="17"/>
        <item x="18"/>
        <item x="19"/>
        <item x="20"/>
        <item x="21"/>
        <item x="22"/>
        <item x="23"/>
        <item x="24"/>
        <item x="25"/>
        <item x="12"/>
        <item x="27"/>
        <item x="26"/>
        <item x="28"/>
        <item x="29"/>
        <item x="30"/>
        <item x="31"/>
        <item x="32"/>
        <item m="1" x="36"/>
        <item x="33"/>
        <item x="34"/>
        <item t="default"/>
      </items>
    </pivotField>
    <pivotField showAll="0"/>
    <pivotField showAll="0"/>
    <pivotField axis="axisRow" showAll="0">
      <items count="536">
        <item m="1" x="518"/>
        <item m="1" x="519"/>
        <item m="1" x="517"/>
        <item m="1" x="516"/>
        <item m="1" x="520"/>
        <item m="1" x="522"/>
        <item m="1" x="521"/>
        <item m="1" x="523"/>
        <item m="1" x="524"/>
        <item m="1" x="525"/>
        <item m="1" x="526"/>
        <item m="1" x="527"/>
        <item m="1" x="528"/>
        <item m="1" x="529"/>
        <item m="1" x="454"/>
        <item m="1" x="476"/>
        <item m="1" x="530"/>
        <item m="1" x="531"/>
        <item m="1" x="532"/>
        <item m="1" x="484"/>
        <item m="1" x="483"/>
        <item m="1" x="533"/>
        <item m="1" x="534"/>
        <item m="1" x="493"/>
        <item m="1" x="485"/>
        <item m="1" x="486"/>
        <item m="1" x="487"/>
        <item m="1" x="488"/>
        <item m="1" x="489"/>
        <item m="1" x="490"/>
        <item m="1" x="491"/>
        <item m="1" x="492"/>
        <item m="1" x="494"/>
        <item m="1" x="514"/>
        <item m="1" x="495"/>
        <item m="1" x="515"/>
        <item m="1" x="496"/>
        <item m="1" x="497"/>
        <item m="1" x="498"/>
        <item m="1" x="499"/>
        <item m="1" x="500"/>
        <item m="1" x="431"/>
        <item m="1" x="501"/>
        <item m="1" x="502"/>
        <item m="1" x="503"/>
        <item m="1" x="504"/>
        <item m="1" x="505"/>
        <item m="1" x="506"/>
        <item m="1" x="507"/>
        <item m="1" x="508"/>
        <item m="1" x="509"/>
        <item m="1" x="510"/>
        <item m="1" x="511"/>
        <item m="1" x="512"/>
        <item m="1" x="513"/>
        <item x="0"/>
        <item m="1" x="430"/>
        <item m="1" x="432"/>
        <item m="1" x="433"/>
        <item m="1" x="434"/>
        <item m="1" x="435"/>
        <item m="1" x="436"/>
        <item m="1" x="437"/>
        <item m="1" x="438"/>
        <item m="1" x="439"/>
        <item m="1" x="440"/>
        <item m="1" x="441"/>
        <item m="1" x="442"/>
        <item m="1" x="443"/>
        <item m="1" x="444"/>
        <item m="1" x="169"/>
        <item m="1" x="445"/>
        <item m="1" x="446"/>
        <item m="1" x="447"/>
        <item m="1" x="448"/>
        <item m="1" x="449"/>
        <item m="1" x="450"/>
        <item m="1" x="451"/>
        <item m="1" x="452"/>
        <item m="1" x="453"/>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7"/>
        <item m="1" x="478"/>
        <item m="1" x="479"/>
        <item m="1" x="480"/>
        <item m="1" x="481"/>
        <item m="1" x="482"/>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185"/>
        <item m="1" x="399"/>
        <item m="1" x="400"/>
        <item m="1" x="401"/>
        <item m="1" x="402"/>
        <item m="1" x="403"/>
        <item m="1" x="404"/>
        <item m="1" x="405"/>
        <item m="1" x="406"/>
        <item m="1" x="407"/>
        <item m="1" x="408"/>
        <item m="1" x="409"/>
        <item m="1" x="429"/>
        <item m="1" x="410"/>
        <item m="1" x="411"/>
        <item m="1" x="412"/>
        <item m="1" x="413"/>
        <item m="1" x="414"/>
        <item m="1" x="415"/>
        <item m="1" x="416"/>
        <item m="1" x="417"/>
        <item m="1" x="418"/>
        <item m="1" x="419"/>
        <item m="1" x="420"/>
        <item m="1" x="421"/>
        <item m="1" x="422"/>
        <item m="1" x="423"/>
        <item m="1" x="424"/>
        <item m="1" x="425"/>
        <item m="1" x="426"/>
        <item m="1" x="427"/>
        <item m="1" x="428"/>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225"/>
        <item m="1" x="348"/>
        <item m="1" x="216"/>
        <item m="1" x="217"/>
        <item m="1" x="218"/>
        <item m="1" x="219"/>
        <item m="1" x="220"/>
        <item m="1" x="221"/>
        <item m="1" x="222"/>
        <item m="1" x="223"/>
        <item m="1" x="224"/>
        <item m="1" x="226"/>
        <item m="1" x="227"/>
        <item m="1" x="228"/>
        <item m="1" x="229"/>
        <item m="1" x="230"/>
        <item m="1" x="231"/>
        <item m="1" x="232"/>
        <item m="1" x="233"/>
        <item m="1" x="234"/>
        <item m="1" x="235"/>
        <item m="1" x="236"/>
        <item m="1" x="237"/>
        <item m="1" x="238"/>
        <item m="1" x="239"/>
        <item m="1" x="166"/>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170"/>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167"/>
        <item m="1" x="291"/>
        <item m="1" x="292"/>
        <item m="1" x="164"/>
        <item m="1" x="173"/>
        <item m="1" x="165"/>
        <item m="1" x="168"/>
        <item m="1" x="171"/>
        <item m="1" x="172"/>
        <item m="1" x="174"/>
        <item m="1" x="175"/>
        <item m="1" x="176"/>
        <item m="1" x="177"/>
        <item m="1" x="178"/>
        <item m="1" x="179"/>
        <item m="1" x="180"/>
        <item m="1" x="181"/>
        <item m="1" x="182"/>
        <item m="1" x="183"/>
        <item x="46"/>
        <item m="1" x="184"/>
        <item m="1" x="186"/>
        <item m="1" x="187"/>
        <item m="1" x="188"/>
        <item m="1" x="145"/>
        <item m="1" x="121"/>
        <item m="1" x="189"/>
        <item m="1" x="190"/>
        <item m="1" x="191"/>
        <item m="1" x="113"/>
        <item m="1" x="192"/>
        <item m="1" x="193"/>
        <item m="1" x="194"/>
        <item m="1" x="195"/>
        <item m="1" x="160"/>
        <item m="1" x="196"/>
        <item m="1" x="197"/>
        <item m="1" x="198"/>
        <item m="1" x="199"/>
        <item m="1" x="200"/>
        <item m="1" x="201"/>
        <item m="1" x="202"/>
        <item m="1" x="203"/>
        <item m="1" x="204"/>
        <item m="1" x="205"/>
        <item m="1" x="206"/>
        <item m="1" x="207"/>
        <item m="1" x="215"/>
        <item m="1" x="208"/>
        <item m="1" x="209"/>
        <item m="1" x="110"/>
        <item m="1" x="111"/>
        <item m="1" x="210"/>
        <item m="1" x="122"/>
        <item m="1" x="211"/>
        <item m="1" x="212"/>
        <item m="1" x="213"/>
        <item m="1" x="214"/>
        <item m="1" x="109"/>
        <item m="1" x="107"/>
        <item m="1" x="106"/>
        <item m="1" x="108"/>
        <item m="1" x="112"/>
        <item x="13"/>
        <item x="9"/>
        <item m="1" x="114"/>
        <item m="1" x="115"/>
        <item m="1" x="116"/>
        <item m="1" x="117"/>
        <item m="1" x="118"/>
        <item m="1" x="119"/>
        <item m="1" x="120"/>
        <item m="1" x="123"/>
        <item m="1" x="124"/>
        <item m="1" x="125"/>
        <item m="1" x="126"/>
        <item m="1" x="127"/>
        <item m="1" x="128"/>
        <item m="1" x="129"/>
        <item m="1" x="130"/>
        <item m="1" x="131"/>
        <item m="1" x="132"/>
        <item m="1" x="133"/>
        <item m="1" x="134"/>
        <item m="1" x="135"/>
        <item m="1" x="136"/>
        <item x="2"/>
        <item m="1" x="137"/>
        <item m="1" x="138"/>
        <item m="1" x="139"/>
        <item x="10"/>
        <item m="1" x="140"/>
        <item m="1" x="141"/>
        <item m="1" x="142"/>
        <item m="1" x="143"/>
        <item m="1" x="144"/>
        <item m="1" x="146"/>
        <item m="1" x="147"/>
        <item m="1" x="148"/>
        <item m="1" x="149"/>
        <item x="8"/>
        <item m="1" x="150"/>
        <item m="1" x="151"/>
        <item m="1" x="152"/>
        <item m="1" x="153"/>
        <item m="1" x="154"/>
        <item m="1" x="155"/>
        <item x="15"/>
        <item m="1" x="156"/>
        <item x="58"/>
        <item m="1" x="157"/>
        <item x="7"/>
        <item m="1" x="158"/>
        <item m="1" x="159"/>
        <item x="19"/>
        <item m="1" x="161"/>
        <item m="1" x="162"/>
        <item m="1" x="163"/>
        <item x="1"/>
        <item x="3"/>
        <item x="4"/>
        <item x="5"/>
        <item x="6"/>
        <item x="11"/>
        <item x="12"/>
        <item x="14"/>
        <item x="16"/>
        <item x="17"/>
        <item x="18"/>
        <item x="20"/>
        <item x="21"/>
        <item x="22"/>
        <item x="23"/>
        <item x="24"/>
        <item x="25"/>
        <item x="26"/>
        <item x="27"/>
        <item x="28"/>
        <item x="29"/>
        <item x="30"/>
        <item x="31"/>
        <item x="32"/>
        <item x="33"/>
        <item x="34"/>
        <item x="35"/>
        <item x="36"/>
        <item x="37"/>
        <item x="38"/>
        <item x="39"/>
        <item x="40"/>
        <item x="41"/>
        <item x="42"/>
        <item x="43"/>
        <item x="44"/>
        <item x="45"/>
        <item x="47"/>
        <item x="48"/>
        <item x="49"/>
        <item x="50"/>
        <item x="51"/>
        <item x="52"/>
        <item x="53"/>
        <item x="54"/>
        <item x="55"/>
        <item x="56"/>
        <item x="57"/>
        <item m="1" x="105"/>
        <item x="59"/>
        <item x="60"/>
        <item x="61"/>
        <item x="62"/>
        <item x="63"/>
        <item x="64"/>
        <item x="65"/>
        <item x="66"/>
        <item x="67"/>
        <item x="68"/>
        <item x="69"/>
        <item x="70"/>
        <item x="71"/>
        <item x="72"/>
        <item x="73"/>
        <item x="74"/>
        <item x="75"/>
        <item x="76"/>
        <item x="77"/>
        <item x="78"/>
        <item x="79"/>
        <item x="80"/>
        <item x="81"/>
        <item x="83"/>
        <item x="84"/>
        <item x="85"/>
        <item x="86"/>
        <item x="82"/>
        <item x="87"/>
        <item x="88"/>
        <item x="89"/>
        <item x="90"/>
        <item x="91"/>
        <item x="92"/>
        <item x="93"/>
        <item x="94"/>
        <item x="95"/>
        <item x="96"/>
        <item x="97"/>
        <item x="98"/>
        <item x="99"/>
        <item x="100"/>
        <item x="101"/>
        <item x="102"/>
        <item x="103"/>
        <item x="104"/>
        <item t="default"/>
      </items>
    </pivotField>
    <pivotField dataField="1" showAll="0"/>
    <pivotField dataField="1" showAll="0"/>
    <pivotField numFmtId="2" showAll="0"/>
    <pivotField numFmtId="43"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106">
    <i>
      <x v="55"/>
    </i>
    <i>
      <x v="341"/>
    </i>
    <i>
      <x v="385"/>
    </i>
    <i>
      <x v="386"/>
    </i>
    <i>
      <x v="408"/>
    </i>
    <i>
      <x v="412"/>
    </i>
    <i>
      <x v="422"/>
    </i>
    <i>
      <x v="429"/>
    </i>
    <i>
      <x v="431"/>
    </i>
    <i>
      <x v="433"/>
    </i>
    <i>
      <x v="436"/>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t="grand">
      <x/>
    </i>
  </rowItems>
  <colFields count="1">
    <field x="-2"/>
  </colFields>
  <colItems count="2">
    <i>
      <x/>
    </i>
    <i i="1">
      <x v="1"/>
    </i>
  </colItems>
  <pageFields count="1">
    <pageField fld="1" hier="-1"/>
  </pageFields>
  <dataFields count="2">
    <dataField name="Max of Kora/metre" fld="5" subtotal="max" baseField="4" baseItem="0"/>
    <dataField name="Sum of Tiyaar/gaz" fld="6" baseField="0" baseItem="0"/>
  </dataFields>
  <formats count="9">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grandRow="1" outline="0" collapsedLevelsAreSubtotals="1" fieldPosition="0"/>
    </format>
    <format dxfId="25">
      <pivotArea field="4" type="button" dataOnly="0" labelOnly="1" outline="0" axis="axisRow" fieldPosition="0"/>
    </format>
    <format dxfId="2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Number" xr10:uid="{C8A0327E-E9EF-480B-A686-7D81EA729A7A}" sourceName="Shipment Number">
  <pivotTables>
    <pivotTable tabId="2" name="PivotTable1"/>
  </pivotTables>
  <data>
    <tabular pivotCacheId="1341418871">
      <items count="535">
        <i x="44" s="1"/>
        <i x="45" s="1"/>
        <i x="42" s="1"/>
        <i x="46" s="1"/>
        <i x="5" s="1"/>
        <i x="41" s="1"/>
        <i x="34" s="1"/>
        <i x="23" s="1"/>
        <i x="13" s="1"/>
        <i x="9" s="1"/>
        <i x="58" s="1"/>
        <i x="10" s="1"/>
        <i x="3" s="1"/>
        <i x="6" s="1"/>
        <i x="4" s="1"/>
        <i x="8" s="1"/>
        <i x="2" s="1"/>
        <i x="60" s="1"/>
        <i x="12" s="1"/>
        <i x="17" s="1"/>
        <i x="7" s="1"/>
        <i x="22" s="1"/>
        <i x="15" s="1"/>
        <i x="35" s="1"/>
        <i x="11" s="1"/>
        <i x="19" s="1"/>
        <i x="56" s="1"/>
        <i x="59" s="1"/>
        <i x="1" s="1"/>
        <i x="16" s="1"/>
        <i x="14" s="1"/>
        <i x="18" s="1"/>
        <i x="21" s="1"/>
        <i x="20" s="1"/>
        <i x="30" s="1"/>
        <i x="25" s="1"/>
        <i x="26" s="1"/>
        <i x="28" s="1"/>
        <i x="29" s="1"/>
        <i x="40" s="1"/>
        <i x="32" s="1"/>
        <i x="24" s="1"/>
        <i x="27" s="1"/>
        <i x="33" s="1"/>
        <i x="52" s="1"/>
        <i x="68" s="1"/>
        <i x="38" s="1"/>
        <i x="31" s="1"/>
        <i x="48" s="1"/>
        <i x="36" s="1"/>
        <i x="51" s="1"/>
        <i x="50" s="1"/>
        <i x="43" s="1"/>
        <i x="47" s="1"/>
        <i x="37" s="1"/>
        <i x="49" s="1"/>
        <i x="54" s="1"/>
        <i x="53" s="1"/>
        <i x="69" s="1"/>
        <i x="55" s="1"/>
        <i x="61" s="1"/>
        <i x="67" s="1"/>
        <i x="73" s="1"/>
        <i x="66" s="1"/>
        <i x="57" s="1"/>
        <i x="85" s="1"/>
        <i x="86" s="1"/>
        <i x="84" s="1"/>
        <i x="83" s="1"/>
        <i x="81" s="1"/>
        <i x="70" s="1"/>
        <i x="80" s="1"/>
        <i x="65" s="1"/>
        <i x="99" s="1"/>
        <i x="91" s="1"/>
        <i x="63" s="1"/>
        <i x="71" s="1"/>
        <i x="64" s="1"/>
        <i x="74" s="1"/>
        <i x="76" s="1"/>
        <i x="97" s="1"/>
        <i x="94" s="1"/>
        <i x="75" s="1"/>
        <i x="72" s="1"/>
        <i x="100" s="1"/>
        <i x="78" s="1"/>
        <i x="77" s="1"/>
        <i x="88" s="1"/>
        <i x="98" s="1"/>
        <i x="93" s="1"/>
        <i x="89" s="1"/>
        <i x="92" s="1"/>
        <i x="95" s="1"/>
        <i x="90" s="1"/>
        <i x="96" s="1"/>
        <i x="101" s="1"/>
        <i x="102" s="1"/>
        <i x="104" s="1"/>
        <i x="103" s="1"/>
        <i x="39" s="1"/>
        <i x="62" s="1"/>
        <i x="82" s="1"/>
        <i x="87" s="1"/>
        <i x="79" s="1"/>
        <i x="489" s="1" nd="1"/>
        <i x="518" s="1" nd="1"/>
        <i x="519" s="1" nd="1"/>
        <i x="527" s="1" nd="1"/>
        <i x="517" s="1" nd="1"/>
        <i x="516" s="1" nd="1"/>
        <i x="520" s="1" nd="1"/>
        <i x="531" s="1" nd="1"/>
        <i x="523" s="1" nd="1"/>
        <i x="524" s="1" nd="1"/>
        <i x="521" s="1" nd="1"/>
        <i x="522" s="1" nd="1"/>
        <i x="532" s="1" nd="1"/>
        <i x="525" s="1" nd="1"/>
        <i x="526" s="1" nd="1"/>
        <i x="529" s="1" nd="1"/>
        <i x="530" s="1" nd="1"/>
        <i x="528" s="1" nd="1"/>
        <i x="484" s="1" nd="1"/>
        <i x="534" s="1" nd="1"/>
        <i x="483" s="1" nd="1"/>
        <i x="533" s="1" nd="1"/>
        <i x="486" s="1" nd="1"/>
        <i x="447" s="1" nd="1"/>
        <i x="485" s="1" nd="1"/>
        <i x="487" s="1" nd="1"/>
        <i x="493" s="1" nd="1"/>
        <i x="488" s="1" nd="1"/>
        <i x="490" s="1" nd="1"/>
        <i x="506" s="1" nd="1"/>
        <i x="430" s="1" nd="1"/>
        <i x="494" s="1" nd="1"/>
        <i x="435" s="1" nd="1"/>
        <i x="500" s="1" nd="1"/>
        <i x="495" s="1" nd="1"/>
        <i x="498" s="1" nd="1"/>
        <i x="503" s="1" nd="1"/>
        <i x="514" s="1" nd="1"/>
        <i x="496" s="1" nd="1"/>
        <i x="508" s="1" nd="1"/>
        <i x="511" s="1" nd="1"/>
        <i x="502" s="1" nd="1"/>
        <i x="491" s="1" nd="1"/>
        <i x="499" s="1" nd="1"/>
        <i x="492" s="1" nd="1"/>
        <i x="497" s="1" nd="1"/>
        <i x="431" s="1" nd="1"/>
        <i x="501" s="1" nd="1"/>
        <i x="507" s="1" nd="1"/>
        <i x="169" s="1" nd="1"/>
        <i x="504" s="1" nd="1"/>
        <i x="509" s="1" nd="1"/>
        <i x="505" s="1" nd="1"/>
        <i x="471" s="1" nd="1"/>
        <i x="510" s="1" nd="1"/>
        <i x="512" s="1" nd="1"/>
        <i x="433" s="1" nd="1"/>
        <i x="440" s="1" nd="1"/>
        <i x="513" s="1" nd="1"/>
        <i x="437" s="1" nd="1"/>
        <i x="438" s="1" nd="1"/>
        <i x="432" s="1" nd="1"/>
        <i x="436" s="1" nd="1"/>
        <i x="324" s="1" nd="1"/>
        <i x="434" s="1" nd="1"/>
        <i x="443" s="1" nd="1"/>
        <i x="439" s="1" nd="1"/>
        <i x="441" s="1" nd="1"/>
        <i x="444" s="1" nd="1"/>
        <i x="451" s="1" nd="1"/>
        <i x="442" s="1" nd="1"/>
        <i x="450" s="1" nd="1"/>
        <i x="455" s="1" nd="1"/>
        <i x="449" s="1" nd="1"/>
        <i x="452" s="1" nd="1"/>
        <i x="462" s="1" nd="1"/>
        <i x="448" s="1" nd="1"/>
        <i x="445" s="1" nd="1"/>
        <i x="446" s="1" nd="1"/>
        <i x="461" s="1" nd="1"/>
        <i x="320" s="1" nd="1"/>
        <i x="454" s="1" nd="1"/>
        <i x="465" s="1" nd="1"/>
        <i x="460" s="1" nd="1"/>
        <i x="453" s="1" nd="1"/>
        <i x="477" s="1" nd="1"/>
        <i x="458" s="1" nd="1"/>
        <i x="468" s="1" nd="1"/>
        <i x="466" s="1" nd="1"/>
        <i x="456" s="1" nd="1"/>
        <i x="464" s="1" nd="1"/>
        <i x="463" s="1" nd="1"/>
        <i x="459" s="1" nd="1"/>
        <i x="469" s="1" nd="1"/>
        <i x="467" s="1" nd="1"/>
        <i x="470" s="1" nd="1"/>
        <i x="457" s="1" nd="1"/>
        <i x="399" s="1" nd="1"/>
        <i x="472" s="1" nd="1"/>
        <i x="473" s="1" nd="1"/>
        <i x="358" s="1" nd="1"/>
        <i x="360" s="1" nd="1"/>
        <i x="480" s="1" nd="1"/>
        <i x="354" s="1" nd="1"/>
        <i x="400" s="1" nd="1"/>
        <i x="474" s="1" nd="1"/>
        <i x="475" s="1" nd="1"/>
        <i x="357" s="1" nd="1"/>
        <i x="482" s="1" nd="1"/>
        <i x="356" s="1" nd="1"/>
        <i x="371" s="1" nd="1"/>
        <i x="481" s="1" nd="1"/>
        <i x="476" s="1" nd="1"/>
        <i x="375" s="1" nd="1"/>
        <i x="479" s="1" nd="1"/>
        <i x="478" s="1" nd="1"/>
        <i x="396" s="1" nd="1"/>
        <i x="349" s="1" nd="1"/>
        <i x="361" s="1" nd="1"/>
        <i x="397" s="1" nd="1"/>
        <i x="395" s="1" nd="1"/>
        <i x="353" s="1" nd="1"/>
        <i x="355" s="1" nd="1"/>
        <i x="188" s="1" nd="1"/>
        <i x="359" s="1" nd="1"/>
        <i x="350" s="1" nd="1"/>
        <i x="385" s="1" nd="1"/>
        <i x="390" s="1" nd="1"/>
        <i x="351" s="1" nd="1"/>
        <i x="352" s="1" nd="1"/>
        <i x="362" s="1" nd="1"/>
        <i x="365" s="1" nd="1"/>
        <i x="372" s="1" nd="1"/>
        <i x="364" s="1" nd="1"/>
        <i x="367" s="1" nd="1"/>
        <i x="366" s="1" nd="1"/>
        <i x="408" s="1" nd="1"/>
        <i x="363" s="1" nd="1"/>
        <i x="388" s="1" nd="1"/>
        <i x="403" s="1" nd="1"/>
        <i x="368" s="1" nd="1"/>
        <i x="393" s="1" nd="1"/>
        <i x="405" s="1" nd="1"/>
        <i x="377" s="1" nd="1"/>
        <i x="417" s="1" nd="1"/>
        <i x="376" s="1" nd="1"/>
        <i x="373" s="1" nd="1"/>
        <i x="369" s="1" nd="1"/>
        <i x="370" s="1" nd="1"/>
        <i x="389" s="1" nd="1"/>
        <i x="378" s="1" nd="1"/>
        <i x="301" s="1" nd="1"/>
        <i x="379" s="1" nd="1"/>
        <i x="374" s="1" nd="1"/>
        <i x="381" s="1" nd="1"/>
        <i x="382" s="1" nd="1"/>
        <i x="410" s="1" nd="1"/>
        <i x="380" s="1" nd="1"/>
        <i x="398" s="1" nd="1"/>
        <i x="386" s="1" nd="1"/>
        <i x="383" s="1" nd="1"/>
        <i x="387" s="1" nd="1"/>
        <i x="384" s="1" nd="1"/>
        <i x="391" s="1" nd="1"/>
        <i x="409" s="1" nd="1"/>
        <i x="404" s="1" nd="1"/>
        <i x="423" s="1" nd="1"/>
        <i x="392" s="1" nd="1"/>
        <i x="294" s="1" nd="1"/>
        <i x="402" s="1" nd="1"/>
        <i x="394" s="1" nd="1"/>
        <i x="418" s="1" nd="1"/>
        <i x="401" s="1" nd="1"/>
        <i x="416" s="1" nd="1"/>
        <i x="302" s="1" nd="1"/>
        <i x="407" s="1" nd="1"/>
        <i x="406" s="1" nd="1"/>
        <i x="422" s="1" nd="1"/>
        <i x="419" s="1" nd="1"/>
        <i x="313" s="1" nd="1"/>
        <i x="427" s="1" nd="1"/>
        <i x="411" s="1" nd="1"/>
        <i x="420" s="1" nd="1"/>
        <i x="425" s="1" nd="1"/>
        <i x="304" s="1" nd="1"/>
        <i x="330" s="1" nd="1"/>
        <i x="429" s="1" nd="1"/>
        <i x="426" s="1" nd="1"/>
        <i x="295" s="1" nd="1"/>
        <i x="315" s="1" nd="1"/>
        <i x="421" s="1" nd="1"/>
        <i x="297" s="1" nd="1"/>
        <i x="412" s="1" nd="1"/>
        <i x="415" s="1" nd="1"/>
        <i x="312" s="1" nd="1"/>
        <i x="424" s="1" nd="1"/>
        <i x="413" s="1" nd="1"/>
        <i x="414" s="1" nd="1"/>
        <i x="299" s="1" nd="1"/>
        <i x="317" s="1" nd="1"/>
        <i x="318" s="1" nd="1"/>
        <i x="331" s="1" nd="1"/>
        <i x="428" s="1" nd="1"/>
        <i x="293" s="1" nd="1"/>
        <i x="316" s="1" nd="1"/>
        <i x="309" s="1" nd="1"/>
        <i x="296" s="1" nd="1"/>
        <i x="300" s="1" nd="1"/>
        <i x="306" s="1" nd="1"/>
        <i x="298" s="1" nd="1"/>
        <i x="322" s="1" nd="1"/>
        <i x="326" s="1" nd="1"/>
        <i x="327" s="1" nd="1"/>
        <i x="319" s="1" nd="1"/>
        <i x="303" s="1" nd="1"/>
        <i x="168" s="1" nd="1"/>
        <i x="305" s="1" nd="1"/>
        <i x="307" s="1" nd="1"/>
        <i x="310" s="1" nd="1"/>
        <i x="323" s="1" nd="1"/>
        <i x="308" s="1" nd="1"/>
        <i x="329" s="1" nd="1"/>
        <i x="261" s="1" nd="1"/>
        <i x="240" s="1" nd="1"/>
        <i x="344" s="1" nd="1"/>
        <i x="311" s="1" nd="1"/>
        <i x="332" s="1" nd="1"/>
        <i x="328" s="1" nd="1"/>
        <i x="314" s="1" nd="1"/>
        <i x="336" s="1" nd="1"/>
        <i x="272" s="1" nd="1"/>
        <i x="235" s="1" nd="1"/>
        <i x="321" s="1" nd="1"/>
        <i x="345" s="1" nd="1"/>
        <i x="325" s="1" nd="1"/>
        <i x="348" s="1" nd="1"/>
        <i x="335" s="1" nd="1"/>
        <i x="340" s="1" nd="1"/>
        <i x="217" s="1" nd="1"/>
        <i x="337" s="1" nd="1"/>
        <i x="339" s="1" nd="1"/>
        <i x="257" s="1" nd="1"/>
        <i x="225" s="1" nd="1"/>
        <i x="334" s="1" nd="1"/>
        <i x="222" s="1" nd="1"/>
        <i x="333" s="1" nd="1"/>
        <i x="234" s="1" nd="1"/>
        <i x="218" s="1" nd="1"/>
        <i x="216" s="1" nd="1"/>
        <i x="338" s="1" nd="1"/>
        <i x="232" s="1" nd="1"/>
        <i x="226" s="1" nd="1"/>
        <i x="237" s="1" nd="1"/>
        <i x="254" s="1" nd="1"/>
        <i x="231" s="1" nd="1"/>
        <i x="242" s="1" nd="1"/>
        <i x="236" s="1" nd="1"/>
        <i x="233" s="1" nd="1"/>
        <i x="346" s="1" nd="1"/>
        <i x="290" s="1" nd="1"/>
        <i x="244" s="1" nd="1"/>
        <i x="245" s="1" nd="1"/>
        <i x="342" s="1" nd="1"/>
        <i x="341" s="1" nd="1"/>
        <i x="219" s="1" nd="1"/>
        <i x="221" s="1" nd="1"/>
        <i x="252" s="1" nd="1"/>
        <i x="228" s="1" nd="1"/>
        <i x="347" s="1" nd="1"/>
        <i x="286" s="1" nd="1"/>
        <i x="277" s="1" nd="1"/>
        <i x="265" s="1" nd="1"/>
        <i x="239" s="1" nd="1"/>
        <i x="224" s="1" nd="1"/>
        <i x="255" s="1" nd="1"/>
        <i x="274" s="1" nd="1"/>
        <i x="266" s="1" nd="1"/>
        <i x="262" s="1" nd="1"/>
        <i x="230" s="1" nd="1"/>
        <i x="250" s="1" nd="1"/>
        <i x="249" s="1" nd="1"/>
        <i x="264" s="1" nd="1"/>
        <i x="251" s="1" nd="1"/>
        <i x="343" s="1" nd="1"/>
        <i x="227" s="1" nd="1"/>
        <i x="223" s="1" nd="1"/>
        <i x="253" s="1" nd="1"/>
        <i x="220" s="1" nd="1"/>
        <i x="258" s="1" nd="1"/>
        <i x="259" s="1" nd="1"/>
        <i x="263" s="1" nd="1"/>
        <i x="167" s="1" nd="1"/>
        <i x="243" s="1" nd="1"/>
        <i x="238" s="1" nd="1"/>
        <i x="271" s="1" nd="1"/>
        <i x="270" s="1" nd="1"/>
        <i x="275" s="1" nd="1"/>
        <i x="229" s="1" nd="1"/>
        <i x="273" s="1" nd="1"/>
        <i x="260" s="1" nd="1"/>
        <i x="166" s="1" nd="1"/>
        <i x="241" s="1" nd="1"/>
        <i x="246" s="1" nd="1"/>
        <i x="247" s="1" nd="1"/>
        <i x="256" s="1" nd="1"/>
        <i x="248" s="1" nd="1"/>
        <i x="267" s="1" nd="1"/>
        <i x="184" s="1" nd="1"/>
        <i x="278" s="1" nd="1"/>
        <i x="268" s="1" nd="1"/>
        <i x="284" s="1" nd="1"/>
        <i x="281" s="1" nd="1"/>
        <i x="279" s="1" nd="1"/>
        <i x="179" s="1" nd="1"/>
        <i x="178" s="1" nd="1"/>
        <i x="291" s="1" nd="1"/>
        <i x="165" s="1" nd="1"/>
        <i x="177" s="1" nd="1"/>
        <i x="285" s="1" nd="1"/>
        <i x="292" s="1" nd="1"/>
        <i x="170" s="1" nd="1"/>
        <i x="287" s="1" nd="1"/>
        <i x="288" s="1" nd="1"/>
        <i x="269" s="1" nd="1"/>
        <i x="282" s="1" nd="1"/>
        <i x="289" s="1" nd="1"/>
        <i x="280" s="1" nd="1"/>
        <i x="200" s="1" nd="1"/>
        <i x="283" s="1" nd="1"/>
        <i x="164" s="1" nd="1"/>
        <i x="173" s="1" nd="1"/>
        <i x="172" s="1" nd="1"/>
        <i x="276" s="1" nd="1"/>
        <i x="160" s="1" nd="1"/>
        <i x="154" s="1" nd="1"/>
        <i x="125" s="1" nd="1"/>
        <i x="159" s="1" nd="1"/>
        <i x="176" s="1" nd="1"/>
        <i x="174" s="1" nd="1"/>
        <i x="181" s="1" nd="1"/>
        <i x="182" s="1" nd="1"/>
        <i x="180" s="1" nd="1"/>
        <i x="175" s="1" nd="1"/>
        <i x="171" s="1" nd="1"/>
        <i x="121" s="1" nd="1"/>
        <i x="145" s="1" nd="1"/>
        <i x="197" s="1" nd="1"/>
        <i x="187" s="1" nd="1"/>
        <i x="183" s="1" nd="1"/>
        <i x="201" s="1" nd="1"/>
        <i x="186" s="1" nd="1"/>
        <i x="196" s="1" nd="1"/>
        <i x="198" s="1" nd="1"/>
        <i x="185" s="1" nd="1"/>
        <i x="189" s="1" nd="1"/>
        <i x="199" s="1" nd="1"/>
        <i x="192" s="1" nd="1"/>
        <i x="190" s="1" nd="1"/>
        <i x="191" s="1" nd="1"/>
        <i x="113" s="1" nd="1"/>
        <i x="195" s="1" nd="1"/>
        <i x="193" s="1" nd="1"/>
        <i x="194" s="1" nd="1"/>
        <i x="203" s="1" nd="1"/>
        <i x="202" s="1" nd="1"/>
        <i x="122" s="1" nd="1"/>
        <i x="212" s="1" nd="1"/>
        <i x="211" s="1" nd="1"/>
        <i x="123" s="1" nd="1"/>
        <i x="210" s="1" nd="1"/>
        <i x="215" s="1" nd="1"/>
        <i x="208" s="1" nd="1"/>
        <i x="214" s="1" nd="1"/>
        <i x="114" s="1" nd="1"/>
        <i x="119" s="1" nd="1"/>
        <i x="204" s="1" nd="1"/>
        <i x="107" s="1" nd="1"/>
        <i x="106" s="1" nd="1"/>
        <i x="108" s="1" nd="1"/>
        <i x="111" s="1" nd="1"/>
        <i x="205" s="1" nd="1"/>
        <i x="206" s="1" nd="1"/>
        <i x="207" s="1" nd="1"/>
        <i x="209" s="1" nd="1"/>
        <i x="213" s="1" nd="1"/>
        <i x="118" s="1" nd="1"/>
        <i x="117" s="1" nd="1"/>
        <i x="115" s="1" nd="1"/>
        <i x="132" s="1" nd="1"/>
        <i x="110" s="1" nd="1"/>
        <i x="109" s="1" nd="1"/>
        <i x="112" s="1" nd="1"/>
        <i x="131" s="1" nd="1"/>
        <i x="126" s="1" nd="1"/>
        <i x="127" s="1" nd="1"/>
        <i x="116" s="1" nd="1"/>
        <i x="139" s="1" nd="1"/>
        <i x="161" s="1" nd="1"/>
        <i x="128" s="1" nd="1"/>
        <i x="130" s="1" nd="1"/>
        <i x="120" s="1" nd="1"/>
        <i x="136" s="1" nd="1"/>
        <i x="140" s="1" nd="1"/>
        <i x="134" s="1" nd="1"/>
        <i x="133" s="1" nd="1"/>
        <i x="129" s="1" nd="1"/>
        <i x="124" s="1" nd="1"/>
        <i x="147" s="1" nd="1"/>
        <i x="148" s="1" nd="1"/>
        <i x="146" s="1" nd="1"/>
        <i x="135" s="1" nd="1"/>
        <i x="157" s="1" nd="1"/>
        <i x="138" s="1" nd="1"/>
        <i x="137" s="1" nd="1"/>
        <i x="144" s="1" nd="1"/>
        <i x="149" s="1" nd="1"/>
        <i x="153" s="1" nd="1"/>
        <i x="163" s="1" nd="1"/>
        <i x="162" s="1" nd="1"/>
        <i x="143" s="1" nd="1"/>
        <i x="142" s="1" nd="1"/>
        <i x="156" s="1" nd="1"/>
        <i x="152" s="1" nd="1"/>
        <i x="141" s="1" nd="1"/>
        <i x="151" s="1" nd="1"/>
        <i x="150" s="1" nd="1"/>
        <i x="155" s="1" nd="1"/>
        <i x="158" s="1" nd="1"/>
        <i x="105" s="1" nd="1"/>
        <i x="515"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 xr10:uid="{795E221B-CA14-4E3C-BCC3-ADCBC1244CE9}" sourceName="Party Nam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6DCB082-70B9-49F4-92EE-90FF7705BF83}" sourceName="Party">
  <extLst>
    <x:ext xmlns:x15="http://schemas.microsoft.com/office/spreadsheetml/2010/11/main" uri="{2F2917AC-EB37-4324-AD4E-5DD8C200BD13}">
      <x15:tableSlicerCache tableId="1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1" xr10:uid="{E12585E0-B136-443F-AD68-C9C80CA7EB19}" sourceName="Party Name">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4AC669-07E6-46D1-B04B-5B9A432D9A10}" sourceName="Dat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2" xr10:uid="{B1CE111B-C03D-455C-802F-5A6E1DBFE0F5}" sourceName="Party Name">
  <extLst>
    <x:ext xmlns:x15="http://schemas.microsoft.com/office/spreadsheetml/2010/11/main" uri="{2F2917AC-EB37-4324-AD4E-5DD8C200BD13}">
      <x15:tableSlicerCache tableId="2"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59685556-BE76-4A00-81B3-5814BB498FE4}" sourceName="Date">
  <extLst>
    <x:ext xmlns:x15="http://schemas.microsoft.com/office/spreadsheetml/2010/11/main" uri="{2F2917AC-EB37-4324-AD4E-5DD8C200BD13}">
      <x15:tableSlicerCache tableId="1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DFDF2CD-C831-4FB8-BF02-B2DA1D1400C0}" sourceName="Person">
  <extLst>
    <x:ext xmlns:x15="http://schemas.microsoft.com/office/spreadsheetml/2010/11/main" uri="{2F2917AC-EB37-4324-AD4E-5DD8C200BD13}">
      <x15:tableSlicerCache tableId="1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xr10:uid="{F2AC5779-5A53-4BA7-BEEF-73B7946A3948}" cache="Slicer_Party_Name" caption="Party Name" columnCount="4" rowHeight="247650"/>
  <slicer name="Date" xr10:uid="{A1A3D396-C797-4750-957E-CF701F9D3C93}" cache="Slicer_Date" caption="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1" xr10:uid="{663D6C72-DC00-4848-8A46-2F05DE4A2577}" cache="Slicer_Party_Name1" caption="Party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8CB7DD44-BF59-47B2-AB64-03EC8FC8FD4A}" cache="Slicer_Party" caption="Party" startItem="21" columnCount="3" rowHeight="180000"/>
  <slicer name="Date 1" xr10:uid="{8E7BDD3C-DB8C-4BD4-9ACC-14DA5E7A745C}" cache="Slicer_Date1" caption="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2" xr10:uid="{684571A0-AFE3-49B8-B794-50BABDA24345}" cache="Slicer_Party_Name2" caption="Column1" startItem="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4756620-6DF0-4AD4-88A3-886E9C792FF1}" cache="Slicer_Person" caption="Pers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Number" xr10:uid="{07A5CFB3-DECF-470C-B6C0-B5255850F5AA}" cache="Slicer_Shipment_Number" caption="Shipment Number"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F66F6-6434-425A-A910-C3CBF3339B20}" name="Table4" displayName="Table4" ref="B1:E18" totalsRowShown="0">
  <autoFilter ref="B1:E18" xr:uid="{726F66F6-6434-425A-A910-C3CBF3339B20}"/>
  <tableColumns count="4">
    <tableColumn id="1" xr3:uid="{7A2445A9-BF1B-49FB-84BB-52F6CB270F38}" name="Party Name" dataDxfId="130">
      <calculatedColumnFormula>B49</calculatedColumnFormula>
    </tableColumn>
    <tableColumn id="2" xr3:uid="{7EDCC2ED-0339-42B3-9633-FFEA7A3DD9F3}" name="Tiyaar" dataDxfId="129">
      <calculatedColumnFormula>SUMIFS(ledger!G:G, ledger!B:B, B2, ledger!E:E, "&lt;&gt;*RD*") / 1.0936</calculatedColumnFormula>
    </tableColumn>
    <tableColumn id="3" xr3:uid="{CC1535DD-3FE7-4F55-8040-E7643388A78E}" name="Rate"/>
    <tableColumn id="4" xr3:uid="{059CB70B-ADAD-4985-84AA-0D530BAC5567}" name="Total" dataDxfId="128">
      <calculatedColumnFormula>(SUMIFS(ledger!G:G, ledger!B:B, B2, ledger!E:E, "&lt;&gt;*RD*",ledger!D:D, "Silky") / 1.0936)*12 + (SUMIFS(ledger!G:G, ledger!B:B, B2, ledger!E:E, "&lt;&gt;*RD*",ledger!D:D, "Chamki") / 1.0936)*10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9E5D32-DF9C-4018-96AB-CA98E118D910}" name="Table21" displayName="Table21" ref="B7:E20" totalsRowShown="0" headerRowDxfId="127" dataDxfId="126">
  <autoFilter ref="B7:E20" xr:uid="{449E5D32-DF9C-4018-96AB-CA98E118D910}"/>
  <tableColumns count="4">
    <tableColumn id="1" xr3:uid="{F663704C-91DD-4BB9-B7EB-EEB0C5EDED6C}" name="Description" dataDxfId="125"/>
    <tableColumn id="2" xr3:uid="{6D94D495-CD0B-4FD3-9771-81D731982A97}" name="Rate" dataDxfId="124" dataCellStyle="Comma"/>
    <tableColumn id="3" xr3:uid="{2D14CEAD-3602-40E7-A488-3584EBC9141E}" name="gazana" dataDxfId="123" dataCellStyle="Comma"/>
    <tableColumn id="4" xr3:uid="{06FEE63C-6480-4079-8426-51BC26B38B34}" name="sum" dataDxfId="122" dataCellStyle="Comma">
      <calculatedColumnFormula>Table21[[#This Row],[gazana]]*Table21[[#This Row],[Rate]]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D0749A-70DE-4EC8-A4EE-00E713C72289}" name="Table12" displayName="Table12" ref="B3:E14" totalsRowCount="1">
  <autoFilter ref="B3:E13" xr:uid="{40D0749A-70DE-4EC8-A4EE-00E713C72289}"/>
  <tableColumns count="4">
    <tableColumn id="1" xr3:uid="{1EA52ED7-9CB7-4573-9DD3-268050EECEA4}" name="Type"/>
    <tableColumn id="2" xr3:uid="{8DE1A7AC-456D-429D-A522-6C6D0DAD1C74}" name="Amount" totalsRowFunction="custom" dataDxfId="121" totalsRowDxfId="120" dataCellStyle="Comma">
      <totalsRowFormula>SUM(Table12[Amount])</totalsRowFormula>
    </tableColumn>
    <tableColumn id="3" xr3:uid="{12F975D1-A51D-47BD-82DF-F0C35A709016}" name="Description"/>
    <tableColumn id="4" xr3:uid="{96712812-B120-49C2-B905-59FC86A743E8}" name="cost per meter" totalsRowFunction="custom" dataDxfId="119" totalsRowDxfId="118">
      <calculatedColumnFormula>Table12[[#This Row],[Amount]]/Table1[[#Totals],[tiyar/meters]]</calculatedColumnFormula>
      <totalsRowFormula>SUM(Table12[cost per meter])</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E47AE5-DECF-4AE8-B09E-D2B6BE4574A8}" name="Table20" displayName="Table20" ref="B18:D22" totalsRowShown="0">
  <autoFilter ref="B18:D22" xr:uid="{B9E47AE5-DECF-4AE8-B09E-D2B6BE4574A8}"/>
  <tableColumns count="3">
    <tableColumn id="1" xr3:uid="{A1241CCD-0076-43C0-B909-5B2E7BC5D1EE}" name="Stock"/>
    <tableColumn id="2" xr3:uid="{6CC6073F-DD16-46A3-9F83-C1DB83B8F18B}" name="quantity"/>
    <tableColumn id="3" xr3:uid="{C5BC1FD9-364F-45F2-BB32-96F9E454C99A}"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6E8F7F-D03F-4198-8335-91A003EA9E45}" name="Table6" displayName="Table6" ref="B2:C5" totalsRowShown="0" headerRowDxfId="117" dataDxfId="116" headerRowCellStyle="Comma" dataCellStyle="Comma">
  <autoFilter ref="B2:C5" xr:uid="{136E8F7F-D03F-4198-8335-91A003EA9E45}"/>
  <tableColumns count="2">
    <tableColumn id="1" xr3:uid="{279FA697-9952-479A-AC05-0D4992B41374}" name="Column1" dataDxfId="115" dataCellStyle="Comma"/>
    <tableColumn id="2" xr3:uid="{8A64998B-65EF-41CD-BCB0-3DDB7B359C54}" name="Column2" dataDxfId="114"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0C9E74-2F66-4C26-94CA-FD4A0A4B2ACA}" name="Table19" displayName="Table19" ref="B10:C21" totalsRowShown="0">
  <autoFilter ref="B10:C21" xr:uid="{2B0C9E74-2F66-4C26-94CA-FD4A0A4B2ACA}"/>
  <tableColumns count="2">
    <tableColumn id="1" xr3:uid="{4311E5F0-1C85-4B10-9FF6-5ACB13038079}" name="Column1" dataDxfId="113"/>
    <tableColumn id="2" xr3:uid="{51D27FA2-8DDF-4369-BAF7-7D1FE90E16A0}" name="Column2" dataDxfId="1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F58B95-D9E6-473F-8BE5-C4A8DDED103B}" name="Table13" displayName="Table13" ref="B2:F44" totalsRowCount="1">
  <autoFilter ref="B2:F43" xr:uid="{A0F58B95-D9E6-473F-8BE5-C4A8DDED103B}"/>
  <tableColumns count="5">
    <tableColumn id="1" xr3:uid="{8D801E24-A4A4-436D-ACAE-08E5208293FB}" name="Date" dataDxfId="111" totalsRowDxfId="110"/>
    <tableColumn id="2" xr3:uid="{8A25A580-75B6-436A-86F0-A6F6FD45C9B8}" name="Type"/>
    <tableColumn id="3" xr3:uid="{D0F39D34-97FE-4856-BF51-811617A1CC29}" name="Debit" totalsRowFunction="sum">
      <calculatedColumnFormula>SUMIFS(Table14[Debit], Table14[Date], Table13[[#This Row],[Date]], Table14[Party], "Transport")</calculatedColumnFormula>
    </tableColumn>
    <tableColumn id="4" xr3:uid="{920800CF-A78E-443D-8B14-2DF96850B1AA}" name="Credit" totalsRowFunction="sum" dataDxfId="109">
      <calculatedColumnFormula>SUMIFS(Table14[Credit], Table14[Date], Table13[[#This Row],[Date]], Table14[Party], "Transport")</calculatedColumnFormula>
    </tableColumn>
    <tableColumn id="5" xr3:uid="{3EAACA7A-7CB5-4CE5-AAFF-541AAE704336}" name="Diff" totalsRowFunction="custom">
      <totalsRowFormula>Table13[[#Totals],[Debit]]-Table13[[#Totals],[Credit]]</totalsRow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ACEC6-751B-4B1D-817F-5C5BCD38EF6D}" name="Table1" displayName="Table1" ref="A1:K238" totalsRowCount="1" headerRowDxfId="108" dataDxfId="107" headerRowCellStyle="Comma" dataCellStyle="Comma">
  <autoFilter ref="A1:K237" xr:uid="{11DACEC6-751B-4B1D-817F-5C5BCD38EF6D}"/>
  <tableColumns count="11">
    <tableColumn id="1" xr3:uid="{2FCE3FA8-A48C-4685-8919-AE44C6C71FD9}" name="Date" dataDxfId="106" dataCellStyle="Comma"/>
    <tableColumn id="2" xr3:uid="{5780FD5F-0890-44E6-B59C-8E37A559FE36}" name="Party Name" dataDxfId="105" dataCellStyle="Comma"/>
    <tableColumn id="3" xr3:uid="{5B3ECD85-9174-40AC-BFBD-49CAC97A83D3}" name="Bill Number" dataDxfId="104" dataCellStyle="Comma"/>
    <tableColumn id="4" xr3:uid="{11B50761-04B6-4262-AD4D-7182450037D1}" name="Quality" dataDxfId="103" dataCellStyle="Comma"/>
    <tableColumn id="5" xr3:uid="{2C556969-B713-4967-BD24-466AACCBE5F5}" name="Shipment Number" dataDxfId="102" totalsRowDxfId="101" dataCellStyle="Comma"/>
    <tableColumn id="6" xr3:uid="{F4E1FD2B-9017-4DEB-B772-BF447ECE56F7}" name="Kora/metre" dataDxfId="100" totalsRowDxfId="99" dataCellStyle="Comma"/>
    <tableColumn id="7" xr3:uid="{52ACC1DA-7A76-4A90-B809-3A1AE728E7EA}" name="Tiyaar/gaz" dataDxfId="98" totalsRowDxfId="97" dataCellStyle="Comma"/>
    <tableColumn id="8" xr3:uid="{31A0FF5E-56F0-44D1-9865-73256B964660}" name="shortage %" dataDxfId="96" totalsRowDxfId="95" dataCellStyle="Comma">
      <calculatedColumnFormula>_xlfn.XLOOKUP(Table1[[#This Row],[Shipment Number]], 'pivot '!A:A,'pivot '!G:G, "NF")</calculatedColumnFormula>
    </tableColumn>
    <tableColumn id="9" xr3:uid="{F99075E0-AC8E-094D-BB85-272AD2C6C568}" name="tiyar/meters" totalsRowFunction="custom" dataDxfId="94" totalsRowDxfId="93" dataCellStyle="Comma">
      <totalsRowFormula array="1">SUMPRODUCT( SUBTOTAL(109, OFFSET(Table1[tiyar/meters], ROW(Table1[tiyar/meters])-MIN(ROW(Table1[tiyar/meters])), 0, 1)), --(Table1[Bill Number]&lt;&gt;"January Closing CF") )</totalsRowFormula>
    </tableColumn>
    <tableColumn id="10" xr3:uid="{4B2AF87E-7D86-A946-B130-EA2852096C91}" name="billing" totalsRowFunction="custom" dataDxfId="92" totalsRowDxfId="91" dataCellStyle="Comma">
      <totalsRowFormula array="1">SUMPRODUCT( SUBTOTAL(109, OFFSET(Table1[billing], ROW(Table1[billing])-MIN(ROW(Table1[billing])), 0, 1)), --(Table1[Bill Number]&lt;&gt;"January Closing CF") )</totalsRowFormula>
    </tableColumn>
    <tableColumn id="11" xr3:uid="{0D198F0C-D2D3-4F75-9F3B-25A393B5D570}" name="Total Billing" totalsRowFunction="custom" dataDxfId="90" totalsRowDxfId="89" dataCellStyle="Comma">
      <totalsRowFormula>SUMIFS(Table1[billing], Table1[Bill Number], "&lt;&gt;January Closing CF")</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897677-1737-4B16-8F5A-5A77AF1D5D3E}" name="Table26" displayName="Table26" ref="A1:E21" totalsRowShown="0">
  <autoFilter ref="A1:E21" xr:uid="{1C897677-1737-4B16-8F5A-5A77AF1D5D3E}"/>
  <tableColumns count="5">
    <tableColumn id="1" xr3:uid="{68127E10-A043-4A75-8844-6D6CD07B40A5}" name="Date"/>
    <tableColumn id="2" xr3:uid="{661EE1B8-E793-4338-9A10-2AB3AA7F6C56}" name="Party Name"/>
    <tableColumn id="3" xr3:uid="{C5977A5B-6EB8-4254-A897-7059B3CAC9DD}" name="Lot Number"/>
    <tableColumn id="4" xr3:uid="{A2066C4C-A5F0-40D7-8142-80C5BA6A2AB1}" name="Gazana"/>
    <tableColumn id="5" xr3:uid="{3C7F4FCE-9CFD-4800-B07E-1D9043F662EA}" name="Qualit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E8C957-ABE7-4E4F-8D4E-7D44E26B334F}" name="Table3" displayName="Table3" ref="A1:I127" totalsRowCount="1" headerRowDxfId="86" headerRowBorderDxfId="85" tableBorderDxfId="84">
  <autoFilter ref="A1:I126" xr:uid="{F8E8C957-ABE7-4E4F-8D4E-7D44E26B334F}"/>
  <tableColumns count="9">
    <tableColumn id="1" xr3:uid="{C2E817D6-AB98-4DDD-8890-736B27F261CD}" name="Date" dataDxfId="83" totalsRowDxfId="15"/>
    <tableColumn id="2" xr3:uid="{CFB51890-CCDC-463C-81C9-3F8BD7469CB9}" name="Party Name"/>
    <tableColumn id="3" xr3:uid="{A113D971-1C9D-4733-99C4-BD0CC4333209}" name="Vehicle Number"/>
    <tableColumn id="4" xr3:uid="{49780304-3DD1-4AE9-98EE-2BC7EB8F3B57}" name="Weight" dataDxfId="82" totalsRowDxfId="14" dataCellStyle="Comma"/>
    <tableColumn id="5" xr3:uid="{FCAF1BC6-1D8C-42AD-8BBC-F924BF2DC7FE}" name="Rate" dataDxfId="81" totalsRowDxfId="13" dataCellStyle="Comma"/>
    <tableColumn id="6" xr3:uid="{8C70A624-4134-410C-9C45-9FDEB51D51BF}" name="Rent" dataDxfId="80" totalsRowDxfId="12" dataCellStyle="Comma"/>
    <tableColumn id="7" xr3:uid="{EBCE10AE-9634-4982-9C95-37ABC8A7078C}" name="Total" totalsRowFunction="sum" dataDxfId="79" totalsRowDxfId="11" dataCellStyle="Comma">
      <calculatedColumnFormula>D2*E2</calculatedColumnFormula>
    </tableColumn>
    <tableColumn id="9" xr3:uid="{D4788559-C94A-44D9-B9AE-E72B214355AC}" name="Paid" totalsRowFunction="sum" dataDxfId="78" totalsRowDxfId="10" dataCellStyle="Comma"/>
    <tableColumn id="8" xr3:uid="{E26F5BF0-1875-4FC6-994D-49F202ED562B}" name="balance" totalsRowFunction="sum" dataDxfId="77" totalsRowDxfId="9" dataCellStyle="Comma">
      <calculatedColumnFormula>(D2*E2)-Table3[[#This Row],[Paid]]</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032221-B416-47A8-9A76-693DE76CFD04}" name="Table14" displayName="Table14" ref="A1:G773" totalsRowCount="1">
  <autoFilter ref="A1:G772" xr:uid="{CB032221-B416-47A8-9A76-693DE76CFD04}"/>
  <sortState xmlns:xlrd2="http://schemas.microsoft.com/office/spreadsheetml/2017/richdata2" ref="A2:G647">
    <sortCondition ref="A1:A647"/>
  </sortState>
  <tableColumns count="7">
    <tableColumn id="1" xr3:uid="{554B1EED-65B6-4E9A-B646-82727FAC40DE}" name="Date" dataDxfId="75" totalsRowDxfId="3"/>
    <tableColumn id="2" xr3:uid="{32259059-42CF-4947-83DE-115AA430BE2B}" name="Party"/>
    <tableColumn id="3" xr3:uid="{A1320223-D55D-483C-91C3-AB19B95CC9D8}" name="Debit" totalsRowFunction="sum" dataDxfId="74" totalsRowDxfId="2" dataCellStyle="Comma"/>
    <tableColumn id="4" xr3:uid="{E9745767-9FF0-4B1C-9052-FF335D1D7588}" name="Credit" totalsRowFunction="sum" dataDxfId="73" totalsRowDxfId="1" dataCellStyle="Comma"/>
    <tableColumn id="5" xr3:uid="{5C88A48E-2467-4E6D-B626-2442B7FD0BE4}" name="Description"/>
    <tableColumn id="6" xr3:uid="{63CA4666-144E-4BE6-8B7C-7CB992BD3041}" name="Mode" totalsRowFunction="custom" dataDxfId="72" totalsRowDxfId="0">
      <totalsRowFormula>(Table14[[#Totals],[Credit]]-Table14[[#Totals],[Debit]])</totalsRowFormula>
    </tableColumn>
    <tableColumn id="7" xr3:uid="{949C7305-E4C4-48D6-B5DE-F5966AE105DD}" name="Withdrawa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E01694-23ED-48BF-8B92-4186B9ED10A8}" name="Table17" displayName="Table17" ref="J3:K6" totalsRowShown="0" headerRowBorderDxfId="71" tableBorderDxfId="70" totalsRowBorderDxfId="69">
  <autoFilter ref="J3:K6" xr:uid="{DCE01694-23ED-48BF-8B92-4186B9ED10A8}"/>
  <tableColumns count="2">
    <tableColumn id="1" xr3:uid="{C8484DAF-2989-4C2F-9AEC-A6917E1C57F6}" name="Type" dataDxfId="68"/>
    <tableColumn id="2" xr3:uid="{B07B7A2A-4D4E-4654-BED6-FE2F0A7BEC34}" name="Amount" dataDxfId="6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66BDD1-ACD7-45D7-8AE9-7350373F8CEB}" name="Table18" displayName="Table18" ref="M3:O7" totalsRowCount="1" headerRowDxfId="66" headerRowBorderDxfId="65" tableBorderDxfId="64" totalsRowBorderDxfId="63">
  <autoFilter ref="M3:O6" xr:uid="{D166BDD1-ACD7-45D7-8AE9-7350373F8CEB}"/>
  <tableColumns count="3">
    <tableColumn id="1" xr3:uid="{64F0205E-DEA7-4571-BA86-E4374A5FEE28}" name="Type" totalsRowLabel="Total" dataDxfId="62" totalsRowDxfId="61"/>
    <tableColumn id="2" xr3:uid="{15FA05F9-789C-4459-9BE0-5C1EC84D3365}" name="amount" totalsRowFunction="custom" dataDxfId="60" totalsRowDxfId="59">
      <totalsRowFormula>SUM(N5:N6)</totalsRowFormula>
    </tableColumn>
    <tableColumn id="3" xr3:uid="{3681D409-90C6-44D0-BDE2-4B5943A516F0}" name="Actual" totalsRowFunction="custom" totalsRowDxfId="58">
      <totalsRowFormula>SUM(O5,O6)</totalsRow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E0731B-E176-4C4A-A6F7-CD6C16273723}" name="Table7" displayName="Table7" ref="K2:N5" totalsRowCount="1">
  <autoFilter ref="K2:N4" xr:uid="{77E0731B-E176-4C4A-A6F7-CD6C16273723}"/>
  <tableColumns count="4">
    <tableColumn id="1" xr3:uid="{ED2EE743-D65D-40B8-B1D2-9A3999DB9021}" name="Date" dataDxfId="57" totalsRowDxfId="56"/>
    <tableColumn id="2" xr3:uid="{5B9D0FEE-4304-4C5C-A05C-5B27CF7841D3}" name="Type"/>
    <tableColumn id="3" xr3:uid="{6A91CA0D-C802-4C6F-9F39-CA53687E8EDE}" name="Description"/>
    <tableColumn id="4" xr3:uid="{A251D40C-AB87-4BB4-85F8-444B20E32FDF}" name="Total" totalsRowFunction="custom" dataDxfId="55" totalsRowDxfId="54" dataCellStyle="Comma">
      <totalsRowFormula>SUM(Table7[Total])</totalsRow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76AC52-D856-4F5C-BAC5-B41503DDA11B}" name="Table8" displayName="Table8" ref="A1:I42" totalsRowCount="1" headerRowDxfId="53" headerRowBorderDxfId="52">
  <autoFilter ref="A1:I41" xr:uid="{B276AC52-D856-4F5C-BAC5-B41503DDA11B}"/>
  <sortState xmlns:xlrd2="http://schemas.microsoft.com/office/spreadsheetml/2017/richdata2" ref="A2:I41">
    <sortCondition ref="A1:A41"/>
  </sortState>
  <tableColumns count="9">
    <tableColumn id="1" xr3:uid="{1A00B993-AF25-45A2-BFF9-E0DD747BB444}" name="Date"/>
    <tableColumn id="2" xr3:uid="{0A3FC504-E40A-4FB2-9B51-E79A4BC1EC63}" name="Chemical Name"/>
    <tableColumn id="3" xr3:uid="{216C88B1-47EE-4EC2-975B-32C391B36543}" name="Boxes"/>
    <tableColumn id="5" xr3:uid="{124DE3CE-AA7A-4822-99BD-69CE8547DD00}" name="Rate" dataDxfId="51"/>
    <tableColumn id="4" xr3:uid="{1889A312-9B41-4EC4-BD8F-05252F27084A}" name="Price" totalsRowFunction="sum"/>
    <tableColumn id="6" xr3:uid="{8B974B20-F003-4E67-8660-024FA4F324A9}" name="Party"/>
    <tableColumn id="7" xr3:uid="{0A5A5C21-FD61-47DA-9F54-66A6479FA557}" name="Paid" totalsRowFunction="sum" dataDxfId="50">
      <calculatedColumnFormula>SUMIFS(Table14[Debit], Table14[Date], Table8[[#This Row],[Date]], Table14[Party], Table8[[#This Row],[Party]])</calculatedColumnFormula>
    </tableColumn>
    <tableColumn id="8" xr3:uid="{8DCB3B43-2161-4081-82EC-CDB0F4DE4E6F}" name="Balance" totalsRowFunction="sum" dataDxfId="49">
      <calculatedColumnFormula>Table8[[#This Row],[Price]]-Table8[[#This Row],[Paid]]</calculatedColumnFormula>
    </tableColumn>
    <tableColumn id="9" xr3:uid="{774991E8-E731-4369-B42A-6867C4E08D5A}" name="inf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3C87E4-120A-4395-90A1-466202120EC6}" name="Table23" displayName="Table23" ref="L33:P56" totalsRowShown="0">
  <autoFilter ref="L33:P56" xr:uid="{3D3C87E4-120A-4395-90A1-466202120EC6}"/>
  <tableColumns count="5">
    <tableColumn id="1" xr3:uid="{3790A6D0-5CFF-413F-A3F3-4DC22D4BF461}" name="Stock"/>
    <tableColumn id="2" xr3:uid="{D41F9BA4-5950-4E87-AFB4-4300ED9B7EC7}" name="boxes"/>
    <tableColumn id="3" xr3:uid="{8FD2097B-B76F-4506-8A7C-680AAA414EF4}" name="kgs"/>
    <tableColumn id="4" xr3:uid="{2DE2F906-CF4C-457D-A4F8-CE5A4953DA02}" name="Rate"/>
    <tableColumn id="5" xr3:uid="{CCDBF5A6-50E5-44F0-89C8-65E15A59CF7C}" name="tota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ECE447-7C3E-4E68-93A1-CFBC40F77258}" name="Table2325" displayName="Table2325" ref="A49:E76" totalsRowCount="1">
  <autoFilter ref="A49:E75" xr:uid="{18ECE447-7C3E-4E68-93A1-CFBC40F77258}"/>
  <tableColumns count="5">
    <tableColumn id="1" xr3:uid="{14FC11FB-D9C7-464F-BC0D-00D0DBE7D387}" name="Stock"/>
    <tableColumn id="2" xr3:uid="{08852A10-B253-4125-923F-8339BB6E494E}" name="boxes"/>
    <tableColumn id="3" xr3:uid="{337A4ADE-F0D9-4AED-B032-9EBD8AEF8401}" name="kgs"/>
    <tableColumn id="4" xr3:uid="{9C1C0875-C9E7-4E5B-AB3E-0C5189D43AEC}" name="Rate"/>
    <tableColumn id="5" xr3:uid="{B957BF57-E4E7-4F92-8ABA-5B0CD4B0B740}" name="total" totalsRowFunction="custom">
      <totalsRowFormula>SUM(Table2325[total])</totalsRow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688-A8BA-4BA7-90B4-791CD99446B4}" name="Table2" displayName="Table2" ref="A4:H49" totalsRowCount="1" headerRowDxfId="48" headerRowBorderDxfId="47">
  <autoFilter ref="A4:H48" xr:uid="{A4C80688-A8BA-4BA7-90B4-791CD99446B4}"/>
  <sortState xmlns:xlrd2="http://schemas.microsoft.com/office/spreadsheetml/2017/richdata2" ref="A5:H6">
    <sortCondition ref="A4:A6"/>
  </sortState>
  <tableColumns count="8">
    <tableColumn id="1" xr3:uid="{4A818912-918E-4111-ACFC-BC93FEF7C1AD}" name="Date" dataDxfId="46" totalsRowDxfId="45"/>
    <tableColumn id="8" xr3:uid="{477ACFD5-62AF-4F69-974B-E9B974C11D7D}" name="Party Name" dataDxfId="44"/>
    <tableColumn id="2" xr3:uid="{5B0EA59B-2D3B-4B7B-BA56-6C615D2F6506}" name="Item"/>
    <tableColumn id="3" xr3:uid="{6300FCFD-553D-4800-9CD0-2405B6C4D56F}" name="Boxes"/>
    <tableColumn id="4" xr3:uid="{9FBD2AB3-9F7F-4D27-86AD-36F05B132D6A}" name="Quantity"/>
    <tableColumn id="5" xr3:uid="{F5590721-CD26-461E-BC7A-3AC6FD6C8D07}" name="Price" totalsRowFunction="sum" dataDxfId="43">
      <calculatedColumnFormula>Table2[[#This Row],[Quantity]]*200*Table2[[#This Row],[Boxes]]</calculatedColumnFormula>
    </tableColumn>
    <tableColumn id="6" xr3:uid="{30432929-CBD4-4BA8-B63F-CD0F6CF6405F}" name="Paid" totalsRowFunction="sum" dataDxfId="42">
      <calculatedColumnFormula>SUMIFS(Table14[Debit], Table14[Date], Table2[[#This Row],[Date]], Table14[Party], Table2[[#This Row],[Party Name]])</calculatedColumnFormula>
    </tableColumn>
    <tableColumn id="7" xr3:uid="{BB689DF2-5D1E-436D-84C4-9745D88E8F3D}" name="Balance" totalsRowFunction="sum" dataDxfId="41">
      <calculatedColumnFormula>Table2[[#This Row],[Price]]-Table2[[#This Row],[Paid]]</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357E87-68FF-4AC2-8066-39F0E529CFC4}" name="Table10" displayName="Table10" ref="B2:E7" totalsRowShown="0">
  <autoFilter ref="B2:E7" xr:uid="{1B357E87-68FF-4AC2-8066-39F0E529CFC4}"/>
  <tableColumns count="4">
    <tableColumn id="1" xr3:uid="{787B6E2D-E4E4-408D-8699-000441F05577}" name="Date"/>
    <tableColumn id="2" xr3:uid="{8AC4085A-53BD-4DCC-AABB-BDA934F378A3}" name="Bill number"/>
    <tableColumn id="3" xr3:uid="{69AD0C13-F4F5-48D9-A785-CD628CA35526}" name="Units"/>
    <tableColumn id="4" xr3:uid="{9C0851DF-D6F1-4E88-AC04-06EE93955F1C}" name="Tota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88DB1B-6B38-4D3F-A584-F50B092833D5}" name="Table210" displayName="Table210" ref="B2:E6" totalsRowCount="1">
  <autoFilter ref="B2:E5" xr:uid="{2288DB1B-6B38-4D3F-A584-F50B092833D5}"/>
  <sortState xmlns:xlrd2="http://schemas.microsoft.com/office/spreadsheetml/2017/richdata2" ref="B3:E3">
    <sortCondition ref="B3"/>
  </sortState>
  <tableColumns count="4">
    <tableColumn id="11" xr3:uid="{98DE5394-4EDB-4DDA-8F3F-AA0DF0DC98BB}" name="Date" totalsRowLabel="Total"/>
    <tableColumn id="1" xr3:uid="{72BAEFE6-C0F7-4E56-9269-EAE763B50636}" name="Type"/>
    <tableColumn id="2" xr3:uid="{5CD13227-2772-4576-B38D-C6906BDDB84D}" name="Amount" totalsRowFunction="sum" dataDxfId="40" totalsRowDxfId="39" dataCellStyle="Comma"/>
    <tableColumn id="6" xr3:uid="{8816813F-07CA-42C2-B1D6-851406F94D6E}" name="Column1" totalsRowFunction="count"/>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116EC9-BBDE-41BB-A2D7-8BCF3AB6260F}" name="Table11" displayName="Table11" ref="B2:E43" totalsRowCount="1">
  <autoFilter ref="B2:E42" xr:uid="{62116EC9-BBDE-41BB-A2D7-8BCF3AB6260F}"/>
  <tableColumns count="4">
    <tableColumn id="1" xr3:uid="{7DB097C9-B24B-4164-AE75-219BA075790F}" name="Date" dataDxfId="38" totalsRowDxfId="37"/>
    <tableColumn id="2" xr3:uid="{053BFC14-4828-417C-9F9F-95B6E232A945}" name="Amount" totalsRowFunction="custom" dataDxfId="36" totalsRowDxfId="35" dataCellStyle="Comma">
      <calculatedColumnFormula>Cashbook!#REF!</calculatedColumnFormula>
      <totalsRowFormula>SUM(Table11[Amount])</totalsRowFormula>
    </tableColumn>
    <tableColumn id="3" xr3:uid="{2E55C6E1-AD6B-4BC4-97B3-79E57921B815}" name="Column1"/>
    <tableColumn id="4" xr3:uid="{7EA13E0F-23E7-454D-8FB4-1534C59EB376}" name="Column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B203B0-1AB7-490A-A749-F34A78C46DF4}" name="Table16" displayName="Table16" ref="H2:J37" totalsRowCount="1">
  <autoFilter ref="H2:J36" xr:uid="{A7B203B0-1AB7-490A-A749-F34A78C46DF4}"/>
  <tableColumns count="3">
    <tableColumn id="1" xr3:uid="{B4CDCF07-E9DA-48C6-997D-76B3FCF36D4E}" name="Date" dataDxfId="34" totalsRowDxfId="33"/>
    <tableColumn id="2" xr3:uid="{EC66B9BB-B8FA-42B5-8213-88EBD296FC5F}" name="Advance" totalsRowFunction="sum">
      <calculatedColumnFormula>SUMIFS(Table14[Debit], Table14[Date], Table16[[#This Row],[Date]], Table14[Party], "Advance Salary", Table14[Description], Table16[[#This Row],[Person]] )</calculatedColumnFormula>
    </tableColumn>
    <tableColumn id="3" xr3:uid="{BC0CDAC8-9BF5-4D1D-BC37-F21C6DCD121A}" name="Perso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C0FB00E-7891-4B95-9745-5B80379EF134}" name="Table27" displayName="Table27" ref="I1:J15" totalsRowShown="0">
  <autoFilter ref="I1:J15" xr:uid="{2C0FB00E-7891-4B95-9745-5B80379EF134}"/>
  <tableColumns count="2">
    <tableColumn id="1" xr3:uid="{0127B7E3-21DB-49D4-AC92-5E0DDEB604DB}" name="Dyes"/>
    <tableColumn id="2" xr3:uid="{14AC71FD-4E06-408F-AE98-D9DF389D6D96}" name="Rat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AC86A1A-C912-4DAC-8EB2-BAD98D6C0765}" name="Table30" displayName="Table30" ref="A5:D21" totalsRowCount="1">
  <autoFilter ref="A5:D20" xr:uid="{FAC86A1A-C912-4DAC-8EB2-BAD98D6C0765}"/>
  <tableColumns count="4">
    <tableColumn id="1" xr3:uid="{DBAD9FC1-B863-4C1E-99A9-8B6EF191A924}" name="Dyes"/>
    <tableColumn id="2" xr3:uid="{887B1384-54AE-4684-AA2D-D5833F2CD73F}" name="Weight" totalsRowFunction="sum"/>
    <tableColumn id="3" xr3:uid="{310941F3-4E7A-47CD-8271-59D35A9B7B50}" name="Cost" totalsRowFunction="custom" dataDxfId="142" totalsRowDxfId="141">
      <calculatedColumnFormula>_xlfn.XLOOKUP(Table30[[#This Row],[Dyes]],Table27[Dyes],Table27[Rate],"NF")*Table30[[#This Row],[Weight]]</calculatedColumnFormula>
      <totalsRowFormula>SUBTOTAL(9,C6:C19)</totalsRowFormula>
    </tableColumn>
    <tableColumn id="4" xr3:uid="{8C7F84A0-37EF-4D75-BA57-D6CF409E45BB}" name="Column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972889E-3FB0-4F9B-AE43-6178CAC7755E}" name="Table3032" displayName="Table3032" ref="A30:D46" totalsRowCount="1">
  <autoFilter ref="A30:D45" xr:uid="{D972889E-3FB0-4F9B-AE43-6178CAC7755E}"/>
  <tableColumns count="4">
    <tableColumn id="1" xr3:uid="{481287B9-92CA-4310-B36E-9B6F65FCBD87}" name="Dyes"/>
    <tableColumn id="2" xr3:uid="{55843578-EAB2-42BE-932E-5DD7A24E5F39}" name="Weight" totalsRowFunction="sum"/>
    <tableColumn id="3" xr3:uid="{87DA0B8B-494D-4A25-908C-30771C62B82E}" name="Cost" totalsRowFunction="custom" dataDxfId="140" totalsRowDxfId="139">
      <calculatedColumnFormula>_xlfn.XLOOKUP(Table3032[[#This Row],[Dyes]],Table27[Dyes],Table27[Rate],"NF")*Table3032[[#This Row],[Weight]]</calculatedColumnFormula>
      <totalsRowFormula>SUBTOTAL(9,C31:C44)</totalsRowFormula>
    </tableColumn>
    <tableColumn id="4" xr3:uid="{63ABAD64-16E8-4C5C-91CA-26F96215DC8D}" name="Column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0EAB1A1-AA73-4D4A-AFFB-70B2CD2912FE}" name="Table3033" displayName="Table3033" ref="A53:D69" totalsRowCount="1">
  <autoFilter ref="A53:D68" xr:uid="{40EAB1A1-AA73-4D4A-AFFB-70B2CD2912FE}"/>
  <tableColumns count="4">
    <tableColumn id="1" xr3:uid="{EED2467C-C23D-42C3-B99A-42ED6ADB8CF2}" name="Dyes"/>
    <tableColumn id="2" xr3:uid="{64A2FCE8-2BE0-4858-B6D1-5030B9D49397}" name="Weight" totalsRowFunction="sum"/>
    <tableColumn id="3" xr3:uid="{07BF2BAC-F894-465C-9471-CE20A50594B6}" name="Cost" totalsRowFunction="custom" dataDxfId="138" totalsRowDxfId="137">
      <calculatedColumnFormula>_xlfn.XLOOKUP(Table3033[[#This Row],[Dyes]],Table27[Dyes],Table27[Rate],"NF")*Table3033[[#This Row],[Weight]]</calculatedColumnFormula>
      <totalsRowFormula>SUBTOTAL(9,C54:C67)</totalsRowFormula>
    </tableColumn>
    <tableColumn id="4" xr3:uid="{0C640DA5-A53E-4A2A-A3D8-EA10D400E5C6}" name="Column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FFFFBED-A8B0-4298-8633-34594D0BE7A6}" name="Table303334" displayName="Table303334" ref="A76:D92" totalsRowCount="1">
  <autoFilter ref="A76:D91" xr:uid="{DFFFFBED-A8B0-4298-8633-34594D0BE7A6}"/>
  <tableColumns count="4">
    <tableColumn id="1" xr3:uid="{3D2EE0E1-6A2B-422B-BE3E-A93AC23DF24A}" name="Dyes"/>
    <tableColumn id="2" xr3:uid="{7069FED8-0F8E-44B4-AFA1-DACDA43A3F1B}" name="Weight" totalsRowFunction="sum"/>
    <tableColumn id="3" xr3:uid="{4BA80529-75F2-4698-B3C2-DB32DD2E1A85}" name="Cost" totalsRowFunction="custom" dataDxfId="136" totalsRowDxfId="135">
      <calculatedColumnFormula>_xlfn.XLOOKUP(Table303334[[#This Row],[Dyes]],Table27[Dyes],Table27[Rate],"NF")*Table303334[[#This Row],[Weight]]</calculatedColumnFormula>
      <totalsRowFormula>SUBTOTAL(9,C78:C90)</totalsRowFormula>
    </tableColumn>
    <tableColumn id="4" xr3:uid="{24AFA5D6-3D93-4B13-B118-7FAE7F887277}" name="Column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94C645-BA0B-477E-AE5E-02046C12E841}" name="Table5" displayName="Table5" ref="B2:E76" totalsRowCount="1">
  <autoFilter ref="B2:E75" xr:uid="{4694C645-BA0B-477E-AE5E-02046C12E841}"/>
  <tableColumns count="4">
    <tableColumn id="1" xr3:uid="{1D391A77-9D14-4B37-AD91-EEEDC97B6A4E}" name="Date" dataDxfId="23" totalsRowDxfId="22"/>
    <tableColumn id="2" xr3:uid="{B579509C-6B30-4107-AD5D-29484D2620F7}" name="Type"/>
    <tableColumn id="3" xr3:uid="{4563E1C4-DFFB-47FA-BCFB-33EA270AD884}" name="Amount" totalsRowFunction="custom">
      <calculatedColumnFormula>SUMIFS(Table14[Debit], Table14[Date], Table5[[#This Row],[Date]], Table14[Party], "Rashan")</calculatedColumnFormula>
      <totalsRowFormula>SUM(Table5[Amount])</totalsRowFormula>
    </tableColumn>
    <tableColumn id="4" xr3:uid="{7D5F88DD-337D-497A-A5B0-AF06B47BEDD2}" name="Column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265B0E-A50D-4BC5-9C1C-E62AF5B48CAF}" name="Table15" displayName="Table15" ref="H2:J77" totalsRowCount="1">
  <autoFilter ref="H2:J76" xr:uid="{A7265B0E-A50D-4BC5-9C1C-E62AF5B48CAF}"/>
  <tableColumns count="3">
    <tableColumn id="1" xr3:uid="{AB5830E5-ECCF-4406-AB96-EB98EE86F300}" name="Date" dataDxfId="21" totalsRowDxfId="20"/>
    <tableColumn id="2" xr3:uid="{4EBD2B2B-3B34-41C2-ABCE-6323AB3BD2BC}" name="Type"/>
    <tableColumn id="3" xr3:uid="{D68E9581-5913-4B55-8149-35CB7814F997}" name="Amount" totalsRowFunction="custom">
      <calculatedColumnFormula>SUMIFS(Table14[Debit], Table14[Date], Table15[[#This Row],[Date]], Table14[Party], "Parts")</calculatedColumnFormula>
      <totalsRowFormula>SUM(Table15[Amount])</totalsRowFormula>
    </tableColumn>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993807-B770-4023-98E3-8834035352C5}" name="Table22" displayName="Table22" ref="A1:C40" totalsRowShown="0">
  <autoFilter ref="A1:C40" xr:uid="{12993807-B770-4023-98E3-8834035352C5}"/>
  <sortState xmlns:xlrd2="http://schemas.microsoft.com/office/spreadsheetml/2017/richdata2" ref="A2:C40">
    <sortCondition descending="1" ref="C1:C40"/>
  </sortState>
  <tableColumns count="3">
    <tableColumn id="1" xr3:uid="{DF7536DF-F3D0-48F5-83DE-312320C1F7F4}" name="Party Name" dataDxfId="19">
      <calculatedColumnFormula>Billing!R5</calculatedColumnFormula>
    </tableColumn>
    <tableColumn id="2" xr3:uid="{7093A59E-B58F-487D-888A-9AA8156B5F9A}" name="Amount Paid" dataDxfId="18">
      <calculatedColumnFormula>Billing!AF5</calculatedColumnFormula>
    </tableColumn>
    <tableColumn id="3" xr3:uid="{82D37DD3-FDA4-4C89-BBC6-89947894747E}" name="Balanc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FCFD9F-93FF-4AFC-90E2-CE42E8512CA2}" name="Table25" displayName="Table25" ref="A1:B38" totalsRowShown="0">
  <autoFilter ref="A1:B38" xr:uid="{EFFCFD9F-93FF-4AFC-90E2-CE42E8512CA2}"/>
  <tableColumns count="2">
    <tableColumn id="1" xr3:uid="{31AA849F-784A-4EE5-9A44-4DB4BC5751A0}" name="Party Names" dataDxfId="17">
      <calculatedColumnFormula>G2</calculatedColumnFormula>
    </tableColumn>
    <tableColumn id="2" xr3:uid="{F72CFEEB-BA11-4A49-BD19-88592EB6A27C}" name="Credit" dataDxfId="16" dataCellStyle="Comma">
      <calculatedColumnFormula>_xlfn.XLOOKUP($A2,[1]Billing!$Q$5:$Q$40,[1]Billing!$AD$5:$AD$40)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07/relationships/slicer" Target="../slicers/slicer3.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4.xml"/><Relationship Id="rId5" Type="http://schemas.openxmlformats.org/officeDocument/2006/relationships/table" Target="../tables/table17.xml"/><Relationship Id="rId4"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07/relationships/slicer" Target="../slicers/slicer5.xml"/><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 Id="rId5" Type="http://schemas.openxmlformats.org/officeDocument/2006/relationships/table" Target="../tables/table27.xml"/><Relationship Id="rId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3788-DC3D-4686-B6D6-08186A86599F}">
  <dimension ref="A1:AI133"/>
  <sheetViews>
    <sheetView topLeftCell="A2" zoomScaleNormal="100" workbookViewId="0">
      <selection activeCell="X39" sqref="X39"/>
    </sheetView>
  </sheetViews>
  <sheetFormatPr defaultRowHeight="14.4" x14ac:dyDescent="0.3"/>
  <cols>
    <col min="2" max="2" width="12.88671875" bestFit="1" customWidth="1"/>
    <col min="3" max="3" width="13.6640625" customWidth="1"/>
    <col min="4" max="4" width="12.5546875" customWidth="1"/>
    <col min="5" max="5" width="11" customWidth="1"/>
    <col min="6" max="6" width="13.33203125" customWidth="1"/>
    <col min="7" max="7" width="15.88671875" bestFit="1" customWidth="1"/>
    <col min="8" max="8" width="12.33203125" bestFit="1" customWidth="1"/>
    <col min="9" max="10" width="12.33203125" customWidth="1"/>
    <col min="11" max="11" width="15.33203125" bestFit="1" customWidth="1"/>
    <col min="12" max="12" width="13.6640625" customWidth="1"/>
    <col min="13" max="13" width="11.109375" bestFit="1" customWidth="1"/>
    <col min="14" max="14" width="14.44140625" customWidth="1"/>
    <col min="15" max="16" width="16.21875" customWidth="1"/>
    <col min="17" max="17" width="11.44140625" customWidth="1"/>
    <col min="18" max="18" width="16.21875" customWidth="1"/>
    <col min="19" max="19" width="19.109375" customWidth="1"/>
    <col min="20" max="20" width="11.109375" customWidth="1"/>
    <col min="21" max="21" width="13.88671875" customWidth="1"/>
    <col min="22" max="22" width="15.21875" bestFit="1" customWidth="1"/>
    <col min="23" max="23" width="12" bestFit="1" customWidth="1"/>
    <col min="24" max="24" width="13.109375" customWidth="1"/>
    <col min="25" max="25" width="15.5546875" bestFit="1" customWidth="1"/>
    <col min="26" max="26" width="12.33203125" bestFit="1" customWidth="1"/>
    <col min="27" max="27" width="12.33203125" customWidth="1"/>
    <col min="28" max="28" width="14.21875" customWidth="1"/>
    <col min="29" max="30" width="12.33203125" customWidth="1"/>
    <col min="31" max="31" width="11.33203125" bestFit="1" customWidth="1"/>
    <col min="32" max="32" width="15.5546875" customWidth="1"/>
    <col min="33" max="33" width="13.6640625" customWidth="1"/>
    <col min="35" max="35" width="15.88671875" customWidth="1"/>
    <col min="38" max="38" width="12.109375" customWidth="1"/>
    <col min="39" max="39" width="11.44140625" customWidth="1"/>
  </cols>
  <sheetData>
    <row r="1" spans="2:35" ht="28.8" x14ac:dyDescent="0.55000000000000004">
      <c r="B1" t="s">
        <v>2</v>
      </c>
      <c r="C1" t="s">
        <v>3</v>
      </c>
      <c r="D1" t="s">
        <v>4</v>
      </c>
      <c r="E1" t="s">
        <v>5</v>
      </c>
      <c r="G1" s="9" t="s">
        <v>0</v>
      </c>
    </row>
    <row r="2" spans="2:35" x14ac:dyDescent="0.3">
      <c r="B2" t="str">
        <f t="shared" ref="B2:B18" si="0">B49</f>
        <v>BSC</v>
      </c>
      <c r="C2" s="18">
        <f>SUMIFS(ledger!G:G, ledger!B:B, B2, ledger!E:E, "&lt;&gt;*RD*") / 1.0936</f>
        <v>830695.86686174106</v>
      </c>
      <c r="D2">
        <v>10</v>
      </c>
      <c r="E2" s="14">
        <f>(SUMIFS(ledger!G:G, ledger!B:B, B2, ledger!E:E, "&lt;&gt;*RD*",ledger!D:D, "Silky") / 1.0936)*12 + (SUMIFS(ledger!G:G, ledger!B:B, B2, ledger!E:E, "&lt;&gt;*RD*",ledger!D:D, "Chamki") / 1.0936)*10</f>
        <v>5987757.8639356261</v>
      </c>
      <c r="I2" t="s">
        <v>21</v>
      </c>
      <c r="R2" t="s">
        <v>1</v>
      </c>
    </row>
    <row r="3" spans="2:35" x14ac:dyDescent="0.3">
      <c r="B3" t="str">
        <f t="shared" si="0"/>
        <v>Ejaz Sahab</v>
      </c>
      <c r="C3" s="18">
        <f>SUMIFS(ledger!G:G, ledger!B:B, B3, ledger!E:E, "&lt;&gt;*RD*") / 1.0936</f>
        <v>83720.73884418435</v>
      </c>
      <c r="D3">
        <v>10</v>
      </c>
      <c r="E3" s="14">
        <f>(SUMIFS(ledger!G:G, ledger!B:B, B3, ledger!E:E, "&lt;&gt;*RD*",ledger!D:D, "Silky") / 1.0936)*12 + (SUMIFS(ledger!G:G, ledger!B:B, B3, ledger!E:E, "&lt;&gt;*RD*",ledger!D:D, "Chamki") / 1.0936)*10</f>
        <v>1004648.8661302122</v>
      </c>
      <c r="I3" t="s">
        <v>22</v>
      </c>
    </row>
    <row r="4" spans="2:35" x14ac:dyDescent="0.3">
      <c r="B4" t="str">
        <f t="shared" si="0"/>
        <v>Arshad</v>
      </c>
      <c r="C4" s="18">
        <f>SUMIFS(ledger!G:G, ledger!B:B, B4, ledger!E:E, "&lt;&gt;*RD*") / 1.0936</f>
        <v>115056.69348939284</v>
      </c>
      <c r="D4">
        <v>10</v>
      </c>
      <c r="E4" s="14">
        <f>(SUMIFS(ledger!G:G, ledger!B:B, B4, ledger!E:E, "&lt;&gt;*RD*",ledger!D:D, "Silky") / 1.0936)*12 + (SUMIFS(ledger!G:G, ledger!B:B, B4, ledger!E:E, "&lt;&gt;*RD*",ledger!D:D, "Chamki") / 1.0936)*10</f>
        <v>1189264.8134601316</v>
      </c>
      <c r="I4" t="s">
        <v>9</v>
      </c>
      <c r="R4" s="21"/>
      <c r="S4" s="23" t="s">
        <v>10</v>
      </c>
      <c r="T4" s="23" t="s">
        <v>11</v>
      </c>
      <c r="U4" s="23" t="s">
        <v>12</v>
      </c>
      <c r="V4" s="23" t="s">
        <v>13</v>
      </c>
      <c r="W4" s="23" t="s">
        <v>14</v>
      </c>
      <c r="X4" s="23" t="s">
        <v>15</v>
      </c>
      <c r="Y4" s="23" t="s">
        <v>179</v>
      </c>
      <c r="Z4" s="23" t="s">
        <v>180</v>
      </c>
      <c r="AA4" s="23" t="s">
        <v>200</v>
      </c>
      <c r="AB4" s="23" t="s">
        <v>201</v>
      </c>
      <c r="AC4" s="23" t="s">
        <v>206</v>
      </c>
      <c r="AD4" s="23" t="s">
        <v>383</v>
      </c>
      <c r="AE4" s="23" t="s">
        <v>16</v>
      </c>
      <c r="AF4" s="23" t="s">
        <v>17</v>
      </c>
      <c r="AG4" s="23" t="s">
        <v>18</v>
      </c>
      <c r="AH4" s="23" t="s">
        <v>19</v>
      </c>
      <c r="AI4" s="23" t="s">
        <v>20</v>
      </c>
    </row>
    <row r="5" spans="2:35" x14ac:dyDescent="0.3">
      <c r="B5" t="str">
        <f t="shared" si="0"/>
        <v>Shehzad Kamoki</v>
      </c>
      <c r="C5" s="18">
        <f>SUMIFS(ledger!G:G, ledger!B:B, B5, ledger!E:E, "&lt;&gt;*RD*") / 1.0936</f>
        <v>0</v>
      </c>
      <c r="D5">
        <v>10.5</v>
      </c>
      <c r="E5" s="14">
        <f>(SUMIFS(ledger!G:G, ledger!B:B, B5, ledger!E:E, "&lt;&gt;*RD*",ledger!D:D, "Silky") / 1.0936)*12 + (SUMIFS(ledger!G:G, ledger!B:B, B5, ledger!E:E, "&lt;&gt;*RD*",ledger!D:D, "Chamki") / 1.0936)*10.5</f>
        <v>0</v>
      </c>
      <c r="I5" t="s">
        <v>23</v>
      </c>
      <c r="R5" s="24" t="str" cm="1">
        <f t="array" ref="R5:R40">_xlfn.UNIQUE(Table1[Party Name])</f>
        <v>BSC</v>
      </c>
      <c r="S5" s="22" cm="1">
        <f t="array" ref="S5">_xlfn.BYROW(B49,_xlfn.LAMBDA(_xlpm.party,SUMIFS(ledger!G:G,ledger!B:B,_xlpm.party,ledger!E:E,"&lt;&gt;*RD*")))+_xlfn.IFNA(C98,0)</f>
        <v>4561215.8824000005</v>
      </c>
      <c r="T5" s="22" cm="1">
        <f t="array" ref="T5">_xlfn.BYROW(B49, _xlfn.LAMBDA(_xlpm.party, SUMIFS(ledger!G:G, ledger!B:B, _xlpm.party, ledger!E:E, "&lt;&gt;*RD*") / 1.0936 ))+_xlfn.IFNA(D98,0)</f>
        <v>4170826.5201170449</v>
      </c>
      <c r="U5" s="22" cm="1">
        <f t="array" ref="U5">(_xlfn.BYROW(B49,_xlfn.LAMBDA(_xlpm.party,SUMIFS(ledger!G:G,ledger!B:B,_xlpm.party,ledger!E:E,"&lt;&gt;*RD*",ledger!D:D,"Chamki")+SUMIFS(ledger!G:G, ledger!B:B, _xlpm.party, ledger!E:E, "&lt;&gt;*RD*", ledger!D:D, "Crinkle")))/1.0936)+_xlfn.IFNA(E98,0)</f>
        <v>3220573.2282370157</v>
      </c>
      <c r="V5" s="70" cm="1">
        <f t="array" ref="V5">(_xlfn.BYROW(B49,_xlfn.LAMBDA(_xlpm.party,SUMIFS(ledger!G:G,ledger!B:B,_xlpm.party,ledger!E:E,"&lt;&gt;*RD*",ledger!D:D,"Silky")))/1.0936)+_xlfn.IFNA(F98,0)</f>
        <v>756880.94367227517</v>
      </c>
      <c r="W5" s="22" cm="1">
        <f t="array" ref="W5">(_xlfn.BYROW(B49,_xlfn.LAMBDA(_xlpm.party,
(SUMIFS(ledger!J:J,ledger!B:B,_xlpm.party,ledger!E:E,"&lt;&gt;*RD*",ledger!D:D,"Chamki",ledger!C:C,"&lt;&gt;January Closing CF")+
SUMIFS(ledger!J:J,ledger!B:B,_xlpm.party,ledger!E:E,"&lt;&gt;*RD*",ledger!D:D,"Crinkle",ledger!C:C,"&lt;&gt;January Closing CF")
)+_xlfn.IFNA(G98,0))))</f>
        <v>32205732.282370161</v>
      </c>
      <c r="X5" s="70" cm="1">
        <f t="array" ref="X5">_xlfn.BYROW(B49, _xlfn.LAMBDA(_xlpm.party,
   SUMIFS(ledger!J:J, ledger!B:B, _xlpm.party, ledger!E:E, "&lt;&gt;*RD*", ledger!D:D, "Silky", ledger!C:C, "&lt;&gt;January Closing CF")
)) + _xlfn.IFNA(H98, 0)</f>
        <v>9751096.3789319675</v>
      </c>
      <c r="Y5" s="70" cm="1">
        <f t="array" ref="Y5">_xlfn.BYROW(B49, _xlfn.LAMBDA(_xlpm.party,
   SUMIFS(ledger!J:J, ledger!B:B, _xlpm.party, ledger!E:E, "&lt;&gt;*RD*", ledger!D:D, "Slub", ledger!C:C, "&lt;&gt;January Closing CF")
))+ _xlfn.IFNA(I98, 0)</f>
        <v>0</v>
      </c>
      <c r="Z5" s="70" cm="1">
        <f t="array" ref="Z5">_xlfn.BYROW(B49, _xlfn.LAMBDA(_xlpm.party,
   SUMIFS(ledger!J:J, ledger!B:B, _xlpm.party, ledger!E:E, "&lt;&gt;*RD*", ledger!D:D, "Satin", ledger!C:C, "&lt;&gt;January Closing CF")
))+ _xlfn.IFNA(J98, 0)</f>
        <v>0</v>
      </c>
      <c r="AA5" s="70" cm="1">
        <f t="array" ref="AA5">_xlfn.BYROW(B49, _xlfn.LAMBDA(_xlpm.party,
   SUMIFS(ledger!J:J, ledger!B:B, _xlpm.party, ledger!E:E, "&lt;&gt;*RD*", ledger!D:D, "Black-Chamki", ledger!C:C, "&lt;&gt;January Closing CF")
))+ _xlfn.IFNA(K98, 0)</f>
        <v>0</v>
      </c>
      <c r="AB5" s="70" cm="1">
        <f t="array" ref="AB5">_xlfn.BYROW(B49, _xlfn.LAMBDA(_xlpm.party,
   SUMIFS(ledger!J:J, ledger!B:B, _xlpm.party, ledger!E:E, "&lt;&gt;*RD*", ledger!D:D, "Kataan", ledger!C:C, "&lt;&gt;January Closing CF")
))+ _xlfn.IFNA(L98, 0)</f>
        <v>2127095.8302852963</v>
      </c>
      <c r="AC5" s="70" cm="1">
        <f t="array" ref="AC5">_xlfn.BYROW(B49, _xlfn.LAMBDA(_xlpm.party,
   SUMIFS(ledger!J:J, ledger!B:B, _xlpm.party, ledger!E:E, "&lt;&gt;*RD*", ledger!D:D, "Munaar", ledger!C:C, "&lt;&gt;January Closing CF")
))+ _xlfn.IFNA(M98, 0)</f>
        <v>0</v>
      </c>
      <c r="AD5" s="70" cm="1">
        <f t="array" ref="AD5">_xlfn.BYROW(B49, _xlfn.LAMBDA(_xlpm.party,
   SUMIFS(ledger!J:J, ledger!B:B, _xlpm.party, ledger!E:E, "&lt;&gt;*RD*", ledger!D:D, "Custom", ledger!C:C, "&lt;&gt;January Closing CF")
))+ _xlfn.IFNA(N98, 0)</f>
        <v>0</v>
      </c>
      <c r="AE5" s="39">
        <f>W5+X5+Y5+Z5+AA5+AB5+AC5+AD5</f>
        <v>44083924.491587423</v>
      </c>
      <c r="AF5" s="22">
        <f>(SUMIF(Table14[Party],#REF!,Table14[Credit]))+_xlfn.IFNA(P98,0)</f>
        <v>19750734</v>
      </c>
      <c r="AG5" s="33">
        <f>AE5-AF5</f>
        <v>24333190.491587423</v>
      </c>
      <c r="AH5" s="21">
        <v>10</v>
      </c>
      <c r="AI5" s="21">
        <v>13</v>
      </c>
    </row>
    <row r="6" spans="2:35" x14ac:dyDescent="0.3">
      <c r="B6" t="str">
        <f t="shared" si="0"/>
        <v>Sufi Nawaz Sahab</v>
      </c>
      <c r="C6" s="18">
        <f>SUMIFS(ledger!G:G, ledger!B:B, B6, ledger!E:E, "&lt;&gt;*RD*") / 1.0936</f>
        <v>0</v>
      </c>
      <c r="D6">
        <v>10</v>
      </c>
      <c r="E6" s="14">
        <f>((SUMIFS(ledger!G:G, ledger!B:B, B6, ledger!E:E, "&lt;&gt;*RD*",ledger!D:D, "Silky") / 1.0936) *12) + ((SUMIFS(ledger!G:G, ledger!B:B, B6, ledger!E:E, "&lt;&gt;*RD*",ledger!D:D, "Chamki") / 1.0936)* 9)</f>
        <v>0</v>
      </c>
      <c r="I6" t="s">
        <v>24</v>
      </c>
      <c r="P6" s="24"/>
      <c r="R6" t="str">
        <v>Ejaz Sahab</v>
      </c>
      <c r="S6" s="22" cm="1">
        <f t="array" ref="S6">_xlfn.BYROW(B50,_xlfn.LAMBDA(_xlpm.party,SUMIFS(ledger!G:G,ledger!B:B,_xlpm.party,ledger!E:E,"&lt;&gt;*RD*")))+_xlfn.IFNA(C99,0)</f>
        <v>672036</v>
      </c>
      <c r="T6" s="22" cm="1">
        <f t="array" ref="T6">_xlfn.BYROW(B50, _xlfn.LAMBDA(_xlpm.party, SUMIFS(ledger!G:G, ledger!B:B, _xlpm.party, ledger!E:E, "&lt;&gt;*RD*") / 1.0936 ))+_xlfn.IFNA(D99,0)</f>
        <v>614517.19092904171</v>
      </c>
      <c r="U6" s="22" cm="1">
        <f t="array" ref="U6">(_xlfn.BYROW(B50,_xlfn.LAMBDA(_xlpm.party,SUMIFS(ledger!G:G,ledger!B:B,_xlpm.party,ledger!E:E,"&lt;&gt;*RD*",ledger!D:D,"Chamki")+SUMIFS(ledger!G:G, ledger!B:B, _xlpm.party, ledger!E:E, "&lt;&gt;*RD*", ledger!D:D, "Crinkle")))/1.0936)+_xlfn.IFNA(E99,0)</f>
        <v>148145.57425018289</v>
      </c>
      <c r="V6" s="70" cm="1">
        <f t="array" ref="V6">(_xlfn.BYROW(B50,_xlfn.LAMBDA(_xlpm.party,SUMIFS(ledger!G:G,ledger!B:B,_xlpm.party,ledger!E:E,"&lt;&gt;*RD*",ledger!D:D,"Silky")))/1.0936)+_xlfn.IFNA(F99,0)</f>
        <v>466371.61667885887</v>
      </c>
      <c r="W6" s="22" cm="1">
        <f t="array" ref="W6">(_xlfn.BYROW(B50,_xlfn.LAMBDA(_xlpm.party,
(SUMIFS(ledger!J:J,ledger!B:B,_xlpm.party,ledger!E:E,"&lt;&gt;*RD*",ledger!D:D,"Chamki",ledger!C:C,"&lt;&gt;January Closing CF")+
SUMIFS(ledger!J:J,ledger!B:B,_xlpm.party,ledger!E:E,"&lt;&gt;*RD*",ledger!D:D,"Crinkle",ledger!C:C,"&lt;&gt;January Closing CF")
)+_xlfn.IFNA(G99,0))))</f>
        <v>1481455.7425018288</v>
      </c>
      <c r="X6" s="70" cm="1">
        <f t="array" ref="X6">_xlfn.BYROW(B50, _xlfn.LAMBDA(_xlpm.party,
   SUMIFS(ledger!J:J, ledger!B:B, _xlpm.party, ledger!E:E, "&lt;&gt;*RD*", ledger!D:D, "Silky", ledger!C:C, "&lt;&gt;January Closing CF")
)) + _xlfn.IFNA(H99, 0)</f>
        <v>6003686.9056327734</v>
      </c>
      <c r="Y6" s="70" cm="1">
        <f t="array" ref="Y6">_xlfn.BYROW(B50, _xlfn.LAMBDA(_xlpm.party,
   SUMIFS(ledger!J:J, ledger!B:B, _xlpm.party, ledger!E:E, "&lt;&gt;*RD*", ledger!D:D, "Slub", ledger!C:C, "&lt;&gt;January Closing CF")
))+ _xlfn.IFNA(I99, 0)</f>
        <v>0</v>
      </c>
      <c r="Z6" s="70" cm="1">
        <f t="array" ref="Z6">_xlfn.BYROW(B50, _xlfn.LAMBDA(_xlpm.party,
   SUMIFS(ledger!J:J, ledger!B:B, _xlpm.party, ledger!E:E, "&lt;&gt;*RD*", ledger!D:D, "Satin", ledger!C:C, "&lt;&gt;January Closing CF")
))+ _xlfn.IFNA(J99, 0)</f>
        <v>0</v>
      </c>
      <c r="AA6" s="70" cm="1">
        <f t="array" ref="AA6">_xlfn.BYROW(B50, _xlfn.LAMBDA(_xlpm.party,
   SUMIFS(ledger!J:J, ledger!B:B, _xlpm.party, ledger!E:E, "&lt;&gt;*RD*", ledger!D:D, "Black-Chamki", ledger!C:C, "&lt;&gt;January Closing CF")
))+ _xlfn.IFNA(K99, 0)</f>
        <v>0</v>
      </c>
      <c r="AB6" s="70" cm="1">
        <f t="array" ref="AB6">_xlfn.BYROW(B50, _xlfn.LAMBDA(_xlpm.party,
   SUMIFS(ledger!J:J, ledger!B:B, _xlpm.party, ledger!E:E, "&lt;&gt;*RD*", ledger!D:D, "Kataan", ledger!C:C, "&lt;&gt;January Closing CF")
))+ _xlfn.IFNA(L99, 0)</f>
        <v>0</v>
      </c>
      <c r="AC6" s="70" cm="1">
        <f t="array" ref="AC6">_xlfn.BYROW(B50, _xlfn.LAMBDA(_xlpm.party,
   SUMIFS(ledger!J:J, ledger!B:B, _xlpm.party, ledger!E:E, "&lt;&gt;*RD*", ledger!D:D, "Munaar", ledger!C:C, "&lt;&gt;January Closing CF")
))+ _xlfn.IFNA(M99, 0)</f>
        <v>0</v>
      </c>
      <c r="AD6" s="70" cm="1">
        <f t="array" ref="AD6">_xlfn.BYROW(B50, _xlfn.LAMBDA(_xlpm.party,
   SUMIFS(ledger!J:J, ledger!B:B, _xlpm.party, ledger!E:E, "&lt;&gt;*RD*", ledger!D:D, "Custom", ledger!C:C, "&lt;&gt;January Closing CF")
))+ _xlfn.IFNA(N99, 0)</f>
        <v>0</v>
      </c>
      <c r="AE6" s="39">
        <f t="shared" ref="AE6:AE38" si="1">W6+X6+Y6+Z6+AA6+AB6+AC6+AD6</f>
        <v>7485142.6481346022</v>
      </c>
      <c r="AF6" s="22">
        <f>(SUMIF(Table14[Party],R6,Table14[Credit]))+_xlfn.IFNA(P99,0)</f>
        <v>7214622</v>
      </c>
      <c r="AG6" s="33">
        <f t="shared" ref="AG6:AG36" si="2">AE6-AF6</f>
        <v>270520.64813460223</v>
      </c>
      <c r="AH6" s="21">
        <v>10</v>
      </c>
      <c r="AI6" s="21">
        <v>13</v>
      </c>
    </row>
    <row r="7" spans="2:35" x14ac:dyDescent="0.3">
      <c r="B7" t="str">
        <f t="shared" si="0"/>
        <v>Sajad Khan</v>
      </c>
      <c r="C7" s="18">
        <f>SUMIFS(ledger!G:G, ledger!B:B, B7, ledger!E:E, "&lt;&gt;*RD*") / 1.0936</f>
        <v>63240.673006583762</v>
      </c>
      <c r="D7">
        <v>10</v>
      </c>
      <c r="E7" s="14" cm="1">
        <f t="array" ref="E7">(SUMIFS(ledger!G:G, ledger!B:B, B7, ledger!E:E, "&lt;&gt;*RD*",ledger!D:D, "Silky") / 1.0936)*12 + (SUMIFS(ledger!G:G, ledger!B:B, B7, ledger!E:E, "&lt;&gt;*RD*",ledger!D:D, "Chamki") / 1.0936)*10 +(SUMIFS(ledger!G:G, ledger!B:B, party, ledger!E:E, "&lt;&gt;*RD*", ledger!D:D, "Crinkle")/ 1.0936)*10</f>
        <v>632406.73006583762</v>
      </c>
      <c r="I7" t="s">
        <v>25</v>
      </c>
      <c r="P7" s="24"/>
      <c r="R7" t="str">
        <v>Arshad</v>
      </c>
      <c r="S7" s="22" cm="1">
        <f t="array" ref="S7">_xlfn.BYROW(B51,_xlfn.LAMBDA(_xlpm.party,SUMIFS(ledger!G:G,ledger!B:B,_xlpm.party,ledger!E:E,"&lt;&gt;*RD*")))+_xlfn.IFNA(C100,0)</f>
        <v>1020419</v>
      </c>
      <c r="T7" s="22" cm="1">
        <f t="array" ref="T7">_xlfn.BYROW(B51, _xlfn.LAMBDA(_xlpm.party, SUMIFS(ledger!G:G, ledger!B:B, _xlpm.party, ledger!E:E, "&lt;&gt;*RD*") / 1.0936 ))+_xlfn.IFNA(D100,0)</f>
        <v>933082.47988295555</v>
      </c>
      <c r="U7" s="22" cm="1">
        <f t="array" ref="U7">(_xlfn.BYROW(B51,_xlfn.LAMBDA(_xlpm.party,SUMIFS(ledger!G:G,ledger!B:B,_xlpm.party,ledger!E:E,"&lt;&gt;*RD*",ledger!D:D,"Chamki")+SUMIFS(ledger!G:G, ledger!B:B, _xlpm.party, ledger!E:E, "&lt;&gt;*RD*", ledger!D:D, "Crinkle")))/1.0936)+_xlfn.IFNA(E100,0)</f>
        <v>767556.69348939287</v>
      </c>
      <c r="V7" s="70" cm="1">
        <f t="array" ref="V7">(_xlfn.BYROW(B51,_xlfn.LAMBDA(_xlpm.party,SUMIFS(ledger!G:G,ledger!B:B,_xlpm.party,ledger!E:E,"&lt;&gt;*RD*",ledger!D:D,"Silky")))/1.0936)+_xlfn.IFNA(F100,0)</f>
        <v>165525.78639356254</v>
      </c>
      <c r="W7" s="22" cm="1">
        <f t="array" ref="W7">(_xlfn.BYROW(B51,_xlfn.LAMBDA(_xlpm.party,
(SUMIFS(ledger!J:J,ledger!B:B,_xlpm.party,ledger!E:E,"&lt;&gt;*RD*",ledger!D:D,"Chamki",ledger!C:C,"&lt;&gt;January Closing CF")+
SUMIFS(ledger!J:J,ledger!B:B,_xlpm.party,ledger!E:E,"&lt;&gt;*RD*",ledger!D:D,"Crinkle",ledger!C:C,"&lt;&gt;January Closing CF")
)+_xlfn.IFNA(G100,0))))</f>
        <v>7675566.9348939285</v>
      </c>
      <c r="X7" s="70" cm="1">
        <f t="array" ref="X7">_xlfn.BYROW(B51, _xlfn.LAMBDA(_xlpm.party,
   SUMIFS(ledger!J:J, ledger!B:B, _xlpm.party, ledger!E:E, "&lt;&gt;*RD*", ledger!D:D, "Silky", ledger!C:C, "&lt;&gt;January Closing CF")
)) + _xlfn.IFNA(H100, 0)</f>
        <v>2137040.9656181419</v>
      </c>
      <c r="Y7" s="70" cm="1">
        <f t="array" ref="Y7">_xlfn.BYROW(B51, _xlfn.LAMBDA(_xlpm.party,
   SUMIFS(ledger!J:J, ledger!B:B, _xlpm.party, ledger!E:E, "&lt;&gt;*RD*", ledger!D:D, "Slub", ledger!C:C, "&lt;&gt;January Closing CF")
))+ _xlfn.IFNA(I100, 0)</f>
        <v>0</v>
      </c>
      <c r="Z7" s="70" cm="1">
        <f t="array" ref="Z7">_xlfn.BYROW(B51, _xlfn.LAMBDA(_xlpm.party,
   SUMIFS(ledger!J:J, ledger!B:B, _xlpm.party, ledger!E:E, "&lt;&gt;*RD*", ledger!D:D, "Satin", ledger!C:C, "&lt;&gt;January Closing CF")
))+ _xlfn.IFNA(J100, 0)</f>
        <v>0</v>
      </c>
      <c r="AA7" s="70" cm="1">
        <f t="array" ref="AA7">_xlfn.BYROW(B51, _xlfn.LAMBDA(_xlpm.party,
   SUMIFS(ledger!J:J, ledger!B:B, _xlpm.party, ledger!E:E, "&lt;&gt;*RD*", ledger!D:D, "Black-Chamki", ledger!C:C, "&lt;&gt;January Closing CF")
))+ _xlfn.IFNA(K100, 0)</f>
        <v>0</v>
      </c>
      <c r="AB7" s="70" cm="1">
        <f t="array" ref="AB7">_xlfn.BYROW(B51, _xlfn.LAMBDA(_xlpm.party,
   SUMIFS(ledger!J:J, ledger!B:B, _xlpm.party, ledger!E:E, "&lt;&gt;*RD*", ledger!D:D, "Kataan", ledger!C:C, "&lt;&gt;January Closing CF")
))+ _xlfn.IFNA(L100, 0)</f>
        <v>0</v>
      </c>
      <c r="AC7" s="70" cm="1">
        <f t="array" ref="AC7">_xlfn.BYROW(B51, _xlfn.LAMBDA(_xlpm.party,
   SUMIFS(ledger!J:J, ledger!B:B, _xlpm.party, ledger!E:E, "&lt;&gt;*RD*", ledger!D:D, "Munaar", ledger!C:C, "&lt;&gt;January Closing CF")
))+ _xlfn.IFNA(M100, 0)</f>
        <v>0</v>
      </c>
      <c r="AD7" s="70" cm="1">
        <f t="array" ref="AD7">_xlfn.BYROW(B51, _xlfn.LAMBDA(_xlpm.party,
   SUMIFS(ledger!J:J, ledger!B:B, _xlpm.party, ledger!E:E, "&lt;&gt;*RD*", ledger!D:D, "Custom", ledger!C:C, "&lt;&gt;January Closing CF")
))+ _xlfn.IFNA(N100, 0)</f>
        <v>0</v>
      </c>
      <c r="AE7" s="39">
        <f t="shared" si="1"/>
        <v>9812607.9005120695</v>
      </c>
      <c r="AF7" s="22">
        <f>(SUMIF(Table14[Party],R7,Table14[Credit]))+_xlfn.IFNA(P100,0)</f>
        <v>9775501</v>
      </c>
      <c r="AG7" s="33">
        <f t="shared" si="2"/>
        <v>37106.900512069464</v>
      </c>
      <c r="AH7" s="21">
        <v>10</v>
      </c>
      <c r="AI7" s="21">
        <v>13</v>
      </c>
    </row>
    <row r="8" spans="2:35" x14ac:dyDescent="0.3">
      <c r="B8" t="str">
        <f t="shared" si="0"/>
        <v>Raaz Fabrics</v>
      </c>
      <c r="C8" s="18">
        <f>SUMIFS(ledger!G:G, ledger!B:B, B8, ledger!E:E, "&lt;&gt;*RD*") / 1.0936</f>
        <v>23264.447695683983</v>
      </c>
      <c r="D8">
        <v>10</v>
      </c>
      <c r="E8" s="14">
        <f>(SUMIFS(ledger!G:G, ledger!B:B, B8, ledger!E:E, "&lt;&gt;*RD*",ledger!D:D, "Silky") / 1.0936)*12 + (SUMIFS(ledger!G:G, ledger!B:B, B8, ledger!E:E, "&lt;&gt;*RD*",ledger!D:D, "chamki") / 1.0936)*10 +(SUMIFS(ledger!G:G, ledger!B:B, B8, ledger!E:E, "&lt;&gt;*RD*",ledger!D:D, "Crinkle") / 1.0936)*10</f>
        <v>232644.47695683982</v>
      </c>
      <c r="I8" t="s">
        <v>26</v>
      </c>
      <c r="P8" s="24"/>
      <c r="R8" t="str">
        <v>Shehzad Kamoki</v>
      </c>
      <c r="S8" s="22" cm="1">
        <f t="array" ref="S8">_xlfn.BYROW(B52,_xlfn.LAMBDA(_xlpm.party,SUMIFS(ledger!G:G,ledger!B:B,_xlpm.party,ledger!E:E,"&lt;&gt;*RD*")))+_xlfn.IFNA(C101,0)</f>
        <v>143457</v>
      </c>
      <c r="T8" s="22" cm="1">
        <f t="array" ref="T8">_xlfn.BYROW(B52, _xlfn.LAMBDA(_xlpm.party, SUMIFS(ledger!G:G, ledger!B:B, _xlpm.party, ledger!E:E, "&lt;&gt;*RD*") / 1.0936 ))+_xlfn.IFNA(D101,0)</f>
        <v>131178.67593269935</v>
      </c>
      <c r="U8" s="22" cm="1">
        <f t="array" ref="U8">(_xlfn.BYROW(B52,_xlfn.LAMBDA(_xlpm.party,SUMIFS(ledger!G:G,ledger!B:B,_xlpm.party,ledger!E:E,"&lt;&gt;*RD*",ledger!D:D,"Chamki")+SUMIFS(ledger!G:G, ledger!B:B, _xlpm.party, ledger!E:E, "&lt;&gt;*RD*", ledger!D:D, "Crinkle")))/1.0936)+_xlfn.IFNA(E101,0)</f>
        <v>131178.67593269935</v>
      </c>
      <c r="V8" s="70" cm="1">
        <f t="array" ref="V8">(_xlfn.BYROW(B52,_xlfn.LAMBDA(_xlpm.party,SUMIFS(ledger!G:G,ledger!B:B,_xlpm.party,ledger!E:E,"&lt;&gt;*RD*",ledger!D:D,"Silky")))/1.0936)+_xlfn.IFNA(F101,0)</f>
        <v>0</v>
      </c>
      <c r="W8" s="22" cm="1">
        <f t="array" ref="W8">(_xlfn.BYROW(B52,_xlfn.LAMBDA(_xlpm.party,
(SUMIFS(ledger!J:J,ledger!B:B,_xlpm.party,ledger!E:E,"&lt;&gt;*RD*",ledger!D:D,"Chamki",ledger!C:C,"&lt;&gt;January Closing CF")+
SUMIFS(ledger!J:J,ledger!B:B,_xlpm.party,ledger!E:E,"&lt;&gt;*RD*",ledger!D:D,"Crinkle",ledger!C:C,"&lt;&gt;January Closing CF")
)+_xlfn.IFNA(G101,0))))</f>
        <v>1354241.9972933433</v>
      </c>
      <c r="X8" s="70" cm="1">
        <f t="array" ref="X8">_xlfn.BYROW(B52, _xlfn.LAMBDA(_xlpm.party,
   SUMIFS(ledger!J:J, ledger!B:B, _xlpm.party, ledger!E:E, "&lt;&gt;*RD*", ledger!D:D, "Silky", ledger!C:C, "&lt;&gt;January Closing CF")
)) + _xlfn.IFNA(H101, 0)</f>
        <v>0</v>
      </c>
      <c r="Y8" s="70" cm="1">
        <f t="array" ref="Y8">_xlfn.BYROW(B52, _xlfn.LAMBDA(_xlpm.party,
   SUMIFS(ledger!J:J, ledger!B:B, _xlpm.party, ledger!E:E, "&lt;&gt;*RD*", ledger!D:D, "Slub", ledger!C:C, "&lt;&gt;January Closing CF")
))+ _xlfn.IFNA(I101, 0)</f>
        <v>0</v>
      </c>
      <c r="Z8" s="70" cm="1">
        <f t="array" ref="Z8">_xlfn.BYROW(B52, _xlfn.LAMBDA(_xlpm.party,
   SUMIFS(ledger!J:J, ledger!B:B, _xlpm.party, ledger!E:E, "&lt;&gt;*RD*", ledger!D:D, "Satin", ledger!C:C, "&lt;&gt;January Closing CF")
))+ _xlfn.IFNA(J101, 0)</f>
        <v>0</v>
      </c>
      <c r="AA8" s="70" cm="1">
        <f t="array" ref="AA8">_xlfn.BYROW(B52, _xlfn.LAMBDA(_xlpm.party,
   SUMIFS(ledger!J:J, ledger!B:B, _xlpm.party, ledger!E:E, "&lt;&gt;*RD*", ledger!D:D, "Black-Chamki", ledger!C:C, "&lt;&gt;January Closing CF")
))+ _xlfn.IFNA(K101, 0)</f>
        <v>0</v>
      </c>
      <c r="AB8" s="70" cm="1">
        <f t="array" ref="AB8">_xlfn.BYROW(B52, _xlfn.LAMBDA(_xlpm.party,
   SUMIFS(ledger!J:J, ledger!B:B, _xlpm.party, ledger!E:E, "&lt;&gt;*RD*", ledger!D:D, "Kataan", ledger!C:C, "&lt;&gt;January Closing CF")
))+ _xlfn.IFNA(L101, 0)</f>
        <v>0</v>
      </c>
      <c r="AC8" s="70" cm="1">
        <f t="array" ref="AC8">_xlfn.BYROW(B52, _xlfn.LAMBDA(_xlpm.party,
   SUMIFS(ledger!J:J, ledger!B:B, _xlpm.party, ledger!E:E, "&lt;&gt;*RD*", ledger!D:D, "Munaar", ledger!C:C, "&lt;&gt;January Closing CF")
))+ _xlfn.IFNA(M101, 0)</f>
        <v>0</v>
      </c>
      <c r="AD8" s="70" cm="1">
        <f t="array" ref="AD8">_xlfn.BYROW(B52, _xlfn.LAMBDA(_xlpm.party,
   SUMIFS(ledger!J:J, ledger!B:B, _xlpm.party, ledger!E:E, "&lt;&gt;*RD*", ledger!D:D, "Custom", ledger!C:C, "&lt;&gt;January Closing CF")
))+ _xlfn.IFNA(N101, 0)</f>
        <v>0</v>
      </c>
      <c r="AE8" s="39">
        <f t="shared" si="1"/>
        <v>1354241.9972933433</v>
      </c>
      <c r="AF8" s="22">
        <f>(SUMIF(Table14[Party],R8,Table14[Credit]))+_xlfn.IFNA(P101,0)</f>
        <v>1353710</v>
      </c>
      <c r="AG8" s="33">
        <f t="shared" si="2"/>
        <v>531.99729334330186</v>
      </c>
      <c r="AH8" s="21">
        <v>10.5</v>
      </c>
      <c r="AI8" s="21">
        <v>13</v>
      </c>
    </row>
    <row r="9" spans="2:35" x14ac:dyDescent="0.3">
      <c r="B9" t="str">
        <f t="shared" si="0"/>
        <v>Azam</v>
      </c>
      <c r="C9" s="18">
        <f>SUMIFS(ledger!G:G, ledger!B:B, B9, ledger!E:E, "&lt;&gt;*RD*") / 1.0936</f>
        <v>0</v>
      </c>
      <c r="D9">
        <v>10</v>
      </c>
      <c r="E9" s="14">
        <f>(SUMIFS(ledger!G:G, ledger!B:B, B9, ledger!E:E, "&lt;&gt;*RD*",ledger!D:D, "Silky") / 1.0936)*12 + (SUMIFS(ledger!G:G, ledger!B:B, B9, ledger!E:E, "&lt;&gt;*RD*",ledger!D:D, "Chamki") / 1.0936)*10</f>
        <v>0</v>
      </c>
      <c r="I9" t="s">
        <v>152</v>
      </c>
      <c r="P9" s="24"/>
      <c r="R9" t="str">
        <v>Sufi Nawaz Sahab</v>
      </c>
      <c r="S9" s="22" cm="1">
        <f t="array" ref="S9">_xlfn.BYROW(B53,_xlfn.LAMBDA(_xlpm.party,SUMIFS(ledger!G:G,ledger!B:B,_xlpm.party,ledger!E:E,"&lt;&gt;*RD*")))+_xlfn.IFNA(C102,0)</f>
        <v>1212967</v>
      </c>
      <c r="T9" s="22" cm="1">
        <f t="array" ref="T9">_xlfn.BYROW(B53, _xlfn.LAMBDA(_xlpm.party, SUMIFS(ledger!G:G, ledger!B:B, _xlpm.party, ledger!E:E, "&lt;&gt;*RD*") / 1.0936 ))+_xlfn.IFNA(D102,0)</f>
        <v>1109150.5120702267</v>
      </c>
      <c r="U9" s="22" cm="1">
        <f t="array" ref="U9">(_xlfn.BYROW(B53,_xlfn.LAMBDA(_xlpm.party,SUMIFS(ledger!G:G,ledger!B:B,_xlpm.party,ledger!E:E,"&lt;&gt;*RD*",ledger!D:D,"Chamki")+SUMIFS(ledger!G:G, ledger!B:B, _xlpm.party, ledger!E:E, "&lt;&gt;*RD*", ledger!D:D, "Crinkle")))/1.0936)+_xlfn.IFNA(E102,0)</f>
        <v>599330.65106071695</v>
      </c>
      <c r="V9" s="70" cm="1">
        <f t="array" ref="V9">(_xlfn.BYROW(B53,_xlfn.LAMBDA(_xlpm.party,SUMIFS(ledger!G:G,ledger!B:B,_xlpm.party,ledger!E:E,"&lt;&gt;*RD*",ledger!D:D,"Silky")))/1.0936)+_xlfn.IFNA(F102,0)</f>
        <v>485823.88441843458</v>
      </c>
      <c r="W9" s="22" cm="1">
        <f t="array" ref="W9">(_xlfn.BYROW(B53,_xlfn.LAMBDA(_xlpm.party,
(SUMIFS(ledger!J:J,ledger!B:B,_xlpm.party,ledger!E:E,"&lt;&gt;*RD*",ledger!D:D,"Chamki",ledger!C:C,"&lt;&gt;January Closing CF")+
SUMIFS(ledger!J:J,ledger!B:B,_xlpm.party,ledger!E:E,"&lt;&gt;*RD*",ledger!D:D,"Crinkle",ledger!C:C,"&lt;&gt;January Closing CF")
)+_xlfn.IFNA(G102,0))))</f>
        <v>5408917.8595464528</v>
      </c>
      <c r="X9" s="70" cm="1">
        <f t="array" ref="X9">_xlfn.BYROW(B53, _xlfn.LAMBDA(_xlpm.party,
   SUMIFS(ledger!J:J, ledger!B:B, _xlpm.party, ledger!E:E, "&lt;&gt;*RD*", ledger!D:D, "Silky", ledger!C:C, "&lt;&gt;January Closing CF")
)) + _xlfn.IFNA(H102, 0)</f>
        <v>5829886.6130212145</v>
      </c>
      <c r="Y9" s="70" cm="1">
        <f t="array" ref="Y9">_xlfn.BYROW(B53, _xlfn.LAMBDA(_xlpm.party,
   SUMIFS(ledger!J:J, ledger!B:B, _xlpm.party, ledger!E:E, "&lt;&gt;*RD*", ledger!D:D, "Slub", ledger!C:C, "&lt;&gt;January Closing CF")
))+ _xlfn.IFNA(I102, 0)</f>
        <v>0</v>
      </c>
      <c r="Z9" s="70" cm="1">
        <f t="array" ref="Z9">_xlfn.BYROW(B53, _xlfn.LAMBDA(_xlpm.party,
   SUMIFS(ledger!J:J, ledger!B:B, _xlpm.party, ledger!E:E, "&lt;&gt;*RD*", ledger!D:D, "Satin", ledger!C:C, "&lt;&gt;January Closing CF")
))+ _xlfn.IFNA(J102, 0)</f>
        <v>239959.76591075349</v>
      </c>
      <c r="AA9" s="70" cm="1">
        <f t="array" ref="AA9">_xlfn.BYROW(B53, _xlfn.LAMBDA(_xlpm.party,
   SUMIFS(ledger!J:J, ledger!B:B, _xlpm.party, ledger!E:E, "&lt;&gt;*RD*", ledger!D:D, "Black-Chamki", ledger!C:C, "&lt;&gt;January Closing CF")
))+ _xlfn.IFNA(K102, 0)</f>
        <v>0</v>
      </c>
      <c r="AB9" s="70" cm="1">
        <f t="array" ref="AB9">_xlfn.BYROW(B53, _xlfn.LAMBDA(_xlpm.party,
   SUMIFS(ledger!J:J, ledger!B:B, _xlpm.party, ledger!E:E, "&lt;&gt;*RD*", ledger!D:D, "Kataan", ledger!C:C, "&lt;&gt;January Closing CF")
))+ _xlfn.IFNA(L102, 0)</f>
        <v>0</v>
      </c>
      <c r="AC9" s="70" cm="1">
        <f t="array" ref="AC9">_xlfn.BYROW(B53, _xlfn.LAMBDA(_xlpm.party,
   SUMIFS(ledger!J:J, ledger!B:B, _xlpm.party, ledger!E:E, "&lt;&gt;*RD*", ledger!D:D, "Munaar", ledger!C:C, "&lt;&gt;January Closing CF")
))+ _xlfn.IFNA(M102, 0)</f>
        <v>0</v>
      </c>
      <c r="AD9" s="70" cm="1">
        <f t="array" ref="AD9">_xlfn.BYROW(B53, _xlfn.LAMBDA(_xlpm.party,
   SUMIFS(ledger!J:J, ledger!B:B, _xlpm.party, ledger!E:E, "&lt;&gt;*RD*", ledger!D:D, "Custom", ledger!C:C, "&lt;&gt;January Closing CF")
))+ _xlfn.IFNA(N102, 0)</f>
        <v>0</v>
      </c>
      <c r="AE9" s="39">
        <f t="shared" si="1"/>
        <v>11478764.23847842</v>
      </c>
      <c r="AF9" s="22">
        <f>(SUMIF(Table14[Party],R9,Table14[Credit]))+_xlfn.IFNA(P102,0)</f>
        <v>11478764</v>
      </c>
      <c r="AG9" s="33">
        <f t="shared" si="2"/>
        <v>0.23847842030227184</v>
      </c>
      <c r="AH9" s="21">
        <v>10</v>
      </c>
      <c r="AI9" s="21">
        <v>13</v>
      </c>
    </row>
    <row r="10" spans="2:35" x14ac:dyDescent="0.3">
      <c r="B10" t="str">
        <f t="shared" si="0"/>
        <v>Ubaidullah</v>
      </c>
      <c r="C10" s="18">
        <f>SUMIFS(ledger!G:G, ledger!B:B, B10, ledger!E:E, "&lt;&gt;*RD*") / 1.0936</f>
        <v>100178.31016825166</v>
      </c>
      <c r="D10">
        <v>10</v>
      </c>
      <c r="E10" s="14">
        <f>(SUMIFS(ledger!G:G, ledger!B:B, B10, ledger!E:E, "&lt;&gt;*RD*",ledger!D:D, "Silky") / 1.0936)*12 + (SUMIFS(ledger!G:G, ledger!B:B, B10, ledger!E:E, "&lt;&gt;*RD*",ledger!D:D, "Chamki") / 1.0936)*10</f>
        <v>1202139.72201902</v>
      </c>
      <c r="I10" t="s">
        <v>35</v>
      </c>
      <c r="P10" s="24"/>
      <c r="R10" t="str">
        <v>Sajad Khan</v>
      </c>
      <c r="S10" s="22" cm="1">
        <f t="array" ref="S10">_xlfn.BYROW(B54,_xlfn.LAMBDA(_xlpm.party,SUMIFS(ledger!G:G,ledger!B:B,_xlpm.party,ledger!E:E,"&lt;&gt;*RD*")))+_xlfn.IFNA(C103,0)</f>
        <v>1135029</v>
      </c>
      <c r="T10" s="22" cm="1">
        <f t="array" ref="T10">_xlfn.BYROW(B54, _xlfn.LAMBDA(_xlpm.party, SUMIFS(ledger!G:G, ledger!B:B, _xlpm.party, ledger!E:E, "&lt;&gt;*RD*") / 1.0936 ))+_xlfn.IFNA(D103,0)</f>
        <v>1037883.1382589615</v>
      </c>
      <c r="U10" s="22" cm="1">
        <f t="array" ref="U10">(_xlfn.BYROW(B54,_xlfn.LAMBDA(_xlpm.party,SUMIFS(ledger!G:G,ledger!B:B,_xlpm.party,ledger!E:E,"&lt;&gt;*RD*",ledger!D:D,"Chamki")+SUMIFS(ledger!G:G, ledger!B:B, _xlpm.party, ledger!E:E, "&lt;&gt;*RD*", ledger!D:D, "Crinkle")))/1.0936)+_xlfn.IFNA(E103,0)</f>
        <v>1005535.8449158743</v>
      </c>
      <c r="V10" s="70" cm="1">
        <f t="array" ref="V10">(_xlfn.BYROW(B54,_xlfn.LAMBDA(_xlpm.party,SUMIFS(ledger!G:G,ledger!B:B,_xlpm.party,ledger!E:E,"&lt;&gt;*RD*",ledger!D:D,"Silky")))/1.0936)+_xlfn.IFNA(F103,0)</f>
        <v>0</v>
      </c>
      <c r="W10" s="22" cm="1">
        <f t="array" ref="W10">(_xlfn.BYROW(B54,_xlfn.LAMBDA(_xlpm.party,
(SUMIFS(ledger!J:J,ledger!B:B,_xlpm.party,ledger!E:E,"&lt;&gt;*RD*",ledger!D:D,"Chamki",ledger!C:C,"&lt;&gt;January Closing CF")+
SUMIFS(ledger!J:J,ledger!B:B,_xlpm.party,ledger!E:E,"&lt;&gt;*RD*",ledger!D:D,"Crinkle",ledger!C:C,"&lt;&gt;January Closing CF")
)+_xlfn.IFNA(G103,0))))</f>
        <v>10055358.449158743</v>
      </c>
      <c r="X10" s="70" cm="1">
        <f t="array" ref="X10">_xlfn.BYROW(B54, _xlfn.LAMBDA(_xlpm.party,
   SUMIFS(ledger!J:J, ledger!B:B, _xlpm.party, ledger!E:E, "&lt;&gt;*RD*", ledger!D:D, "Silky", ledger!C:C, "&lt;&gt;January Closing CF")
)) + _xlfn.IFNA(H103, 0)</f>
        <v>0</v>
      </c>
      <c r="Y10" s="70" cm="1">
        <f t="array" ref="Y10">_xlfn.BYROW(B54, _xlfn.LAMBDA(_xlpm.party,
   SUMIFS(ledger!J:J, ledger!B:B, _xlpm.party, ledger!E:E, "&lt;&gt;*RD*", ledger!D:D, "Slub", ledger!C:C, "&lt;&gt;January Closing CF")
))+ _xlfn.IFNA(I103, 0)</f>
        <v>71359.729334308722</v>
      </c>
      <c r="Z10" s="70" cm="1">
        <f t="array" ref="Z10">_xlfn.BYROW(B54, _xlfn.LAMBDA(_xlpm.party,
   SUMIFS(ledger!J:J, ledger!B:B, _xlpm.party, ledger!E:E, "&lt;&gt;*RD*", ledger!D:D, "Satin", ledger!C:C, "&lt;&gt;January Closing CF")
))+ _xlfn.IFNA(J103, 0)</f>
        <v>0</v>
      </c>
      <c r="AA10" s="70" cm="1">
        <f t="array" ref="AA10">_xlfn.BYROW(B54, _xlfn.LAMBDA(_xlpm.party,
   SUMIFS(ledger!J:J, ledger!B:B, _xlpm.party, ledger!E:E, "&lt;&gt;*RD*", ledger!D:D, "Black-Chamki", ledger!C:C, "&lt;&gt;January Closing CF")
))+ _xlfn.IFNA(K103, 0)</f>
        <v>322297.00073152891</v>
      </c>
      <c r="AB10" s="70" cm="1">
        <f t="array" ref="AB10">_xlfn.BYROW(B54, _xlfn.LAMBDA(_xlpm.party,
   SUMIFS(ledger!J:J, ledger!B:B, _xlpm.party, ledger!E:E, "&lt;&gt;*RD*", ledger!D:D, "Kataan", ledger!C:C, "&lt;&gt;January Closing CF")
))+ _xlfn.IFNA(L103, 0)</f>
        <v>0</v>
      </c>
      <c r="AC10" s="70" cm="1">
        <f t="array" ref="AC10">_xlfn.BYROW(B54, _xlfn.LAMBDA(_xlpm.party,
   SUMIFS(ledger!J:J, ledger!B:B, _xlpm.party, ledger!E:E, "&lt;&gt;*RD*", ledger!D:D, "Munaar", ledger!C:C, "&lt;&gt;January Closing CF")
))+ _xlfn.IFNA(M103, 0)</f>
        <v>0</v>
      </c>
      <c r="AD10" s="70" cm="1">
        <f t="array" ref="AD10">_xlfn.BYROW(B54, _xlfn.LAMBDA(_xlpm.party,
   SUMIFS(ledger!J:J, ledger!B:B, _xlpm.party, ledger!E:E, "&lt;&gt;*RD*", ledger!D:D, "Custom", ledger!C:C, "&lt;&gt;January Closing CF")
))+ _xlfn.IFNA(N103, 0)</f>
        <v>0</v>
      </c>
      <c r="AE10" s="39">
        <f t="shared" si="1"/>
        <v>10449015.179224581</v>
      </c>
      <c r="AF10" s="22">
        <f>(SUMIF(Table14[Party],R10,Table14[Credit]))+_xlfn.IFNA(P103,0)</f>
        <v>10448871</v>
      </c>
      <c r="AG10" s="33">
        <f t="shared" si="2"/>
        <v>144.17922458052635</v>
      </c>
      <c r="AH10" s="21">
        <v>10</v>
      </c>
      <c r="AI10" s="21">
        <v>13</v>
      </c>
    </row>
    <row r="11" spans="2:35" x14ac:dyDescent="0.3">
      <c r="B11" t="str">
        <f t="shared" si="0"/>
        <v>Ashraf Zia</v>
      </c>
      <c r="C11" s="18">
        <f>SUMIFS(ledger!G:G, ledger!B:B, B11, ledger!E:E, "&lt;&gt;*RD*") / 1.0936</f>
        <v>0</v>
      </c>
      <c r="D11">
        <v>12</v>
      </c>
      <c r="E11" s="14">
        <f>(SUMIFS(ledger!G:G, ledger!B:B, B11, ledger!E:E, "&lt;&gt;*RD*",ledger!D:D, "Silky") / 1.0936)*12 + (SUMIFS(ledger!G:G, ledger!B:B, B11, ledger!E:E, "&lt;&gt;*RD*",ledger!D:D, "Chamki") / 1.0936)*10</f>
        <v>0</v>
      </c>
      <c r="I11" t="s">
        <v>148</v>
      </c>
      <c r="P11" s="24"/>
      <c r="R11" t="str">
        <v>Raaz Fabrics</v>
      </c>
      <c r="S11" s="22" cm="1">
        <f t="array" ref="S11">_xlfn.BYROW(B55,_xlfn.LAMBDA(_xlpm.party,SUMIFS(ledger!G:G,ledger!B:B,_xlpm.party,ledger!E:E,"&lt;&gt;*RD*")))+_xlfn.IFNA(C104,0)</f>
        <v>203303</v>
      </c>
      <c r="T11" s="22" cm="1">
        <f t="array" ref="T11">_xlfn.BYROW(B55, _xlfn.LAMBDA(_xlpm.party, SUMIFS(ledger!G:G, ledger!B:B, _xlpm.party, ledger!E:E, "&lt;&gt;*RD*") / 1.0936 ))+_xlfn.IFNA(D104,0)</f>
        <v>185902.52377468912</v>
      </c>
      <c r="U11" s="22" cm="1">
        <f t="array" ref="U11">(_xlfn.BYROW(B55,_xlfn.LAMBDA(_xlpm.party,SUMIFS(ledger!G:G,ledger!B:B,_xlpm.party,ledger!E:E,"&lt;&gt;*RD*",ledger!D:D,"Chamki")+SUMIFS(ledger!G:G, ledger!B:B, _xlpm.party, ledger!E:E, "&lt;&gt;*RD*", ledger!D:D, "Crinkle")))/1.0936)+_xlfn.IFNA(E104,0)</f>
        <v>185902.52377468912</v>
      </c>
      <c r="V11" s="70" cm="1">
        <f t="array" ref="V11">(_xlfn.BYROW(B55,_xlfn.LAMBDA(_xlpm.party,SUMIFS(ledger!G:G,ledger!B:B,_xlpm.party,ledger!E:E,"&lt;&gt;*RD*",ledger!D:D,"Silky")))/1.0936)+_xlfn.IFNA(F104,0)</f>
        <v>0</v>
      </c>
      <c r="W11" s="22" cm="1">
        <f t="array" ref="W11">(_xlfn.BYROW(B55,_xlfn.LAMBDA(_xlpm.party,
(SUMIFS(ledger!J:J,ledger!B:B,_xlpm.party,ledger!E:E,"&lt;&gt;*RD*",ledger!D:D,"Chamki",ledger!C:C,"&lt;&gt;January Closing CF")+
SUMIFS(ledger!J:J,ledger!B:B,_xlpm.party,ledger!E:E,"&lt;&gt;*RD*",ledger!D:D,"Crinkle",ledger!C:C,"&lt;&gt;January Closing CF")
)+_xlfn.IFNA(G104,0))))</f>
        <v>1859025.2377468913</v>
      </c>
      <c r="X11" s="70" cm="1">
        <f t="array" ref="X11">_xlfn.BYROW(B55, _xlfn.LAMBDA(_xlpm.party,
   SUMIFS(ledger!J:J, ledger!B:B, _xlpm.party, ledger!E:E, "&lt;&gt;*RD*", ledger!D:D, "Silky", ledger!C:C, "&lt;&gt;January Closing CF")
)) + _xlfn.IFNA(H104, 0)</f>
        <v>0</v>
      </c>
      <c r="Y11" s="70" cm="1">
        <f t="array" ref="Y11">_xlfn.BYROW(B55, _xlfn.LAMBDA(_xlpm.party,
   SUMIFS(ledger!J:J, ledger!B:B, _xlpm.party, ledger!E:E, "&lt;&gt;*RD*", ledger!D:D, "Slub", ledger!C:C, "&lt;&gt;January Closing CF")
))+ _xlfn.IFNA(I104, 0)</f>
        <v>0</v>
      </c>
      <c r="Z11" s="70" cm="1">
        <f t="array" ref="Z11">_xlfn.BYROW(B55, _xlfn.LAMBDA(_xlpm.party,
   SUMIFS(ledger!J:J, ledger!B:B, _xlpm.party, ledger!E:E, "&lt;&gt;*RD*", ledger!D:D, "Satin", ledger!C:C, "&lt;&gt;January Closing CF")
))+ _xlfn.IFNA(J104, 0)</f>
        <v>0</v>
      </c>
      <c r="AA11" s="70" cm="1">
        <f t="array" ref="AA11">_xlfn.BYROW(B55, _xlfn.LAMBDA(_xlpm.party,
   SUMIFS(ledger!J:J, ledger!B:B, _xlpm.party, ledger!E:E, "&lt;&gt;*RD*", ledger!D:D, "Black-Chamki", ledger!C:C, "&lt;&gt;January Closing CF")
))+ _xlfn.IFNA(K104, 0)</f>
        <v>0</v>
      </c>
      <c r="AB11" s="70" cm="1">
        <f t="array" ref="AB11">_xlfn.BYROW(B55, _xlfn.LAMBDA(_xlpm.party,
   SUMIFS(ledger!J:J, ledger!B:B, _xlpm.party, ledger!E:E, "&lt;&gt;*RD*", ledger!D:D, "Kataan", ledger!C:C, "&lt;&gt;January Closing CF")
))+ _xlfn.IFNA(L104, 0)</f>
        <v>0</v>
      </c>
      <c r="AC11" s="70" cm="1">
        <f t="array" ref="AC11">_xlfn.BYROW(B55, _xlfn.LAMBDA(_xlpm.party,
   SUMIFS(ledger!J:J, ledger!B:B, _xlpm.party, ledger!E:E, "&lt;&gt;*RD*", ledger!D:D, "Munaar", ledger!C:C, "&lt;&gt;January Closing CF")
))+ _xlfn.IFNA(M104, 0)</f>
        <v>0</v>
      </c>
      <c r="AD11" s="70" cm="1">
        <f t="array" ref="AD11">_xlfn.BYROW(B55, _xlfn.LAMBDA(_xlpm.party,
   SUMIFS(ledger!J:J, ledger!B:B, _xlpm.party, ledger!E:E, "&lt;&gt;*RD*", ledger!D:D, "Custom", ledger!C:C, "&lt;&gt;January Closing CF")
))+ _xlfn.IFNA(N104, 0)</f>
        <v>0</v>
      </c>
      <c r="AE11" s="39">
        <f t="shared" si="1"/>
        <v>1859025.2377468913</v>
      </c>
      <c r="AF11" s="22">
        <f>(SUMIF(Table14[Party],R11,Table14[Credit]))+_xlfn.IFNA(P104,0)</f>
        <v>1726321</v>
      </c>
      <c r="AG11" s="33">
        <f t="shared" si="2"/>
        <v>132704.23774689133</v>
      </c>
      <c r="AH11" s="21">
        <v>10</v>
      </c>
      <c r="AI11" s="21">
        <v>13</v>
      </c>
    </row>
    <row r="12" spans="2:35" x14ac:dyDescent="0.3">
      <c r="B12" t="str">
        <f t="shared" si="0"/>
        <v>Hafiz Qureshi</v>
      </c>
      <c r="C12" s="18">
        <f>SUMIFS(ledger!G:G, ledger!B:B, B12, ledger!E:E, "&lt;&gt;*RD*") / 1.0936</f>
        <v>215558.70519385519</v>
      </c>
      <c r="E12" s="14">
        <f>(SUMIFS(ledger!G:G, ledger!B:B, B12, ledger!E:E, "&lt;&gt;*RD*",ledger!D:D, "Silky") / 1.0936)*12 + (SUMIFS(ledger!G:G, ledger!B:B, B12, ledger!E:E, "&lt;&gt;*RD*",ledger!D:D, "Chamki") / 1.0936)*10</f>
        <v>1682095.8302852965</v>
      </c>
      <c r="I12" t="s">
        <v>27</v>
      </c>
      <c r="P12" s="24"/>
      <c r="Q12" s="28"/>
      <c r="R12" t="str">
        <v>Azam</v>
      </c>
      <c r="S12" s="22" cm="1">
        <f t="array" ref="S12">_xlfn.BYROW(B56,_xlfn.LAMBDA(_xlpm.party,SUMIFS(ledger!G:G,ledger!B:B,_xlpm.party,ledger!E:E,"&lt;&gt;*RD*")))+_xlfn.IFNA(C105,0)</f>
        <v>749236</v>
      </c>
      <c r="T12" s="22" cm="1">
        <f t="array" ref="T12">_xlfn.BYROW(B56, _xlfn.LAMBDA(_xlpm.party, SUMIFS(ledger!G:G, ledger!B:B, _xlpm.party, ledger!E:E, "&lt;&gt;*RD*") / 1.0936 ))+_xlfn.IFNA(D105,0)</f>
        <v>685109.72933430877</v>
      </c>
      <c r="U12" s="22" cm="1">
        <f t="array" ref="U12">(_xlfn.BYROW(B56,_xlfn.LAMBDA(_xlpm.party,SUMIFS(ledger!G:G,ledger!B:B,_xlpm.party,ledger!E:E,"&lt;&gt;*RD*",ledger!D:D,"Chamki")+SUMIFS(ledger!G:G, ledger!B:B, _xlpm.party, ledger!E:E, "&lt;&gt;*RD*", ledger!D:D, "Crinkle")))/1.0936)+_xlfn.IFNA(E105,0)</f>
        <v>501118.32479882962</v>
      </c>
      <c r="V12" s="70" cm="1">
        <f t="array" ref="V12">(_xlfn.BYROW(B56,_xlfn.LAMBDA(_xlpm.party,SUMIFS(ledger!G:G,ledger!B:B,_xlpm.party,ledger!E:E,"&lt;&gt;*RD*",ledger!D:D,"Silky")))/1.0936)+_xlfn.IFNA(F105,0)</f>
        <v>183991.40453547917</v>
      </c>
      <c r="W12" s="22" cm="1">
        <f t="array" ref="W12">(_xlfn.BYROW(B56,_xlfn.LAMBDA(_xlpm.party,
(SUMIFS(ledger!J:J,ledger!B:B,_xlpm.party,ledger!E:E,"&lt;&gt;*RD*",ledger!D:D,"Chamki",ledger!C:C,"&lt;&gt;January Closing CF")+
SUMIFS(ledger!J:J,ledger!B:B,_xlpm.party,ledger!E:E,"&lt;&gt;*RD*",ledger!D:D,"Crinkle",ledger!C:C,"&lt;&gt;January Closing CF")
)+_xlfn.IFNA(G105,0))))</f>
        <v>5011183.2479882967</v>
      </c>
      <c r="X12" s="70" cm="1">
        <f t="array" ref="X12">_xlfn.BYROW(B56, _xlfn.LAMBDA(_xlpm.party,
   SUMIFS(ledger!J:J, ledger!B:B, _xlpm.party, ledger!E:E, "&lt;&gt;*RD*", ledger!D:D, "Silky", ledger!C:C, "&lt;&gt;January Closing CF")
)) + _xlfn.IFNA(H105, 0)</f>
        <v>2391888.2589612291</v>
      </c>
      <c r="Y12" s="70" cm="1">
        <f t="array" ref="Y12">_xlfn.BYROW(B56, _xlfn.LAMBDA(_xlpm.party,
   SUMIFS(ledger!J:J, ledger!B:B, _xlpm.party, ledger!E:E, "&lt;&gt;*RD*", ledger!D:D, "Slub", ledger!C:C, "&lt;&gt;January Closing CF")
))+ _xlfn.IFNA(I105, 0)</f>
        <v>0</v>
      </c>
      <c r="Z12" s="70" cm="1">
        <f t="array" ref="Z12">_xlfn.BYROW(B56, _xlfn.LAMBDA(_xlpm.party,
   SUMIFS(ledger!J:J, ledger!B:B, _xlpm.party, ledger!E:E, "&lt;&gt;*RD*", ledger!D:D, "Satin", ledger!C:C, "&lt;&gt;January Closing CF")
))+ _xlfn.IFNA(J105, 0)</f>
        <v>0</v>
      </c>
      <c r="AA12" s="70" cm="1">
        <f t="array" ref="AA12">_xlfn.BYROW(B56, _xlfn.LAMBDA(_xlpm.party,
   SUMIFS(ledger!J:J, ledger!B:B, _xlpm.party, ledger!E:E, "&lt;&gt;*RD*", ledger!D:D, "Black-Chamki", ledger!C:C, "&lt;&gt;January Closing CF")
))+ _xlfn.IFNA(K105, 0)</f>
        <v>0</v>
      </c>
      <c r="AB12" s="70" cm="1">
        <f t="array" ref="AB12">_xlfn.BYROW(B56, _xlfn.LAMBDA(_xlpm.party,
   SUMIFS(ledger!J:J, ledger!B:B, _xlpm.party, ledger!E:E, "&lt;&gt;*RD*", ledger!D:D, "Kataan", ledger!C:C, "&lt;&gt;January Closing CF")
))+ _xlfn.IFNA(L105, 0)</f>
        <v>0</v>
      </c>
      <c r="AC12" s="70" cm="1">
        <f t="array" ref="AC12">_xlfn.BYROW(B56, _xlfn.LAMBDA(_xlpm.party,
   SUMIFS(ledger!J:J, ledger!B:B, _xlpm.party, ledger!E:E, "&lt;&gt;*RD*", ledger!D:D, "Munaar", ledger!C:C, "&lt;&gt;January Closing CF")
))+ _xlfn.IFNA(M105, 0)</f>
        <v>0</v>
      </c>
      <c r="AD12" s="70" cm="1">
        <f t="array" ref="AD12">_xlfn.BYROW(B56, _xlfn.LAMBDA(_xlpm.party,
   SUMIFS(ledger!J:J, ledger!B:B, _xlpm.party, ledger!E:E, "&lt;&gt;*RD*", ledger!D:D, "Custom", ledger!C:C, "&lt;&gt;January Closing CF")
))+ _xlfn.IFNA(N105, 0)</f>
        <v>0</v>
      </c>
      <c r="AE12" s="39">
        <f t="shared" si="1"/>
        <v>7403071.5069495253</v>
      </c>
      <c r="AF12" s="22">
        <f>(SUMIF(Table14[Party],R12,Table14[Credit]))+_xlfn.IFNA(P105,0)</f>
        <v>7402540</v>
      </c>
      <c r="AG12" s="33">
        <f t="shared" si="2"/>
        <v>531.50694952532649</v>
      </c>
      <c r="AH12" s="21">
        <v>10</v>
      </c>
      <c r="AI12" s="21">
        <v>13</v>
      </c>
    </row>
    <row r="13" spans="2:35" x14ac:dyDescent="0.3">
      <c r="B13" t="str">
        <f t="shared" si="0"/>
        <v>Badshah Fabrics</v>
      </c>
      <c r="C13" s="18">
        <f>SUMIFS(ledger!G:G, ledger!B:B, B13, ledger!E:E, "&lt;&gt;*RD*") / 1.0936</f>
        <v>0</v>
      </c>
      <c r="E13" s="14">
        <f>(SUMIFS(ledger!G:G, ledger!B:B, B13, ledger!E:E, "&lt;&gt;*RD*",ledger!D:D, "Silky") / 1.0936)*12 + (SUMIFS(ledger!G:G, ledger!B:B, B13, ledger!E:E, "&lt;&gt;*RD*",ledger!D:D, "Chamki") / 1.0936)*10</f>
        <v>0</v>
      </c>
      <c r="I13" t="s">
        <v>166</v>
      </c>
      <c r="P13" s="24"/>
      <c r="R13" t="str">
        <v>Ubaidullah</v>
      </c>
      <c r="S13" s="22" cm="1">
        <f t="array" ref="S13">_xlfn.BYROW(B57,_xlfn.LAMBDA(_xlpm.party,SUMIFS(ledger!G:G,ledger!B:B,_xlpm.party,ledger!E:E,"&lt;&gt;*RD*")))+_xlfn.IFNA(C106,0)</f>
        <v>283089</v>
      </c>
      <c r="T13" s="22" cm="1">
        <f t="array" ref="T13">_xlfn.BYROW(B57, _xlfn.LAMBDA(_xlpm.party, SUMIFS(ledger!G:G, ledger!B:B, _xlpm.party, ledger!E:E, "&lt;&gt;*RD*") / 1.0936 ))+_xlfn.IFNA(D106,0)</f>
        <v>258859.72933430874</v>
      </c>
      <c r="U13" s="22" cm="1">
        <f t="array" ref="U13">(_xlfn.BYROW(B57,_xlfn.LAMBDA(_xlpm.party,SUMIFS(ledger!G:G,ledger!B:B,_xlpm.party,ledger!E:E,"&lt;&gt;*RD*",ledger!D:D,"Chamki")+SUMIFS(ledger!G:G, ledger!B:B, _xlpm.party, ledger!E:E, "&lt;&gt;*RD*", ledger!D:D, "Crinkle")))/1.0936)+_xlfn.IFNA(E106,0)</f>
        <v>46132.955376737387</v>
      </c>
      <c r="V13" s="70" cm="1">
        <f t="array" ref="V13">(_xlfn.BYROW(B57,_xlfn.LAMBDA(_xlpm.party,SUMIFS(ledger!G:G,ledger!B:B,_xlpm.party,ledger!E:E,"&lt;&gt;*RD*",ledger!D:D,"Silky")))/1.0936)+_xlfn.IFNA(F106,0)</f>
        <v>212726.77395757136</v>
      </c>
      <c r="W13" s="22" cm="1">
        <f t="array" ref="W13">(_xlfn.BYROW(B57,_xlfn.LAMBDA(_xlpm.party,
(SUMIFS(ledger!J:J,ledger!B:B,_xlpm.party,ledger!E:E,"&lt;&gt;*RD*",ledger!D:D,"Chamki",ledger!C:C,"&lt;&gt;January Closing CF")+
SUMIFS(ledger!J:J,ledger!B:B,_xlpm.party,ledger!E:E,"&lt;&gt;*RD*",ledger!D:D,"Crinkle",ledger!C:C,"&lt;&gt;January Closing CF")
)+_xlfn.IFNA(G106,0))))</f>
        <v>461329.5537673739</v>
      </c>
      <c r="X13" s="70" cm="1">
        <f t="array" ref="X13">_xlfn.BYROW(B57, _xlfn.LAMBDA(_xlpm.party,
   SUMIFS(ledger!J:J, ledger!B:B, _xlpm.party, ledger!E:E, "&lt;&gt;*RD*", ledger!D:D, "Silky", ledger!C:C, "&lt;&gt;January Closing CF")
)) + _xlfn.IFNA(H106, 0)</f>
        <v>2650274.3233357719</v>
      </c>
      <c r="Y13" s="70" cm="1">
        <f t="array" ref="Y13">_xlfn.BYROW(B57, _xlfn.LAMBDA(_xlpm.party,
   SUMIFS(ledger!J:J, ledger!B:B, _xlpm.party, ledger!E:E, "&lt;&gt;*RD*", ledger!D:D, "Slub", ledger!C:C, "&lt;&gt;January Closing CF")
))+ _xlfn.IFNA(I106, 0)</f>
        <v>0</v>
      </c>
      <c r="Z13" s="70" cm="1">
        <f t="array" ref="Z13">_xlfn.BYROW(B57, _xlfn.LAMBDA(_xlpm.party,
   SUMIFS(ledger!J:J, ledger!B:B, _xlpm.party, ledger!E:E, "&lt;&gt;*RD*", ledger!D:D, "Satin", ledger!C:C, "&lt;&gt;January Closing CF")
))+ _xlfn.IFNA(J106, 0)</f>
        <v>0</v>
      </c>
      <c r="AA13" s="70" cm="1">
        <f t="array" ref="AA13">_xlfn.BYROW(B57, _xlfn.LAMBDA(_xlpm.party,
   SUMIFS(ledger!J:J, ledger!B:B, _xlpm.party, ledger!E:E, "&lt;&gt;*RD*", ledger!D:D, "Black-Chamki", ledger!C:C, "&lt;&gt;January Closing CF")
))+ _xlfn.IFNA(K106, 0)</f>
        <v>0</v>
      </c>
      <c r="AB13" s="70" cm="1">
        <f t="array" ref="AB13">_xlfn.BYROW(B57, _xlfn.LAMBDA(_xlpm.party,
   SUMIFS(ledger!J:J, ledger!B:B, _xlpm.party, ledger!E:E, "&lt;&gt;*RD*", ledger!D:D, "Kataan", ledger!C:C, "&lt;&gt;January Closing CF")
))+ _xlfn.IFNA(L106, 0)</f>
        <v>0</v>
      </c>
      <c r="AC13" s="70" cm="1">
        <f t="array" ref="AC13">_xlfn.BYROW(B57, _xlfn.LAMBDA(_xlpm.party,
   SUMIFS(ledger!J:J, ledger!B:B, _xlpm.party, ledger!E:E, "&lt;&gt;*RD*", ledger!D:D, "Munaar", ledger!C:C, "&lt;&gt;January Closing CF")
))+ _xlfn.IFNA(M106, 0)</f>
        <v>0</v>
      </c>
      <c r="AD13" s="70" cm="1">
        <f t="array" ref="AD13">_xlfn.BYROW(B57, _xlfn.LAMBDA(_xlpm.party,
   SUMIFS(ledger!J:J, ledger!B:B, _xlpm.party, ledger!E:E, "&lt;&gt;*RD*", ledger!D:D, "Custom", ledger!C:C, "&lt;&gt;January Closing CF")
))+ _xlfn.IFNA(N106, 0)</f>
        <v>0</v>
      </c>
      <c r="AE13" s="39">
        <f t="shared" si="1"/>
        <v>3111603.8771031457</v>
      </c>
      <c r="AF13" s="22">
        <f>(SUMIF(Table14[Party],R13,Table14[Credit]))+_xlfn.IFNA(P106,0)</f>
        <v>3009990</v>
      </c>
      <c r="AG13" s="33">
        <f t="shared" si="2"/>
        <v>101613.8771031457</v>
      </c>
      <c r="AH13" s="21">
        <v>10</v>
      </c>
      <c r="AI13" s="21">
        <v>13</v>
      </c>
    </row>
    <row r="14" spans="2:35" x14ac:dyDescent="0.3">
      <c r="B14" t="str">
        <f t="shared" si="0"/>
        <v>Gauhar Kashif</v>
      </c>
      <c r="C14" s="18">
        <f>SUMIFS(ledger!G:G, ledger!B:B, B14, ledger!E:E, "&lt;&gt;*RD*") / 1.0936</f>
        <v>0</v>
      </c>
      <c r="E14" s="14">
        <f>(SUMIFS(ledger!G:G, ledger!B:B, B14, ledger!E:E, "&lt;&gt;*RD*",ledger!D:D, "Silky") / 1.0936)*12 + (SUMIFS(ledger!G:G, ledger!B:B, B14, ledger!E:E, "&lt;&gt;*RD*",ledger!D:D, "Chamki") / 1.0936)*10</f>
        <v>0</v>
      </c>
      <c r="I14" t="s">
        <v>168</v>
      </c>
      <c r="P14" s="24"/>
      <c r="R14" t="str">
        <v>Ashraf Zia</v>
      </c>
      <c r="S14" s="22" cm="1">
        <f t="array" ref="S14">_xlfn.BYROW(B58,_xlfn.LAMBDA(_xlpm.party,SUMIFS(ledger!G:G,ledger!B:B,_xlpm.party,ledger!E:E,"&lt;&gt;*RD*")))+_xlfn.IFNA(C107,0)</f>
        <v>23305</v>
      </c>
      <c r="T14" s="22" cm="1">
        <f t="array" ref="T14">_xlfn.BYROW(B58, _xlfn.LAMBDA(_xlpm.party, SUMIFS(ledger!G:G, ledger!B:B, _xlpm.party, ledger!E:E, "&lt;&gt;*RD*") / 1.0936 ))+_xlfn.IFNA(D107,0)</f>
        <v>21310.35113386979</v>
      </c>
      <c r="U14" s="22" cm="1">
        <f t="array" ref="U14">(_xlfn.BYROW(B58,_xlfn.LAMBDA(_xlpm.party,SUMIFS(ledger!G:G,ledger!B:B,_xlpm.party,ledger!E:E,"&lt;&gt;*RD*",ledger!D:D,"Chamki")+SUMIFS(ledger!G:G, ledger!B:B, _xlpm.party, ledger!E:E, "&lt;&gt;*RD*", ledger!D:D, "Crinkle")))/1.0936)+_xlfn.IFNA(E107,0)</f>
        <v>21310.35113386979</v>
      </c>
      <c r="V14" s="70" cm="1">
        <f t="array" ref="V14">(_xlfn.BYROW(B58,_xlfn.LAMBDA(_xlpm.party,SUMIFS(ledger!G:G,ledger!B:B,_xlpm.party,ledger!E:E,"&lt;&gt;*RD*",ledger!D:D,"Silky")))/1.0936)+_xlfn.IFNA(F107,0)</f>
        <v>0</v>
      </c>
      <c r="W14" s="22" cm="1">
        <f t="array" ref="W14">(_xlfn.BYROW(B58,_xlfn.LAMBDA(_xlpm.party,
(SUMIFS(ledger!J:J,ledger!B:B,_xlpm.party,ledger!E:E,"&lt;&gt;*RD*",ledger!D:D,"Chamki",ledger!C:C,"&lt;&gt;January Closing CF")+
SUMIFS(ledger!J:J,ledger!B:B,_xlpm.party,ledger!E:E,"&lt;&gt;*RD*",ledger!D:D,"Crinkle",ledger!C:C,"&lt;&gt;January Closing CF")
)+_xlfn.IFNA(G107,0))))</f>
        <v>255724.21360643749</v>
      </c>
      <c r="X14" s="70" cm="1">
        <f t="array" ref="X14">_xlfn.BYROW(B58, _xlfn.LAMBDA(_xlpm.party,
   SUMIFS(ledger!J:J, ledger!B:B, _xlpm.party, ledger!E:E, "&lt;&gt;*RD*", ledger!D:D, "Silky", ledger!C:C, "&lt;&gt;January Closing CF")
)) + _xlfn.IFNA(H107, 0)</f>
        <v>0</v>
      </c>
      <c r="Y14" s="70" cm="1">
        <f t="array" ref="Y14">_xlfn.BYROW(B58, _xlfn.LAMBDA(_xlpm.party,
   SUMIFS(ledger!J:J, ledger!B:B, _xlpm.party, ledger!E:E, "&lt;&gt;*RD*", ledger!D:D, "Slub", ledger!C:C, "&lt;&gt;January Closing CF")
))+ _xlfn.IFNA(I107, 0)</f>
        <v>0</v>
      </c>
      <c r="Z14" s="70" cm="1">
        <f t="array" ref="Z14">_xlfn.BYROW(B58, _xlfn.LAMBDA(_xlpm.party,
   SUMIFS(ledger!J:J, ledger!B:B, _xlpm.party, ledger!E:E, "&lt;&gt;*RD*", ledger!D:D, "Satin", ledger!C:C, "&lt;&gt;January Closing CF")
))+ _xlfn.IFNA(J107, 0)</f>
        <v>0</v>
      </c>
      <c r="AA14" s="70" cm="1">
        <f t="array" ref="AA14">_xlfn.BYROW(B58, _xlfn.LAMBDA(_xlpm.party,
   SUMIFS(ledger!J:J, ledger!B:B, _xlpm.party, ledger!E:E, "&lt;&gt;*RD*", ledger!D:D, "Black-Chamki", ledger!C:C, "&lt;&gt;January Closing CF")
))+ _xlfn.IFNA(K107, 0)</f>
        <v>0</v>
      </c>
      <c r="AB14" s="70" cm="1">
        <f t="array" ref="AB14">_xlfn.BYROW(B58, _xlfn.LAMBDA(_xlpm.party,
   SUMIFS(ledger!J:J, ledger!B:B, _xlpm.party, ledger!E:E, "&lt;&gt;*RD*", ledger!D:D, "Kataan", ledger!C:C, "&lt;&gt;January Closing CF")
))+ _xlfn.IFNA(L107, 0)</f>
        <v>0</v>
      </c>
      <c r="AC14" s="70" cm="1">
        <f t="array" ref="AC14">_xlfn.BYROW(B58, _xlfn.LAMBDA(_xlpm.party,
   SUMIFS(ledger!J:J, ledger!B:B, _xlpm.party, ledger!E:E, "&lt;&gt;*RD*", ledger!D:D, "Munaar", ledger!C:C, "&lt;&gt;January Closing CF")
))+ _xlfn.IFNA(M107, 0)</f>
        <v>0</v>
      </c>
      <c r="AD14" s="70" cm="1">
        <f t="array" ref="AD14">_xlfn.BYROW(B58, _xlfn.LAMBDA(_xlpm.party,
   SUMIFS(ledger!J:J, ledger!B:B, _xlpm.party, ledger!E:E, "&lt;&gt;*RD*", ledger!D:D, "Custom", ledger!C:C, "&lt;&gt;January Closing CF")
))+ _xlfn.IFNA(N107, 0)</f>
        <v>0</v>
      </c>
      <c r="AE14" s="39">
        <f t="shared" si="1"/>
        <v>255724.21360643749</v>
      </c>
      <c r="AF14" s="22">
        <f>(SUMIF(Table14[Party],R14,Table14[Credit]))+_xlfn.IFNA(P107,0)</f>
        <v>130000</v>
      </c>
      <c r="AG14" s="33">
        <f t="shared" si="2"/>
        <v>125724.21360643749</v>
      </c>
      <c r="AH14" s="21">
        <v>12</v>
      </c>
      <c r="AI14" s="21">
        <v>13</v>
      </c>
    </row>
    <row r="15" spans="2:35" x14ac:dyDescent="0.3">
      <c r="B15" t="str">
        <f t="shared" si="0"/>
        <v>Amjad 7up</v>
      </c>
      <c r="C15" s="18">
        <f>SUMIFS(ledger!G:G, ledger!B:B, B15, ledger!E:E, "&lt;&gt;*RD*") / 1.0936</f>
        <v>0</v>
      </c>
      <c r="E15" s="14">
        <f>(SUMIFS(ledger!G:G, ledger!B:B, B15, ledger!E:E, "&lt;&gt;*RD*",ledger!D:D, "Silky") / 1.0936)*12 + (SUMIFS(ledger!G:G, ledger!B:B, B15, ledger!E:E, "&lt;&gt;*RD*",ledger!D:D, "Chamki") / 1.0936)*10</f>
        <v>0</v>
      </c>
      <c r="I15" t="s">
        <v>170</v>
      </c>
      <c r="P15" s="24"/>
      <c r="R15" t="str">
        <v>Hafiz Qureshi</v>
      </c>
      <c r="S15" s="22" cm="1">
        <f t="array" ref="S15">_xlfn.BYROW(B59,_xlfn.LAMBDA(_xlpm.party,SUMIFS(ledger!G:G,ledger!B:B,_xlpm.party,ledger!E:E,"&lt;&gt;*RD*")))+_xlfn.IFNA(C108,0)</f>
        <v>690362</v>
      </c>
      <c r="T15" s="22" cm="1">
        <f t="array" ref="T15">_xlfn.BYROW(B59, _xlfn.LAMBDA(_xlpm.party, SUMIFS(ledger!G:G, ledger!B:B, _xlpm.party, ledger!E:E, "&lt;&gt;*RD*") / 1.0936 ))+_xlfn.IFNA(D108,0)</f>
        <v>631274.68910021952</v>
      </c>
      <c r="U15" s="22" cm="1">
        <f t="array" ref="U15">(_xlfn.BYROW(B59,_xlfn.LAMBDA(_xlpm.party,SUMIFS(ledger!G:G,ledger!B:B,_xlpm.party,ledger!E:E,"&lt;&gt;*RD*",ledger!D:D,"Chamki")+SUMIFS(ledger!G:G, ledger!B:B, _xlpm.party, ledger!E:E, "&lt;&gt;*RD*", ledger!D:D, "Crinkle")))/1.0936)+_xlfn.IFNA(E108,0)</f>
        <v>583925.56693489407</v>
      </c>
      <c r="V15" s="70" cm="1">
        <f t="array" ref="V15">(_xlfn.BYROW(B59,_xlfn.LAMBDA(_xlpm.party,SUMIFS(ledger!G:G,ledger!B:B,_xlpm.party,ledger!E:E,"&lt;&gt;*RD*",ledger!D:D,"Silky")))/1.0936)+_xlfn.IFNA(F108,0)</f>
        <v>0</v>
      </c>
      <c r="W15" s="22" cm="1">
        <f t="array" ref="W15">(_xlfn.BYROW(B59,_xlfn.LAMBDA(_xlpm.party,
(SUMIFS(ledger!J:J,ledger!B:B,_xlpm.party,ledger!E:E,"&lt;&gt;*RD*",ledger!D:D,"Chamki",ledger!C:C,"&lt;&gt;January Closing CF")+
SUMIFS(ledger!J:J,ledger!B:B,_xlpm.party,ledger!E:E,"&lt;&gt;*RD*",ledger!D:D,"Crinkle",ledger!C:C,"&lt;&gt;January Closing CF")
)+_xlfn.IFNA(G108,0))))</f>
        <v>5839255.6693489403</v>
      </c>
      <c r="X15" s="70" cm="1">
        <f t="array" ref="X15">_xlfn.BYROW(B59, _xlfn.LAMBDA(_xlpm.party,
   SUMIFS(ledger!J:J, ledger!B:B, _xlpm.party, ledger!E:E, "&lt;&gt;*RD*", ledger!D:D, "Silky", ledger!C:C, "&lt;&gt;January Closing CF")
)) + _xlfn.IFNA(H108, 0)</f>
        <v>0</v>
      </c>
      <c r="Y15" s="70" cm="1">
        <f t="array" ref="Y15">_xlfn.BYROW(B59, _xlfn.LAMBDA(_xlpm.party,
   SUMIFS(ledger!J:J, ledger!B:B, _xlpm.party, ledger!E:E, "&lt;&gt;*RD*", ledger!D:D, "Slub", ledger!C:C, "&lt;&gt;January Closing CF")
))+ _xlfn.IFNA(I108, 0)</f>
        <v>0</v>
      </c>
      <c r="Z15" s="70" cm="1">
        <f t="array" ref="Z15">_xlfn.BYROW(B59, _xlfn.LAMBDA(_xlpm.party,
   SUMIFS(ledger!J:J, ledger!B:B, _xlpm.party, ledger!E:E, "&lt;&gt;*RD*", ledger!D:D, "Satin", ledger!C:C, "&lt;&gt;January Closing CF")
))+ _xlfn.IFNA(J108, 0)</f>
        <v>0</v>
      </c>
      <c r="AA15" s="70" cm="1">
        <f t="array" ref="AA15">_xlfn.BYROW(B59, _xlfn.LAMBDA(_xlpm.party,
   SUMIFS(ledger!J:J, ledger!B:B, _xlpm.party, ledger!E:E, "&lt;&gt;*RD*", ledger!D:D, "Black-Chamki", ledger!C:C, "&lt;&gt;January Closing CF")
))+ _xlfn.IFNA(K108, 0)</f>
        <v>0</v>
      </c>
      <c r="AB15" s="70" cm="1">
        <f t="array" ref="AB15">_xlfn.BYROW(B59, _xlfn.LAMBDA(_xlpm.party,
   SUMIFS(ledger!J:J, ledger!B:B, _xlpm.party, ledger!E:E, "&lt;&gt;*RD*", ledger!D:D, "Kataan", ledger!C:C, "&lt;&gt;January Closing CF")
))+ _xlfn.IFNA(L108, 0)</f>
        <v>520840.34381858085</v>
      </c>
      <c r="AC15" s="70" cm="1">
        <f t="array" ref="AC15">_xlfn.BYROW(B59, _xlfn.LAMBDA(_xlpm.party,
   SUMIFS(ledger!J:J, ledger!B:B, _xlpm.party, ledger!E:E, "&lt;&gt;*RD*", ledger!D:D, "Munaar", ledger!C:C, "&lt;&gt;January Closing CF")
))+ _xlfn.IFNA(M108, 0)</f>
        <v>0</v>
      </c>
      <c r="AD15" s="70" cm="1">
        <f t="array" ref="AD15">_xlfn.BYROW(B59, _xlfn.LAMBDA(_xlpm.party,
   SUMIFS(ledger!J:J, ledger!B:B, _xlpm.party, ledger!E:E, "&lt;&gt;*RD*", ledger!D:D, "Custom", ledger!C:C, "&lt;&gt;January Closing CF")
))+ _xlfn.IFNA(N108, 0)</f>
        <v>0</v>
      </c>
      <c r="AE15" s="39">
        <f t="shared" si="1"/>
        <v>6360096.013167521</v>
      </c>
      <c r="AF15" s="22">
        <f>(SUMIF(Table14[Party],R15,Table14[Credit]))+_xlfn.IFNA(P108,0)</f>
        <v>5825853</v>
      </c>
      <c r="AG15" s="33">
        <f t="shared" si="2"/>
        <v>534243.01316752099</v>
      </c>
      <c r="AH15" s="21">
        <v>10</v>
      </c>
      <c r="AI15" s="21">
        <v>13</v>
      </c>
    </row>
    <row r="16" spans="2:35" x14ac:dyDescent="0.3">
      <c r="B16" t="str">
        <f t="shared" si="0"/>
        <v>Hazrat Khan</v>
      </c>
      <c r="C16" s="18">
        <f>SUMIFS(ledger!G:G, ledger!B:B, B16, ledger!E:E, "&lt;&gt;*RD*") / 1.0936</f>
        <v>0</v>
      </c>
      <c r="E16" s="14">
        <f>(SUMIFS(ledger!G:G, ledger!B:B, B16, ledger!E:E, "&lt;&gt;*RD*",ledger!D:D, "Silky") / 1.0936)*12 + (SUMIFS(ledger!G:G, ledger!B:B, B16, ledger!E:E, "&lt;&gt;*RD*",ledger!D:D, "Chamki") / 1.0936)*10</f>
        <v>0</v>
      </c>
      <c r="I16" t="s">
        <v>171</v>
      </c>
      <c r="P16" s="24"/>
      <c r="R16" t="str">
        <v>Badshah Fabrics</v>
      </c>
      <c r="S16" s="22" cm="1">
        <f t="array" ref="S16">_xlfn.BYROW(B60,_xlfn.LAMBDA(_xlpm.party,SUMIFS(ledger!G:G,ledger!B:B,_xlpm.party,ledger!E:E,"&lt;&gt;*RD*")))+_xlfn.IFNA(C109,0)</f>
        <v>681314</v>
      </c>
      <c r="T16" s="22" cm="1">
        <f t="array" ref="T16">_xlfn.BYROW(B60, _xlfn.LAMBDA(_xlpm.party, SUMIFS(ledger!G:G, ledger!B:B, _xlpm.party, ledger!E:E, "&lt;&gt;*RD*") / 1.0936 ))+_xlfn.IFNA(D109,0)</f>
        <v>623001.09729334316</v>
      </c>
      <c r="U16" s="22" cm="1">
        <f t="array" ref="U16">(_xlfn.BYROW(B60,_xlfn.LAMBDA(_xlpm.party,SUMIFS(ledger!G:G,ledger!B:B,_xlpm.party,ledger!E:E,"&lt;&gt;*RD*",ledger!D:D,"Chamki")+SUMIFS(ledger!G:G, ledger!B:B, _xlpm.party, ledger!E:E, "&lt;&gt;*RD*", ledger!D:D, "Crinkle")))/1.0936)+_xlfn.IFNA(E109,0)</f>
        <v>481526.15215801029</v>
      </c>
      <c r="V16" s="70" cm="1">
        <f t="array" ref="V16">(_xlfn.BYROW(B60,_xlfn.LAMBDA(_xlpm.party,SUMIFS(ledger!G:G,ledger!B:B,_xlpm.party,ledger!E:E,"&lt;&gt;*RD*",ledger!D:D,"Silky")))/1.0936)+_xlfn.IFNA(F109,0)</f>
        <v>141474.94513533285</v>
      </c>
      <c r="W16" s="22" cm="1">
        <f t="array" ref="W16">(_xlfn.BYROW(B60,_xlfn.LAMBDA(_xlpm.party,
(SUMIFS(ledger!J:J,ledger!B:B,_xlpm.party,ledger!E:E,"&lt;&gt;*RD*",ledger!D:D,"Chamki",ledger!C:C,"&lt;&gt;January Closing CF")+
SUMIFS(ledger!J:J,ledger!B:B,_xlpm.party,ledger!E:E,"&lt;&gt;*RD*",ledger!D:D,"Crinkle",ledger!C:C,"&lt;&gt;January Closing CF")
)+_xlfn.IFNA(G109,0))))</f>
        <v>4861679.7732260432</v>
      </c>
      <c r="X16" s="70" cm="1">
        <f t="array" ref="X16">_xlfn.BYROW(B60, _xlfn.LAMBDA(_xlpm.party,
   SUMIFS(ledger!J:J, ledger!B:B, _xlpm.party, ledger!E:E, "&lt;&gt;*RD*", ledger!D:D, "Silky", ledger!C:C, "&lt;&gt;January Closing CF")
)) + _xlfn.IFNA(H109, 0)</f>
        <v>1776019.5683979518</v>
      </c>
      <c r="Y16" s="70" cm="1">
        <f t="array" ref="Y16">_xlfn.BYROW(B60, _xlfn.LAMBDA(_xlpm.party,
   SUMIFS(ledger!J:J, ledger!B:B, _xlpm.party, ledger!E:E, "&lt;&gt;*RD*", ledger!D:D, "Slub", ledger!C:C, "&lt;&gt;January Closing CF")
))+ _xlfn.IFNA(I109, 0)</f>
        <v>0</v>
      </c>
      <c r="Z16" s="70" cm="1">
        <f t="array" ref="Z16">_xlfn.BYROW(B60, _xlfn.LAMBDA(_xlpm.party,
   SUMIFS(ledger!J:J, ledger!B:B, _xlpm.party, ledger!E:E, "&lt;&gt;*RD*", ledger!D:D, "Satin", ledger!C:C, "&lt;&gt;January Closing CF")
))+ _xlfn.IFNA(J109, 0)</f>
        <v>0</v>
      </c>
      <c r="AA16" s="70" cm="1">
        <f t="array" ref="AA16">_xlfn.BYROW(B60, _xlfn.LAMBDA(_xlpm.party,
   SUMIFS(ledger!J:J, ledger!B:B, _xlpm.party, ledger!E:E, "&lt;&gt;*RD*", ledger!D:D, "Black-Chamki", ledger!C:C, "&lt;&gt;January Closing CF")
))+ _xlfn.IFNA(K109, 0)</f>
        <v>0</v>
      </c>
      <c r="AB16" s="70" cm="1">
        <f t="array" ref="AB16">_xlfn.BYROW(B60, _xlfn.LAMBDA(_xlpm.party,
   SUMIFS(ledger!J:J, ledger!B:B, _xlpm.party, ledger!E:E, "&lt;&gt;*RD*", ledger!D:D, "Kataan", ledger!C:C, "&lt;&gt;January Closing CF")
))+ _xlfn.IFNA(L109, 0)</f>
        <v>0</v>
      </c>
      <c r="AC16" s="70" cm="1">
        <f t="array" ref="AC16">_xlfn.BYROW(B60, _xlfn.LAMBDA(_xlpm.party,
   SUMIFS(ledger!J:J, ledger!B:B, _xlpm.party, ledger!E:E, "&lt;&gt;*RD*", ledger!D:D, "Munaar", ledger!C:C, "&lt;&gt;January Closing CF")
))+ _xlfn.IFNA(M109, 0)</f>
        <v>0</v>
      </c>
      <c r="AD16" s="70" cm="1">
        <f t="array" ref="AD16">_xlfn.BYROW(B60, _xlfn.LAMBDA(_xlpm.party,
   SUMIFS(ledger!J:J, ledger!B:B, _xlpm.party, ledger!E:E, "&lt;&gt;*RD*", ledger!D:D, "Custom", ledger!C:C, "&lt;&gt;January Closing CF")
))+ _xlfn.IFNA(N109, 0)</f>
        <v>0</v>
      </c>
      <c r="AE16" s="39">
        <f t="shared" si="1"/>
        <v>6637699.3416239955</v>
      </c>
      <c r="AF16" s="22">
        <f>(SUMIF(Table14[Party],R16,Table14[Credit]))+_xlfn.IFNA(P109,0)</f>
        <v>6545761</v>
      </c>
      <c r="AG16" s="33">
        <f t="shared" si="2"/>
        <v>91938.341623995453</v>
      </c>
      <c r="AH16" s="21">
        <v>10</v>
      </c>
      <c r="AI16" s="21">
        <v>13</v>
      </c>
    </row>
    <row r="17" spans="2:35" x14ac:dyDescent="0.3">
      <c r="B17" t="str">
        <f t="shared" si="0"/>
        <v>Haseeb Shamsi</v>
      </c>
      <c r="C17" s="18">
        <f>SUMIFS(ledger!G:G, ledger!B:B, B17, ledger!E:E, "&lt;&gt;*RD*") / 1.0936</f>
        <v>0</v>
      </c>
      <c r="E17" s="14">
        <f>(SUMIFS(ledger!G:G, ledger!B:B, B17, ledger!E:E, "&lt;&gt;*RD*",ledger!D:D, "Silky") / 1.0936)*12 + (SUMIFS(ledger!G:G, ledger!B:B, B17, ledger!E:E, "&lt;&gt;*RD*",ledger!D:D, "Chamki") / 1.0936)*10</f>
        <v>0</v>
      </c>
      <c r="I17" t="s">
        <v>173</v>
      </c>
      <c r="P17" s="24"/>
      <c r="R17" t="str">
        <v>Gauhar Kashif</v>
      </c>
      <c r="S17" s="22" cm="1">
        <f t="array" ref="S17">_xlfn.BYROW(B61,_xlfn.LAMBDA(_xlpm.party,SUMIFS(ledger!G:G,ledger!B:B,_xlpm.party,ledger!E:E,"&lt;&gt;*RD*")))+_xlfn.IFNA(C110,0)</f>
        <v>132768</v>
      </c>
      <c r="T17" s="22" cm="1">
        <f t="array" ref="T17">_xlfn.BYROW(B61, _xlfn.LAMBDA(_xlpm.party, SUMIFS(ledger!G:G, ledger!B:B, _xlpm.party, ledger!E:E, "&lt;&gt;*RD*") / 1.0936 ))+_xlfn.IFNA(D110,0)</f>
        <v>121404.53547915144</v>
      </c>
      <c r="U17" s="22" cm="1">
        <f t="array" ref="U17">(_xlfn.BYROW(B61,_xlfn.LAMBDA(_xlpm.party,SUMIFS(ledger!G:G,ledger!B:B,_xlpm.party,ledger!E:E,"&lt;&gt;*RD*",ledger!D:D,"Chamki")+SUMIFS(ledger!G:G, ledger!B:B, _xlpm.party, ledger!E:E, "&lt;&gt;*RD*", ledger!D:D, "Crinkle")))/1.0936)+_xlfn.IFNA(E110,0)</f>
        <v>121404.53547915144</v>
      </c>
      <c r="V17" s="70" cm="1">
        <f t="array" ref="V17">(_xlfn.BYROW(B61,_xlfn.LAMBDA(_xlpm.party,SUMIFS(ledger!G:G,ledger!B:B,_xlpm.party,ledger!E:E,"&lt;&gt;*RD*",ledger!D:D,"Silky")))/1.0936)+_xlfn.IFNA(F110,0)</f>
        <v>0</v>
      </c>
      <c r="W17" s="22" cm="1">
        <f t="array" ref="W17">(_xlfn.BYROW(B61,_xlfn.LAMBDA(_xlpm.party,
(SUMIFS(ledger!J:J,ledger!B:B,_xlpm.party,ledger!E:E,"&lt;&gt;*RD*",ledger!D:D,"Chamki",ledger!C:C,"&lt;&gt;January Closing CF")+
SUMIFS(ledger!J:J,ledger!B:B,_xlpm.party,ledger!E:E,"&lt;&gt;*RD*",ledger!D:D,"Crinkle",ledger!C:C,"&lt;&gt;January Closing CF")
)+_xlfn.IFNA(G110,0))))</f>
        <v>1214045.3547915143</v>
      </c>
      <c r="X17" s="70" cm="1">
        <f t="array" ref="X17">_xlfn.BYROW(B61, _xlfn.LAMBDA(_xlpm.party,
   SUMIFS(ledger!J:J, ledger!B:B, _xlpm.party, ledger!E:E, "&lt;&gt;*RD*", ledger!D:D, "Silky", ledger!C:C, "&lt;&gt;January Closing CF")
)) + _xlfn.IFNA(H110, 0)</f>
        <v>0</v>
      </c>
      <c r="Y17" s="70" cm="1">
        <f t="array" ref="Y17">_xlfn.BYROW(B61, _xlfn.LAMBDA(_xlpm.party,
   SUMIFS(ledger!J:J, ledger!B:B, _xlpm.party, ledger!E:E, "&lt;&gt;*RD*", ledger!D:D, "Slub", ledger!C:C, "&lt;&gt;January Closing CF")
))+ _xlfn.IFNA(I110, 0)</f>
        <v>0</v>
      </c>
      <c r="Z17" s="70" cm="1">
        <f t="array" ref="Z17">_xlfn.BYROW(B61, _xlfn.LAMBDA(_xlpm.party,
   SUMIFS(ledger!J:J, ledger!B:B, _xlpm.party, ledger!E:E, "&lt;&gt;*RD*", ledger!D:D, "Satin", ledger!C:C, "&lt;&gt;January Closing CF")
))+ _xlfn.IFNA(J110, 0)</f>
        <v>0</v>
      </c>
      <c r="AA17" s="70" cm="1">
        <f t="array" ref="AA17">_xlfn.BYROW(B61, _xlfn.LAMBDA(_xlpm.party,
   SUMIFS(ledger!J:J, ledger!B:B, _xlpm.party, ledger!E:E, "&lt;&gt;*RD*", ledger!D:D, "Black-Chamki", ledger!C:C, "&lt;&gt;January Closing CF")
))+ _xlfn.IFNA(K110, 0)</f>
        <v>0</v>
      </c>
      <c r="AB17" s="70" cm="1">
        <f t="array" ref="AB17">_xlfn.BYROW(B61, _xlfn.LAMBDA(_xlpm.party,
   SUMIFS(ledger!J:J, ledger!B:B, _xlpm.party, ledger!E:E, "&lt;&gt;*RD*", ledger!D:D, "Kataan", ledger!C:C, "&lt;&gt;January Closing CF")
))+ _xlfn.IFNA(L110, 0)</f>
        <v>0</v>
      </c>
      <c r="AC17" s="70" cm="1">
        <f t="array" ref="AC17">_xlfn.BYROW(B61, _xlfn.LAMBDA(_xlpm.party,
   SUMIFS(ledger!J:J, ledger!B:B, _xlpm.party, ledger!E:E, "&lt;&gt;*RD*", ledger!D:D, "Munaar", ledger!C:C, "&lt;&gt;January Closing CF")
))+ _xlfn.IFNA(M110, 0)</f>
        <v>0</v>
      </c>
      <c r="AD17" s="70" cm="1">
        <f t="array" ref="AD17">_xlfn.BYROW(B61, _xlfn.LAMBDA(_xlpm.party,
   SUMIFS(ledger!J:J, ledger!B:B, _xlpm.party, ledger!E:E, "&lt;&gt;*RD*", ledger!D:D, "Custom", ledger!C:C, "&lt;&gt;January Closing CF")
))+ _xlfn.IFNA(N110, 0)</f>
        <v>0</v>
      </c>
      <c r="AE17" s="39">
        <f t="shared" si="1"/>
        <v>1214045.3547915143</v>
      </c>
      <c r="AF17" s="22">
        <f>(SUMIF(Table14[Party],R17,Table14[Credit]))+_xlfn.IFNA(P110,0)</f>
        <v>1214045</v>
      </c>
      <c r="AG17" s="33">
        <f t="shared" si="2"/>
        <v>0.35479151434265077</v>
      </c>
      <c r="AH17" s="21">
        <v>10</v>
      </c>
      <c r="AI17" s="21">
        <v>13</v>
      </c>
    </row>
    <row r="18" spans="2:35" x14ac:dyDescent="0.3">
      <c r="B18" t="str">
        <f t="shared" si="0"/>
        <v>Faizan</v>
      </c>
      <c r="C18" s="18">
        <f>SUMIFS(ledger!G:G, ledger!B:B, B18, ledger!E:E, "&lt;&gt;*RD*") / 1.0936</f>
        <v>50968.361375274326</v>
      </c>
      <c r="E18" s="14">
        <f>(SUMIFS(ledger!G:G, ledger!B:B, B18, ledger!E:E, "&lt;&gt;*RD*",ledger!D:D, "Silky") / 1.0936)*12 + (SUMIFS(ledger!G:G, ledger!B:B, B18, ledger!E:E, "&lt;&gt;*RD*",ledger!D:D, "Chamki") / 1.0936)*10</f>
        <v>611620.33650329197</v>
      </c>
      <c r="I18" t="s">
        <v>175</v>
      </c>
      <c r="P18" s="97"/>
      <c r="R18" t="str">
        <v>Amjad 7up</v>
      </c>
      <c r="S18" s="22" cm="1">
        <f t="array" ref="S18">_xlfn.BYROW(B62,_xlfn.LAMBDA(_xlpm.party,SUMIFS(ledger!G:G,ledger!B:B,_xlpm.party,ledger!E:E,"&lt;&gt;*RD*")))+_xlfn.IFNA(C111,0)</f>
        <v>52914</v>
      </c>
      <c r="T18" s="22" cm="1">
        <f t="array" ref="T18">_xlfn.BYROW(B62, _xlfn.LAMBDA(_xlpm.party, SUMIFS(ledger!G:G, ledger!B:B, _xlpm.party, ledger!E:E, "&lt;&gt;*RD*") / 1.0936 ))+_xlfn.IFNA(D111,0)</f>
        <v>48385.149963423559</v>
      </c>
      <c r="U18" s="22" cm="1">
        <f t="array" ref="U18">(_xlfn.BYROW(B62,_xlfn.LAMBDA(_xlpm.party,SUMIFS(ledger!G:G,ledger!B:B,_xlpm.party,ledger!E:E,"&lt;&gt;*RD*",ledger!D:D,"Chamki")+SUMIFS(ledger!G:G, ledger!B:B, _xlpm.party, ledger!E:E, "&lt;&gt;*RD*", ledger!D:D, "Crinkle")))/1.0936)+_xlfn.IFNA(E111,0)</f>
        <v>48385.149963423559</v>
      </c>
      <c r="V18" s="70" cm="1">
        <f t="array" ref="V18">(_xlfn.BYROW(B62,_xlfn.LAMBDA(_xlpm.party,SUMIFS(ledger!G:G,ledger!B:B,_xlpm.party,ledger!E:E,"&lt;&gt;*RD*",ledger!D:D,"Silky")))/1.0936)+_xlfn.IFNA(F111,0)</f>
        <v>0</v>
      </c>
      <c r="W18" s="22" cm="1">
        <f t="array" ref="W18">(_xlfn.BYROW(B62,_xlfn.LAMBDA(_xlpm.party,
(SUMIFS(ledger!J:J,ledger!B:B,_xlpm.party,ledger!E:E,"&lt;&gt;*RD*",ledger!D:D,"Chamki",ledger!C:C,"&lt;&gt;January Closing CF")+
SUMIFS(ledger!J:J,ledger!B:B,_xlpm.party,ledger!E:E,"&lt;&gt;*RD*",ledger!D:D,"Crinkle",ledger!C:C,"&lt;&gt;January Closing CF")
)+_xlfn.IFNA(G111,0))))</f>
        <v>483851.49963423557</v>
      </c>
      <c r="X18" s="70" cm="1">
        <f t="array" ref="X18">_xlfn.BYROW(B62, _xlfn.LAMBDA(_xlpm.party,
   SUMIFS(ledger!J:J, ledger!B:B, _xlpm.party, ledger!E:E, "&lt;&gt;*RD*", ledger!D:D, "Silky", ledger!C:C, "&lt;&gt;January Closing CF")
)) + _xlfn.IFNA(H111, 0)</f>
        <v>0</v>
      </c>
      <c r="Y18" s="70" cm="1">
        <f t="array" ref="Y18">_xlfn.BYROW(B62, _xlfn.LAMBDA(_xlpm.party,
   SUMIFS(ledger!J:J, ledger!B:B, _xlpm.party, ledger!E:E, "&lt;&gt;*RD*", ledger!D:D, "Slub", ledger!C:C, "&lt;&gt;January Closing CF")
))+ _xlfn.IFNA(I111, 0)</f>
        <v>0</v>
      </c>
      <c r="Z18" s="70" cm="1">
        <f t="array" ref="Z18">_xlfn.BYROW(B62, _xlfn.LAMBDA(_xlpm.party,
   SUMIFS(ledger!J:J, ledger!B:B, _xlpm.party, ledger!E:E, "&lt;&gt;*RD*", ledger!D:D, "Satin", ledger!C:C, "&lt;&gt;January Closing CF")
))+ _xlfn.IFNA(J111, 0)</f>
        <v>0</v>
      </c>
      <c r="AA18" s="70" cm="1">
        <f t="array" ref="AA18">_xlfn.BYROW(B62, _xlfn.LAMBDA(_xlpm.party,
   SUMIFS(ledger!J:J, ledger!B:B, _xlpm.party, ledger!E:E, "&lt;&gt;*RD*", ledger!D:D, "Black-Chamki", ledger!C:C, "&lt;&gt;January Closing CF")
))+ _xlfn.IFNA(K111, 0)</f>
        <v>0</v>
      </c>
      <c r="AB18" s="70" cm="1">
        <f t="array" ref="AB18">_xlfn.BYROW(B62, _xlfn.LAMBDA(_xlpm.party,
   SUMIFS(ledger!J:J, ledger!B:B, _xlpm.party, ledger!E:E, "&lt;&gt;*RD*", ledger!D:D, "Kataan", ledger!C:C, "&lt;&gt;January Closing CF")
))+ _xlfn.IFNA(L111, 0)</f>
        <v>0</v>
      </c>
      <c r="AC18" s="70" cm="1">
        <f t="array" ref="AC18">_xlfn.BYROW(B62, _xlfn.LAMBDA(_xlpm.party,
   SUMIFS(ledger!J:J, ledger!B:B, _xlpm.party, ledger!E:E, "&lt;&gt;*RD*", ledger!D:D, "Munaar", ledger!C:C, "&lt;&gt;January Closing CF")
))+ _xlfn.IFNA(M111, 0)</f>
        <v>0</v>
      </c>
      <c r="AD18" s="70" cm="1">
        <f t="array" ref="AD18">_xlfn.BYROW(B62, _xlfn.LAMBDA(_xlpm.party,
   SUMIFS(ledger!J:J, ledger!B:B, _xlpm.party, ledger!E:E, "&lt;&gt;*RD*", ledger!D:D, "Custom", ledger!C:C, "&lt;&gt;January Closing CF")
))+ _xlfn.IFNA(N111, 0)</f>
        <v>0</v>
      </c>
      <c r="AE18" s="39">
        <f t="shared" si="1"/>
        <v>483851.49963423557</v>
      </c>
      <c r="AF18" s="22">
        <f>(SUMIF(Table14[Party],R18,Table14[Credit]))+_xlfn.IFNA(P111,0)</f>
        <v>480000</v>
      </c>
      <c r="AG18" s="33">
        <f t="shared" si="2"/>
        <v>3851.4996342355735</v>
      </c>
      <c r="AH18" s="21">
        <v>10</v>
      </c>
      <c r="AI18" s="21">
        <v>13</v>
      </c>
    </row>
    <row r="19" spans="2:35" x14ac:dyDescent="0.3">
      <c r="I19" t="s">
        <v>177</v>
      </c>
      <c r="P19" s="97"/>
      <c r="R19" t="str">
        <v>Hazrat Khan</v>
      </c>
      <c r="S19" s="22" cm="1">
        <f t="array" ref="S19">_xlfn.BYROW(B63,_xlfn.LAMBDA(_xlpm.party,SUMIFS(ledger!G:G,ledger!B:B,_xlpm.party,ledger!E:E,"&lt;&gt;*RD*")))+_xlfn.IFNA(C112,0)</f>
        <v>9750</v>
      </c>
      <c r="T19" s="22" cm="1">
        <f t="array" ref="T19">_xlfn.BYROW(B63, _xlfn.LAMBDA(_xlpm.party, SUMIFS(ledger!G:G, ledger!B:B, _xlpm.party, ledger!E:E, "&lt;&gt;*RD*") / 1.0936 ))+_xlfn.IFNA(D112,0)</f>
        <v>8915.5084125822978</v>
      </c>
      <c r="U19" s="22" cm="1">
        <f t="array" ref="U19">(_xlfn.BYROW(B63,_xlfn.LAMBDA(_xlpm.party,SUMIFS(ledger!G:G,ledger!B:B,_xlpm.party,ledger!E:E,"&lt;&gt;*RD*",ledger!D:D,"Chamki")+SUMIFS(ledger!G:G, ledger!B:B, _xlpm.party, ledger!E:E, "&lt;&gt;*RD*", ledger!D:D, "Crinkle")))/1.0936)+_xlfn.IFNA(E112,0)</f>
        <v>8915.5084125822978</v>
      </c>
      <c r="V19" s="70" cm="1">
        <f t="array" ref="V19">(_xlfn.BYROW(B63,_xlfn.LAMBDA(_xlpm.party,SUMIFS(ledger!G:G,ledger!B:B,_xlpm.party,ledger!E:E,"&lt;&gt;*RD*",ledger!D:D,"Silky")))/1.0936)+_xlfn.IFNA(F112,0)</f>
        <v>0</v>
      </c>
      <c r="W19" s="22" cm="1">
        <f t="array" ref="W19">(_xlfn.BYROW(B63,_xlfn.LAMBDA(_xlpm.party,
(SUMIFS(ledger!J:J,ledger!B:B,_xlpm.party,ledger!E:E,"&lt;&gt;*RD*",ledger!D:D,"Chamki",ledger!C:C,"&lt;&gt;January Closing CF")+
SUMIFS(ledger!J:J,ledger!B:B,_xlpm.party,ledger!E:E,"&lt;&gt;*RD*",ledger!D:D,"Crinkle",ledger!C:C,"&lt;&gt;January Closing CF")
)+_xlfn.IFNA(G112,0))))</f>
        <v>89155.084125822978</v>
      </c>
      <c r="X19" s="70" cm="1">
        <f t="array" ref="X19">_xlfn.BYROW(B63, _xlfn.LAMBDA(_xlpm.party,
   SUMIFS(ledger!J:J, ledger!B:B, _xlpm.party, ledger!E:E, "&lt;&gt;*RD*", ledger!D:D, "Silky", ledger!C:C, "&lt;&gt;January Closing CF")
)) + _xlfn.IFNA(H112, 0)</f>
        <v>0</v>
      </c>
      <c r="Y19" s="70" cm="1">
        <f t="array" ref="Y19">_xlfn.BYROW(B63, _xlfn.LAMBDA(_xlpm.party,
   SUMIFS(ledger!J:J, ledger!B:B, _xlpm.party, ledger!E:E, "&lt;&gt;*RD*", ledger!D:D, "Slub", ledger!C:C, "&lt;&gt;January Closing CF")
))+ _xlfn.IFNA(I112, 0)</f>
        <v>0</v>
      </c>
      <c r="Z19" s="70" cm="1">
        <f t="array" ref="Z19">_xlfn.BYROW(B63, _xlfn.LAMBDA(_xlpm.party,
   SUMIFS(ledger!J:J, ledger!B:B, _xlpm.party, ledger!E:E, "&lt;&gt;*RD*", ledger!D:D, "Satin", ledger!C:C, "&lt;&gt;January Closing CF")
))+ _xlfn.IFNA(J112, 0)</f>
        <v>0</v>
      </c>
      <c r="AA19" s="70" cm="1">
        <f t="array" ref="AA19">_xlfn.BYROW(B63, _xlfn.LAMBDA(_xlpm.party,
   SUMIFS(ledger!J:J, ledger!B:B, _xlpm.party, ledger!E:E, "&lt;&gt;*RD*", ledger!D:D, "Black-Chamki", ledger!C:C, "&lt;&gt;January Closing CF")
))+ _xlfn.IFNA(K112, 0)</f>
        <v>0</v>
      </c>
      <c r="AB19" s="70" cm="1">
        <f t="array" ref="AB19">_xlfn.BYROW(B63, _xlfn.LAMBDA(_xlpm.party,
   SUMIFS(ledger!J:J, ledger!B:B, _xlpm.party, ledger!E:E, "&lt;&gt;*RD*", ledger!D:D, "Kataan", ledger!C:C, "&lt;&gt;January Closing CF")
))+ _xlfn.IFNA(L112, 0)</f>
        <v>0</v>
      </c>
      <c r="AC19" s="70" cm="1">
        <f t="array" ref="AC19">_xlfn.BYROW(B63, _xlfn.LAMBDA(_xlpm.party,
   SUMIFS(ledger!J:J, ledger!B:B, _xlpm.party, ledger!E:E, "&lt;&gt;*RD*", ledger!D:D, "Munaar", ledger!C:C, "&lt;&gt;January Closing CF")
))+ _xlfn.IFNA(M112, 0)</f>
        <v>0</v>
      </c>
      <c r="AD19" s="70" cm="1">
        <f t="array" ref="AD19">_xlfn.BYROW(B63, _xlfn.LAMBDA(_xlpm.party,
   SUMIFS(ledger!J:J, ledger!B:B, _xlpm.party, ledger!E:E, "&lt;&gt;*RD*", ledger!D:D, "Custom", ledger!C:C, "&lt;&gt;January Closing CF")
))+ _xlfn.IFNA(N112, 0)</f>
        <v>0</v>
      </c>
      <c r="AE19" s="39">
        <f t="shared" si="1"/>
        <v>89155.084125822978</v>
      </c>
      <c r="AF19" s="22">
        <f>(SUMIF(Table14[Party],R19,Table14[Credit]))+_xlfn.IFNA(P112,0)</f>
        <v>95000</v>
      </c>
      <c r="AG19" s="33">
        <f t="shared" si="2"/>
        <v>-5844.9158741770225</v>
      </c>
      <c r="AH19" s="21">
        <v>10</v>
      </c>
      <c r="AI19" s="21">
        <v>13</v>
      </c>
    </row>
    <row r="20" spans="2:35" x14ac:dyDescent="0.3">
      <c r="I20" t="s">
        <v>178</v>
      </c>
      <c r="P20" s="97"/>
      <c r="R20" t="str">
        <v>Haseeb Shamsi</v>
      </c>
      <c r="S20" s="22" cm="1">
        <f t="array" ref="S20">_xlfn.BYROW(B64,_xlfn.LAMBDA(_xlpm.party,SUMIFS(ledger!G:G,ledger!B:B,_xlpm.party,ledger!E:E,"&lt;&gt;*RD*")))+_xlfn.IFNA(C113,0)</f>
        <v>61975</v>
      </c>
      <c r="T20" s="22" cm="1">
        <f t="array" ref="T20">_xlfn.BYROW(B64, _xlfn.LAMBDA(_xlpm.party, SUMIFS(ledger!G:G, ledger!B:B, _xlpm.party, ledger!E:E, "&lt;&gt;*RD*") / 1.0936 ))+_xlfn.IFNA(D113,0)</f>
        <v>56670.629114850046</v>
      </c>
      <c r="U20" s="22" cm="1">
        <f t="array" ref="U20">(_xlfn.BYROW(B64,_xlfn.LAMBDA(_xlpm.party,SUMIFS(ledger!G:G,ledger!B:B,_xlpm.party,ledger!E:E,"&lt;&gt;*RD*",ledger!D:D,"Chamki")+SUMIFS(ledger!G:G, ledger!B:B, _xlpm.party, ledger!E:E, "&lt;&gt;*RD*", ledger!D:D, "Crinkle")))/1.0936)+_xlfn.IFNA(E113,0)</f>
        <v>47437.820043891741</v>
      </c>
      <c r="V20" s="70" cm="1">
        <f t="array" ref="V20">(_xlfn.BYROW(B64,_xlfn.LAMBDA(_xlpm.party,SUMIFS(ledger!G:G,ledger!B:B,_xlpm.party,ledger!E:E,"&lt;&gt;*RD*",ledger!D:D,"Silky")))/1.0936)+_xlfn.IFNA(F113,0)</f>
        <v>9232.809070958303</v>
      </c>
      <c r="W20" s="22" cm="1">
        <f t="array" ref="W20">(_xlfn.BYROW(B64,_xlfn.LAMBDA(_xlpm.party,
(SUMIFS(ledger!J:J,ledger!B:B,_xlpm.party,ledger!E:E,"&lt;&gt;*RD*",ledger!D:D,"Chamki",ledger!C:C,"&lt;&gt;January Closing CF")+
SUMIFS(ledger!J:J,ledger!B:B,_xlpm.party,ledger!E:E,"&lt;&gt;*RD*",ledger!D:D,"Crinkle",ledger!C:C,"&lt;&gt;January Closing CF")
)+_xlfn.IFNA(G113,0))))</f>
        <v>474378.20043891744</v>
      </c>
      <c r="X20" s="70" cm="1">
        <f t="array" ref="X20">_xlfn.BYROW(B64, _xlfn.LAMBDA(_xlpm.party,
   SUMIFS(ledger!J:J, ledger!B:B, _xlpm.party, ledger!E:E, "&lt;&gt;*RD*", ledger!D:D, "Silky", ledger!C:C, "&lt;&gt;January Closing CF")
)) + _xlfn.IFNA(H113, 0)</f>
        <v>120026.51792245793</v>
      </c>
      <c r="Y20" s="70" cm="1">
        <f t="array" ref="Y20">_xlfn.BYROW(B64, _xlfn.LAMBDA(_xlpm.party,
   SUMIFS(ledger!J:J, ledger!B:B, _xlpm.party, ledger!E:E, "&lt;&gt;*RD*", ledger!D:D, "Slub", ledger!C:C, "&lt;&gt;January Closing CF")
))+ _xlfn.IFNA(I113, 0)</f>
        <v>0</v>
      </c>
      <c r="Z20" s="70" cm="1">
        <f t="array" ref="Z20">_xlfn.BYROW(B64, _xlfn.LAMBDA(_xlpm.party,
   SUMIFS(ledger!J:J, ledger!B:B, _xlpm.party, ledger!E:E, "&lt;&gt;*RD*", ledger!D:D, "Satin", ledger!C:C, "&lt;&gt;January Closing CF")
))+ _xlfn.IFNA(J113, 0)</f>
        <v>0</v>
      </c>
      <c r="AA20" s="70" cm="1">
        <f t="array" ref="AA20">_xlfn.BYROW(B64, _xlfn.LAMBDA(_xlpm.party,
   SUMIFS(ledger!J:J, ledger!B:B, _xlpm.party, ledger!E:E, "&lt;&gt;*RD*", ledger!D:D, "Black-Chamki", ledger!C:C, "&lt;&gt;January Closing CF")
))+ _xlfn.IFNA(K113, 0)</f>
        <v>0</v>
      </c>
      <c r="AB20" s="70" cm="1">
        <f t="array" ref="AB20">_xlfn.BYROW(B64, _xlfn.LAMBDA(_xlpm.party,
   SUMIFS(ledger!J:J, ledger!B:B, _xlpm.party, ledger!E:E, "&lt;&gt;*RD*", ledger!D:D, "Kataan", ledger!C:C, "&lt;&gt;January Closing CF")
))+ _xlfn.IFNA(L113, 0)</f>
        <v>0</v>
      </c>
      <c r="AC20" s="70" cm="1">
        <f t="array" ref="AC20">_xlfn.BYROW(B64, _xlfn.LAMBDA(_xlpm.party,
   SUMIFS(ledger!J:J, ledger!B:B, _xlpm.party, ledger!E:E, "&lt;&gt;*RD*", ledger!D:D, "Munaar", ledger!C:C, "&lt;&gt;January Closing CF")
))+ _xlfn.IFNA(M113, 0)</f>
        <v>0</v>
      </c>
      <c r="AD20" s="70" cm="1">
        <f t="array" ref="AD20">_xlfn.BYROW(B64, _xlfn.LAMBDA(_xlpm.party,
   SUMIFS(ledger!J:J, ledger!B:B, _xlpm.party, ledger!E:E, "&lt;&gt;*RD*", ledger!D:D, "Custom", ledger!C:C, "&lt;&gt;January Closing CF")
))+ _xlfn.IFNA(N113, 0)</f>
        <v>0</v>
      </c>
      <c r="AE20" s="39">
        <f t="shared" si="1"/>
        <v>594404.71836137539</v>
      </c>
      <c r="AF20" s="22">
        <f>(SUMIF(Table14[Party],R20,Table14[Credit]))+_xlfn.IFNA(P113,0)</f>
        <v>594405</v>
      </c>
      <c r="AG20" s="33">
        <f t="shared" si="2"/>
        <v>-0.28163862461224198</v>
      </c>
      <c r="AH20" s="21">
        <v>10</v>
      </c>
      <c r="AI20" s="21">
        <v>13</v>
      </c>
    </row>
    <row r="21" spans="2:35" x14ac:dyDescent="0.3">
      <c r="B21" s="40" t="s">
        <v>29</v>
      </c>
      <c r="C21" s="41">
        <f>SUM(O49:O85)</f>
        <v>29036182.333577175</v>
      </c>
      <c r="D21" t="s">
        <v>30</v>
      </c>
      <c r="I21" t="s">
        <v>183</v>
      </c>
      <c r="P21" s="98"/>
      <c r="R21" t="str">
        <v>Faizan</v>
      </c>
      <c r="S21" s="22" cm="1">
        <f t="array" ref="S21">_xlfn.BYROW(B65,_xlfn.LAMBDA(_xlpm.party,SUMIFS(ledger!G:G,ledger!B:B,_xlpm.party,ledger!E:E,"&lt;&gt;*RD*")))+_xlfn.IFNA(C114,0)</f>
        <v>565150</v>
      </c>
      <c r="T21" s="22" cm="1">
        <f t="array" ref="T21">_xlfn.BYROW(B65, _xlfn.LAMBDA(_xlpm.party, SUMIFS(ledger!G:G, ledger!B:B, _xlpm.party, ledger!E:E, "&lt;&gt;*RD*") / 1.0936 ))+_xlfn.IFNA(D114,0)</f>
        <v>516779.44403803954</v>
      </c>
      <c r="U21" s="22" cm="1">
        <f t="array" ref="U21">(_xlfn.BYROW(B65,_xlfn.LAMBDA(_xlpm.party,SUMIFS(ledger!G:G,ledger!B:B,_xlpm.party,ledger!E:E,"&lt;&gt;*RD*",ledger!D:D,"Chamki")+SUMIFS(ledger!G:G, ledger!B:B, _xlpm.party, ledger!E:E, "&lt;&gt;*RD*", ledger!D:D, "Crinkle")))/1.0936)+_xlfn.IFNA(E114,0)</f>
        <v>0</v>
      </c>
      <c r="V21" s="70" cm="1">
        <f t="array" ref="V21">(_xlfn.BYROW(B65,_xlfn.LAMBDA(_xlpm.party,SUMIFS(ledger!G:G,ledger!B:B,_xlpm.party,ledger!E:E,"&lt;&gt;*RD*",ledger!D:D,"Silky")))/1.0936)+_xlfn.IFNA(F114,0)</f>
        <v>513809.43672275054</v>
      </c>
      <c r="W21" s="22" cm="1">
        <f t="array" ref="W21">(_xlfn.BYROW(B65,_xlfn.LAMBDA(_xlpm.party,
(SUMIFS(ledger!J:J,ledger!B:B,_xlpm.party,ledger!E:E,"&lt;&gt;*RD*",ledger!D:D,"Chamki",ledger!C:C,"&lt;&gt;January Closing CF")+
SUMIFS(ledger!J:J,ledger!B:B,_xlpm.party,ledger!E:E,"&lt;&gt;*RD*",ledger!D:D,"Crinkle",ledger!C:C,"&lt;&gt;January Closing CF")
)+_xlfn.IFNA(G114,0))))</f>
        <v>30000</v>
      </c>
      <c r="X21" s="70" cm="1">
        <f t="array" ref="X21">_xlfn.BYROW(B65, _xlfn.LAMBDA(_xlpm.party,
   SUMIFS(ledger!J:J, ledger!B:B, _xlpm.party, ledger!E:E, "&lt;&gt;*RD*", ledger!D:D, "Silky", ledger!C:C, "&lt;&gt;January Closing CF")
)) + _xlfn.IFNA(H114, 0)</f>
        <v>6679522.6773957582</v>
      </c>
      <c r="Y21" s="70" cm="1">
        <f t="array" ref="Y21">_xlfn.BYROW(B65, _xlfn.LAMBDA(_xlpm.party,
   SUMIFS(ledger!J:J, ledger!B:B, _xlpm.party, ledger!E:E, "&lt;&gt;*RD*", ledger!D:D, "Slub", ledger!C:C, "&lt;&gt;January Closing CF")
))+ _xlfn.IFNA(I114, 0)</f>
        <v>44550.109729334312</v>
      </c>
      <c r="Z21" s="70" cm="1">
        <f t="array" ref="Z21">_xlfn.BYROW(B65, _xlfn.LAMBDA(_xlpm.party,
   SUMIFS(ledger!J:J, ledger!B:B, _xlpm.party, ledger!E:E, "&lt;&gt;*RD*", ledger!D:D, "Satin", ledger!C:C, "&lt;&gt;January Closing CF")
))+ _xlfn.IFNA(J114, 0)</f>
        <v>0</v>
      </c>
      <c r="AA21" s="70" cm="1">
        <f t="array" ref="AA21">_xlfn.BYROW(B65, _xlfn.LAMBDA(_xlpm.party,
   SUMIFS(ledger!J:J, ledger!B:B, _xlpm.party, ledger!E:E, "&lt;&gt;*RD*", ledger!D:D, "Black-Chamki", ledger!C:C, "&lt;&gt;January Closing CF")
))+ _xlfn.IFNA(K114, 0)</f>
        <v>0</v>
      </c>
      <c r="AB21" s="70" cm="1">
        <f t="array" ref="AB21">_xlfn.BYROW(B65, _xlfn.LAMBDA(_xlpm.party,
   SUMIFS(ledger!J:J, ledger!B:B, _xlpm.party, ledger!E:E, "&lt;&gt;*RD*", ledger!D:D, "Kataan", ledger!C:C, "&lt;&gt;January Closing CF")
))+ _xlfn.IFNA(L114, 0)</f>
        <v>0</v>
      </c>
      <c r="AC21" s="70" cm="1">
        <f t="array" ref="AC21">_xlfn.BYROW(B65, _xlfn.LAMBDA(_xlpm.party,
   SUMIFS(ledger!J:J, ledger!B:B, _xlpm.party, ledger!E:E, "&lt;&gt;*RD*", ledger!D:D, "Munaar", ledger!C:C, "&lt;&gt;January Closing CF")
))+ _xlfn.IFNA(M114, 0)</f>
        <v>0</v>
      </c>
      <c r="AD21" s="70" cm="1">
        <f t="array" ref="AD21">_xlfn.BYROW(B65, _xlfn.LAMBDA(_xlpm.party,
   SUMIFS(ledger!J:J, ledger!B:B, _xlpm.party, ledger!E:E, "&lt;&gt;*RD*", ledger!D:D, "Custom", ledger!C:C, "&lt;&gt;January Closing CF")
))+ _xlfn.IFNA(N114, 0)</f>
        <v>0</v>
      </c>
      <c r="AE21" s="39">
        <f t="shared" si="1"/>
        <v>6754072.7871250929</v>
      </c>
      <c r="AF21" s="22">
        <f>(SUMIF(Table14[Party],R21,Table14[Credit]))+_xlfn.IFNA(P114,0)</f>
        <v>6728187</v>
      </c>
      <c r="AG21" s="33">
        <f t="shared" si="2"/>
        <v>25885.787125092931</v>
      </c>
      <c r="AH21" s="21">
        <v>10</v>
      </c>
      <c r="AI21" s="21">
        <v>13</v>
      </c>
    </row>
    <row r="22" spans="2:35" x14ac:dyDescent="0.3">
      <c r="C22" s="18"/>
      <c r="I22" t="s">
        <v>190</v>
      </c>
      <c r="P22" s="21"/>
      <c r="R22" t="str">
        <v>Shafique Ansari</v>
      </c>
      <c r="S22" s="22" cm="1">
        <f t="array" ref="S22">_xlfn.BYROW(B66,_xlfn.LAMBDA(_xlpm.party,SUMIFS(ledger!G:G,ledger!B:B,_xlpm.party,ledger!E:E,"&lt;&gt;*RD*")))+_xlfn.IFNA(C115,0)</f>
        <v>82290</v>
      </c>
      <c r="T22" s="22" cm="1">
        <f t="array" ref="T22">_xlfn.BYROW(B66, _xlfn.LAMBDA(_xlpm.party, SUMIFS(ledger!G:G, ledger!B:B, _xlpm.party, ledger!E:E, "&lt;&gt;*RD*") / 1.0936 ))+_xlfn.IFNA(D115,0)</f>
        <v>75246.891002194592</v>
      </c>
      <c r="U22" s="22" cm="1">
        <f t="array" ref="U22">(_xlfn.BYROW(B66,_xlfn.LAMBDA(_xlpm.party,SUMIFS(ledger!G:G,ledger!B:B,_xlpm.party,ledger!E:E,"&lt;&gt;*RD*",ledger!D:D,"Chamki")+SUMIFS(ledger!G:G, ledger!B:B, _xlpm.party, ledger!E:E, "&lt;&gt;*RD*", ledger!D:D, "Crinkle")))/1.0936)+_xlfn.IFNA(E115,0)</f>
        <v>64300.475493782011</v>
      </c>
      <c r="V22" s="70" cm="1">
        <f t="array" ref="V22">(_xlfn.BYROW(B66,_xlfn.LAMBDA(_xlpm.party,SUMIFS(ledger!G:G,ledger!B:B,_xlpm.party,ledger!E:E,"&lt;&gt;*RD*",ledger!D:D,"Silky")))/1.0936)+_xlfn.IFNA(F115,0)</f>
        <v>7565.8376005852242</v>
      </c>
      <c r="W22" s="22" cm="1">
        <f t="array" ref="W22">(_xlfn.BYROW(B66,_xlfn.LAMBDA(_xlpm.party,
(SUMIFS(ledger!J:J,ledger!B:B,_xlpm.party,ledger!E:E,"&lt;&gt;*RD*",ledger!D:D,"Chamki",ledger!C:C,"&lt;&gt;January Closing CF")+
SUMIFS(ledger!J:J,ledger!B:B,_xlpm.party,ledger!E:E,"&lt;&gt;*RD*",ledger!D:D,"Crinkle",ledger!C:C,"&lt;&gt;January Closing CF")
)+_xlfn.IFNA(G115,0))))</f>
        <v>643004.75493782014</v>
      </c>
      <c r="X22" s="70" cm="1">
        <f t="array" ref="X22">_xlfn.BYROW(B66, _xlfn.LAMBDA(_xlpm.party,
   SUMIFS(ledger!J:J, ledger!B:B, _xlpm.party, ledger!E:E, "&lt;&gt;*RD*", ledger!D:D, "Silky", ledger!C:C, "&lt;&gt;January Closing CF")
)) + _xlfn.IFNA(H115, 0)</f>
        <v>98355.888807607917</v>
      </c>
      <c r="Y22" s="70" cm="1">
        <f t="array" ref="Y22">_xlfn.BYROW(B66, _xlfn.LAMBDA(_xlpm.party,
   SUMIFS(ledger!J:J, ledger!B:B, _xlpm.party, ledger!E:E, "&lt;&gt;*RD*", ledger!D:D, "Slub", ledger!C:C, "&lt;&gt;January Closing CF")
))+ _xlfn.IFNA(I115, 0)</f>
        <v>0</v>
      </c>
      <c r="Z22" s="70" cm="1">
        <f t="array" ref="Z22">_xlfn.BYROW(B66, _xlfn.LAMBDA(_xlpm.party,
   SUMIFS(ledger!J:J, ledger!B:B, _xlpm.party, ledger!E:E, "&lt;&gt;*RD*", ledger!D:D, "Satin", ledger!C:C, "&lt;&gt;January Closing CF")
))+ _xlfn.IFNA(J115, 0)</f>
        <v>94656.181419166067</v>
      </c>
      <c r="AA22" s="70" cm="1">
        <f t="array" ref="AA22">_xlfn.BYROW(B66, _xlfn.LAMBDA(_xlpm.party,
   SUMIFS(ledger!J:J, ledger!B:B, _xlpm.party, ledger!E:E, "&lt;&gt;*RD*", ledger!D:D, "Black-Chamki", ledger!C:C, "&lt;&gt;January Closing CF")
))+ _xlfn.IFNA(K115, 0)</f>
        <v>0</v>
      </c>
      <c r="AB22" s="70" cm="1">
        <f t="array" ref="AB22">_xlfn.BYROW(B66, _xlfn.LAMBDA(_xlpm.party,
   SUMIFS(ledger!J:J, ledger!B:B, _xlpm.party, ledger!E:E, "&lt;&gt;*RD*", ledger!D:D, "Kataan", ledger!C:C, "&lt;&gt;January Closing CF")
))+ _xlfn.IFNA(L115, 0)</f>
        <v>0</v>
      </c>
      <c r="AC22" s="70" cm="1">
        <f t="array" ref="AC22">_xlfn.BYROW(B66, _xlfn.LAMBDA(_xlpm.party,
   SUMIFS(ledger!J:J, ledger!B:B, _xlpm.party, ledger!E:E, "&lt;&gt;*RD*", ledger!D:D, "Munaar", ledger!C:C, "&lt;&gt;January Closing CF")
))+ _xlfn.IFNA(M115, 0)</f>
        <v>0</v>
      </c>
      <c r="AD22" s="70" cm="1">
        <f t="array" ref="AD22">_xlfn.BYROW(B66, _xlfn.LAMBDA(_xlpm.party,
   SUMIFS(ledger!J:J, ledger!B:B, _xlpm.party, ledger!E:E, "&lt;&gt;*RD*", ledger!D:D, "Custom", ledger!C:C, "&lt;&gt;January Closing CF")
))+ _xlfn.IFNA(N115, 0)</f>
        <v>0</v>
      </c>
      <c r="AE22" s="39">
        <f t="shared" si="1"/>
        <v>836016.82516459411</v>
      </c>
      <c r="AF22" s="22">
        <f>(SUMIF(Table14[Party],R22,Table14[Credit]))+_xlfn.IFNA(P115,0)</f>
        <v>835660</v>
      </c>
      <c r="AG22" s="33">
        <f t="shared" si="2"/>
        <v>356.82516459410544</v>
      </c>
      <c r="AH22" s="21">
        <v>10</v>
      </c>
      <c r="AI22" s="21">
        <v>13</v>
      </c>
    </row>
    <row r="23" spans="2:35" x14ac:dyDescent="0.3">
      <c r="B23" s="24" t="s">
        <v>31</v>
      </c>
      <c r="C23" s="37">
        <f>SUM(O49:O85)</f>
        <v>29036182.333577175</v>
      </c>
      <c r="D23" t="s">
        <v>32</v>
      </c>
      <c r="I23" t="s">
        <v>193</v>
      </c>
      <c r="P23" s="21"/>
      <c r="R23" t="str">
        <v>Amjad sohail</v>
      </c>
      <c r="S23" s="22" cm="1">
        <f t="array" ref="S23">_xlfn.BYROW(B67,_xlfn.LAMBDA(_xlpm.party,SUMIFS(ledger!G:G,ledger!B:B,_xlpm.party,ledger!E:E,"&lt;&gt;*RD*")))+_xlfn.IFNA(C116,0)</f>
        <v>501155</v>
      </c>
      <c r="T23" s="22" cm="1">
        <f t="array" ref="T23">_xlfn.BYROW(B67, _xlfn.LAMBDA(_xlpm.party, SUMIFS(ledger!G:G, ledger!B:B, _xlpm.party, ledger!E:E, "&lt;&gt;*RD*") / 1.0936 ))+_xlfn.IFNA(D116,0)</f>
        <v>458261.70446232625</v>
      </c>
      <c r="U23" s="22" cm="1">
        <f t="array" ref="U23">(_xlfn.BYROW(B67,_xlfn.LAMBDA(_xlpm.party,SUMIFS(ledger!G:G,ledger!B:B,_xlpm.party,ledger!E:E,"&lt;&gt;*RD*",ledger!D:D,"Chamki")+SUMIFS(ledger!G:G, ledger!B:B, _xlpm.party, ledger!E:E, "&lt;&gt;*RD*", ledger!D:D, "Crinkle")))/1.0936)+_xlfn.IFNA(E116,0)</f>
        <v>362820.04389173369</v>
      </c>
      <c r="V23" s="70" cm="1">
        <f t="array" ref="V23">(_xlfn.BYROW(B67,_xlfn.LAMBDA(_xlpm.party,SUMIFS(ledger!G:G,ledger!B:B,_xlpm.party,ledger!E:E,"&lt;&gt;*RD*",ledger!D:D,"Silky")))/1.0936)+_xlfn.IFNA(F116,0)</f>
        <v>95441.660570592547</v>
      </c>
      <c r="W23" s="22" cm="1">
        <f t="array" ref="W23">(_xlfn.BYROW(B67,_xlfn.LAMBDA(_xlpm.party,
(SUMIFS(ledger!J:J,ledger!B:B,_xlpm.party,ledger!E:E,"&lt;&gt;*RD*",ledger!D:D,"Chamki",ledger!C:C,"&lt;&gt;January Closing CF")+
SUMIFS(ledger!J:J,ledger!B:B,_xlpm.party,ledger!E:E,"&lt;&gt;*RD*",ledger!D:D,"Crinkle",ledger!C:C,"&lt;&gt;January Closing CF")
)+_xlfn.IFNA(G116,0))))</f>
        <v>3628200.4389173379</v>
      </c>
      <c r="X23" s="70" cm="1">
        <f t="array" ref="X23">_xlfn.BYROW(B67, _xlfn.LAMBDA(_xlpm.party,
   SUMIFS(ledger!J:J, ledger!B:B, _xlpm.party, ledger!E:E, "&lt;&gt;*RD*", ledger!D:D, "Silky", ledger!C:C, "&lt;&gt;January Closing CF")
)) + _xlfn.IFNA(H116, 0)</f>
        <v>1240741.5874177031</v>
      </c>
      <c r="Y23" s="70" cm="1">
        <f t="array" ref="Y23">_xlfn.BYROW(B67, _xlfn.LAMBDA(_xlpm.party,
   SUMIFS(ledger!J:J, ledger!B:B, _xlpm.party, ledger!E:E, "&lt;&gt;*RD*", ledger!D:D, "Slub", ledger!C:C, "&lt;&gt;January Closing CF")
))+ _xlfn.IFNA(I116, 0)</f>
        <v>0</v>
      </c>
      <c r="Z23" s="70" cm="1">
        <f t="array" ref="Z23">_xlfn.BYROW(B67, _xlfn.LAMBDA(_xlpm.party,
   SUMIFS(ledger!J:J, ledger!B:B, _xlpm.party, ledger!E:E, "&lt;&gt;*RD*", ledger!D:D, "Satin", ledger!C:C, "&lt;&gt;January Closing CF")
))+ _xlfn.IFNA(J116, 0)</f>
        <v>0</v>
      </c>
      <c r="AA23" s="70" cm="1">
        <f t="array" ref="AA23">_xlfn.BYROW(B67, _xlfn.LAMBDA(_xlpm.party,
   SUMIFS(ledger!J:J, ledger!B:B, _xlpm.party, ledger!E:E, "&lt;&gt;*RD*", ledger!D:D, "Black-Chamki", ledger!C:C, "&lt;&gt;January Closing CF")
))+ _xlfn.IFNA(K116, 0)</f>
        <v>0</v>
      </c>
      <c r="AB23" s="70" cm="1">
        <f t="array" ref="AB23">_xlfn.BYROW(B67, _xlfn.LAMBDA(_xlpm.party,
   SUMIFS(ledger!J:J, ledger!B:B, _xlpm.party, ledger!E:E, "&lt;&gt;*RD*", ledger!D:D, "Kataan", ledger!C:C, "&lt;&gt;January Closing CF")
))+ _xlfn.IFNA(L116, 0)</f>
        <v>0</v>
      </c>
      <c r="AC23" s="70" cm="1">
        <f t="array" ref="AC23">_xlfn.BYROW(B67, _xlfn.LAMBDA(_xlpm.party,
   SUMIFS(ledger!J:J, ledger!B:B, _xlpm.party, ledger!E:E, "&lt;&gt;*RD*", ledger!D:D, "Munaar", ledger!C:C, "&lt;&gt;January Closing CF")
))+ _xlfn.IFNA(M116, 0)</f>
        <v>0</v>
      </c>
      <c r="AD23" s="70" cm="1">
        <f t="array" ref="AD23">_xlfn.BYROW(B67, _xlfn.LAMBDA(_xlpm.party,
   SUMIFS(ledger!J:J, ledger!B:B, _xlpm.party, ledger!E:E, "&lt;&gt;*RD*", ledger!D:D, "Custom", ledger!C:C, "&lt;&gt;January Closing CF")
))+ _xlfn.IFNA(N116, 0)</f>
        <v>0</v>
      </c>
      <c r="AE23" s="39">
        <f t="shared" si="1"/>
        <v>4868942.026335041</v>
      </c>
      <c r="AF23" s="22">
        <f>(SUMIF(Table14[Party],R23,Table14[Credit]))+_xlfn.IFNA(P116,0)</f>
        <v>4417830</v>
      </c>
      <c r="AG23" s="33">
        <f t="shared" si="2"/>
        <v>451112.02633504104</v>
      </c>
      <c r="AH23" s="21">
        <v>10</v>
      </c>
      <c r="AI23" s="21">
        <v>13</v>
      </c>
    </row>
    <row r="24" spans="2:35" x14ac:dyDescent="0.3">
      <c r="I24" t="s">
        <v>192</v>
      </c>
      <c r="R24" t="str">
        <v>Salman Zaffar</v>
      </c>
      <c r="S24" s="22" cm="1">
        <f t="array" ref="S24">_xlfn.BYROW(B68,_xlfn.LAMBDA(_xlpm.party,SUMIFS(ledger!G:G,ledger!B:B,_xlpm.party,ledger!E:E,"&lt;&gt;*RD*")))+_xlfn.IFNA(C117,0)</f>
        <v>344332</v>
      </c>
      <c r="T24" s="22" cm="1">
        <f t="array" ref="T24">_xlfn.BYROW(B68, _xlfn.LAMBDA(_xlpm.party, SUMIFS(ledger!G:G, ledger!B:B, _xlpm.party, ledger!E:E, "&lt;&gt;*RD*") / 1.0936 ))+_xlfn.IFNA(D117,0)</f>
        <v>314861.00950987567</v>
      </c>
      <c r="U24" s="22" cm="1">
        <f t="array" ref="U24">(_xlfn.BYROW(B68,_xlfn.LAMBDA(_xlpm.party,SUMIFS(ledger!G:G,ledger!B:B,_xlpm.party,ledger!E:E,"&lt;&gt;*RD*",ledger!D:D,"Chamki")+SUMIFS(ledger!G:G, ledger!B:B, _xlpm.party, ledger!E:E, "&lt;&gt;*RD*", ledger!D:D, "Crinkle")))/1.0936)+_xlfn.IFNA(E117,0)</f>
        <v>72939.831748354074</v>
      </c>
      <c r="V24" s="70" cm="1">
        <f t="array" ref="V24">(_xlfn.BYROW(B68,_xlfn.LAMBDA(_xlpm.party,SUMIFS(ledger!G:G,ledger!B:B,_xlpm.party,ledger!E:E,"&lt;&gt;*RD*",ledger!D:D,"Silky")))/1.0936)+_xlfn.IFNA(F117,0)</f>
        <v>31409.107534747625</v>
      </c>
      <c r="W24" s="22" cm="1">
        <f t="array" ref="W24">(_xlfn.BYROW(B68,_xlfn.LAMBDA(_xlpm.party,
(SUMIFS(ledger!J:J,ledger!B:B,_xlpm.party,ledger!E:E,"&lt;&gt;*RD*",ledger!D:D,"Chamki",ledger!C:C,"&lt;&gt;January Closing CF")+
SUMIFS(ledger!J:J,ledger!B:B,_xlpm.party,ledger!E:E,"&lt;&gt;*RD*",ledger!D:D,"Crinkle",ledger!C:C,"&lt;&gt;January Closing CF")
)+_xlfn.IFNA(G117,0))))</f>
        <v>729398.31748354062</v>
      </c>
      <c r="X24" s="70" cm="1">
        <f t="array" ref="X24">_xlfn.BYROW(B68, _xlfn.LAMBDA(_xlpm.party,
   SUMIFS(ledger!J:J, ledger!B:B, _xlpm.party, ledger!E:E, "&lt;&gt;*RD*", ledger!D:D, "Silky", ledger!C:C, "&lt;&gt;January Closing CF")
)) + _xlfn.IFNA(H117, 0)</f>
        <v>408318.39795171918</v>
      </c>
      <c r="Y24" s="70" cm="1">
        <f t="array" ref="Y24">_xlfn.BYROW(B68, _xlfn.LAMBDA(_xlpm.party,
   SUMIFS(ledger!J:J, ledger!B:B, _xlpm.party, ledger!E:E, "&lt;&gt;*RD*", ledger!D:D, "Slub", ledger!C:C, "&lt;&gt;January Closing CF")
))+ _xlfn.IFNA(I117, 0)</f>
        <v>0</v>
      </c>
      <c r="Z24" s="70" cm="1">
        <f t="array" ref="Z24">_xlfn.BYROW(B68, _xlfn.LAMBDA(_xlpm.party,
   SUMIFS(ledger!J:J, ledger!B:B, _xlpm.party, ledger!E:E, "&lt;&gt;*RD*", ledger!D:D, "Satin", ledger!C:C, "&lt;&gt;January Closing CF")
))+ _xlfn.IFNA(J117, 0)</f>
        <v>0</v>
      </c>
      <c r="AA24" s="70" cm="1">
        <f t="array" ref="AA24">_xlfn.BYROW(B68, _xlfn.LAMBDA(_xlpm.party,
   SUMIFS(ledger!J:J, ledger!B:B, _xlpm.party, ledger!E:E, "&lt;&gt;*RD*", ledger!D:D, "Black-Chamki", ledger!C:C, "&lt;&gt;January Closing CF")
))+ _xlfn.IFNA(K117, 0)</f>
        <v>161653.2553035845</v>
      </c>
      <c r="AB24" s="70" cm="1">
        <f t="array" ref="AB24">_xlfn.BYROW(B68, _xlfn.LAMBDA(_xlpm.party,
   SUMIFS(ledger!J:J, ledger!B:B, _xlpm.party, ledger!E:E, "&lt;&gt;*RD*", ledger!D:D, "Kataan", ledger!C:C, "&lt;&gt;January Closing CF")
))+ _xlfn.IFNA(L117, 0)</f>
        <v>1970409.6561814193</v>
      </c>
      <c r="AC24" s="70" cm="1">
        <f t="array" ref="AC24">_xlfn.BYROW(B68, _xlfn.LAMBDA(_xlpm.party,
   SUMIFS(ledger!J:J, ledger!B:B, _xlpm.party, ledger!E:E, "&lt;&gt;*RD*", ledger!D:D, "Munaar", ledger!C:C, "&lt;&gt;January Closing CF")
))+ _xlfn.IFNA(M117, 0)</f>
        <v>0</v>
      </c>
      <c r="AD24" s="70" cm="1">
        <f t="array" ref="AD24">_xlfn.BYROW(B68, _xlfn.LAMBDA(_xlpm.party,
   SUMIFS(ledger!J:J, ledger!B:B, _xlpm.party, ledger!E:E, "&lt;&gt;*RD*", ledger!D:D, "Custom", ledger!C:C, "&lt;&gt;January Closing CF")
))+ _xlfn.IFNA(N117, 0)</f>
        <v>0</v>
      </c>
      <c r="AE24" s="39">
        <f t="shared" si="1"/>
        <v>3269779.6269202633</v>
      </c>
      <c r="AF24" s="22">
        <f>(SUMIF(Table14[Party],R24,Table14[Credit]))+_xlfn.IFNA(P117,0)</f>
        <v>3296025</v>
      </c>
      <c r="AG24" s="33">
        <f t="shared" si="2"/>
        <v>-26245.373079736717</v>
      </c>
      <c r="AH24" s="21">
        <v>10</v>
      </c>
      <c r="AI24" s="21">
        <v>13</v>
      </c>
    </row>
    <row r="25" spans="2:35" x14ac:dyDescent="0.3">
      <c r="I25" t="s">
        <v>197</v>
      </c>
      <c r="R25" t="str">
        <v>Shahid Qasayi</v>
      </c>
      <c r="S25" s="22" cm="1">
        <f t="array" ref="S25">_xlfn.BYROW(B69,_xlfn.LAMBDA(_xlpm.party,SUMIFS(ledger!G:G,ledger!B:B,_xlpm.party,ledger!E:E,"&lt;&gt;*RD*")))+_xlfn.IFNA(C118,0)</f>
        <v>477959</v>
      </c>
      <c r="T25" s="22" cm="1">
        <f t="array" ref="T25">_xlfn.BYROW(B69, _xlfn.LAMBDA(_xlpm.party, SUMIFS(ledger!G:G, ledger!B:B, _xlpm.party, ledger!E:E, "&lt;&gt;*RD*") / 1.0936 ))+_xlfn.IFNA(D118,0)</f>
        <v>437051.02414045355</v>
      </c>
      <c r="U25" s="22" cm="1">
        <f t="array" ref="U25">(_xlfn.BYROW(B69,_xlfn.LAMBDA(_xlpm.party,SUMIFS(ledger!G:G,ledger!B:B,_xlpm.party,ledger!E:E,"&lt;&gt;*RD*",ledger!D:D,"Chamki")+SUMIFS(ledger!G:G, ledger!B:B, _xlpm.party, ledger!E:E, "&lt;&gt;*RD*", ledger!D:D, "Crinkle")))/1.0936)+_xlfn.IFNA(E118,0)</f>
        <v>387511.88734455011</v>
      </c>
      <c r="V25" s="70" cm="1">
        <f t="array" ref="V25">(_xlfn.BYROW(B69,_xlfn.LAMBDA(_xlpm.party,SUMIFS(ledger!G:G,ledger!B:B,_xlpm.party,ledger!E:E,"&lt;&gt;*RD*",ledger!D:D,"Silky")))/1.0936)+_xlfn.IFNA(F118,0)</f>
        <v>0</v>
      </c>
      <c r="W25" s="22" cm="1">
        <f t="array" ref="W25">(_xlfn.BYROW(B69,_xlfn.LAMBDA(_xlpm.party,
(SUMIFS(ledger!J:J,ledger!B:B,_xlpm.party,ledger!E:E,"&lt;&gt;*RD*",ledger!D:D,"Chamki",ledger!C:C,"&lt;&gt;January Closing CF")+
SUMIFS(ledger!J:J,ledger!B:B,_xlpm.party,ledger!E:E,"&lt;&gt;*RD*",ledger!D:D,"Crinkle",ledger!C:C,"&lt;&gt;January Closing CF")
)+_xlfn.IFNA(G118,0))))</f>
        <v>3875118.8734455016</v>
      </c>
      <c r="X25" s="70" cm="1">
        <f t="array" ref="X25">_xlfn.BYROW(B69, _xlfn.LAMBDA(_xlpm.party,
   SUMIFS(ledger!J:J, ledger!B:B, _xlpm.party, ledger!E:E, "&lt;&gt;*RD*", ledger!D:D, "Silky", ledger!C:C, "&lt;&gt;January Closing CF")
)) + _xlfn.IFNA(H118, 0)</f>
        <v>0</v>
      </c>
      <c r="Y25" s="70" cm="1">
        <f t="array" ref="Y25">_xlfn.BYROW(B69, _xlfn.LAMBDA(_xlpm.party,
   SUMIFS(ledger!J:J, ledger!B:B, _xlpm.party, ledger!E:E, "&lt;&gt;*RD*", ledger!D:D, "Slub", ledger!C:C, "&lt;&gt;January Closing CF")
))+ _xlfn.IFNA(I118, 0)</f>
        <v>0</v>
      </c>
      <c r="Z25" s="70" cm="1">
        <f t="array" ref="Z25">_xlfn.BYROW(B69, _xlfn.LAMBDA(_xlpm.party,
   SUMIFS(ledger!J:J, ledger!B:B, _xlpm.party, ledger!E:E, "&lt;&gt;*RD*", ledger!D:D, "Satin", ledger!C:C, "&lt;&gt;January Closing CF")
))+ _xlfn.IFNA(J118, 0)</f>
        <v>0</v>
      </c>
      <c r="AA25" s="70" cm="1">
        <f t="array" ref="AA25">_xlfn.BYROW(B69, _xlfn.LAMBDA(_xlpm.party,
   SUMIFS(ledger!J:J, ledger!B:B, _xlpm.party, ledger!E:E, "&lt;&gt;*RD*", ledger!D:D, "Black-Chamki", ledger!C:C, "&lt;&gt;January Closing CF")
))+ _xlfn.IFNA(K118, 0)</f>
        <v>23767.373811265548</v>
      </c>
      <c r="AB25" s="70" cm="1">
        <f t="array" ref="AB25">_xlfn.BYROW(B69, _xlfn.LAMBDA(_xlpm.party,
   SUMIFS(ledger!J:J, ledger!B:B, _xlpm.party, ledger!E:E, "&lt;&gt;*RD*", ledger!D:D, "Kataan", ledger!C:C, "&lt;&gt;January Closing CF")
))+ _xlfn.IFNA(L118, 0)</f>
        <v>523143.74542794435</v>
      </c>
      <c r="AC25" s="70" cm="1">
        <f t="array" ref="AC25">_xlfn.BYROW(B69, _xlfn.LAMBDA(_xlpm.party,
   SUMIFS(ledger!J:J, ledger!B:B, _xlpm.party, ledger!E:E, "&lt;&gt;*RD*", ledger!D:D, "Munaar", ledger!C:C, "&lt;&gt;January Closing CF")
))+ _xlfn.IFNA(M118, 0)</f>
        <v>0</v>
      </c>
      <c r="AD25" s="70" cm="1">
        <f t="array" ref="AD25">_xlfn.BYROW(B69, _xlfn.LAMBDA(_xlpm.party,
   SUMIFS(ledger!J:J, ledger!B:B, _xlpm.party, ledger!E:E, "&lt;&gt;*RD*", ledger!D:D, "Custom", ledger!C:C, "&lt;&gt;January Closing CF")
))+ _xlfn.IFNA(N118, 0)</f>
        <v>0</v>
      </c>
      <c r="AE25" s="39">
        <f t="shared" si="1"/>
        <v>4422029.9926847117</v>
      </c>
      <c r="AF25" s="22">
        <f>(SUMIF(Table14[Party],R25,Table14[Credit]))+_xlfn.IFNA(P118,0)</f>
        <v>3845477</v>
      </c>
      <c r="AG25" s="33">
        <f t="shared" si="2"/>
        <v>576552.9926847117</v>
      </c>
      <c r="AH25" s="21">
        <v>10</v>
      </c>
      <c r="AI25" s="21">
        <v>13</v>
      </c>
    </row>
    <row r="26" spans="2:35" x14ac:dyDescent="0.3">
      <c r="I26" t="s">
        <v>202</v>
      </c>
      <c r="R26" t="str">
        <v>Hameed corporation</v>
      </c>
      <c r="S26" s="22" cm="1">
        <f t="array" ref="S26">_xlfn.BYROW(B70,_xlfn.LAMBDA(_xlpm.party,SUMIFS(ledger!G:G,ledger!B:B,_xlpm.party,ledger!E:E,"&lt;&gt;*RD*")))+_xlfn.IFNA(C119,0)</f>
        <v>46404</v>
      </c>
      <c r="T26" s="22" cm="1">
        <f t="array" ref="T26">_xlfn.BYROW(B70, _xlfn.LAMBDA(_xlpm.party, SUMIFS(ledger!G:G, ledger!B:B, _xlpm.party, ledger!E:E, "&lt;&gt;*RD*") / 1.0936 ))+_xlfn.IFNA(D119,0)</f>
        <v>42432.333577176301</v>
      </c>
      <c r="U26" s="22" cm="1">
        <f t="array" ref="U26">(_xlfn.BYROW(B70,_xlfn.LAMBDA(_xlpm.party,SUMIFS(ledger!G:G,ledger!B:B,_xlpm.party,ledger!E:E,"&lt;&gt;*RD*",ledger!D:D,"Chamki")+SUMIFS(ledger!G:G, ledger!B:B, _xlpm.party, ledger!E:E, "&lt;&gt;*RD*", ledger!D:D, "Crinkle")))/1.0936)+_xlfn.IFNA(E119,0)</f>
        <v>42432.333577176301</v>
      </c>
      <c r="V26" s="70" cm="1">
        <f t="array" ref="V26">(_xlfn.BYROW(B70,_xlfn.LAMBDA(_xlpm.party,SUMIFS(ledger!G:G,ledger!B:B,_xlpm.party,ledger!E:E,"&lt;&gt;*RD*",ledger!D:D,"Silky")))/1.0936)+_xlfn.IFNA(F119,0)</f>
        <v>0</v>
      </c>
      <c r="W26" s="22" cm="1">
        <f t="array" ref="W26">(_xlfn.BYROW(B70,_xlfn.LAMBDA(_xlpm.party,
(SUMIFS(ledger!J:J,ledger!B:B,_xlpm.party,ledger!E:E,"&lt;&gt;*RD*",ledger!D:D,"Chamki",ledger!C:C,"&lt;&gt;January Closing CF")+
SUMIFS(ledger!J:J,ledger!B:B,_xlpm.party,ledger!E:E,"&lt;&gt;*RD*",ledger!D:D,"Crinkle",ledger!C:C,"&lt;&gt;January Closing CF")
)+_xlfn.IFNA(G119,0))))</f>
        <v>424323.335771763</v>
      </c>
      <c r="X26" s="70" cm="1">
        <f t="array" ref="X26">_xlfn.BYROW(B70, _xlfn.LAMBDA(_xlpm.party,
   SUMIFS(ledger!J:J, ledger!B:B, _xlpm.party, ledger!E:E, "&lt;&gt;*RD*", ledger!D:D, "Silky", ledger!C:C, "&lt;&gt;January Closing CF")
)) + _xlfn.IFNA(H119, 0)</f>
        <v>0</v>
      </c>
      <c r="Y26" s="70" cm="1">
        <f t="array" ref="Y26">_xlfn.BYROW(B70, _xlfn.LAMBDA(_xlpm.party,
   SUMIFS(ledger!J:J, ledger!B:B, _xlpm.party, ledger!E:E, "&lt;&gt;*RD*", ledger!D:D, "Slub", ledger!C:C, "&lt;&gt;January Closing CF")
))+ _xlfn.IFNA(I119, 0)</f>
        <v>0</v>
      </c>
      <c r="Z26" s="70" cm="1">
        <f t="array" ref="Z26">_xlfn.BYROW(B70, _xlfn.LAMBDA(_xlpm.party,
   SUMIFS(ledger!J:J, ledger!B:B, _xlpm.party, ledger!E:E, "&lt;&gt;*RD*", ledger!D:D, "Satin", ledger!C:C, "&lt;&gt;January Closing CF")
))+ _xlfn.IFNA(J119, 0)</f>
        <v>0</v>
      </c>
      <c r="AA26" s="70" cm="1">
        <f t="array" ref="AA26">_xlfn.BYROW(B70, _xlfn.LAMBDA(_xlpm.party,
   SUMIFS(ledger!J:J, ledger!B:B, _xlpm.party, ledger!E:E, "&lt;&gt;*RD*", ledger!D:D, "Black-Chamki", ledger!C:C, "&lt;&gt;January Closing CF")
))+ _xlfn.IFNA(K119, 0)</f>
        <v>0</v>
      </c>
      <c r="AB26" s="70" cm="1">
        <f t="array" ref="AB26">_xlfn.BYROW(B70, _xlfn.LAMBDA(_xlpm.party,
   SUMIFS(ledger!J:J, ledger!B:B, _xlpm.party, ledger!E:E, "&lt;&gt;*RD*", ledger!D:D, "Kataan", ledger!C:C, "&lt;&gt;January Closing CF")
))+ _xlfn.IFNA(L119, 0)</f>
        <v>0</v>
      </c>
      <c r="AC26" s="70" cm="1">
        <f t="array" ref="AC26">_xlfn.BYROW(B70, _xlfn.LAMBDA(_xlpm.party,
   SUMIFS(ledger!J:J, ledger!B:B, _xlpm.party, ledger!E:E, "&lt;&gt;*RD*", ledger!D:D, "Munaar", ledger!C:C, "&lt;&gt;January Closing CF")
))+ _xlfn.IFNA(M119, 0)</f>
        <v>0</v>
      </c>
      <c r="AD26" s="70" cm="1">
        <f t="array" ref="AD26">_xlfn.BYROW(B70, _xlfn.LAMBDA(_xlpm.party,
   SUMIFS(ledger!J:J, ledger!B:B, _xlpm.party, ledger!E:E, "&lt;&gt;*RD*", ledger!D:D, "Custom", ledger!C:C, "&lt;&gt;January Closing CF")
))+ _xlfn.IFNA(N119, 0)</f>
        <v>0</v>
      </c>
      <c r="AE26" s="39">
        <f t="shared" si="1"/>
        <v>424323.335771763</v>
      </c>
      <c r="AF26" s="22">
        <f>(SUMIF(Table14[Party],R26,Table14[Credit]))+_xlfn.IFNA(P119,0)</f>
        <v>424323</v>
      </c>
      <c r="AG26" s="33">
        <f t="shared" si="2"/>
        <v>0.33577176299877465</v>
      </c>
      <c r="AH26" s="21">
        <v>10</v>
      </c>
      <c r="AI26" s="21">
        <v>13</v>
      </c>
    </row>
    <row r="27" spans="2:35" x14ac:dyDescent="0.3">
      <c r="I27" t="s">
        <v>204</v>
      </c>
      <c r="R27" t="str">
        <v>ibraheem behraam</v>
      </c>
      <c r="S27" s="22" cm="1">
        <f t="array" ref="S27">_xlfn.BYROW(B71,_xlfn.LAMBDA(_xlpm.party,SUMIFS(ledger!G:G,ledger!B:B,_xlpm.party,ledger!E:E,"&lt;&gt;*RD*")))+_xlfn.IFNA(C120,0)</f>
        <v>160320</v>
      </c>
      <c r="T27" s="22" cm="1">
        <f t="array" ref="T27">_xlfn.BYROW(B71, _xlfn.LAMBDA(_xlpm.party, SUMIFS(ledger!G:G, ledger!B:B, _xlpm.party, ledger!E:E, "&lt;&gt;*RD*") / 1.0936 ))+_xlfn.IFNA(D120,0)</f>
        <v>146598.39063643015</v>
      </c>
      <c r="U27" s="22" cm="1">
        <f t="array" ref="U27">(_xlfn.BYROW(B71,_xlfn.LAMBDA(_xlpm.party,SUMIFS(ledger!G:G,ledger!B:B,_xlpm.party,ledger!E:E,"&lt;&gt;*RD*",ledger!D:D,"Chamki")+SUMIFS(ledger!G:G, ledger!B:B, _xlpm.party, ledger!E:E, "&lt;&gt;*RD*", ledger!D:D, "Crinkle")))/1.0936)+_xlfn.IFNA(E120,0)</f>
        <v>0</v>
      </c>
      <c r="V27" s="70" cm="1">
        <f t="array" ref="V27">(_xlfn.BYROW(B71,_xlfn.LAMBDA(_xlpm.party,SUMIFS(ledger!G:G,ledger!B:B,_xlpm.party,ledger!E:E,"&lt;&gt;*RD*",ledger!D:D,"Silky")))/1.0936)+_xlfn.IFNA(F120,0)</f>
        <v>146598.39063643015</v>
      </c>
      <c r="W27" s="22" cm="1">
        <f t="array" ref="W27">(_xlfn.BYROW(B71,_xlfn.LAMBDA(_xlpm.party,
(SUMIFS(ledger!J:J,ledger!B:B,_xlpm.party,ledger!E:E,"&lt;&gt;*RD*",ledger!D:D,"Chamki",ledger!C:C,"&lt;&gt;January Closing CF")+
SUMIFS(ledger!J:J,ledger!B:B,_xlpm.party,ledger!E:E,"&lt;&gt;*RD*",ledger!D:D,"Crinkle",ledger!C:C,"&lt;&gt;January Closing CF")
)+_xlfn.IFNA(G120,0))))</f>
        <v>0</v>
      </c>
      <c r="X27" s="70" cm="1">
        <f t="array" ref="X27">_xlfn.BYROW(B71, _xlfn.LAMBDA(_xlpm.party,
   SUMIFS(ledger!J:J, ledger!B:B, _xlpm.party, ledger!E:E, "&lt;&gt;*RD*", ledger!D:D, "Silky", ledger!C:C, "&lt;&gt;January Closing CF")
)) + _xlfn.IFNA(H120, 0)</f>
        <v>1905779.0782735921</v>
      </c>
      <c r="Y27" s="70" cm="1">
        <f t="array" ref="Y27">_xlfn.BYROW(B71, _xlfn.LAMBDA(_xlpm.party,
   SUMIFS(ledger!J:J, ledger!B:B, _xlpm.party, ledger!E:E, "&lt;&gt;*RD*", ledger!D:D, "Slub", ledger!C:C, "&lt;&gt;January Closing CF")
))+ _xlfn.IFNA(I120, 0)</f>
        <v>0</v>
      </c>
      <c r="Z27" s="70" cm="1">
        <f t="array" ref="Z27">_xlfn.BYROW(B71, _xlfn.LAMBDA(_xlpm.party,
   SUMIFS(ledger!J:J, ledger!B:B, _xlpm.party, ledger!E:E, "&lt;&gt;*RD*", ledger!D:D, "Satin", ledger!C:C, "&lt;&gt;January Closing CF")
))+ _xlfn.IFNA(J120, 0)</f>
        <v>0</v>
      </c>
      <c r="AA27" s="70" cm="1">
        <f t="array" ref="AA27">_xlfn.BYROW(B71, _xlfn.LAMBDA(_xlpm.party,
   SUMIFS(ledger!J:J, ledger!B:B, _xlpm.party, ledger!E:E, "&lt;&gt;*RD*", ledger!D:D, "Black-Chamki", ledger!C:C, "&lt;&gt;January Closing CF")
))+ _xlfn.IFNA(K120, 0)</f>
        <v>0</v>
      </c>
      <c r="AB27" s="70" cm="1">
        <f t="array" ref="AB27">_xlfn.BYROW(B71, _xlfn.LAMBDA(_xlpm.party,
   SUMIFS(ledger!J:J, ledger!B:B, _xlpm.party, ledger!E:E, "&lt;&gt;*RD*", ledger!D:D, "Kataan", ledger!C:C, "&lt;&gt;January Closing CF")
))+ _xlfn.IFNA(L120, 0)</f>
        <v>0</v>
      </c>
      <c r="AC27" s="70" cm="1">
        <f t="array" ref="AC27">_xlfn.BYROW(B71, _xlfn.LAMBDA(_xlpm.party,
   SUMIFS(ledger!J:J, ledger!B:B, _xlpm.party, ledger!E:E, "&lt;&gt;*RD*", ledger!D:D, "Munaar", ledger!C:C, "&lt;&gt;January Closing CF")
))+ _xlfn.IFNA(M120, 0)</f>
        <v>0</v>
      </c>
      <c r="AD27" s="70" cm="1">
        <f t="array" ref="AD27">_xlfn.BYROW(B71, _xlfn.LAMBDA(_xlpm.party,
   SUMIFS(ledger!J:J, ledger!B:B, _xlpm.party, ledger!E:E, "&lt;&gt;*RD*", ledger!D:D, "Custom", ledger!C:C, "&lt;&gt;January Closing CF")
))+ _xlfn.IFNA(N120, 0)</f>
        <v>0</v>
      </c>
      <c r="AE27" s="39">
        <f t="shared" si="1"/>
        <v>1905779.0782735921</v>
      </c>
      <c r="AF27" s="22">
        <f>(SUMIF(Table14[Party],R27,Table14[Credit]))+_xlfn.IFNA(P120,0)</f>
        <v>1723500</v>
      </c>
      <c r="AG27" s="33">
        <f t="shared" si="2"/>
        <v>182279.07827359205</v>
      </c>
      <c r="AH27" s="21">
        <v>10</v>
      </c>
      <c r="AI27" s="21">
        <v>13</v>
      </c>
    </row>
    <row r="28" spans="2:35" x14ac:dyDescent="0.3">
      <c r="R28" t="str">
        <v>Zia-ullah karachi</v>
      </c>
      <c r="S28" s="22" cm="1">
        <f t="array" ref="S28">_xlfn.BYROW(B72,_xlfn.LAMBDA(_xlpm.party,SUMIFS(ledger!G:G,ledger!B:B,_xlpm.party,ledger!E:E,"&lt;&gt;*RD*")))+_xlfn.IFNA(C121,0)</f>
        <v>13622</v>
      </c>
      <c r="T28" s="22" cm="1">
        <f t="array" ref="T28">_xlfn.BYROW(B72, _xlfn.LAMBDA(_xlpm.party, SUMIFS(ledger!G:G, ledger!B:B, _xlpm.party, ledger!E:E, "&lt;&gt;*RD*") / 1.0936 ))+_xlfn.IFNA(D121,0)</f>
        <v>12456.108266276518</v>
      </c>
      <c r="U28" s="22" cm="1">
        <f t="array" ref="U28">(_xlfn.BYROW(B72,_xlfn.LAMBDA(_xlpm.party,SUMIFS(ledger!G:G,ledger!B:B,_xlpm.party,ledger!E:E,"&lt;&gt;*RD*",ledger!D:D,"Chamki")+SUMIFS(ledger!G:G, ledger!B:B, _xlpm.party, ledger!E:E, "&lt;&gt;*RD*", ledger!D:D, "Crinkle")))/1.0936)+_xlfn.IFNA(E121,0)</f>
        <v>12456.108266276518</v>
      </c>
      <c r="V28" s="70" cm="1">
        <f t="array" ref="V28">(_xlfn.BYROW(B72,_xlfn.LAMBDA(_xlpm.party,SUMIFS(ledger!G:G,ledger!B:B,_xlpm.party,ledger!E:E,"&lt;&gt;*RD*",ledger!D:D,"Silky")))/1.0936)+_xlfn.IFNA(F121,0)</f>
        <v>0</v>
      </c>
      <c r="W28" s="22" cm="1">
        <f t="array" ref="W28">(_xlfn.BYROW(B72,_xlfn.LAMBDA(_xlpm.party,
(SUMIFS(ledger!J:J,ledger!B:B,_xlpm.party,ledger!E:E,"&lt;&gt;*RD*",ledger!D:D,"Chamki",ledger!C:C,"&lt;&gt;January Closing CF")+
SUMIFS(ledger!J:J,ledger!B:B,_xlpm.party,ledger!E:E,"&lt;&gt;*RD*",ledger!D:D,"Crinkle",ledger!C:C,"&lt;&gt;January Closing CF")
)+_xlfn.IFNA(G121,0))))</f>
        <v>124561.08266276518</v>
      </c>
      <c r="X28" s="70" cm="1">
        <f t="array" ref="X28">_xlfn.BYROW(B72, _xlfn.LAMBDA(_xlpm.party,
   SUMIFS(ledger!J:J, ledger!B:B, _xlpm.party, ledger!E:E, "&lt;&gt;*RD*", ledger!D:D, "Silky", ledger!C:C, "&lt;&gt;January Closing CF")
)) + _xlfn.IFNA(H121, 0)</f>
        <v>0</v>
      </c>
      <c r="Y28" s="70" cm="1">
        <f t="array" ref="Y28">_xlfn.BYROW(B72, _xlfn.LAMBDA(_xlpm.party,
   SUMIFS(ledger!J:J, ledger!B:B, _xlpm.party, ledger!E:E, "&lt;&gt;*RD*", ledger!D:D, "Slub", ledger!C:C, "&lt;&gt;January Closing CF")
))+ _xlfn.IFNA(I121, 0)</f>
        <v>0</v>
      </c>
      <c r="Z28" s="70" cm="1">
        <f t="array" ref="Z28">_xlfn.BYROW(B72, _xlfn.LAMBDA(_xlpm.party,
   SUMIFS(ledger!J:J, ledger!B:B, _xlpm.party, ledger!E:E, "&lt;&gt;*RD*", ledger!D:D, "Satin", ledger!C:C, "&lt;&gt;January Closing CF")
))+ _xlfn.IFNA(J121, 0)</f>
        <v>0</v>
      </c>
      <c r="AA28" s="70" cm="1">
        <f t="array" ref="AA28">_xlfn.BYROW(B72, _xlfn.LAMBDA(_xlpm.party,
   SUMIFS(ledger!J:J, ledger!B:B, _xlpm.party, ledger!E:E, "&lt;&gt;*RD*", ledger!D:D, "Black-Chamki", ledger!C:C, "&lt;&gt;January Closing CF")
))+ _xlfn.IFNA(K121, 0)</f>
        <v>0</v>
      </c>
      <c r="AB28" s="70" cm="1">
        <f t="array" ref="AB28">_xlfn.BYROW(B72, _xlfn.LAMBDA(_xlpm.party,
   SUMIFS(ledger!J:J, ledger!B:B, _xlpm.party, ledger!E:E, "&lt;&gt;*RD*", ledger!D:D, "Kataan", ledger!C:C, "&lt;&gt;January Closing CF")
))+ _xlfn.IFNA(L121, 0)</f>
        <v>0</v>
      </c>
      <c r="AC28" s="70" cm="1">
        <f t="array" ref="AC28">_xlfn.BYROW(B72, _xlfn.LAMBDA(_xlpm.party,
   SUMIFS(ledger!J:J, ledger!B:B, _xlpm.party, ledger!E:E, "&lt;&gt;*RD*", ledger!D:D, "Munaar", ledger!C:C, "&lt;&gt;January Closing CF")
))+ _xlfn.IFNA(M121, 0)</f>
        <v>0</v>
      </c>
      <c r="AD28" s="70" cm="1">
        <f t="array" ref="AD28">_xlfn.BYROW(B72, _xlfn.LAMBDA(_xlpm.party,
   SUMIFS(ledger!J:J, ledger!B:B, _xlpm.party, ledger!E:E, "&lt;&gt;*RD*", ledger!D:D, "Custom", ledger!C:C, "&lt;&gt;January Closing CF")
))+ _xlfn.IFNA(N121, 0)</f>
        <v>0</v>
      </c>
      <c r="AE28" s="39">
        <f t="shared" si="1"/>
        <v>124561.08266276518</v>
      </c>
      <c r="AF28" s="22">
        <f>(SUMIF(Table14[Party],R28,Table14[Credit]))+_xlfn.IFNA(P121,0)</f>
        <v>124560</v>
      </c>
      <c r="AG28" s="33">
        <f t="shared" si="2"/>
        <v>1.0826627651840681</v>
      </c>
      <c r="AH28" s="21">
        <v>10</v>
      </c>
      <c r="AI28" s="21">
        <v>13</v>
      </c>
    </row>
    <row r="29" spans="2:35" x14ac:dyDescent="0.3">
      <c r="R29" t="str">
        <v>ZA</v>
      </c>
      <c r="S29" s="22" cm="1">
        <f t="array" ref="S29">_xlfn.BYROW(B73,_xlfn.LAMBDA(_xlpm.party,SUMIFS(ledger!G:G,ledger!B:B,_xlpm.party,ledger!E:E,"&lt;&gt;*RD*")))+_xlfn.IFNA(C122,0)</f>
        <v>32399</v>
      </c>
      <c r="T29" s="22" cm="1">
        <f t="array" ref="T29">_xlfn.BYROW(B73, _xlfn.LAMBDA(_xlpm.party, SUMIFS(ledger!G:G, ledger!B:B, _xlpm.party, ledger!E:E, "&lt;&gt;*RD*") / 1.0936 ))+_xlfn.IFNA(D122,0)</f>
        <v>29626.005852231167</v>
      </c>
      <c r="U29" s="22" cm="1">
        <f t="array" ref="U29">(_xlfn.BYROW(B73,_xlfn.LAMBDA(_xlpm.party,SUMIFS(ledger!G:G,ledger!B:B,_xlpm.party,ledger!E:E,"&lt;&gt;*RD*",ledger!D:D,"Chamki")+SUMIFS(ledger!G:G, ledger!B:B, _xlpm.party, ledger!E:E, "&lt;&gt;*RD*", ledger!D:D, "Crinkle")))/1.0936)+_xlfn.IFNA(E122,0)</f>
        <v>0</v>
      </c>
      <c r="V29" s="70" cm="1">
        <f t="array" ref="V29">(_xlfn.BYROW(B73,_xlfn.LAMBDA(_xlpm.party,SUMIFS(ledger!G:G,ledger!B:B,_xlpm.party,ledger!E:E,"&lt;&gt;*RD*",ledger!D:D,"Silky")))/1.0936)+_xlfn.IFNA(F122,0)</f>
        <v>29626.005852231167</v>
      </c>
      <c r="W29" s="22" cm="1">
        <f t="array" ref="W29">(_xlfn.BYROW(B73,_xlfn.LAMBDA(_xlpm.party,
(SUMIFS(ledger!J:J,ledger!B:B,_xlpm.party,ledger!E:E,"&lt;&gt;*RD*",ledger!D:D,"Chamki",ledger!C:C,"&lt;&gt;January Closing CF")+
SUMIFS(ledger!J:J,ledger!B:B,_xlpm.party,ledger!E:E,"&lt;&gt;*RD*",ledger!D:D,"Crinkle",ledger!C:C,"&lt;&gt;January Closing CF")
)+_xlfn.IFNA(G122,0))))</f>
        <v>0</v>
      </c>
      <c r="X29" s="70" cm="1">
        <f t="array" ref="X29">_xlfn.BYROW(B73, _xlfn.LAMBDA(_xlpm.party,
   SUMIFS(ledger!J:J, ledger!B:B, _xlpm.party, ledger!E:E, "&lt;&gt;*RD*", ledger!D:D, "Silky", ledger!C:C, "&lt;&gt;January Closing CF")
)) + _xlfn.IFNA(H122, 0)</f>
        <v>385138.07607900514</v>
      </c>
      <c r="Y29" s="70" cm="1">
        <f t="array" ref="Y29">_xlfn.BYROW(B73, _xlfn.LAMBDA(_xlpm.party,
   SUMIFS(ledger!J:J, ledger!B:B, _xlpm.party, ledger!E:E, "&lt;&gt;*RD*", ledger!D:D, "Slub", ledger!C:C, "&lt;&gt;January Closing CF")
))+ _xlfn.IFNA(I122, 0)</f>
        <v>0</v>
      </c>
      <c r="Z29" s="70" cm="1">
        <f t="array" ref="Z29">_xlfn.BYROW(B73, _xlfn.LAMBDA(_xlpm.party,
   SUMIFS(ledger!J:J, ledger!B:B, _xlpm.party, ledger!E:E, "&lt;&gt;*RD*", ledger!D:D, "Satin", ledger!C:C, "&lt;&gt;January Closing CF")
))+ _xlfn.IFNA(J122, 0)</f>
        <v>0</v>
      </c>
      <c r="AA29" s="70" cm="1">
        <f t="array" ref="AA29">_xlfn.BYROW(B73, _xlfn.LAMBDA(_xlpm.party,
   SUMIFS(ledger!J:J, ledger!B:B, _xlpm.party, ledger!E:E, "&lt;&gt;*RD*", ledger!D:D, "Black-Chamki", ledger!C:C, "&lt;&gt;January Closing CF")
))+ _xlfn.IFNA(K122, 0)</f>
        <v>0</v>
      </c>
      <c r="AB29" s="70" cm="1">
        <f t="array" ref="AB29">_xlfn.BYROW(B73, _xlfn.LAMBDA(_xlpm.party,
   SUMIFS(ledger!J:J, ledger!B:B, _xlpm.party, ledger!E:E, "&lt;&gt;*RD*", ledger!D:D, "Kataan", ledger!C:C, "&lt;&gt;January Closing CF")
))+ _xlfn.IFNA(L122, 0)</f>
        <v>0</v>
      </c>
      <c r="AC29" s="70" cm="1">
        <f t="array" ref="AC29">_xlfn.BYROW(B73, _xlfn.LAMBDA(_xlpm.party,
   SUMIFS(ledger!J:J, ledger!B:B, _xlpm.party, ledger!E:E, "&lt;&gt;*RD*", ledger!D:D, "Munaar", ledger!C:C, "&lt;&gt;January Closing CF")
))+ _xlfn.IFNA(M122, 0)</f>
        <v>0</v>
      </c>
      <c r="AD29" s="70" cm="1">
        <f t="array" ref="AD29">_xlfn.BYROW(B73, _xlfn.LAMBDA(_xlpm.party,
   SUMIFS(ledger!J:J, ledger!B:B, _xlpm.party, ledger!E:E, "&lt;&gt;*RD*", ledger!D:D, "Custom", ledger!C:C, "&lt;&gt;January Closing CF")
))+ _xlfn.IFNA(N122, 0)</f>
        <v>0</v>
      </c>
      <c r="AE29" s="39">
        <f t="shared" si="1"/>
        <v>385138.07607900514</v>
      </c>
      <c r="AF29" s="22">
        <f>(SUMIF(Table14[Party],R29,Table14[Credit]))+_xlfn.IFNA(P122,0)</f>
        <v>385000</v>
      </c>
      <c r="AG29" s="33">
        <f t="shared" si="2"/>
        <v>138.07607900514267</v>
      </c>
      <c r="AH29" s="21">
        <v>10</v>
      </c>
      <c r="AI29" s="21">
        <v>13</v>
      </c>
    </row>
    <row r="30" spans="2:35" x14ac:dyDescent="0.3">
      <c r="R30" t="str">
        <v>Ahmad Javaid</v>
      </c>
      <c r="S30" s="22" cm="1">
        <f t="array" ref="S30">_xlfn.BYROW(B74,_xlfn.LAMBDA(_xlpm.party,SUMIFS(ledger!G:G,ledger!B:B,_xlpm.party,ledger!E:E,"&lt;&gt;*RD*")))+_xlfn.IFNA(C123,0)</f>
        <v>12745</v>
      </c>
      <c r="T30" s="22" cm="1">
        <f t="array" ref="T30">_xlfn.BYROW(B74, _xlfn.LAMBDA(_xlpm.party, SUMIFS(ledger!G:G, ledger!B:B, _xlpm.party, ledger!E:E, "&lt;&gt;*RD*") / 1.0936 ))+_xlfn.IFNA(D123,0)</f>
        <v>11654.16971470373</v>
      </c>
      <c r="U30" s="22" cm="1">
        <f t="array" ref="U30">(_xlfn.BYROW(B74,_xlfn.LAMBDA(_xlpm.party,SUMIFS(ledger!G:G,ledger!B:B,_xlpm.party,ledger!E:E,"&lt;&gt;*RD*",ledger!D:D,"Chamki")+SUMIFS(ledger!G:G, ledger!B:B, _xlpm.party, ledger!E:E, "&lt;&gt;*RD*", ledger!D:D, "Crinkle")))/1.0936)+_xlfn.IFNA(E123,0)</f>
        <v>0</v>
      </c>
      <c r="V30" s="70" cm="1">
        <f t="array" ref="V30">(_xlfn.BYROW(B74,_xlfn.LAMBDA(_xlpm.party,SUMIFS(ledger!G:G,ledger!B:B,_xlpm.party,ledger!E:E,"&lt;&gt;*RD*",ledger!D:D,"Silky")))/1.0936)+_xlfn.IFNA(F123,0)</f>
        <v>0</v>
      </c>
      <c r="W30" s="22" cm="1">
        <f t="array" ref="W30">(_xlfn.BYROW(B74,_xlfn.LAMBDA(_xlpm.party,
(SUMIFS(ledger!J:J,ledger!B:B,_xlpm.party,ledger!E:E,"&lt;&gt;*RD*",ledger!D:D,"Chamki",ledger!C:C,"&lt;&gt;January Closing CF")+
SUMIFS(ledger!J:J,ledger!B:B,_xlpm.party,ledger!E:E,"&lt;&gt;*RD*",ledger!D:D,"Crinkle",ledger!C:C,"&lt;&gt;January Closing CF")
)+_xlfn.IFNA(G123,0))))</f>
        <v>0</v>
      </c>
      <c r="X30" s="70" cm="1">
        <f t="array" ref="X30">_xlfn.BYROW(B74, _xlfn.LAMBDA(_xlpm.party,
   SUMIFS(ledger!J:J, ledger!B:B, _xlpm.party, ledger!E:E, "&lt;&gt;*RD*", ledger!D:D, "Silky", ledger!C:C, "&lt;&gt;January Closing CF")
)) + _xlfn.IFNA(H123, 0)</f>
        <v>0</v>
      </c>
      <c r="Y30" s="70" cm="1">
        <f t="array" ref="Y30">_xlfn.BYROW(B74, _xlfn.LAMBDA(_xlpm.party,
   SUMIFS(ledger!J:J, ledger!B:B, _xlpm.party, ledger!E:E, "&lt;&gt;*RD*", ledger!D:D, "Slub", ledger!C:C, "&lt;&gt;January Closing CF")
))+ _xlfn.IFNA(I123, 0)</f>
        <v>0</v>
      </c>
      <c r="Z30" s="70" cm="1">
        <f t="array" ref="Z30">_xlfn.BYROW(B74, _xlfn.LAMBDA(_xlpm.party,
   SUMIFS(ledger!J:J, ledger!B:B, _xlpm.party, ledger!E:E, "&lt;&gt;*RD*", ledger!D:D, "Satin", ledger!C:C, "&lt;&gt;January Closing CF")
))+ _xlfn.IFNA(J123, 0)</f>
        <v>0</v>
      </c>
      <c r="AA30" s="70" cm="1">
        <f t="array" ref="AA30">_xlfn.BYROW(B74, _xlfn.LAMBDA(_xlpm.party,
   SUMIFS(ledger!J:J, ledger!B:B, _xlpm.party, ledger!E:E, "&lt;&gt;*RD*", ledger!D:D, "Black-Chamki", ledger!C:C, "&lt;&gt;January Closing CF")
))+ _xlfn.IFNA(K123, 0)</f>
        <v>0</v>
      </c>
      <c r="AB30" s="70" cm="1">
        <f t="array" ref="AB30">_xlfn.BYROW(B74, _xlfn.LAMBDA(_xlpm.party,
   SUMIFS(ledger!J:J, ledger!B:B, _xlpm.party, ledger!E:E, "&lt;&gt;*RD*", ledger!D:D, "Kataan", ledger!C:C, "&lt;&gt;January Closing CF")
))+ _xlfn.IFNA(L123, 0)</f>
        <v>0</v>
      </c>
      <c r="AC30" s="70" cm="1">
        <f t="array" ref="AC30">_xlfn.BYROW(B74, _xlfn.LAMBDA(_xlpm.party,
   SUMIFS(ledger!J:J, ledger!B:B, _xlpm.party, ledger!E:E, "&lt;&gt;*RD*", ledger!D:D, "Munaar", ledger!C:C, "&lt;&gt;January Closing CF")
))+ _xlfn.IFNA(M123, 0)</f>
        <v>151504.2062911485</v>
      </c>
      <c r="AD30" s="70" cm="1">
        <f t="array" ref="AD30">_xlfn.BYROW(B74, _xlfn.LAMBDA(_xlpm.party,
   SUMIFS(ledger!J:J, ledger!B:B, _xlpm.party, ledger!E:E, "&lt;&gt;*RD*", ledger!D:D, "Custom", ledger!C:C, "&lt;&gt;January Closing CF")
))+ _xlfn.IFNA(N123, 0)</f>
        <v>0</v>
      </c>
      <c r="AE30" s="39">
        <f t="shared" si="1"/>
        <v>151504.2062911485</v>
      </c>
      <c r="AF30" s="22">
        <f>(SUMIF(Table14[Party],R30,Table14[Credit]))+_xlfn.IFNA(P123,0)</f>
        <v>130000</v>
      </c>
      <c r="AG30" s="33">
        <f t="shared" si="2"/>
        <v>21504.206291148497</v>
      </c>
      <c r="AH30" s="21">
        <v>10</v>
      </c>
      <c r="AI30" s="21">
        <v>13</v>
      </c>
    </row>
    <row r="31" spans="2:35" x14ac:dyDescent="0.3">
      <c r="R31" t="str">
        <v>Shani Badshah</v>
      </c>
      <c r="S31" s="22" cm="1">
        <f t="array" ref="S31">_xlfn.BYROW(B75,_xlfn.LAMBDA(_xlpm.party,SUMIFS(ledger!G:G,ledger!B:B,_xlpm.party,ledger!E:E,"&lt;&gt;*RD*")))+_xlfn.IFNA(C124,0)</f>
        <v>312320</v>
      </c>
      <c r="T31" s="22" cm="1">
        <f t="array" ref="T31">_xlfn.BYROW(B75, _xlfn.LAMBDA(_xlpm.party, SUMIFS(ledger!G:G, ledger!B:B, _xlpm.party, ledger!E:E, "&lt;&gt;*RD*") / 1.0936 ))+_xlfn.IFNA(D124,0)</f>
        <v>285588.88076079008</v>
      </c>
      <c r="U31" s="22" cm="1">
        <f t="array" ref="U31">(_xlfn.BYROW(B75,_xlfn.LAMBDA(_xlpm.party,SUMIFS(ledger!G:G,ledger!B:B,_xlpm.party,ledger!E:E,"&lt;&gt;*RD*",ledger!D:D,"Chamki")+SUMIFS(ledger!G:G, ledger!B:B, _xlpm.party, ledger!E:E, "&lt;&gt;*RD*", ledger!D:D, "Crinkle")))/1.0936)+_xlfn.IFNA(E124,0)</f>
        <v>198861.55815654719</v>
      </c>
      <c r="V31" s="70" cm="1">
        <f t="array" ref="V31">(_xlfn.BYROW(B75,_xlfn.LAMBDA(_xlpm.party,SUMIFS(ledger!G:G,ledger!B:B,_xlpm.party,ledger!E:E,"&lt;&gt;*RD*",ledger!D:D,"Silky")))/1.0936)+_xlfn.IFNA(F124,0)</f>
        <v>86727.322604242872</v>
      </c>
      <c r="W31" s="22" cm="1">
        <f t="array" ref="W31">(_xlfn.BYROW(B75,_xlfn.LAMBDA(_xlpm.party,
(SUMIFS(ledger!J:J,ledger!B:B,_xlpm.party,ledger!E:E,"&lt;&gt;*RD*",ledger!D:D,"Chamki",ledger!C:C,"&lt;&gt;January Closing CF")+
SUMIFS(ledger!J:J,ledger!B:B,_xlpm.party,ledger!E:E,"&lt;&gt;*RD*",ledger!D:D,"Crinkle",ledger!C:C,"&lt;&gt;January Closing CF")
)+_xlfn.IFNA(G124,0))))</f>
        <v>1988615.5815654721</v>
      </c>
      <c r="X31" s="70" cm="1">
        <f t="array" ref="X31">_xlfn.BYROW(B75, _xlfn.LAMBDA(_xlpm.party,
   SUMIFS(ledger!J:J, ledger!B:B, _xlpm.party, ledger!E:E, "&lt;&gt;*RD*", ledger!D:D, "Silky", ledger!C:C, "&lt;&gt;January Closing CF")
)) + _xlfn.IFNA(H124, 0)</f>
        <v>1127455.1938551574</v>
      </c>
      <c r="Y31" s="70" cm="1">
        <f t="array" ref="Y31">_xlfn.BYROW(B75, _xlfn.LAMBDA(_xlpm.party,
   SUMIFS(ledger!J:J, ledger!B:B, _xlpm.party, ledger!E:E, "&lt;&gt;*RD*", ledger!D:D, "Slub", ledger!C:C, "&lt;&gt;January Closing CF")
))+ _xlfn.IFNA(I124, 0)</f>
        <v>0</v>
      </c>
      <c r="Z31" s="70" cm="1">
        <f t="array" ref="Z31">_xlfn.BYROW(B75, _xlfn.LAMBDA(_xlpm.party,
   SUMIFS(ledger!J:J, ledger!B:B, _xlpm.party, ledger!E:E, "&lt;&gt;*RD*", ledger!D:D, "Satin", ledger!C:C, "&lt;&gt;January Closing CF")
))+ _xlfn.IFNA(J124, 0)</f>
        <v>0</v>
      </c>
      <c r="AA31" s="70" cm="1">
        <f t="array" ref="AA31">_xlfn.BYROW(B75, _xlfn.LAMBDA(_xlpm.party,
   SUMIFS(ledger!J:J, ledger!B:B, _xlpm.party, ledger!E:E, "&lt;&gt;*RD*", ledger!D:D, "Black-Chamki", ledger!C:C, "&lt;&gt;January Closing CF")
))+ _xlfn.IFNA(K124, 0)</f>
        <v>0</v>
      </c>
      <c r="AB31" s="70" cm="1">
        <f t="array" ref="AB31">_xlfn.BYROW(B75, _xlfn.LAMBDA(_xlpm.party,
   SUMIFS(ledger!J:J, ledger!B:B, _xlpm.party, ledger!E:E, "&lt;&gt;*RD*", ledger!D:D, "Kataan", ledger!C:C, "&lt;&gt;January Closing CF")
))+ _xlfn.IFNA(L124, 0)</f>
        <v>0</v>
      </c>
      <c r="AC31" s="70" cm="1">
        <f t="array" ref="AC31">_xlfn.BYROW(B75, _xlfn.LAMBDA(_xlpm.party,
   SUMIFS(ledger!J:J, ledger!B:B, _xlpm.party, ledger!E:E, "&lt;&gt;*RD*", ledger!D:D, "Munaar", ledger!C:C, "&lt;&gt;January Closing CF")
))+ _xlfn.IFNA(M124, 0)</f>
        <v>0</v>
      </c>
      <c r="AD31" s="70" cm="1">
        <f t="array" ref="AD31">_xlfn.BYROW(B75, _xlfn.LAMBDA(_xlpm.party,
   SUMIFS(ledger!J:J, ledger!B:B, _xlpm.party, ledger!E:E, "&lt;&gt;*RD*", ledger!D:D, "Custom", ledger!C:C, "&lt;&gt;January Closing CF")
))+ _xlfn.IFNA(N124, 0)</f>
        <v>0</v>
      </c>
      <c r="AE31" s="39">
        <f t="shared" si="1"/>
        <v>3116070.7754206294</v>
      </c>
      <c r="AF31" s="22">
        <f>(SUMIF(Table14[Party],R31,Table14[Credit]))+_xlfn.IFNA(P124,0)</f>
        <v>3116071</v>
      </c>
      <c r="AG31" s="33">
        <f t="shared" si="2"/>
        <v>-0.22457937058061361</v>
      </c>
      <c r="AH31" s="21">
        <v>10</v>
      </c>
      <c r="AI31" s="21">
        <v>13</v>
      </c>
    </row>
    <row r="32" spans="2:35" x14ac:dyDescent="0.3">
      <c r="R32" t="str">
        <v>Rehman Ali</v>
      </c>
      <c r="S32" s="22" cm="1">
        <f t="array" ref="S32">_xlfn.BYROW(B76,_xlfn.LAMBDA(_xlpm.party,SUMIFS(ledger!G:G,ledger!B:B,_xlpm.party,ledger!E:E,"&lt;&gt;*RD*")))+_xlfn.IFNA(C125,0)</f>
        <v>50131</v>
      </c>
      <c r="T32" s="22" cm="1">
        <f t="array" ref="T32">_xlfn.BYROW(B76, _xlfn.LAMBDA(_xlpm.party, SUMIFS(ledger!G:G, ledger!B:B, _xlpm.party, ledger!E:E, "&lt;&gt;*RD*") / 1.0936 ))+_xlfn.IFNA(D125,0)</f>
        <v>45840.343818580841</v>
      </c>
      <c r="U32" s="22" cm="1">
        <f t="array" ref="U32">(_xlfn.BYROW(B76,_xlfn.LAMBDA(_xlpm.party,SUMIFS(ledger!G:G,ledger!B:B,_xlpm.party,ledger!E:E,"&lt;&gt;*RD*",ledger!D:D,"Chamki")+SUMIFS(ledger!G:G, ledger!B:B, _xlpm.party, ledger!E:E, "&lt;&gt;*RD*", ledger!D:D, "Crinkle")))/1.0936)+_xlfn.IFNA(E125,0)</f>
        <v>0</v>
      </c>
      <c r="V32" s="70" cm="1">
        <f t="array" ref="V32">(_xlfn.BYROW(B76,_xlfn.LAMBDA(_xlpm.party,SUMIFS(ledger!G:G,ledger!B:B,_xlpm.party,ledger!E:E,"&lt;&gt;*RD*",ledger!D:D,"Silky")))/1.0936)+_xlfn.IFNA(F125,0)</f>
        <v>45840.343818580841</v>
      </c>
      <c r="W32" s="22" cm="1">
        <f t="array" ref="W32">(_xlfn.BYROW(B76,_xlfn.LAMBDA(_xlpm.party,
(SUMIFS(ledger!J:J,ledger!B:B,_xlpm.party,ledger!E:E,"&lt;&gt;*RD*",ledger!D:D,"Chamki",ledger!C:C,"&lt;&gt;January Closing CF")+
SUMIFS(ledger!J:J,ledger!B:B,_xlpm.party,ledger!E:E,"&lt;&gt;*RD*",ledger!D:D,"Crinkle",ledger!C:C,"&lt;&gt;January Closing CF")
)+_xlfn.IFNA(G125,0))))</f>
        <v>0</v>
      </c>
      <c r="X32" s="70" cm="1">
        <f t="array" ref="X32">_xlfn.BYROW(B76, _xlfn.LAMBDA(_xlpm.party,
   SUMIFS(ledger!J:J, ledger!B:B, _xlpm.party, ledger!E:E, "&lt;&gt;*RD*", ledger!D:D, "Silky", ledger!C:C, "&lt;&gt;January Closing CF")
)) + _xlfn.IFNA(H125, 0)</f>
        <v>595924.46964155091</v>
      </c>
      <c r="Y32" s="70" cm="1">
        <f t="array" ref="Y32">_xlfn.BYROW(B76, _xlfn.LAMBDA(_xlpm.party,
   SUMIFS(ledger!J:J, ledger!B:B, _xlpm.party, ledger!E:E, "&lt;&gt;*RD*", ledger!D:D, "Slub", ledger!C:C, "&lt;&gt;January Closing CF")
))+ _xlfn.IFNA(I125, 0)</f>
        <v>0</v>
      </c>
      <c r="Z32" s="70" cm="1">
        <f t="array" ref="Z32">_xlfn.BYROW(B76, _xlfn.LAMBDA(_xlpm.party,
   SUMIFS(ledger!J:J, ledger!B:B, _xlpm.party, ledger!E:E, "&lt;&gt;*RD*", ledger!D:D, "Satin", ledger!C:C, "&lt;&gt;January Closing CF")
))+ _xlfn.IFNA(J125, 0)</f>
        <v>0</v>
      </c>
      <c r="AA32" s="70" cm="1">
        <f t="array" ref="AA32">_xlfn.BYROW(B76, _xlfn.LAMBDA(_xlpm.party,
   SUMIFS(ledger!J:J, ledger!B:B, _xlpm.party, ledger!E:E, "&lt;&gt;*RD*", ledger!D:D, "Black-Chamki", ledger!C:C, "&lt;&gt;January Closing CF")
))+ _xlfn.IFNA(K125, 0)</f>
        <v>0</v>
      </c>
      <c r="AB32" s="70" cm="1">
        <f t="array" ref="AB32">_xlfn.BYROW(B76, _xlfn.LAMBDA(_xlpm.party,
   SUMIFS(ledger!J:J, ledger!B:B, _xlpm.party, ledger!E:E, "&lt;&gt;*RD*", ledger!D:D, "Kataan", ledger!C:C, "&lt;&gt;January Closing CF")
))+ _xlfn.IFNA(L125, 0)</f>
        <v>0</v>
      </c>
      <c r="AC32" s="70" cm="1">
        <f t="array" ref="AC32">_xlfn.BYROW(B76, _xlfn.LAMBDA(_xlpm.party,
   SUMIFS(ledger!J:J, ledger!B:B, _xlpm.party, ledger!E:E, "&lt;&gt;*RD*", ledger!D:D, "Munaar", ledger!C:C, "&lt;&gt;January Closing CF")
))+ _xlfn.IFNA(M125, 0)</f>
        <v>0</v>
      </c>
      <c r="AD32" s="70" cm="1">
        <f t="array" ref="AD32">_xlfn.BYROW(B76, _xlfn.LAMBDA(_xlpm.party,
   SUMIFS(ledger!J:J, ledger!B:B, _xlpm.party, ledger!E:E, "&lt;&gt;*RD*", ledger!D:D, "Custom", ledger!C:C, "&lt;&gt;January Closing CF")
))+ _xlfn.IFNA(N125, 0)</f>
        <v>0</v>
      </c>
      <c r="AE32" s="39">
        <f t="shared" si="1"/>
        <v>595924.46964155091</v>
      </c>
      <c r="AF32" s="22">
        <f>(SUMIF(Table14[Party],R32,Table14[Credit]))+_xlfn.IFNA(P125,0)</f>
        <v>550000</v>
      </c>
      <c r="AG32" s="33">
        <f t="shared" si="2"/>
        <v>45924.46964155091</v>
      </c>
      <c r="AH32" s="21">
        <v>10</v>
      </c>
      <c r="AI32" s="21">
        <v>13</v>
      </c>
    </row>
    <row r="33" spans="2:35" x14ac:dyDescent="0.3">
      <c r="R33" t="str">
        <v>Ahmad Shafique</v>
      </c>
      <c r="S33" s="22" cm="1">
        <f t="array" ref="S33">_xlfn.BYROW(B77,_xlfn.LAMBDA(_xlpm.party,SUMIFS(ledger!G:G,ledger!B:B,_xlpm.party,ledger!E:E,"&lt;&gt;*RD*")))+_xlfn.IFNA(C126,0)</f>
        <v>53541</v>
      </c>
      <c r="T33" s="22" cm="1">
        <f t="array" ref="T33">_xlfn.BYROW(B77, _xlfn.LAMBDA(_xlpm.party, SUMIFS(ledger!G:G, ledger!B:B, _xlpm.party, ledger!E:E, "&lt;&gt;*RD*") / 1.0936 ))+_xlfn.IFNA(D126,0)</f>
        <v>48958.485735186543</v>
      </c>
      <c r="U33" s="22" cm="1">
        <f t="array" ref="U33">(_xlfn.BYROW(B77,_xlfn.LAMBDA(_xlpm.party,SUMIFS(ledger!G:G,ledger!B:B,_xlpm.party,ledger!E:E,"&lt;&gt;*RD*",ledger!D:D,"Chamki")+SUMIFS(ledger!G:G, ledger!B:B, _xlpm.party, ledger!E:E, "&lt;&gt;*RD*", ledger!D:D, "Crinkle")))/1.0936)+_xlfn.IFNA(E126,0)</f>
        <v>0</v>
      </c>
      <c r="V33" s="70" cm="1">
        <f t="array" ref="V33">(_xlfn.BYROW(B77,_xlfn.LAMBDA(_xlpm.party,SUMIFS(ledger!G:G,ledger!B:B,_xlpm.party,ledger!E:E,"&lt;&gt;*RD*",ledger!D:D,"Silky")))/1.0936)+_xlfn.IFNA(F126,0)</f>
        <v>48958.485735186543</v>
      </c>
      <c r="W33" s="22" cm="1">
        <f t="array" ref="W33">(_xlfn.BYROW(B77,_xlfn.LAMBDA(_xlpm.party,
(SUMIFS(ledger!J:J,ledger!B:B,_xlpm.party,ledger!E:E,"&lt;&gt;*RD*",ledger!D:D,"Chamki",ledger!C:C,"&lt;&gt;January Closing CF")+
SUMIFS(ledger!J:J,ledger!B:B,_xlpm.party,ledger!E:E,"&lt;&gt;*RD*",ledger!D:D,"Crinkle",ledger!C:C,"&lt;&gt;January Closing CF")
)+_xlfn.IFNA(G126,0))))</f>
        <v>0</v>
      </c>
      <c r="X33" s="70" cm="1">
        <f t="array" ref="X33">_xlfn.BYROW(B77, _xlfn.LAMBDA(_xlpm.party,
   SUMIFS(ledger!J:J, ledger!B:B, _xlpm.party, ledger!E:E, "&lt;&gt;*RD*", ledger!D:D, "Silky", ledger!C:C, "&lt;&gt;January Closing CF")
)) + _xlfn.IFNA(H126, 0)</f>
        <v>636460.3145574251</v>
      </c>
      <c r="Y33" s="70" cm="1">
        <f t="array" ref="Y33">_xlfn.BYROW(B77, _xlfn.LAMBDA(_xlpm.party,
   SUMIFS(ledger!J:J, ledger!B:B, _xlpm.party, ledger!E:E, "&lt;&gt;*RD*", ledger!D:D, "Slub", ledger!C:C, "&lt;&gt;January Closing CF")
))+ _xlfn.IFNA(I126, 0)</f>
        <v>0</v>
      </c>
      <c r="Z33" s="70" cm="1">
        <f t="array" ref="Z33">_xlfn.BYROW(B77, _xlfn.LAMBDA(_xlpm.party,
   SUMIFS(ledger!J:J, ledger!B:B, _xlpm.party, ledger!E:E, "&lt;&gt;*RD*", ledger!D:D, "Satin", ledger!C:C, "&lt;&gt;January Closing CF")
))+ _xlfn.IFNA(J126, 0)</f>
        <v>0</v>
      </c>
      <c r="AA33" s="70" cm="1">
        <f t="array" ref="AA33">_xlfn.BYROW(B77, _xlfn.LAMBDA(_xlpm.party,
   SUMIFS(ledger!J:J, ledger!B:B, _xlpm.party, ledger!E:E, "&lt;&gt;*RD*", ledger!D:D, "Black-Chamki", ledger!C:C, "&lt;&gt;January Closing CF")
))+ _xlfn.IFNA(K126, 0)</f>
        <v>0</v>
      </c>
      <c r="AB33" s="70" cm="1">
        <f t="array" ref="AB33">_xlfn.BYROW(B77, _xlfn.LAMBDA(_xlpm.party,
   SUMIFS(ledger!J:J, ledger!B:B, _xlpm.party, ledger!E:E, "&lt;&gt;*RD*", ledger!D:D, "Kataan", ledger!C:C, "&lt;&gt;January Closing CF")
))+ _xlfn.IFNA(L126, 0)</f>
        <v>0</v>
      </c>
      <c r="AC33" s="70" cm="1">
        <f t="array" ref="AC33">_xlfn.BYROW(B77, _xlfn.LAMBDA(_xlpm.party,
   SUMIFS(ledger!J:J, ledger!B:B, _xlpm.party, ledger!E:E, "&lt;&gt;*RD*", ledger!D:D, "Munaar", ledger!C:C, "&lt;&gt;January Closing CF")
))+ _xlfn.IFNA(M126, 0)</f>
        <v>0</v>
      </c>
      <c r="AD33" s="70" cm="1">
        <f t="array" ref="AD33">_xlfn.BYROW(B77, _xlfn.LAMBDA(_xlpm.party,
   SUMIFS(ledger!J:J, ledger!B:B, _xlpm.party, ledger!E:E, "&lt;&gt;*RD*", ledger!D:D, "Custom", ledger!C:C, "&lt;&gt;January Closing CF")
))+ _xlfn.IFNA(N126, 0)</f>
        <v>0</v>
      </c>
      <c r="AE33" s="39">
        <f t="shared" si="1"/>
        <v>636460.3145574251</v>
      </c>
      <c r="AF33" s="22">
        <f>(SUMIF(Table14[Party],R33,Table14[Credit]))+_xlfn.IFNA(P126,0)</f>
        <v>636000</v>
      </c>
      <c r="AG33" s="33">
        <f t="shared" si="2"/>
        <v>460.3145574250957</v>
      </c>
      <c r="AH33" s="21">
        <v>10</v>
      </c>
      <c r="AI33" s="21">
        <v>13</v>
      </c>
    </row>
    <row r="34" spans="2:35" x14ac:dyDescent="0.3">
      <c r="R34" t="str">
        <v>Hafiz Shawl</v>
      </c>
      <c r="S34" s="22" cm="1">
        <f t="array" ref="S34">_xlfn.BYROW(B78,_xlfn.LAMBDA(_xlpm.party,SUMIFS(ledger!G:G,ledger!B:B,_xlpm.party,ledger!E:E,"&lt;&gt;*RD*")))+_xlfn.IFNA(C127,0)</f>
        <v>33395</v>
      </c>
      <c r="T34" s="22" cm="1">
        <f t="array" ref="T34">_xlfn.BYROW(B78, _xlfn.LAMBDA(_xlpm.party, SUMIFS(ledger!G:G, ledger!B:B, _xlpm.party, ledger!E:E, "&lt;&gt;*RD*") / 1.0936 ))+_xlfn.IFNA(D127,0)</f>
        <v>30536.759326993419</v>
      </c>
      <c r="U34" s="22" cm="1">
        <f t="array" ref="U34">(_xlfn.BYROW(B78,_xlfn.LAMBDA(_xlpm.party,SUMIFS(ledger!G:G,ledger!B:B,_xlpm.party,ledger!E:E,"&lt;&gt;*RD*",ledger!D:D,"Chamki")+SUMIFS(ledger!G:G, ledger!B:B, _xlpm.party, ledger!E:E, "&lt;&gt;*RD*", ledger!D:D, "Crinkle")))/1.0936)+_xlfn.IFNA(E127,0)</f>
        <v>0</v>
      </c>
      <c r="V34" s="70" cm="1">
        <f t="array" ref="V34">(_xlfn.BYROW(B78,_xlfn.LAMBDA(_xlpm.party,SUMIFS(ledger!G:G,ledger!B:B,_xlpm.party,ledger!E:E,"&lt;&gt;*RD*",ledger!D:D,"Silky")))/1.0936)+_xlfn.IFNA(F127,0)</f>
        <v>1321.3240673006585</v>
      </c>
      <c r="W34" s="22" cm="1">
        <f t="array" ref="W34">(_xlfn.BYROW(B78,_xlfn.LAMBDA(_xlpm.party,
(SUMIFS(ledger!J:J,ledger!B:B,_xlpm.party,ledger!E:E,"&lt;&gt;*RD*",ledger!D:D,"Chamki",ledger!C:C,"&lt;&gt;January Closing CF")+
SUMIFS(ledger!J:J,ledger!B:B,_xlpm.party,ledger!E:E,"&lt;&gt;*RD*",ledger!D:D,"Crinkle",ledger!C:C,"&lt;&gt;January Closing CF")
)+_xlfn.IFNA(G127,0))))</f>
        <v>0</v>
      </c>
      <c r="X34" s="70" cm="1">
        <f t="array" ref="X34">_xlfn.BYROW(B78, _xlfn.LAMBDA(_xlpm.party,
   SUMIFS(ledger!J:J, ledger!B:B, _xlpm.party, ledger!E:E, "&lt;&gt;*RD*", ledger!D:D, "Silky", ledger!C:C, "&lt;&gt;January Closing CF")
)) + _xlfn.IFNA(H127, 0)</f>
        <v>15855.888807607902</v>
      </c>
      <c r="Y34" s="70" cm="1">
        <f t="array" ref="Y34">_xlfn.BYROW(B78, _xlfn.LAMBDA(_xlpm.party,
   SUMIFS(ledger!J:J, ledger!B:B, _xlpm.party, ledger!E:E, "&lt;&gt;*RD*", ledger!D:D, "Slub", ledger!C:C, "&lt;&gt;January Closing CF")
))+ _xlfn.IFNA(I127, 0)</f>
        <v>0</v>
      </c>
      <c r="Z34" s="70" cm="1">
        <f t="array" ref="Z34">_xlfn.BYROW(B78, _xlfn.LAMBDA(_xlpm.party,
   SUMIFS(ledger!J:J, ledger!B:B, _xlpm.party, ledger!E:E, "&lt;&gt;*RD*", ledger!D:D, "Satin", ledger!C:C, "&lt;&gt;January Closing CF")
))+ _xlfn.IFNA(J127, 0)</f>
        <v>0</v>
      </c>
      <c r="AA34" s="70" cm="1">
        <f t="array" ref="AA34">_xlfn.BYROW(B78, _xlfn.LAMBDA(_xlpm.party,
   SUMIFS(ledger!J:J, ledger!B:B, _xlpm.party, ledger!E:E, "&lt;&gt;*RD*", ledger!D:D, "Black-Chamki", ledger!C:C, "&lt;&gt;January Closing CF")
))+ _xlfn.IFNA(K127, 0)</f>
        <v>0</v>
      </c>
      <c r="AB34" s="70" cm="1">
        <f t="array" ref="AB34">_xlfn.BYROW(B78, _xlfn.LAMBDA(_xlpm.party,
   SUMIFS(ledger!J:J, ledger!B:B, _xlpm.party, ledger!E:E, "&lt;&gt;*RD*", ledger!D:D, "Kataan", ledger!C:C, "&lt;&gt;January Closing CF")
))+ _xlfn.IFNA(L127, 0)</f>
        <v>0</v>
      </c>
      <c r="AC34" s="70" cm="1">
        <f t="array" ref="AC34">_xlfn.BYROW(B78, _xlfn.LAMBDA(_xlpm.party,
   SUMIFS(ledger!J:J, ledger!B:B, _xlpm.party, ledger!E:E, "&lt;&gt;*RD*", ledger!D:D, "Munaar", ledger!C:C, "&lt;&gt;January Closing CF")
))+ _xlfn.IFNA(M127, 0)</f>
        <v>0</v>
      </c>
      <c r="AD34" s="70" cm="1">
        <f t="array" ref="AD34">_xlfn.BYROW(B78, _xlfn.LAMBDA(_xlpm.party,
   SUMIFS(ledger!J:J, ledger!B:B, _xlpm.party, ledger!E:E, "&lt;&gt;*RD*", ledger!D:D, "Custom", ledger!C:C, "&lt;&gt;January Closing CF")
))+ _xlfn.IFNA(N127, 0)</f>
        <v>584043.52596927586</v>
      </c>
      <c r="AE34" s="39">
        <f t="shared" si="1"/>
        <v>599899.41477688379</v>
      </c>
      <c r="AF34" s="22">
        <f>(SUMIF(Table14[Party],R34,Table14[Credit]))+_xlfn.IFNA(P127,0)</f>
        <v>55855</v>
      </c>
      <c r="AG34" s="33">
        <f t="shared" si="2"/>
        <v>544044.41477688379</v>
      </c>
      <c r="AH34" s="21">
        <v>10</v>
      </c>
      <c r="AI34" s="21">
        <v>13</v>
      </c>
    </row>
    <row r="35" spans="2:35" x14ac:dyDescent="0.3">
      <c r="R35" t="str">
        <v>Zahid Ejaz</v>
      </c>
      <c r="S35" s="22" cm="1">
        <f t="array" ref="S35">_xlfn.BYROW(B79,_xlfn.LAMBDA(_xlpm.party,SUMIFS(ledger!G:G,ledger!B:B,_xlpm.party,ledger!E:E,"&lt;&gt;*RD*")))+_xlfn.IFNA(C128,0)</f>
        <v>16060</v>
      </c>
      <c r="T35" s="22" cm="1">
        <f t="array" ref="T35">_xlfn.BYROW(B79, _xlfn.LAMBDA(_xlpm.party, SUMIFS(ledger!G:G, ledger!B:B, _xlpm.party, ledger!E:E, "&lt;&gt;*RD*") / 1.0936 ))+_xlfn.IFNA(D128,0)</f>
        <v>14685.442574981713</v>
      </c>
      <c r="U35" s="22" cm="1">
        <f t="array" ref="U35">(_xlfn.BYROW(B79,_xlfn.LAMBDA(_xlpm.party,SUMIFS(ledger!G:G,ledger!B:B,_xlpm.party,ledger!E:E,"&lt;&gt;*RD*",ledger!D:D,"Chamki")+SUMIFS(ledger!G:G, ledger!B:B, _xlpm.party, ledger!E:E, "&lt;&gt;*RD*", ledger!D:D, "Crinkle")))/1.0936)+_xlfn.IFNA(E128,0)</f>
        <v>14685.442574981713</v>
      </c>
      <c r="V35" s="70" cm="1">
        <f t="array" ref="V35">(_xlfn.BYROW(B79,_xlfn.LAMBDA(_xlpm.party,SUMIFS(ledger!G:G,ledger!B:B,_xlpm.party,ledger!E:E,"&lt;&gt;*RD*",ledger!D:D,"Silky")))/1.0936)+_xlfn.IFNA(F128,0)</f>
        <v>0</v>
      </c>
      <c r="W35" s="22" cm="1">
        <f t="array" ref="W35">(_xlfn.BYROW(B79,_xlfn.LAMBDA(_xlpm.party,
(SUMIFS(ledger!J:J,ledger!B:B,_xlpm.party,ledger!E:E,"&lt;&gt;*RD*",ledger!D:D,"Chamki",ledger!C:C,"&lt;&gt;January Closing CF")+
SUMIFS(ledger!J:J,ledger!B:B,_xlpm.party,ledger!E:E,"&lt;&gt;*RD*",ledger!D:D,"Crinkle",ledger!C:C,"&lt;&gt;January Closing CF")
)+_xlfn.IFNA(G128,0))))</f>
        <v>161539.86832479882</v>
      </c>
      <c r="X35" s="70" cm="1">
        <f t="array" ref="X35">_xlfn.BYROW(B79, _xlfn.LAMBDA(_xlpm.party,
   SUMIFS(ledger!J:J, ledger!B:B, _xlpm.party, ledger!E:E, "&lt;&gt;*RD*", ledger!D:D, "Silky", ledger!C:C, "&lt;&gt;January Closing CF")
)) + _xlfn.IFNA(H128, 0)</f>
        <v>0</v>
      </c>
      <c r="Y35" s="70" cm="1">
        <f t="array" ref="Y35">_xlfn.BYROW(B79, _xlfn.LAMBDA(_xlpm.party,
   SUMIFS(ledger!J:J, ledger!B:B, _xlpm.party, ledger!E:E, "&lt;&gt;*RD*", ledger!D:D, "Slub", ledger!C:C, "&lt;&gt;January Closing CF")
))+ _xlfn.IFNA(I128, 0)</f>
        <v>0</v>
      </c>
      <c r="Z35" s="70" cm="1">
        <f t="array" ref="Z35">_xlfn.BYROW(B79, _xlfn.LAMBDA(_xlpm.party,
   SUMIFS(ledger!J:J, ledger!B:B, _xlpm.party, ledger!E:E, "&lt;&gt;*RD*", ledger!D:D, "Satin", ledger!C:C, "&lt;&gt;January Closing CF")
))+ _xlfn.IFNA(J128, 0)</f>
        <v>0</v>
      </c>
      <c r="AA35" s="70" cm="1">
        <f t="array" ref="AA35">_xlfn.BYROW(B79, _xlfn.LAMBDA(_xlpm.party,
   SUMIFS(ledger!J:J, ledger!B:B, _xlpm.party, ledger!E:E, "&lt;&gt;*RD*", ledger!D:D, "Black-Chamki", ledger!C:C, "&lt;&gt;January Closing CF")
))+ _xlfn.IFNA(K128, 0)</f>
        <v>0</v>
      </c>
      <c r="AB35" s="70" cm="1">
        <f t="array" ref="AB35">_xlfn.BYROW(B79, _xlfn.LAMBDA(_xlpm.party,
   SUMIFS(ledger!J:J, ledger!B:B, _xlpm.party, ledger!E:E, "&lt;&gt;*RD*", ledger!D:D, "Kataan", ledger!C:C, "&lt;&gt;January Closing CF")
))+ _xlfn.IFNA(L128, 0)</f>
        <v>0</v>
      </c>
      <c r="AC35" s="70" cm="1">
        <f t="array" ref="AC35">_xlfn.BYROW(B79, _xlfn.LAMBDA(_xlpm.party,
   SUMIFS(ledger!J:J, ledger!B:B, _xlpm.party, ledger!E:E, "&lt;&gt;*RD*", ledger!D:D, "Munaar", ledger!C:C, "&lt;&gt;January Closing CF")
))+ _xlfn.IFNA(M128, 0)</f>
        <v>0</v>
      </c>
      <c r="AD35" s="70" cm="1">
        <f t="array" ref="AD35">_xlfn.BYROW(B79, _xlfn.LAMBDA(_xlpm.party,
   SUMIFS(ledger!J:J, ledger!B:B, _xlpm.party, ledger!E:E, "&lt;&gt;*RD*", ledger!D:D, "Custom", ledger!C:C, "&lt;&gt;January Closing CF")
))+ _xlfn.IFNA(N128, 0)</f>
        <v>0</v>
      </c>
      <c r="AE35" s="39">
        <f t="shared" si="1"/>
        <v>161539.86832479882</v>
      </c>
      <c r="AF35" s="22">
        <f>(SUMIF(Table14[Party],R35,Table14[Credit]))+_xlfn.IFNA(P128,0)</f>
        <v>169278</v>
      </c>
      <c r="AG35" s="33">
        <f t="shared" si="2"/>
        <v>-7738.1316752011771</v>
      </c>
      <c r="AH35" s="21">
        <v>10</v>
      </c>
      <c r="AI35" s="21">
        <v>13</v>
      </c>
    </row>
    <row r="36" spans="2:35" x14ac:dyDescent="0.3">
      <c r="R36" t="str">
        <v>Faizan Kamoki</v>
      </c>
      <c r="S36" s="22" cm="1">
        <f t="array" ref="S36">_xlfn.BYROW(B80,_xlfn.LAMBDA(_xlpm.party,SUMIFS(ledger!G:G,ledger!B:B,_xlpm.party,ledger!E:E,"&lt;&gt;*RD*")))+_xlfn.IFNA(C129,0)</f>
        <v>490216</v>
      </c>
      <c r="T36" s="22" cm="1">
        <f t="array" ref="T36">_xlfn.BYROW(B80, _xlfn.LAMBDA(_xlpm.party, SUMIFS(ledger!G:G, ledger!B:B, _xlpm.party, ledger!E:E, "&lt;&gt;*RD*") / 1.0936 ))+_xlfn.IFNA(D129,0)</f>
        <v>448258.96122896858</v>
      </c>
      <c r="U36" s="22" cm="1">
        <f t="array" ref="U36">(_xlfn.BYROW(B80,_xlfn.LAMBDA(_xlpm.party,SUMIFS(ledger!G:G,ledger!B:B,_xlpm.party,ledger!E:E,"&lt;&gt;*RD*",ledger!D:D,"Chamki")+SUMIFS(ledger!G:G, ledger!B:B, _xlpm.party, ledger!E:E, "&lt;&gt;*RD*", ledger!D:D, "Crinkle")))/1.0936)+_xlfn.IFNA(E129,0)</f>
        <v>0</v>
      </c>
      <c r="V36" s="70" cm="1">
        <f t="array" ref="V36">(_xlfn.BYROW(B80,_xlfn.LAMBDA(_xlpm.party,SUMIFS(ledger!G:G,ledger!B:B,_xlpm.party,ledger!E:E,"&lt;&gt;*RD*",ledger!D:D,"Silky")))/1.0936)+_xlfn.IFNA(F129,0)</f>
        <v>306760.24140453548</v>
      </c>
      <c r="W36" s="22" cm="1">
        <f t="array" ref="W36">(_xlfn.BYROW(B80,_xlfn.LAMBDA(_xlpm.party,
(SUMIFS(ledger!J:J,ledger!B:B,_xlpm.party,ledger!E:E,"&lt;&gt;*RD*",ledger!D:D,"Chamki",ledger!C:C,"&lt;&gt;January Closing CF")+
SUMIFS(ledger!J:J,ledger!B:B,_xlpm.party,ledger!E:E,"&lt;&gt;*RD*",ledger!D:D,"Crinkle",ledger!C:C,"&lt;&gt;January Closing CF")
)+_xlfn.IFNA(G129,0))))</f>
        <v>0</v>
      </c>
      <c r="X36" s="70" cm="1">
        <f t="array" ref="X36">_xlfn.BYROW(B80, _xlfn.LAMBDA(_xlpm.party,
   SUMIFS(ledger!J:J, ledger!B:B, _xlpm.party, ledger!E:E, "&lt;&gt;*RD*", ledger!D:D, "Silky", ledger!C:C, "&lt;&gt;January Closing CF")
)) + _xlfn.IFNA(H129, 0)</f>
        <v>3987883.1382589615</v>
      </c>
      <c r="Y36" s="70" cm="1">
        <f t="array" ref="Y36">_xlfn.BYROW(B80, _xlfn.LAMBDA(_xlpm.party,
   SUMIFS(ledger!J:J, ledger!B:B, _xlpm.party, ledger!E:E, "&lt;&gt;*RD*", ledger!D:D, "Slub", ledger!C:C, "&lt;&gt;January Closing CF")
))+ _xlfn.IFNA(I129, 0)</f>
        <v>0</v>
      </c>
      <c r="Z36" s="70" cm="1">
        <f t="array" ref="Z36">_xlfn.BYROW(B80, _xlfn.LAMBDA(_xlpm.party,
   SUMIFS(ledger!J:J, ledger!B:B, _xlpm.party, ledger!E:E, "&lt;&gt;*RD*", ledger!D:D, "Satin", ledger!C:C, "&lt;&gt;January Closing CF")
))+ _xlfn.IFNA(J129, 0)</f>
        <v>0</v>
      </c>
      <c r="AA36" s="70" cm="1">
        <f t="array" ref="AA36">_xlfn.BYROW(B80, _xlfn.LAMBDA(_xlpm.party,
   SUMIFS(ledger!J:J, ledger!B:B, _xlpm.party, ledger!E:E, "&lt;&gt;*RD*", ledger!D:D, "Black-Chamki", ledger!C:C, "&lt;&gt;January Closing CF")
))+ _xlfn.IFNA(K129, 0)</f>
        <v>0</v>
      </c>
      <c r="AB36" s="70" cm="1">
        <f t="array" ref="AB36">_xlfn.BYROW(B80, _xlfn.LAMBDA(_xlpm.party,
   SUMIFS(ledger!J:J, ledger!B:B, _xlpm.party, ledger!E:E, "&lt;&gt;*RD*", ledger!D:D, "Kataan", ledger!C:C, "&lt;&gt;January Closing CF")
))+ _xlfn.IFNA(L129, 0)</f>
        <v>1638023.043160205</v>
      </c>
      <c r="AC36" s="70" cm="1">
        <f t="array" ref="AC36">_xlfn.BYROW(B80, _xlfn.LAMBDA(_xlpm.party,
   SUMIFS(ledger!J:J, ledger!B:B, _xlpm.party, ledger!E:E, "&lt;&gt;*RD*", ledger!D:D, "Munaar", ledger!C:C, "&lt;&gt;January Closing CF")
))+ _xlfn.IFNA(M129, 0)</f>
        <v>0</v>
      </c>
      <c r="AD36" s="70" cm="1">
        <f t="array" ref="AD36">_xlfn.BYROW(B80, _xlfn.LAMBDA(_xlpm.party,
   SUMIFS(ledger!J:J, ledger!B:B, _xlpm.party, ledger!E:E, "&lt;&gt;*RD*", ledger!D:D, "Custom", ledger!C:C, "&lt;&gt;January Closing CF")
))+ _xlfn.IFNA(N129, 0)</f>
        <v>0</v>
      </c>
      <c r="AE36" s="39">
        <f t="shared" si="1"/>
        <v>5625906.1814191667</v>
      </c>
      <c r="AF36" s="22">
        <f>(SUMIF(Table14[Party],R36,Table14[Credit]))+_xlfn.IFNA(P129,0)</f>
        <v>5245323.4930504756</v>
      </c>
      <c r="AG36" s="33">
        <f t="shared" si="2"/>
        <v>380582.68836869113</v>
      </c>
    </row>
    <row r="37" spans="2:35" x14ac:dyDescent="0.3">
      <c r="R37" t="str">
        <v>KK fabrics</v>
      </c>
      <c r="S37" s="22" cm="1">
        <f t="array" ref="S37">_xlfn.BYROW(B81,_xlfn.LAMBDA(_xlpm.party,SUMIFS(ledger!G:G,ledger!B:B,_xlpm.party,ledger!E:E,"&lt;&gt;*RD*")))+_xlfn.IFNA(C130,0)</f>
        <v>59639</v>
      </c>
      <c r="T37" s="22" cm="1">
        <f t="array" ref="T37">_xlfn.BYROW(B81, _xlfn.LAMBDA(_xlpm.party, SUMIFS(ledger!G:G, ledger!B:B, _xlpm.party, ledger!E:E, "&lt;&gt;*RD*") / 1.0936 ))+_xlfn.IFNA(D130,0)</f>
        <v>54534.564740307243</v>
      </c>
      <c r="U37" s="22" cm="1">
        <f t="array" ref="U37">(_xlfn.BYROW(B81,_xlfn.LAMBDA(_xlpm.party,SUMIFS(ledger!G:G,ledger!B:B,_xlpm.party,ledger!E:E,"&lt;&gt;*RD*",ledger!D:D,"Chamki")+SUMIFS(ledger!G:G, ledger!B:B, _xlpm.party, ledger!E:E, "&lt;&gt;*RD*", ledger!D:D, "Crinkle")))/1.0936)+_xlfn.IFNA(E130,0)</f>
        <v>54534.564740307243</v>
      </c>
      <c r="V37" s="70" cm="1">
        <f t="array" ref="V37">(_xlfn.BYROW(B81,_xlfn.LAMBDA(_xlpm.party,SUMIFS(ledger!G:G,ledger!B:B,_xlpm.party,ledger!E:E,"&lt;&gt;*RD*",ledger!D:D,"Silky")))/1.0936)+_xlfn.IFNA(F130,0)</f>
        <v>0</v>
      </c>
      <c r="W37" s="22" cm="1">
        <f t="array" ref="W37">(_xlfn.BYROW(B81,_xlfn.LAMBDA(_xlpm.party,
(SUMIFS(ledger!J:J,ledger!B:B,_xlpm.party,ledger!E:E,"&lt;&gt;*RD*",ledger!D:D,"Chamki",ledger!C:C,"&lt;&gt;January Closing CF")+
SUMIFS(ledger!J:J,ledger!B:B,_xlpm.party,ledger!E:E,"&lt;&gt;*RD*",ledger!D:D,"Crinkle",ledger!C:C,"&lt;&gt;January Closing CF")
)+_xlfn.IFNA(G130,0))))</f>
        <v>545345.64740307245</v>
      </c>
      <c r="X37" s="70" cm="1">
        <f t="array" ref="X37">_xlfn.BYROW(B81, _xlfn.LAMBDA(_xlpm.party,
   SUMIFS(ledger!J:J, ledger!B:B, _xlpm.party, ledger!E:E, "&lt;&gt;*RD*", ledger!D:D, "Silky", ledger!C:C, "&lt;&gt;January Closing CF")
)) + _xlfn.IFNA(H130, 0)</f>
        <v>0</v>
      </c>
      <c r="Y37" s="70" cm="1">
        <f t="array" ref="Y37">_xlfn.BYROW(B81, _xlfn.LAMBDA(_xlpm.party,
   SUMIFS(ledger!J:J, ledger!B:B, _xlpm.party, ledger!E:E, "&lt;&gt;*RD*", ledger!D:D, "Slub", ledger!C:C, "&lt;&gt;January Closing CF")
))+ _xlfn.IFNA(I130, 0)</f>
        <v>0</v>
      </c>
      <c r="Z37" s="70" cm="1">
        <f t="array" ref="Z37">_xlfn.BYROW(B81, _xlfn.LAMBDA(_xlpm.party,
   SUMIFS(ledger!J:J, ledger!B:B, _xlpm.party, ledger!E:E, "&lt;&gt;*RD*", ledger!D:D, "Satin", ledger!C:C, "&lt;&gt;January Closing CF")
))+ _xlfn.IFNA(J130, 0)</f>
        <v>0</v>
      </c>
      <c r="AA37" s="70" cm="1">
        <f t="array" ref="AA37">_xlfn.BYROW(B81, _xlfn.LAMBDA(_xlpm.party,
   SUMIFS(ledger!J:J, ledger!B:B, _xlpm.party, ledger!E:E, "&lt;&gt;*RD*", ledger!D:D, "Black-Chamki", ledger!C:C, "&lt;&gt;January Closing CF")
))+ _xlfn.IFNA(K130, 0)</f>
        <v>0</v>
      </c>
      <c r="AB37" s="70" cm="1">
        <f t="array" ref="AB37">_xlfn.BYROW(B81, _xlfn.LAMBDA(_xlpm.party,
   SUMIFS(ledger!J:J, ledger!B:B, _xlpm.party, ledger!E:E, "&lt;&gt;*RD*", ledger!D:D, "Kataan", ledger!C:C, "&lt;&gt;January Closing CF")
))+ _xlfn.IFNA(L130, 0)</f>
        <v>0</v>
      </c>
      <c r="AC37" s="70" cm="1">
        <f t="array" ref="AC37">_xlfn.BYROW(B81, _xlfn.LAMBDA(_xlpm.party,
   SUMIFS(ledger!J:J, ledger!B:B, _xlpm.party, ledger!E:E, "&lt;&gt;*RD*", ledger!D:D, "Munaar", ledger!C:C, "&lt;&gt;January Closing CF")
))+ _xlfn.IFNA(M130, 0)</f>
        <v>0</v>
      </c>
      <c r="AD37" s="70" cm="1">
        <f t="array" ref="AD37">_xlfn.BYROW(B81, _xlfn.LAMBDA(_xlpm.party,
   SUMIFS(ledger!J:J, ledger!B:B, _xlpm.party, ledger!E:E, "&lt;&gt;*RD*", ledger!D:D, "Custom", ledger!C:C, "&lt;&gt;January Closing CF")
))+ _xlfn.IFNA(N130, 0)</f>
        <v>0</v>
      </c>
      <c r="AE37" s="39">
        <f t="shared" si="1"/>
        <v>545345.64740307245</v>
      </c>
      <c r="AF37" s="22">
        <f>(SUMIF(Table14[Party],R37,Table14[Credit]))+_xlfn.IFNA(P130,0)</f>
        <v>544000</v>
      </c>
      <c r="AG37" s="33">
        <f t="shared" ref="AG37" si="3">AE37-AF37</f>
        <v>1345.6474030724494</v>
      </c>
    </row>
    <row r="38" spans="2:35" x14ac:dyDescent="0.3">
      <c r="R38" t="str">
        <v>Rauf Khan</v>
      </c>
      <c r="S38" s="22" cm="1">
        <f t="array" ref="S38">_xlfn.BYROW(B82,_xlfn.LAMBDA(_xlpm.party,SUMIFS(ledger!G:G,ledger!B:B,_xlpm.party,ledger!E:E,"&lt;&gt;*RD*")))+_xlfn.IFNA(C131,0)</f>
        <v>110981</v>
      </c>
      <c r="T38" s="22" cm="1">
        <f t="array" ref="T38">_xlfn.BYROW(B82, _xlfn.LAMBDA(_xlpm.party, SUMIFS(ledger!G:G, ledger!B:B, _xlpm.party, ledger!E:E, "&lt;&gt;*RD*") / 1.0936 ))+_xlfn.IFNA(D131,0)</f>
        <v>101482.26042428677</v>
      </c>
      <c r="U38" s="22" cm="1">
        <f t="array" ref="U38">(_xlfn.BYROW(B82,_xlfn.LAMBDA(_xlpm.party,SUMIFS(ledger!G:G,ledger!B:B,_xlpm.party,ledger!E:E,"&lt;&gt;*RD*",ledger!D:D,"Chamki")+SUMIFS(ledger!G:G, ledger!B:B, _xlpm.party, ledger!E:E, "&lt;&gt;*RD*", ledger!D:D, "Crinkle")))/1.0936)+_xlfn.IFNA(E131,0)</f>
        <v>81045.171909290424</v>
      </c>
      <c r="V38" s="70" cm="1">
        <f t="array" ref="V38">(_xlfn.BYROW(B82,_xlfn.LAMBDA(_xlpm.party,SUMIFS(ledger!G:G,ledger!B:B,_xlpm.party,ledger!E:E,"&lt;&gt;*RD*",ledger!D:D,"Silky")))/1.0936)+_xlfn.IFNA(F131,0)</f>
        <v>0</v>
      </c>
      <c r="W38" s="22" cm="1">
        <f t="array" ref="W38">(_xlfn.BYROW(B82,_xlfn.LAMBDA(_xlpm.party,
(SUMIFS(ledger!J:J,ledger!B:B,_xlpm.party,ledger!E:E,"&lt;&gt;*RD*",ledger!D:D,"Chamki",ledger!C:C,"&lt;&gt;January Closing CF")+
SUMIFS(ledger!J:J,ledger!B:B,_xlpm.party,ledger!E:E,"&lt;&gt;*RD*",ledger!D:D,"Crinkle",ledger!C:C,"&lt;&gt;January Closing CF")
)+_xlfn.IFNA(G131,0))))</f>
        <v>810451.71909290424</v>
      </c>
      <c r="X38" s="70" cm="1">
        <f t="array" ref="X38">_xlfn.BYROW(B82, _xlfn.LAMBDA(_xlpm.party,
   SUMIFS(ledger!J:J, ledger!B:B, _xlpm.party, ledger!E:E, "&lt;&gt;*RD*", ledger!D:D, "Silky", ledger!C:C, "&lt;&gt;January Closing CF")
)) + _xlfn.IFNA(H131, 0)</f>
        <v>0</v>
      </c>
      <c r="Y38" s="70" cm="1">
        <f t="array" ref="Y38">_xlfn.BYROW(B82, _xlfn.LAMBDA(_xlpm.party,
   SUMIFS(ledger!J:J, ledger!B:B, _xlpm.party, ledger!E:E, "&lt;&gt;*RD*", ledger!D:D, "Slub", ledger!C:C, "&lt;&gt;January Closing CF")
))+ _xlfn.IFNA(I131, 0)</f>
        <v>0</v>
      </c>
      <c r="Z38" s="70" cm="1">
        <f t="array" ref="Z38">_xlfn.BYROW(B82, _xlfn.LAMBDA(_xlpm.party,
   SUMIFS(ledger!J:J, ledger!B:B, _xlpm.party, ledger!E:E, "&lt;&gt;*RD*", ledger!D:D, "Satin", ledger!C:C, "&lt;&gt;January Closing CF")
))+ _xlfn.IFNA(J131, 0)</f>
        <v>306556.32772494515</v>
      </c>
      <c r="AA38" s="70" cm="1">
        <f t="array" ref="AA38">_xlfn.BYROW(B82, _xlfn.LAMBDA(_xlpm.party,
   SUMIFS(ledger!J:J, ledger!B:B, _xlpm.party, ledger!E:E, "&lt;&gt;*RD*", ledger!D:D, "Black-Chamki", ledger!C:C, "&lt;&gt;January Closing CF")
))+ _xlfn.IFNA(K131, 0)</f>
        <v>0</v>
      </c>
      <c r="AB38" s="70" cm="1">
        <f t="array" ref="AB38">_xlfn.BYROW(B82, _xlfn.LAMBDA(_xlpm.party,
   SUMIFS(ledger!J:J, ledger!B:B, _xlpm.party, ledger!E:E, "&lt;&gt;*RD*", ledger!D:D, "Kataan", ledger!C:C, "&lt;&gt;January Closing CF")
))+ _xlfn.IFNA(L131, 0)</f>
        <v>0</v>
      </c>
      <c r="AC38" s="70" cm="1">
        <f t="array" ref="AC38">_xlfn.BYROW(B82, _xlfn.LAMBDA(_xlpm.party,
   SUMIFS(ledger!J:J, ledger!B:B, _xlpm.party, ledger!E:E, "&lt;&gt;*RD*", ledger!D:D, "Munaar", ledger!C:C, "&lt;&gt;January Closing CF")
))+ _xlfn.IFNA(M131, 0)</f>
        <v>0</v>
      </c>
      <c r="AD38" s="70" cm="1">
        <f t="array" ref="AD38">_xlfn.BYROW(B82, _xlfn.LAMBDA(_xlpm.party,
   SUMIFS(ledger!J:J, ledger!B:B, _xlpm.party, ledger!E:E, "&lt;&gt;*RD*", ledger!D:D, "Custom", ledger!C:C, "&lt;&gt;January Closing CF")
))+ _xlfn.IFNA(N131, 0)</f>
        <v>0</v>
      </c>
      <c r="AE38" s="39">
        <f t="shared" si="1"/>
        <v>1117008.0468178494</v>
      </c>
      <c r="AF38" s="22">
        <f>(SUMIF(Table14[Party],R38,Table14[Credit]))+_xlfn.IFNA(P131,0)</f>
        <v>0</v>
      </c>
      <c r="AG38" s="33">
        <f t="shared" ref="AG38" si="4">AE38-AF38</f>
        <v>1117008.0468178494</v>
      </c>
    </row>
    <row r="39" spans="2:35" x14ac:dyDescent="0.3">
      <c r="R39" t="str">
        <v>Farhaan ali</v>
      </c>
      <c r="S39" s="22" cm="1">
        <f t="array" ref="S39">_xlfn.BYROW(B83,_xlfn.LAMBDA(_xlpm.party,SUMIFS(ledger!G:G,ledger!B:B,_xlpm.party,ledger!E:E,"&lt;&gt;*RD*")))+_xlfn.IFNA(C132,0)</f>
        <v>163883</v>
      </c>
      <c r="T39" s="22" cm="1">
        <f t="array" ref="T39">_xlfn.BYROW(B83, _xlfn.LAMBDA(_xlpm.party, SUMIFS(ledger!G:G, ledger!B:B, _xlpm.party, ledger!E:E, "&lt;&gt;*RD*") / 1.0936 ))+_xlfn.IFNA(D132,0)</f>
        <v>149856.43745427945</v>
      </c>
      <c r="U39" s="22" cm="1">
        <f t="array" ref="U39">(_xlfn.BYROW(B83,_xlfn.LAMBDA(_xlpm.party,SUMIFS(ledger!G:G,ledger!B:B,_xlpm.party,ledger!E:E,"&lt;&gt;*RD*",ledger!D:D,"Chamki")+SUMIFS(ledger!G:G, ledger!B:B, _xlpm.party, ledger!E:E, "&lt;&gt;*RD*", ledger!D:D, "Crinkle")))/1.0936)+_xlfn.IFNA(E132,0)</f>
        <v>0</v>
      </c>
      <c r="V39" s="70" cm="1">
        <f t="array" ref="V39">(_xlfn.BYROW(B83,_xlfn.LAMBDA(_xlpm.party,SUMIFS(ledger!G:G,ledger!B:B,_xlpm.party,ledger!E:E,"&lt;&gt;*RD*",ledger!D:D,"Silky")))/1.0936)+_xlfn.IFNA(F132,0)</f>
        <v>149856.43745427945</v>
      </c>
      <c r="W39" s="22" cm="1">
        <f t="array" ref="W39">(_xlfn.BYROW(B83,_xlfn.LAMBDA(_xlpm.party,
(SUMIFS(ledger!J:J,ledger!B:B,_xlpm.party,ledger!E:E,"&lt;&gt;*RD*",ledger!D:D,"Chamki",ledger!C:C,"&lt;&gt;January Closing CF")+
SUMIFS(ledger!J:J,ledger!B:B,_xlpm.party,ledger!E:E,"&lt;&gt;*RD*",ledger!D:D,"Crinkle",ledger!C:C,"&lt;&gt;January Closing CF")
)+_xlfn.IFNA(G132,0))))</f>
        <v>0</v>
      </c>
      <c r="X39" s="70" cm="1">
        <f t="array" ref="X39">_xlfn.BYROW(B83, _xlfn.LAMBDA(_xlpm.party,
   SUMIFS(ledger!J:J, ledger!B:B, _xlpm.party, ledger!E:E, "&lt;&gt;*RD*", ledger!D:D, "Silky", ledger!C:C, "&lt;&gt;January Closing CF")
)) + _xlfn.IFNA(H132, 0)</f>
        <v>1798277.2494513534</v>
      </c>
      <c r="Y39" s="70" cm="1">
        <f t="array" ref="Y39">_xlfn.BYROW(B83, _xlfn.LAMBDA(_xlpm.party,
   SUMIFS(ledger!J:J, ledger!B:B, _xlpm.party, ledger!E:E, "&lt;&gt;*RD*", ledger!D:D, "Slub", ledger!C:C, "&lt;&gt;January Closing CF")
))+ _xlfn.IFNA(I132, 0)</f>
        <v>0</v>
      </c>
      <c r="Z39" s="70" cm="1">
        <f t="array" ref="Z39">_xlfn.BYROW(B83, _xlfn.LAMBDA(_xlpm.party,
   SUMIFS(ledger!J:J, ledger!B:B, _xlpm.party, ledger!E:E, "&lt;&gt;*RD*", ledger!D:D, "Satin", ledger!C:C, "&lt;&gt;January Closing CF")
))+ _xlfn.IFNA(J132, 0)</f>
        <v>0</v>
      </c>
      <c r="AA39" s="70" cm="1">
        <f t="array" ref="AA39">_xlfn.BYROW(B83, _xlfn.LAMBDA(_xlpm.party,
   SUMIFS(ledger!J:J, ledger!B:B, _xlpm.party, ledger!E:E, "&lt;&gt;*RD*", ledger!D:D, "Black-Chamki", ledger!C:C, "&lt;&gt;January Closing CF")
))+ _xlfn.IFNA(K132, 0)</f>
        <v>0</v>
      </c>
      <c r="AB39" s="70" cm="1">
        <f t="array" ref="AB39">_xlfn.BYROW(B83, _xlfn.LAMBDA(_xlpm.party,
   SUMIFS(ledger!J:J, ledger!B:B, _xlpm.party, ledger!E:E, "&lt;&gt;*RD*", ledger!D:D, "Kataan", ledger!C:C, "&lt;&gt;January Closing CF")
))+ _xlfn.IFNA(L132, 0)</f>
        <v>0</v>
      </c>
      <c r="AC39" s="70" cm="1">
        <f t="array" ref="AC39">_xlfn.BYROW(B83, _xlfn.LAMBDA(_xlpm.party,
   SUMIFS(ledger!J:J, ledger!B:B, _xlpm.party, ledger!E:E, "&lt;&gt;*RD*", ledger!D:D, "Munaar", ledger!C:C, "&lt;&gt;January Closing CF")
))+ _xlfn.IFNA(M132, 0)</f>
        <v>0</v>
      </c>
      <c r="AD39" s="70" cm="1">
        <f t="array" ref="AD39">_xlfn.BYROW(B83, _xlfn.LAMBDA(_xlpm.party,
   SUMIFS(ledger!J:J, ledger!B:B, _xlpm.party, ledger!E:E, "&lt;&gt;*RD*", ledger!D:D, "Custom", ledger!C:C, "&lt;&gt;January Closing CF")
))+ _xlfn.IFNA(N132, 0)</f>
        <v>0</v>
      </c>
      <c r="AE39" s="39">
        <f t="shared" ref="AE39:AE40" si="5">W39+X39+Y39+Z39+AA39+AB39+AC39+AD39</f>
        <v>1798277.2494513534</v>
      </c>
      <c r="AF39" s="22">
        <f>(SUMIF(Table14[Party],R39,Table14[Credit]))+_xlfn.IFNA(P132,0)</f>
        <v>0</v>
      </c>
      <c r="AG39" s="33">
        <f t="shared" ref="AG39:AG40" si="6">AE39-AF39</f>
        <v>1798277.2494513534</v>
      </c>
    </row>
    <row r="40" spans="2:35" x14ac:dyDescent="0.3">
      <c r="R40">
        <v>0</v>
      </c>
      <c r="S40" s="22" cm="1">
        <f t="array" ref="S40">_xlfn.BYROW(B84,_xlfn.LAMBDA(_xlpm.party,SUMIFS(ledger!G:G,ledger!B:B,_xlpm.party,ledger!E:E,"&lt;&gt;*RD*")))+_xlfn.IFNA(C133,0)</f>
        <v>0</v>
      </c>
      <c r="T40" s="22" cm="1">
        <f t="array" ref="T40">_xlfn.BYROW(B84, _xlfn.LAMBDA(_xlpm.party, SUMIFS(ledger!G:G, ledger!B:B, _xlpm.party, ledger!E:E, "&lt;&gt;*RD*") / 1.0936 ))+_xlfn.IFNA(D133,0)</f>
        <v>0</v>
      </c>
      <c r="U40" s="22" cm="1">
        <f t="array" ref="U40">(_xlfn.BYROW(B84,_xlfn.LAMBDA(_xlpm.party,SUMIFS(ledger!G:G,ledger!B:B,_xlpm.party,ledger!E:E,"&lt;&gt;*RD*",ledger!D:D,"Chamki")+SUMIFS(ledger!G:G, ledger!B:B, _xlpm.party, ledger!E:E, "&lt;&gt;*RD*", ledger!D:D, "Crinkle")))/1.0936)+_xlfn.IFNA(E133,0)</f>
        <v>0</v>
      </c>
      <c r="V40" s="70" cm="1">
        <f t="array" ref="V40">(_xlfn.BYROW(B84,_xlfn.LAMBDA(_xlpm.party,SUMIFS(ledger!G:G,ledger!B:B,_xlpm.party,ledger!E:E,"&lt;&gt;*RD*",ledger!D:D,"Silky")))/1.0936)+_xlfn.IFNA(F133,0)</f>
        <v>0</v>
      </c>
      <c r="W40" s="22" cm="1">
        <f t="array" ref="W40">(_xlfn.BYROW(B84,_xlfn.LAMBDA(_xlpm.party,
(SUMIFS(ledger!J:J,ledger!B:B,_xlpm.party,ledger!E:E,"&lt;&gt;*RD*",ledger!D:D,"Chamki",ledger!C:C,"&lt;&gt;January Closing CF")+
SUMIFS(ledger!J:J,ledger!B:B,_xlpm.party,ledger!E:E,"&lt;&gt;*RD*",ledger!D:D,"Crinkle",ledger!C:C,"&lt;&gt;January Closing CF")
)+_xlfn.IFNA(G133,0))))</f>
        <v>0</v>
      </c>
      <c r="X40" s="70" cm="1">
        <f t="array" ref="X40">_xlfn.BYROW(B84, _xlfn.LAMBDA(_xlpm.party,
   SUMIFS(ledger!J:J, ledger!B:B, _xlpm.party, ledger!E:E, "&lt;&gt;*RD*", ledger!D:D, "Silky", ledger!C:C, "&lt;&gt;January Closing CF")
)) + _xlfn.IFNA(H133, 0)</f>
        <v>0</v>
      </c>
      <c r="Y40" s="70" cm="1">
        <f t="array" ref="Y40">_xlfn.BYROW(B84, _xlfn.LAMBDA(_xlpm.party,
   SUMIFS(ledger!J:J, ledger!B:B, _xlpm.party, ledger!E:E, "&lt;&gt;*RD*", ledger!D:D, "Slub", ledger!C:C, "&lt;&gt;January Closing CF")
))+ _xlfn.IFNA(I133, 0)</f>
        <v>0</v>
      </c>
      <c r="Z40" s="70" cm="1">
        <f t="array" ref="Z40">_xlfn.BYROW(B84, _xlfn.LAMBDA(_xlpm.party,
   SUMIFS(ledger!J:J, ledger!B:B, _xlpm.party, ledger!E:E, "&lt;&gt;*RD*", ledger!D:D, "Satin", ledger!C:C, "&lt;&gt;January Closing CF")
))+ _xlfn.IFNA(J133, 0)</f>
        <v>0</v>
      </c>
      <c r="AA40" s="70" cm="1">
        <f t="array" ref="AA40">_xlfn.BYROW(B84, _xlfn.LAMBDA(_xlpm.party,
   SUMIFS(ledger!J:J, ledger!B:B, _xlpm.party, ledger!E:E, "&lt;&gt;*RD*", ledger!D:D, "Black-Chamki", ledger!C:C, "&lt;&gt;January Closing CF")
))+ _xlfn.IFNA(K133, 0)</f>
        <v>0</v>
      </c>
      <c r="AB40" s="70" cm="1">
        <f t="array" ref="AB40">_xlfn.BYROW(B84, _xlfn.LAMBDA(_xlpm.party,
   SUMIFS(ledger!J:J, ledger!B:B, _xlpm.party, ledger!E:E, "&lt;&gt;*RD*", ledger!D:D, "Kataan", ledger!C:C, "&lt;&gt;January Closing CF")
))+ _xlfn.IFNA(L133, 0)</f>
        <v>0</v>
      </c>
      <c r="AC40" s="70" cm="1">
        <f t="array" ref="AC40">_xlfn.BYROW(B84, _xlfn.LAMBDA(_xlpm.party,
   SUMIFS(ledger!J:J, ledger!B:B, _xlpm.party, ledger!E:E, "&lt;&gt;*RD*", ledger!D:D, "Munaar", ledger!C:C, "&lt;&gt;January Closing CF")
))+ _xlfn.IFNA(M133, 0)</f>
        <v>0</v>
      </c>
      <c r="AD40" s="70" cm="1">
        <f t="array" ref="AD40">_xlfn.BYROW(B84, _xlfn.LAMBDA(_xlpm.party,
   SUMIFS(ledger!J:J, ledger!B:B, _xlpm.party, ledger!E:E, "&lt;&gt;*RD*", ledger!D:D, "Custom", ledger!C:C, "&lt;&gt;January Closing CF")
))+ _xlfn.IFNA(N133, 0)</f>
        <v>0</v>
      </c>
      <c r="AE40" s="39">
        <f t="shared" si="5"/>
        <v>0</v>
      </c>
      <c r="AF40" s="22">
        <f>(SUMIF(Table14[Party],R40,Table14[Credit]))+_xlfn.IFNA(P133,0)</f>
        <v>0</v>
      </c>
      <c r="AG40" s="33">
        <f t="shared" si="6"/>
        <v>0</v>
      </c>
    </row>
    <row r="41" spans="2:35" x14ac:dyDescent="0.3">
      <c r="S41" s="22" cm="1">
        <f t="array" ref="S41">_xlfn.BYROW(B85,_xlfn.LAMBDA(_xlpm.party,SUMIFS(ledger!G:G,ledger!B:B,_xlpm.party,ledger!E:E,"&lt;&gt;*RD*")))+_xlfn.IFNA(C134,0)</f>
        <v>0</v>
      </c>
      <c r="T41" s="22" cm="1">
        <f t="array" ref="T41">_xlfn.BYROW(B85, _xlfn.LAMBDA(_xlpm.party, SUMIFS(ledger!G:G, ledger!B:B, _xlpm.party, ledger!E:E, "&lt;&gt;*RD*") / 1.0936 ))+_xlfn.IFNA(D134,0)</f>
        <v>0</v>
      </c>
      <c r="U41" s="22" cm="1">
        <f t="array" ref="U41">(_xlfn.BYROW(B85,_xlfn.LAMBDA(_xlpm.party,SUMIFS(ledger!G:G,ledger!B:B,_xlpm.party,ledger!E:E,"&lt;&gt;*RD*",ledger!D:D,"Chamki")+SUMIFS(ledger!G:G, ledger!B:B, _xlpm.party, ledger!E:E, "&lt;&gt;*RD*", ledger!D:D, "Crinkle")))/1.0936)+_xlfn.IFNA(E134,0)</f>
        <v>0</v>
      </c>
      <c r="V41" s="70" cm="1">
        <f t="array" ref="V41">(_xlfn.BYROW(B85,_xlfn.LAMBDA(_xlpm.party,SUMIFS(ledger!G:G,ledger!B:B,_xlpm.party,ledger!E:E,"&lt;&gt;*RD*",ledger!D:D,"Silky")))/1.0936)+_xlfn.IFNA(F134,0)</f>
        <v>0</v>
      </c>
      <c r="W41" s="22" cm="1">
        <f t="array" ref="W41">(_xlfn.BYROW(B85,_xlfn.LAMBDA(_xlpm.party,
(SUMIFS(ledger!J:J,ledger!B:B,_xlpm.party,ledger!E:E,"&lt;&gt;*RD*",ledger!D:D,"Chamki",ledger!C:C,"&lt;&gt;January Closing CF")+
SUMIFS(ledger!J:J,ledger!B:B,_xlpm.party,ledger!E:E,"&lt;&gt;*RD*",ledger!D:D,"Crinkle",ledger!C:C,"&lt;&gt;January Closing CF")
)+_xlfn.IFNA(G134,0))))</f>
        <v>0</v>
      </c>
      <c r="X41" s="70" cm="1">
        <f t="array" ref="X41">_xlfn.BYROW(B85, _xlfn.LAMBDA(_xlpm.party,
   SUMIFS(ledger!J:J, ledger!B:B, _xlpm.party, ledger!E:E, "&lt;&gt;*RD*", ledger!D:D, "Silky", ledger!C:C, "&lt;&gt;January Closing CF")
)) + _xlfn.IFNA(H134, 0)</f>
        <v>0</v>
      </c>
      <c r="Y41" s="70" cm="1">
        <f t="array" ref="Y41">_xlfn.BYROW(B85, _xlfn.LAMBDA(_xlpm.party,
   SUMIFS(ledger!J:J, ledger!B:B, _xlpm.party, ledger!E:E, "&lt;&gt;*RD*", ledger!D:D, "Slub", ledger!C:C, "&lt;&gt;January Closing CF")
))+ _xlfn.IFNA(I134, 0)</f>
        <v>0</v>
      </c>
      <c r="Z41" s="70" cm="1">
        <f t="array" ref="Z41">_xlfn.BYROW(B85, _xlfn.LAMBDA(_xlpm.party,
   SUMIFS(ledger!J:J, ledger!B:B, _xlpm.party, ledger!E:E, "&lt;&gt;*RD*", ledger!D:D, "Satin", ledger!C:C, "&lt;&gt;January Closing CF")
))+ _xlfn.IFNA(J134, 0)</f>
        <v>0</v>
      </c>
      <c r="AA41" s="70" cm="1">
        <f t="array" ref="AA41">_xlfn.BYROW(B85, _xlfn.LAMBDA(_xlpm.party,
   SUMIFS(ledger!J:J, ledger!B:B, _xlpm.party, ledger!E:E, "&lt;&gt;*RD*", ledger!D:D, "Black-Chamki", ledger!C:C, "&lt;&gt;January Closing CF")
))+ _xlfn.IFNA(K134, 0)</f>
        <v>0</v>
      </c>
      <c r="AB41" s="70" cm="1">
        <f t="array" ref="AB41">_xlfn.BYROW(B85, _xlfn.LAMBDA(_xlpm.party,
   SUMIFS(ledger!J:J, ledger!B:B, _xlpm.party, ledger!E:E, "&lt;&gt;*RD*", ledger!D:D, "Kataan", ledger!C:C, "&lt;&gt;January Closing CF")
))+ _xlfn.IFNA(L134, 0)</f>
        <v>0</v>
      </c>
      <c r="AC41" s="70" cm="1">
        <f t="array" ref="AC41">_xlfn.BYROW(B85, _xlfn.LAMBDA(_xlpm.party,
   SUMIFS(ledger!J:J, ledger!B:B, _xlpm.party, ledger!E:E, "&lt;&gt;*RD*", ledger!D:D, "Munaar", ledger!C:C, "&lt;&gt;January Closing CF")
))+ _xlfn.IFNA(M134, 0)</f>
        <v>0</v>
      </c>
      <c r="AD41" s="70" cm="1">
        <f t="array" ref="AD41">_xlfn.BYROW(B85, _xlfn.LAMBDA(_xlpm.party,
   SUMIFS(ledger!J:J, ledger!B:B, _xlpm.party, ledger!E:E, "&lt;&gt;*RD*", ledger!D:D, "Custom", ledger!C:C, "&lt;&gt;January Closing CF")
))+ _xlfn.IFNA(N134, 0)</f>
        <v>0</v>
      </c>
      <c r="AE41" s="39">
        <f t="shared" ref="AE41:AE42" si="7">W41+X41+Y41+Z41+AA41+AB41+AC41+AD41</f>
        <v>0</v>
      </c>
      <c r="AF41" s="22">
        <f>(SUMIF(Table14[Party],R41,Table14[Credit]))+_xlfn.IFNA(P134,0)</f>
        <v>0</v>
      </c>
      <c r="AG41" s="33">
        <f t="shared" ref="AG41:AG42" si="8">AE41-AF41</f>
        <v>0</v>
      </c>
    </row>
    <row r="42" spans="2:35" x14ac:dyDescent="0.3">
      <c r="S42" s="22" cm="1">
        <f t="array" ref="S42">_xlfn.BYROW(B86,_xlfn.LAMBDA(_xlpm.party,SUMIFS(ledger!G:G,ledger!B:B,_xlpm.party,ledger!E:E,"&lt;&gt;*RD*")))+_xlfn.IFNA(C135,0)</f>
        <v>0</v>
      </c>
      <c r="T42" s="22" cm="1">
        <f t="array" ref="T42">_xlfn.BYROW(B86, _xlfn.LAMBDA(_xlpm.party, SUMIFS(ledger!G:G, ledger!B:B, _xlpm.party, ledger!E:E, "&lt;&gt;*RD*") / 1.0936 ))+_xlfn.IFNA(D135,0)</f>
        <v>0</v>
      </c>
      <c r="U42" s="22" cm="1">
        <f t="array" ref="U42">(_xlfn.BYROW(B86,_xlfn.LAMBDA(_xlpm.party,SUMIFS(ledger!G:G,ledger!B:B,_xlpm.party,ledger!E:E,"&lt;&gt;*RD*",ledger!D:D,"Chamki")+SUMIFS(ledger!G:G, ledger!B:B, _xlpm.party, ledger!E:E, "&lt;&gt;*RD*", ledger!D:D, "Crinkle")))/1.0936)+_xlfn.IFNA(E135,0)</f>
        <v>0</v>
      </c>
      <c r="V42" s="70" cm="1">
        <f t="array" ref="V42">(_xlfn.BYROW(B86,_xlfn.LAMBDA(_xlpm.party,SUMIFS(ledger!G:G,ledger!B:B,_xlpm.party,ledger!E:E,"&lt;&gt;*RD*",ledger!D:D,"Silky")))/1.0936)+_xlfn.IFNA(F135,0)</f>
        <v>0</v>
      </c>
      <c r="W42" s="22" cm="1">
        <f t="array" ref="W42">(_xlfn.BYROW(B86,_xlfn.LAMBDA(_xlpm.party,
(SUMIFS(ledger!J:J,ledger!B:B,_xlpm.party,ledger!E:E,"&lt;&gt;*RD*",ledger!D:D,"Chamki",ledger!C:C,"&lt;&gt;January Closing CF")+
SUMIFS(ledger!J:J,ledger!B:B,_xlpm.party,ledger!E:E,"&lt;&gt;*RD*",ledger!D:D,"Crinkle",ledger!C:C,"&lt;&gt;January Closing CF")
)+_xlfn.IFNA(G135,0))))</f>
        <v>0</v>
      </c>
      <c r="X42" s="70" cm="1">
        <f t="array" ref="X42">_xlfn.BYROW(B86, _xlfn.LAMBDA(_xlpm.party,
   SUMIFS(ledger!J:J, ledger!B:B, _xlpm.party, ledger!E:E, "&lt;&gt;*RD*", ledger!D:D, "Silky", ledger!C:C, "&lt;&gt;January Closing CF")
)) + _xlfn.IFNA(H135, 0)</f>
        <v>0</v>
      </c>
      <c r="Y42" s="70" cm="1">
        <f t="array" ref="Y42">_xlfn.BYROW(B86, _xlfn.LAMBDA(_xlpm.party,
   SUMIFS(ledger!J:J, ledger!B:B, _xlpm.party, ledger!E:E, "&lt;&gt;*RD*", ledger!D:D, "Slub", ledger!C:C, "&lt;&gt;January Closing CF")
))+ _xlfn.IFNA(I135, 0)</f>
        <v>0</v>
      </c>
      <c r="Z42" s="70" cm="1">
        <f t="array" ref="Z42">_xlfn.BYROW(B86, _xlfn.LAMBDA(_xlpm.party,
   SUMIFS(ledger!J:J, ledger!B:B, _xlpm.party, ledger!E:E, "&lt;&gt;*RD*", ledger!D:D, "Satin", ledger!C:C, "&lt;&gt;January Closing CF")
))+ _xlfn.IFNA(J135, 0)</f>
        <v>0</v>
      </c>
      <c r="AA42" s="70" cm="1">
        <f t="array" ref="AA42">_xlfn.BYROW(B86, _xlfn.LAMBDA(_xlpm.party,
   SUMIFS(ledger!J:J, ledger!B:B, _xlpm.party, ledger!E:E, "&lt;&gt;*RD*", ledger!D:D, "Black-Chamki", ledger!C:C, "&lt;&gt;January Closing CF")
))+ _xlfn.IFNA(K135, 0)</f>
        <v>0</v>
      </c>
      <c r="AB42" s="70" cm="1">
        <f t="array" ref="AB42">_xlfn.BYROW(B86, _xlfn.LAMBDA(_xlpm.party,
   SUMIFS(ledger!J:J, ledger!B:B, _xlpm.party, ledger!E:E, "&lt;&gt;*RD*", ledger!D:D, "Kataan", ledger!C:C, "&lt;&gt;January Closing CF")
))+ _xlfn.IFNA(L135, 0)</f>
        <v>0</v>
      </c>
      <c r="AC42" s="70" cm="1">
        <f t="array" ref="AC42">_xlfn.BYROW(B86, _xlfn.LAMBDA(_xlpm.party,
   SUMIFS(ledger!J:J, ledger!B:B, _xlpm.party, ledger!E:E, "&lt;&gt;*RD*", ledger!D:D, "Munaar", ledger!C:C, "&lt;&gt;January Closing CF")
))+ _xlfn.IFNA(M135, 0)</f>
        <v>0</v>
      </c>
      <c r="AD42" s="70" cm="1">
        <f t="array" ref="AD42">_xlfn.BYROW(B86, _xlfn.LAMBDA(_xlpm.party,
   SUMIFS(ledger!J:J, ledger!B:B, _xlpm.party, ledger!E:E, "&lt;&gt;*RD*", ledger!D:D, "Custom", ledger!C:C, "&lt;&gt;January Closing CF")
))+ _xlfn.IFNA(N135, 0)</f>
        <v>0</v>
      </c>
      <c r="AE42" s="39">
        <f t="shared" si="7"/>
        <v>0</v>
      </c>
      <c r="AF42" s="22">
        <f>(SUMIF(Table14[Party],R42,Table14[Credit]))+_xlfn.IFNA(P135,0)</f>
        <v>0</v>
      </c>
      <c r="AG42" s="33">
        <f t="shared" si="8"/>
        <v>0</v>
      </c>
    </row>
    <row r="47" spans="2:35" x14ac:dyDescent="0.3">
      <c r="B47" t="s">
        <v>155</v>
      </c>
    </row>
    <row r="48" spans="2:35" x14ac:dyDescent="0.3">
      <c r="B48" s="21"/>
      <c r="C48" s="23" t="s">
        <v>10</v>
      </c>
      <c r="D48" s="23" t="s">
        <v>11</v>
      </c>
      <c r="E48" s="23" t="s">
        <v>12</v>
      </c>
      <c r="F48" s="23" t="s">
        <v>13</v>
      </c>
      <c r="G48" s="23" t="s">
        <v>14</v>
      </c>
      <c r="H48" s="23" t="s">
        <v>15</v>
      </c>
      <c r="I48" s="23" t="s">
        <v>179</v>
      </c>
      <c r="J48" s="23" t="s">
        <v>180</v>
      </c>
      <c r="K48" s="23" t="s">
        <v>200</v>
      </c>
      <c r="L48" s="23" t="s">
        <v>201</v>
      </c>
      <c r="M48" s="23" t="s">
        <v>206</v>
      </c>
      <c r="N48" s="23" t="s">
        <v>384</v>
      </c>
      <c r="O48" s="23" t="s">
        <v>16</v>
      </c>
      <c r="P48" s="23" t="s">
        <v>17</v>
      </c>
      <c r="Q48" s="23" t="s">
        <v>18</v>
      </c>
      <c r="R48" s="23" t="s">
        <v>19</v>
      </c>
      <c r="S48" s="23" t="s">
        <v>20</v>
      </c>
    </row>
    <row r="49" spans="1:24" x14ac:dyDescent="0.3">
      <c r="A49" t="s">
        <v>33</v>
      </c>
      <c r="B49" s="24" t="str" cm="1">
        <f t="array" ref="B49:B84">_xlfn.UNIQUE(Table1[Party Name])</f>
        <v>BSC</v>
      </c>
      <c r="C49" s="22" cm="1">
        <f t="array" ref="C49:C84">_xlfn.BYROW(_xlfn.ANCHORARRAY(B49),_xlfn.LAMBDA(_xlpm.party,SUMIFS(ledger!G:G,ledger!B:B,_xlpm.party,ledger!E:E,"&lt;&gt;*RD*")))</f>
        <v>908449</v>
      </c>
      <c r="D49" s="22" cm="1">
        <f t="array" ref="D49:D84">_xlfn.BYROW(_xlfn.ANCHORARRAY(B49), _xlfn.LAMBDA(_xlpm.party, SUMIFS(ledger!G:G, ledger!B:B, _xlpm.party, ledger!E:E, "&lt;&gt;*RD*") / 1.0936 ))</f>
        <v>830695.86686174106</v>
      </c>
      <c r="E49" s="63" cm="1">
        <f t="array" ref="E49:E84">(_xlfn.BYROW(_xlfn.ANCHORARRAY(B49),_xlfn.LAMBDA(_xlpm.party,SUMIFS(ledger!G:G,ledger!B:B,_xlpm.party,ledger!E:E,"&lt;&gt;*RD*",ledger!D:D,"Chamki")+SUMIFS(ledger!G:G, ledger!B:B, _xlpm.party, ledger!E:E, "&lt;&gt;*RD*", ledger!D:D, "Crinkle")))/1.0936)</f>
        <v>452989.209948793</v>
      </c>
      <c r="F49" s="63" cm="1">
        <f t="array" ref="F49:F84">(_xlfn.BYROW(_xlfn.ANCHORARRAY(B49),_xlfn.LAMBDA(_xlpm.party,SUMIFS(ledger!G:G,ledger!B:B,_xlpm.party,ledger!E:E,"&lt;&gt;*RD*",ledger!D:D,"Silky")))/1.0936)</f>
        <v>195849.48792977326</v>
      </c>
      <c r="G49" s="22" cm="1">
        <f t="array" ref="G49">(_xlfn.BYROW(B49,_xlfn.LAMBDA(_xlpm.party,
(SUMIFS(ledger!J:J,ledger!B:B,_xlpm.party,ledger!E:E,"&lt;&gt;*RD*",ledger!D:D,"Chamki",ledger!C:C,"&lt;&gt;January Closing CF")+
SUMIFS(ledger!J:J,ledger!B:B,_xlpm.party,ledger!E:E,"&lt;&gt;*RD*",ledger!D:D,"Crinkle",ledger!C:C,"&lt;&gt;January Closing CF")
))))</f>
        <v>4529892.0994879305</v>
      </c>
      <c r="H49" s="22" cm="1">
        <f t="array" ref="H49">_xlfn.BYROW(B49, _xlfn.LAMBDA(_xlpm.party,
   SUMIFS(ledger!J:J, ledger!B:B, _xlpm.party, ledger!E:E, "&lt;&gt;*RD*", ledger!D:D, "Silky", ledger!C:C, "&lt;&gt;January Closing CF")
))</f>
        <v>2546043.3430870515</v>
      </c>
      <c r="I49" s="22" cm="1">
        <f t="array" ref="I49">_xlfn.BYROW(B49, _xlfn.LAMBDA(_xlpm.party,
   SUMIFS(ledger!J:J, ledger!B:B, _xlpm.party, ledger!E:E, "&lt;&gt;*RD*", ledger!D:D, "Slub", ledger!C:C, "&lt;&gt;January Closing CF")
))</f>
        <v>0</v>
      </c>
      <c r="J49" s="22" cm="1">
        <f t="array" ref="J49">_xlfn.BYROW(B49, _xlfn.LAMBDA(_xlpm.party,
   SUMIFS(ledger!J:J, ledger!B:B, _xlpm.party, ledger!E:E, "&lt;&gt;*RD*", ledger!D:D, "Satin", ledger!C:C, "&lt;&gt;January Closing CF")
))</f>
        <v>0</v>
      </c>
      <c r="K49" s="70" cm="1">
        <f t="array" ref="K49">_xlfn.BYROW(B49, _xlfn.LAMBDA(_xlpm.party,
   SUMIFS(ledger!J:J, ledger!B:B, _xlpm.party, ledger!E:E, "&lt;&gt;*RD*", ledger!D:D, "Black-chamki", ledger!C:C, "&lt;&gt;January Closing CF")
))</f>
        <v>0</v>
      </c>
      <c r="L49" s="70" cm="1">
        <f t="array" ref="L49">_xlfn.BYROW(B49, _xlfn.LAMBDA(_xlpm.party,
   SUMIFS(ledger!J:J, ledger!B:B, _xlpm.party, ledger!E:E, "&lt;&gt;*RD*", ledger!D:D, "Kataan", ledger!C:C, "&lt;&gt;January Closing CF")
))</f>
        <v>2000428.8588149233</v>
      </c>
      <c r="M49" s="70" cm="1">
        <f t="array" ref="M49">_xlfn.BYROW(B49, _xlfn.LAMBDA(_xlpm.party,
   SUMIFS(ledger!J:J, ledger!B:B, _xlpm.party, ledger!E:E, "&lt;&gt;*RD*", ledger!D:D, "Munaar", ledger!C:C, "&lt;&gt;January Closing CF")
))</f>
        <v>0</v>
      </c>
      <c r="N49" s="70" cm="1">
        <f t="array" ref="N49">_xlfn.BYROW(B49, _xlfn.LAMBDA(_xlpm.party,
   SUMIFS(ledger!J:J, ledger!B:B, _xlpm.party, ledger!E:E, "&lt;&gt;*RD*", ledger!D:D, "Custom", ledger!C:C, "&lt;&gt;January Closing CF")
))</f>
        <v>0</v>
      </c>
      <c r="O49" s="39">
        <f>SUM(G49:N49)</f>
        <v>9076364.3013899047</v>
      </c>
      <c r="P49" s="22">
        <f>(SUMIF(Table14[Party],B49,Table14[Credit]))</f>
        <v>0</v>
      </c>
      <c r="Q49" s="37">
        <f t="shared" ref="Q49:Q80" si="9">O49-P49</f>
        <v>9076364.3013899047</v>
      </c>
      <c r="R49" s="21">
        <v>10</v>
      </c>
      <c r="S49" s="21">
        <v>12</v>
      </c>
    </row>
    <row r="50" spans="1:24" x14ac:dyDescent="0.3">
      <c r="B50" s="24" t="str">
        <v>Ejaz Sahab</v>
      </c>
      <c r="C50" s="22">
        <v>91557</v>
      </c>
      <c r="D50" s="22">
        <v>83720.73884418435</v>
      </c>
      <c r="E50" s="63">
        <v>0</v>
      </c>
      <c r="F50" s="63">
        <v>83720.73884418435</v>
      </c>
      <c r="G50" s="22" cm="1">
        <f t="array" ref="G50">(_xlfn.BYROW(B50,_xlfn.LAMBDA(_xlpm.party,
(SUMIFS(ledger!J:J,ledger!B:B,_xlpm.party,ledger!E:E,"&lt;&gt;*RD*",ledger!D:D,"Chamki",ledger!C:C,"&lt;&gt;January Closing CF")+
SUMIFS(ledger!J:J,ledger!B:B,_xlpm.party,ledger!E:E,"&lt;&gt;*RD*",ledger!D:D,"Crinkle",ledger!C:C,"&lt;&gt;January Closing CF")
))))</f>
        <v>0</v>
      </c>
      <c r="H50" s="22" cm="1">
        <f t="array" ref="H50">_xlfn.BYROW(B50, _xlfn.LAMBDA(_xlpm.party,
   SUMIFS(ledger!J:J, ledger!B:B, _xlpm.party, ledger!E:E, "&lt;&gt;*RD*", ledger!D:D, "Silky", ledger!C:C, "&lt;&gt;January Closing CF")
))</f>
        <v>1088369.6049743968</v>
      </c>
      <c r="I50" s="22" cm="1">
        <f t="array" ref="I50">_xlfn.BYROW(B50, _xlfn.LAMBDA(_xlpm.party,
   SUMIFS(ledger!J:J, ledger!B:B, _xlpm.party, ledger!E:E, "&lt;&gt;*RD*", ledger!D:D, "Slub", ledger!C:C, "&lt;&gt;January Closing CF")
))</f>
        <v>0</v>
      </c>
      <c r="J50" s="22" cm="1">
        <f t="array" ref="J50">_xlfn.BYROW(B50, _xlfn.LAMBDA(_xlpm.party,
   SUMIFS(ledger!J:J, ledger!B:B, _xlpm.party, ledger!E:E, "&lt;&gt;*RD*", ledger!D:D, "Satin", ledger!C:C, "&lt;&gt;January Closing CF")
))</f>
        <v>0</v>
      </c>
      <c r="K50" s="70" cm="1">
        <f t="array" ref="K50">_xlfn.BYROW(B50, _xlfn.LAMBDA(_xlpm.party,
   SUMIFS(ledger!J:J, ledger!B:B, _xlpm.party, ledger!E:E, "&lt;&gt;*RD*", ledger!D:D, "Black-chamki", ledger!C:C, "&lt;&gt;January Closing CF")
))</f>
        <v>0</v>
      </c>
      <c r="L50" s="70" cm="1">
        <f t="array" ref="L50">_xlfn.BYROW(B50, _xlfn.LAMBDA(_xlpm.party,
   SUMIFS(ledger!J:J, ledger!B:B, _xlpm.party, ledger!E:E, "&lt;&gt;*RD*", ledger!D:D, "Kataan", ledger!C:C, "&lt;&gt;January Closing CF")
))</f>
        <v>0</v>
      </c>
      <c r="M50" s="70" cm="1">
        <f t="array" ref="M50">_xlfn.BYROW(B50, _xlfn.LAMBDA(_xlpm.party,
   SUMIFS(ledger!J:J, ledger!B:B, _xlpm.party, ledger!E:E, "&lt;&gt;*RD*", ledger!D:D, "Munaar", ledger!C:C, "&lt;&gt;January Closing CF")
))</f>
        <v>0</v>
      </c>
      <c r="N50" s="70" cm="1">
        <f t="array" ref="N50">_xlfn.BYROW(B50, _xlfn.LAMBDA(_xlpm.party,
   SUMIFS(ledger!J:J, ledger!B:B, _xlpm.party, ledger!E:E, "&lt;&gt;*RD*", ledger!D:D, "Custom", ledger!C:C, "&lt;&gt;January Closing CF")
))</f>
        <v>0</v>
      </c>
      <c r="O50" s="39">
        <f t="shared" ref="O50:O83" si="10">SUM(G50:N50)</f>
        <v>1088369.6049743968</v>
      </c>
      <c r="P50" s="22">
        <f>(SUMIF(Table14[Party],B50,Table14[Credit]))</f>
        <v>1147303</v>
      </c>
      <c r="Q50" s="37">
        <f t="shared" si="9"/>
        <v>-58933.39502560324</v>
      </c>
      <c r="R50" s="21">
        <v>10</v>
      </c>
      <c r="S50" s="21">
        <v>12</v>
      </c>
    </row>
    <row r="51" spans="1:24" x14ac:dyDescent="0.3">
      <c r="B51" s="24" t="str">
        <v>Arshad</v>
      </c>
      <c r="C51" s="22">
        <v>125826</v>
      </c>
      <c r="D51" s="22">
        <v>115056.69348939284</v>
      </c>
      <c r="E51" s="63">
        <v>95707.754206291153</v>
      </c>
      <c r="F51" s="63">
        <v>19348.939283101685</v>
      </c>
      <c r="G51" s="22" cm="1">
        <f t="array" ref="G51">(_xlfn.BYROW(B51,_xlfn.LAMBDA(_xlpm.party,
(SUMIFS(ledger!J:J,ledger!B:B,_xlpm.party,ledger!E:E,"&lt;&gt;*RD*",ledger!D:D,"Chamki",ledger!C:C,"&lt;&gt;January Closing CF")+
SUMIFS(ledger!J:J,ledger!B:B,_xlpm.party,ledger!E:E,"&lt;&gt;*RD*",ledger!D:D,"Crinkle",ledger!C:C,"&lt;&gt;January Closing CF")
))))</f>
        <v>957077.54206291167</v>
      </c>
      <c r="H51" s="22" cm="1">
        <f t="array" ref="H51">_xlfn.BYROW(B51, _xlfn.LAMBDA(_xlpm.party,
   SUMIFS(ledger!J:J, ledger!B:B, _xlpm.party, ledger!E:E, "&lt;&gt;*RD*", ledger!D:D, "Silky", ledger!C:C, "&lt;&gt;January Closing CF")
))</f>
        <v>251536.21068032191</v>
      </c>
      <c r="I51" s="22" cm="1">
        <f t="array" ref="I51">_xlfn.BYROW(B51, _xlfn.LAMBDA(_xlpm.party,
   SUMIFS(ledger!J:J, ledger!B:B, _xlpm.party, ledger!E:E, "&lt;&gt;*RD*", ledger!D:D, "Slub", ledger!C:C, "&lt;&gt;January Closing CF")
))</f>
        <v>0</v>
      </c>
      <c r="J51" s="22" cm="1">
        <f t="array" ref="J51">_xlfn.BYROW(B51, _xlfn.LAMBDA(_xlpm.party,
   SUMIFS(ledger!J:J, ledger!B:B, _xlpm.party, ledger!E:E, "&lt;&gt;*RD*", ledger!D:D, "Satin", ledger!C:C, "&lt;&gt;January Closing CF")
))</f>
        <v>0</v>
      </c>
      <c r="K51" s="70" cm="1">
        <f t="array" ref="K51">_xlfn.BYROW(B51, _xlfn.LAMBDA(_xlpm.party,
   SUMIFS(ledger!J:J, ledger!B:B, _xlpm.party, ledger!E:E, "&lt;&gt;*RD*", ledger!D:D, "Black-chamki", ledger!C:C, "&lt;&gt;January Closing CF")
))</f>
        <v>0</v>
      </c>
      <c r="L51" s="70" cm="1">
        <f t="array" ref="L51">_xlfn.BYROW(B51, _xlfn.LAMBDA(_xlpm.party,
   SUMIFS(ledger!J:J, ledger!B:B, _xlpm.party, ledger!E:E, "&lt;&gt;*RD*", ledger!D:D, "Kataan", ledger!C:C, "&lt;&gt;January Closing CF")
))</f>
        <v>0</v>
      </c>
      <c r="M51" s="70" cm="1">
        <f t="array" ref="M51">_xlfn.BYROW(B51, _xlfn.LAMBDA(_xlpm.party,
   SUMIFS(ledger!J:J, ledger!B:B, _xlpm.party, ledger!E:E, "&lt;&gt;*RD*", ledger!D:D, "Munaar", ledger!C:C, "&lt;&gt;January Closing CF")
))</f>
        <v>0</v>
      </c>
      <c r="N51" s="70" cm="1">
        <f t="array" ref="N51">_xlfn.BYROW(B51, _xlfn.LAMBDA(_xlpm.party,
   SUMIFS(ledger!J:J, ledger!B:B, _xlpm.party, ledger!E:E, "&lt;&gt;*RD*", ledger!D:D, "Custom", ledger!C:C, "&lt;&gt;January Closing CF")
))</f>
        <v>0</v>
      </c>
      <c r="O51" s="39">
        <f t="shared" si="10"/>
        <v>1208613.7527432335</v>
      </c>
      <c r="P51" s="22">
        <f>(SUMIF(Table14[Party],B51,Table14[Credit]))</f>
        <v>1283000</v>
      </c>
      <c r="Q51" s="37">
        <f t="shared" si="9"/>
        <v>-74386.247256766539</v>
      </c>
      <c r="R51" s="21">
        <v>10</v>
      </c>
      <c r="S51" s="21">
        <v>12</v>
      </c>
    </row>
    <row r="52" spans="1:24" x14ac:dyDescent="0.3">
      <c r="B52" s="24" t="str">
        <v>Shehzad Kamoki</v>
      </c>
      <c r="C52" s="22">
        <v>0</v>
      </c>
      <c r="D52" s="22">
        <v>0</v>
      </c>
      <c r="E52" s="63">
        <v>0</v>
      </c>
      <c r="F52" s="63">
        <v>0</v>
      </c>
      <c r="G52" s="22" cm="1">
        <f t="array" ref="G52">(_xlfn.BYROW(B52,_xlfn.LAMBDA(_xlpm.party,
(SUMIFS(ledger!J:J,ledger!B:B,_xlpm.party,ledger!E:E,"&lt;&gt;*RD*",ledger!D:D,"Chamki",ledger!C:C,"&lt;&gt;January Closing CF")+
SUMIFS(ledger!J:J,ledger!B:B,_xlpm.party,ledger!E:E,"&lt;&gt;*RD*",ledger!D:D,"Crinkle",ledger!C:C,"&lt;&gt;January Closing CF")
))))</f>
        <v>0</v>
      </c>
      <c r="H52" s="22" cm="1">
        <f t="array" ref="H52">_xlfn.BYROW(B52, _xlfn.LAMBDA(_xlpm.party,
   SUMIFS(ledger!J:J, ledger!B:B, _xlpm.party, ledger!E:E, "&lt;&gt;*RD*", ledger!D:D, "Silky", ledger!C:C, "&lt;&gt;January Closing CF")
))</f>
        <v>0</v>
      </c>
      <c r="I52" s="22" cm="1">
        <f t="array" ref="I52">_xlfn.BYROW(B52, _xlfn.LAMBDA(_xlpm.party,
   SUMIFS(ledger!J:J, ledger!B:B, _xlpm.party, ledger!E:E, "&lt;&gt;*RD*", ledger!D:D, "Slub", ledger!C:C, "&lt;&gt;January Closing CF")
))</f>
        <v>0</v>
      </c>
      <c r="J52" s="22" cm="1">
        <f t="array" ref="J52">_xlfn.BYROW(B52, _xlfn.LAMBDA(_xlpm.party,
   SUMIFS(ledger!J:J, ledger!B:B, _xlpm.party, ledger!E:E, "&lt;&gt;*RD*", ledger!D:D, "Satin", ledger!C:C, "&lt;&gt;January Closing CF")
))</f>
        <v>0</v>
      </c>
      <c r="K52" s="70" cm="1">
        <f t="array" ref="K52">_xlfn.BYROW(B52, _xlfn.LAMBDA(_xlpm.party,
   SUMIFS(ledger!J:J, ledger!B:B, _xlpm.party, ledger!E:E, "&lt;&gt;*RD*", ledger!D:D, "Black-chamki", ledger!C:C, "&lt;&gt;January Closing CF")
))</f>
        <v>0</v>
      </c>
      <c r="L52" s="70" cm="1">
        <f t="array" ref="L52">_xlfn.BYROW(B52, _xlfn.LAMBDA(_xlpm.party,
   SUMIFS(ledger!J:J, ledger!B:B, _xlpm.party, ledger!E:E, "&lt;&gt;*RD*", ledger!D:D, "Kataan", ledger!C:C, "&lt;&gt;January Closing CF")
))</f>
        <v>0</v>
      </c>
      <c r="M52" s="70" cm="1">
        <f t="array" ref="M52">_xlfn.BYROW(B52, _xlfn.LAMBDA(_xlpm.party,
   SUMIFS(ledger!J:J, ledger!B:B, _xlpm.party, ledger!E:E, "&lt;&gt;*RD*", ledger!D:D, "Munaar", ledger!C:C, "&lt;&gt;January Closing CF")
))</f>
        <v>0</v>
      </c>
      <c r="N52" s="70" cm="1">
        <f t="array" ref="N52">_xlfn.BYROW(B52, _xlfn.LAMBDA(_xlpm.party,
   SUMIFS(ledger!J:J, ledger!B:B, _xlpm.party, ledger!E:E, "&lt;&gt;*RD*", ledger!D:D, "Custom", ledger!C:C, "&lt;&gt;January Closing CF")
))</f>
        <v>0</v>
      </c>
      <c r="O52" s="39">
        <f t="shared" si="10"/>
        <v>0</v>
      </c>
      <c r="P52" s="22">
        <f>(SUMIF(Table14[Party],B52,Table14[Credit]))</f>
        <v>0</v>
      </c>
      <c r="Q52" s="37">
        <f t="shared" si="9"/>
        <v>0</v>
      </c>
      <c r="R52" s="21">
        <v>10.5</v>
      </c>
      <c r="S52" s="21">
        <v>13</v>
      </c>
    </row>
    <row r="53" spans="1:24" x14ac:dyDescent="0.3">
      <c r="B53" s="24" t="str">
        <v>Sufi Nawaz Sahab</v>
      </c>
      <c r="C53" s="22">
        <v>0</v>
      </c>
      <c r="D53" s="22">
        <v>0</v>
      </c>
      <c r="E53" s="63">
        <v>0</v>
      </c>
      <c r="F53" s="63">
        <v>0</v>
      </c>
      <c r="G53" s="22" cm="1">
        <f t="array" ref="G53">(_xlfn.BYROW(B53,_xlfn.LAMBDA(_xlpm.party,
(SUMIFS(ledger!J:J,ledger!B:B,_xlpm.party,ledger!E:E,"&lt;&gt;*RD*",ledger!D:D,"Chamki",ledger!C:C,"&lt;&gt;January Closing CF")+
SUMIFS(ledger!J:J,ledger!B:B,_xlpm.party,ledger!E:E,"&lt;&gt;*RD*",ledger!D:D,"Crinkle",ledger!C:C,"&lt;&gt;January Closing CF")
))))</f>
        <v>0</v>
      </c>
      <c r="H53" s="22" cm="1">
        <f t="array" ref="H53">_xlfn.BYROW(B53, _xlfn.LAMBDA(_xlpm.party,
   SUMIFS(ledger!J:J, ledger!B:B, _xlpm.party, ledger!E:E, "&lt;&gt;*RD*", ledger!D:D, "Silky", ledger!C:C, "&lt;&gt;January Closing CF")
))</f>
        <v>0</v>
      </c>
      <c r="I53" s="22" cm="1">
        <f t="array" ref="I53">_xlfn.BYROW(B53, _xlfn.LAMBDA(_xlpm.party,
   SUMIFS(ledger!J:J, ledger!B:B, _xlpm.party, ledger!E:E, "&lt;&gt;*RD*", ledger!D:D, "Slub", ledger!C:C, "&lt;&gt;January Closing CF")
))</f>
        <v>0</v>
      </c>
      <c r="J53" s="22" cm="1">
        <f t="array" ref="J53">_xlfn.BYROW(B53, _xlfn.LAMBDA(_xlpm.party,
   SUMIFS(ledger!J:J, ledger!B:B, _xlpm.party, ledger!E:E, "&lt;&gt;*RD*", ledger!D:D, "Satin", ledger!C:C, "&lt;&gt;January Closing CF")
))</f>
        <v>0</v>
      </c>
      <c r="K53" s="70" cm="1">
        <f t="array" ref="K53">_xlfn.BYROW(B53, _xlfn.LAMBDA(_xlpm.party,
   SUMIFS(ledger!J:J, ledger!B:B, _xlpm.party, ledger!E:E, "&lt;&gt;*RD*", ledger!D:D, "Black-chamki", ledger!C:C, "&lt;&gt;January Closing CF")
))</f>
        <v>0</v>
      </c>
      <c r="L53" s="70" cm="1">
        <f t="array" ref="L53">_xlfn.BYROW(B53, _xlfn.LAMBDA(_xlpm.party,
   SUMIFS(ledger!J:J, ledger!B:B, _xlpm.party, ledger!E:E, "&lt;&gt;*RD*", ledger!D:D, "Kataan", ledger!C:C, "&lt;&gt;January Closing CF")
))</f>
        <v>0</v>
      </c>
      <c r="M53" s="70" cm="1">
        <f t="array" ref="M53">_xlfn.BYROW(B53, _xlfn.LAMBDA(_xlpm.party,
   SUMIFS(ledger!J:J, ledger!B:B, _xlpm.party, ledger!E:E, "&lt;&gt;*RD*", ledger!D:D, "Munaar", ledger!C:C, "&lt;&gt;January Closing CF")
))</f>
        <v>0</v>
      </c>
      <c r="N53" s="70" cm="1">
        <f t="array" ref="N53">_xlfn.BYROW(B53, _xlfn.LAMBDA(_xlpm.party,
   SUMIFS(ledger!J:J, ledger!B:B, _xlpm.party, ledger!E:E, "&lt;&gt;*RD*", ledger!D:D, "Custom", ledger!C:C, "&lt;&gt;January Closing CF")
))</f>
        <v>0</v>
      </c>
      <c r="O53" s="39">
        <f t="shared" si="10"/>
        <v>0</v>
      </c>
      <c r="P53" s="22">
        <f>(SUMIF(Table14[Party],B53,Table14[Credit]))</f>
        <v>0</v>
      </c>
      <c r="Q53" s="37">
        <f t="shared" si="9"/>
        <v>0</v>
      </c>
      <c r="R53" s="21">
        <v>10</v>
      </c>
      <c r="S53" s="21">
        <v>12</v>
      </c>
    </row>
    <row r="54" spans="1:24" x14ac:dyDescent="0.3">
      <c r="B54" s="24" t="str">
        <v>Sajad Khan</v>
      </c>
      <c r="C54" s="22">
        <v>69160</v>
      </c>
      <c r="D54" s="22">
        <v>63240.673006583762</v>
      </c>
      <c r="E54" s="63">
        <v>63240.673006583762</v>
      </c>
      <c r="F54" s="63">
        <v>0</v>
      </c>
      <c r="G54" s="22" cm="1">
        <f t="array" ref="G54">(_xlfn.BYROW(B54,_xlfn.LAMBDA(_xlpm.party,
(SUMIFS(ledger!J:J,ledger!B:B,_xlpm.party,ledger!E:E,"&lt;&gt;*RD*",ledger!D:D,"Chamki",ledger!C:C,"&lt;&gt;January Closing CF")+
SUMIFS(ledger!J:J,ledger!B:B,_xlpm.party,ledger!E:E,"&lt;&gt;*RD*",ledger!D:D,"Crinkle",ledger!C:C,"&lt;&gt;January Closing CF")
))))</f>
        <v>632406.73006583774</v>
      </c>
      <c r="H54" s="22" cm="1">
        <f t="array" ref="H54">_xlfn.BYROW(B54, _xlfn.LAMBDA(_xlpm.party,
   SUMIFS(ledger!J:J, ledger!B:B, _xlpm.party, ledger!E:E, "&lt;&gt;*RD*", ledger!D:D, "Silky", ledger!C:C, "&lt;&gt;January Closing CF")
))</f>
        <v>0</v>
      </c>
      <c r="I54" s="22" cm="1">
        <f t="array" ref="I54">_xlfn.BYROW(B54, _xlfn.LAMBDA(_xlpm.party,
   SUMIFS(ledger!J:J, ledger!B:B, _xlpm.party, ledger!E:E, "&lt;&gt;*RD*", ledger!D:D, "Slub", ledger!C:C, "&lt;&gt;January Closing CF")
))</f>
        <v>0</v>
      </c>
      <c r="J54" s="22" cm="1">
        <f t="array" ref="J54">_xlfn.BYROW(B54, _xlfn.LAMBDA(_xlpm.party,
   SUMIFS(ledger!J:J, ledger!B:B, _xlpm.party, ledger!E:E, "&lt;&gt;*RD*", ledger!D:D, "Satin", ledger!C:C, "&lt;&gt;January Closing CF")
))</f>
        <v>0</v>
      </c>
      <c r="K54" s="70" cm="1">
        <f t="array" ref="K54">_xlfn.BYROW(B54, _xlfn.LAMBDA(_xlpm.party,
   SUMIFS(ledger!J:J, ledger!B:B, _xlpm.party, ledger!E:E, "&lt;&gt;*RD*", ledger!D:D, "Black-chamki", ledger!C:C, "&lt;&gt;January Closing CF")
))</f>
        <v>0</v>
      </c>
      <c r="L54" s="70" cm="1">
        <f t="array" ref="L54">_xlfn.BYROW(B54, _xlfn.LAMBDA(_xlpm.party,
   SUMIFS(ledger!J:J, ledger!B:B, _xlpm.party, ledger!E:E, "&lt;&gt;*RD*", ledger!D:D, "Kataan", ledger!C:C, "&lt;&gt;January Closing CF")
))</f>
        <v>0</v>
      </c>
      <c r="M54" s="70" cm="1">
        <f t="array" ref="M54">_xlfn.BYROW(B54, _xlfn.LAMBDA(_xlpm.party,
   SUMIFS(ledger!J:J, ledger!B:B, _xlpm.party, ledger!E:E, "&lt;&gt;*RD*", ledger!D:D, "Munaar", ledger!C:C, "&lt;&gt;January Closing CF")
))</f>
        <v>0</v>
      </c>
      <c r="N54" s="70" cm="1">
        <f t="array" ref="N54">_xlfn.BYROW(B54, _xlfn.LAMBDA(_xlpm.party,
   SUMIFS(ledger!J:J, ledger!B:B, _xlpm.party, ledger!E:E, "&lt;&gt;*RD*", ledger!D:D, "Custom", ledger!C:C, "&lt;&gt;January Closing CF")
))</f>
        <v>0</v>
      </c>
      <c r="O54" s="39">
        <f t="shared" si="10"/>
        <v>632406.73006583774</v>
      </c>
      <c r="P54" s="22">
        <f>(SUMIF(Table14[Party],B54,Table14[Credit]))</f>
        <v>839000</v>
      </c>
      <c r="Q54" s="37">
        <f t="shared" si="9"/>
        <v>-206593.26993416226</v>
      </c>
      <c r="R54" s="21">
        <v>10</v>
      </c>
      <c r="S54" s="21">
        <v>12</v>
      </c>
    </row>
    <row r="55" spans="1:24" x14ac:dyDescent="0.3">
      <c r="B55" s="24" t="str">
        <v>Raaz Fabrics</v>
      </c>
      <c r="C55" s="22">
        <v>25442</v>
      </c>
      <c r="D55" s="22">
        <v>23264.447695683983</v>
      </c>
      <c r="E55" s="63">
        <v>23264.447695683983</v>
      </c>
      <c r="F55" s="63">
        <v>0</v>
      </c>
      <c r="G55" s="22" cm="1">
        <f t="array" ref="G55">(_xlfn.BYROW(B55,_xlfn.LAMBDA(_xlpm.party,
(SUMIFS(ledger!J:J,ledger!B:B,_xlpm.party,ledger!E:E,"&lt;&gt;*RD*",ledger!D:D,"Chamki",ledger!C:C,"&lt;&gt;January Closing CF")+
SUMIFS(ledger!J:J,ledger!B:B,_xlpm.party,ledger!E:E,"&lt;&gt;*RD*",ledger!D:D,"Crinkle",ledger!C:C,"&lt;&gt;January Closing CF")
))))</f>
        <v>232644.47695683985</v>
      </c>
      <c r="H55" s="22" cm="1">
        <f t="array" ref="H55">_xlfn.BYROW(B55, _xlfn.LAMBDA(_xlpm.party,
   SUMIFS(ledger!J:J, ledger!B:B, _xlpm.party, ledger!E:E, "&lt;&gt;*RD*", ledger!D:D, "Silky", ledger!C:C, "&lt;&gt;January Closing CF")
))</f>
        <v>0</v>
      </c>
      <c r="I55" s="22" cm="1">
        <f t="array" ref="I55">_xlfn.BYROW(B55, _xlfn.LAMBDA(_xlpm.party,
   SUMIFS(ledger!J:J, ledger!B:B, _xlpm.party, ledger!E:E, "&lt;&gt;*RD*", ledger!D:D, "Slub", ledger!C:C, "&lt;&gt;January Closing CF")
))</f>
        <v>0</v>
      </c>
      <c r="J55" s="22" cm="1">
        <f t="array" ref="J55">_xlfn.BYROW(B55, _xlfn.LAMBDA(_xlpm.party,
   SUMIFS(ledger!J:J, ledger!B:B, _xlpm.party, ledger!E:E, "&lt;&gt;*RD*", ledger!D:D, "Satin", ledger!C:C, "&lt;&gt;January Closing CF")
))</f>
        <v>0</v>
      </c>
      <c r="K55" s="70" cm="1">
        <f t="array" ref="K55">_xlfn.BYROW(B55, _xlfn.LAMBDA(_xlpm.party,
   SUMIFS(ledger!J:J, ledger!B:B, _xlpm.party, ledger!E:E, "&lt;&gt;*RD*", ledger!D:D, "Black-chamki", ledger!C:C, "&lt;&gt;January Closing CF")
))</f>
        <v>0</v>
      </c>
      <c r="L55" s="70" cm="1">
        <f t="array" ref="L55">_xlfn.BYROW(B55, _xlfn.LAMBDA(_xlpm.party,
   SUMIFS(ledger!J:J, ledger!B:B, _xlpm.party, ledger!E:E, "&lt;&gt;*RD*", ledger!D:D, "Kataan", ledger!C:C, "&lt;&gt;January Closing CF")
))</f>
        <v>0</v>
      </c>
      <c r="M55" s="70" cm="1">
        <f t="array" ref="M55">_xlfn.BYROW(B55, _xlfn.LAMBDA(_xlpm.party,
   SUMIFS(ledger!J:J, ledger!B:B, _xlpm.party, ledger!E:E, "&lt;&gt;*RD*", ledger!D:D, "Munaar", ledger!C:C, "&lt;&gt;January Closing CF")
))</f>
        <v>0</v>
      </c>
      <c r="N55" s="70" cm="1">
        <f t="array" ref="N55">_xlfn.BYROW(B55, _xlfn.LAMBDA(_xlpm.party,
   SUMIFS(ledger!J:J, ledger!B:B, _xlpm.party, ledger!E:E, "&lt;&gt;*RD*", ledger!D:D, "Custom", ledger!C:C, "&lt;&gt;January Closing CF")
))</f>
        <v>0</v>
      </c>
      <c r="O55" s="39">
        <f t="shared" si="10"/>
        <v>232644.47695683985</v>
      </c>
      <c r="P55" s="22">
        <f>(SUMIF(Table14[Party],B55,Table14[Credit]))</f>
        <v>200000</v>
      </c>
      <c r="Q55" s="37">
        <f t="shared" si="9"/>
        <v>32644.476956839848</v>
      </c>
      <c r="R55" s="21">
        <v>10</v>
      </c>
      <c r="S55" s="21">
        <v>12</v>
      </c>
    </row>
    <row r="56" spans="1:24" x14ac:dyDescent="0.3">
      <c r="B56" s="24" t="str">
        <v>Azam</v>
      </c>
      <c r="C56" s="22">
        <v>0</v>
      </c>
      <c r="D56" s="22">
        <v>0</v>
      </c>
      <c r="E56" s="63">
        <v>0</v>
      </c>
      <c r="F56" s="63">
        <v>0</v>
      </c>
      <c r="G56" s="22" cm="1">
        <f t="array" ref="G56">(_xlfn.BYROW(B56,_xlfn.LAMBDA(_xlpm.party,
(SUMIFS(ledger!J:J,ledger!B:B,_xlpm.party,ledger!E:E,"&lt;&gt;*RD*",ledger!D:D,"Chamki",ledger!C:C,"&lt;&gt;January Closing CF")+
SUMIFS(ledger!J:J,ledger!B:B,_xlpm.party,ledger!E:E,"&lt;&gt;*RD*",ledger!D:D,"Crinkle",ledger!C:C,"&lt;&gt;January Closing CF")
))))</f>
        <v>0</v>
      </c>
      <c r="H56" s="22" cm="1">
        <f t="array" ref="H56">_xlfn.BYROW(B56, _xlfn.LAMBDA(_xlpm.party,
   SUMIFS(ledger!J:J, ledger!B:B, _xlpm.party, ledger!E:E, "&lt;&gt;*RD*", ledger!D:D, "Silky", ledger!C:C, "&lt;&gt;January Closing CF")
))</f>
        <v>0</v>
      </c>
      <c r="I56" s="22" cm="1">
        <f t="array" ref="I56">_xlfn.BYROW(B56, _xlfn.LAMBDA(_xlpm.party,
   SUMIFS(ledger!J:J, ledger!B:B, _xlpm.party, ledger!E:E, "&lt;&gt;*RD*", ledger!D:D, "Slub", ledger!C:C, "&lt;&gt;January Closing CF")
))</f>
        <v>0</v>
      </c>
      <c r="J56" s="22" cm="1">
        <f t="array" ref="J56">_xlfn.BYROW(B56, _xlfn.LAMBDA(_xlpm.party,
   SUMIFS(ledger!J:J, ledger!B:B, _xlpm.party, ledger!E:E, "&lt;&gt;*RD*", ledger!D:D, "Satin", ledger!C:C, "&lt;&gt;January Closing CF")
))</f>
        <v>0</v>
      </c>
      <c r="K56" s="70" cm="1">
        <f t="array" ref="K56">_xlfn.BYROW(B56, _xlfn.LAMBDA(_xlpm.party,
   SUMIFS(ledger!J:J, ledger!B:B, _xlpm.party, ledger!E:E, "&lt;&gt;*RD*", ledger!D:D, "Black-chamki", ledger!C:C, "&lt;&gt;January Closing CF")
))</f>
        <v>0</v>
      </c>
      <c r="L56" s="70" cm="1">
        <f t="array" ref="L56">_xlfn.BYROW(B56, _xlfn.LAMBDA(_xlpm.party,
   SUMIFS(ledger!J:J, ledger!B:B, _xlpm.party, ledger!E:E, "&lt;&gt;*RD*", ledger!D:D, "Kataan", ledger!C:C, "&lt;&gt;January Closing CF")
))</f>
        <v>0</v>
      </c>
      <c r="M56" s="70" cm="1">
        <f t="array" ref="M56">_xlfn.BYROW(B56, _xlfn.LAMBDA(_xlpm.party,
   SUMIFS(ledger!J:J, ledger!B:B, _xlpm.party, ledger!E:E, "&lt;&gt;*RD*", ledger!D:D, "Munaar", ledger!C:C, "&lt;&gt;January Closing CF")
))</f>
        <v>0</v>
      </c>
      <c r="N56" s="70" cm="1">
        <f t="array" ref="N56">_xlfn.BYROW(B56, _xlfn.LAMBDA(_xlpm.party,
   SUMIFS(ledger!J:J, ledger!B:B, _xlpm.party, ledger!E:E, "&lt;&gt;*RD*", ledger!D:D, "Custom", ledger!C:C, "&lt;&gt;January Closing CF")
))</f>
        <v>0</v>
      </c>
      <c r="O56" s="39">
        <f t="shared" si="10"/>
        <v>0</v>
      </c>
      <c r="P56" s="22">
        <f>(SUMIF(Table14[Party],B56,Table14[Credit]))</f>
        <v>0</v>
      </c>
      <c r="Q56" s="37">
        <f t="shared" si="9"/>
        <v>0</v>
      </c>
      <c r="R56" s="21">
        <v>10</v>
      </c>
      <c r="S56" s="21">
        <v>12</v>
      </c>
    </row>
    <row r="57" spans="1:24" x14ac:dyDescent="0.3">
      <c r="B57" s="24" t="str">
        <v>Ubaidullah</v>
      </c>
      <c r="C57" s="22">
        <v>109555</v>
      </c>
      <c r="D57" s="22">
        <v>100178.31016825166</v>
      </c>
      <c r="E57" s="63">
        <v>0</v>
      </c>
      <c r="F57" s="63">
        <v>100178.31016825166</v>
      </c>
      <c r="G57" s="22" cm="1">
        <f t="array" ref="G57">(_xlfn.BYROW(B57,_xlfn.LAMBDA(_xlpm.party,
(SUMIFS(ledger!J:J,ledger!B:B,_xlpm.party,ledger!E:E,"&lt;&gt;*RD*",ledger!D:D,"Chamki",ledger!C:C,"&lt;&gt;January Closing CF")+
SUMIFS(ledger!J:J,ledger!B:B,_xlpm.party,ledger!E:E,"&lt;&gt;*RD*",ledger!D:D,"Crinkle",ledger!C:C,"&lt;&gt;January Closing CF")
))))</f>
        <v>0</v>
      </c>
      <c r="H57" s="22" cm="1">
        <f t="array" ref="H57">_xlfn.BYROW(B57, _xlfn.LAMBDA(_xlpm.party,
   SUMIFS(ledger!J:J, ledger!B:B, _xlpm.party, ledger!E:E, "&lt;&gt;*RD*", ledger!D:D, "Silky", ledger!C:C, "&lt;&gt;January Closing CF")
))</f>
        <v>1202139.72201902</v>
      </c>
      <c r="I57" s="22" cm="1">
        <f t="array" ref="I57">_xlfn.BYROW(B57, _xlfn.LAMBDA(_xlpm.party,
   SUMIFS(ledger!J:J, ledger!B:B, _xlpm.party, ledger!E:E, "&lt;&gt;*RD*", ledger!D:D, "Slub", ledger!C:C, "&lt;&gt;January Closing CF")
))</f>
        <v>0</v>
      </c>
      <c r="J57" s="22" cm="1">
        <f t="array" ref="J57">_xlfn.BYROW(B57, _xlfn.LAMBDA(_xlpm.party,
   SUMIFS(ledger!J:J, ledger!B:B, _xlpm.party, ledger!E:E, "&lt;&gt;*RD*", ledger!D:D, "Satin", ledger!C:C, "&lt;&gt;January Closing CF")
))</f>
        <v>0</v>
      </c>
      <c r="K57" s="70" cm="1">
        <f t="array" ref="K57">_xlfn.BYROW(B57, _xlfn.LAMBDA(_xlpm.party,
   SUMIFS(ledger!J:J, ledger!B:B, _xlpm.party, ledger!E:E, "&lt;&gt;*RD*", ledger!D:D, "Black-chamki", ledger!C:C, "&lt;&gt;January Closing CF")
))</f>
        <v>0</v>
      </c>
      <c r="L57" s="70" cm="1">
        <f t="array" ref="L57">_xlfn.BYROW(B57, _xlfn.LAMBDA(_xlpm.party,
   SUMIFS(ledger!J:J, ledger!B:B, _xlpm.party, ledger!E:E, "&lt;&gt;*RD*", ledger!D:D, "Kataan", ledger!C:C, "&lt;&gt;January Closing CF")
))</f>
        <v>0</v>
      </c>
      <c r="M57" s="70" cm="1">
        <f t="array" ref="M57">_xlfn.BYROW(B57, _xlfn.LAMBDA(_xlpm.party,
   SUMIFS(ledger!J:J, ledger!B:B, _xlpm.party, ledger!E:E, "&lt;&gt;*RD*", ledger!D:D, "Munaar", ledger!C:C, "&lt;&gt;January Closing CF")
))</f>
        <v>0</v>
      </c>
      <c r="N57" s="70" cm="1">
        <f t="array" ref="N57">_xlfn.BYROW(B57, _xlfn.LAMBDA(_xlpm.party,
   SUMIFS(ledger!J:J, ledger!B:B, _xlpm.party, ledger!E:E, "&lt;&gt;*RD*", ledger!D:D, "Custom", ledger!C:C, "&lt;&gt;January Closing CF")
))</f>
        <v>0</v>
      </c>
      <c r="O57" s="39">
        <f t="shared" si="10"/>
        <v>1202139.72201902</v>
      </c>
      <c r="P57" s="22">
        <f>(SUMIF(Table14[Party],B57,Table14[Credit]))</f>
        <v>1101800</v>
      </c>
      <c r="Q57" s="37">
        <f t="shared" si="9"/>
        <v>100339.72201902</v>
      </c>
      <c r="R57" s="21">
        <v>10</v>
      </c>
      <c r="S57" s="21">
        <v>12</v>
      </c>
      <c r="V57" s="3" t="s">
        <v>6</v>
      </c>
      <c r="W57" t="s">
        <v>7</v>
      </c>
      <c r="X57" t="s">
        <v>8</v>
      </c>
    </row>
    <row r="58" spans="1:24" x14ac:dyDescent="0.3">
      <c r="B58" s="24" t="str">
        <v>Ashraf Zia</v>
      </c>
      <c r="C58" s="22">
        <v>0</v>
      </c>
      <c r="D58" s="22">
        <v>0</v>
      </c>
      <c r="E58" s="63">
        <v>0</v>
      </c>
      <c r="F58" s="63">
        <v>0</v>
      </c>
      <c r="G58" s="22" cm="1">
        <f t="array" ref="G58">(_xlfn.BYROW(B58,_xlfn.LAMBDA(_xlpm.party,
(SUMIFS(ledger!J:J,ledger!B:B,_xlpm.party,ledger!E:E,"&lt;&gt;*RD*",ledger!D:D,"Chamki",ledger!C:C,"&lt;&gt;January Closing CF")+
SUMIFS(ledger!J:J,ledger!B:B,_xlpm.party,ledger!E:E,"&lt;&gt;*RD*",ledger!D:D,"Crinkle",ledger!C:C,"&lt;&gt;January Closing CF")
))))</f>
        <v>0</v>
      </c>
      <c r="H58" s="22" cm="1">
        <f t="array" ref="H58">_xlfn.BYROW(B58, _xlfn.LAMBDA(_xlpm.party,
   SUMIFS(ledger!J:J, ledger!B:B, _xlpm.party, ledger!E:E, "&lt;&gt;*RD*", ledger!D:D, "Silky", ledger!C:C, "&lt;&gt;January Closing CF")
))</f>
        <v>0</v>
      </c>
      <c r="I58" s="22" cm="1">
        <f t="array" ref="I58">_xlfn.BYROW(B58, _xlfn.LAMBDA(_xlpm.party,
   SUMIFS(ledger!J:J, ledger!B:B, _xlpm.party, ledger!E:E, "&lt;&gt;*RD*", ledger!D:D, "Slub", ledger!C:C, "&lt;&gt;January Closing CF")
))</f>
        <v>0</v>
      </c>
      <c r="J58" s="22" cm="1">
        <f t="array" ref="J58">_xlfn.BYROW(B58, _xlfn.LAMBDA(_xlpm.party,
   SUMIFS(ledger!J:J, ledger!B:B, _xlpm.party, ledger!E:E, "&lt;&gt;*RD*", ledger!D:D, "Satin", ledger!C:C, "&lt;&gt;January Closing CF")
))</f>
        <v>0</v>
      </c>
      <c r="K58" s="70" cm="1">
        <f t="array" ref="K58">_xlfn.BYROW(B58, _xlfn.LAMBDA(_xlpm.party,
   SUMIFS(ledger!J:J, ledger!B:B, _xlpm.party, ledger!E:E, "&lt;&gt;*RD*", ledger!D:D, "Black-chamki", ledger!C:C, "&lt;&gt;January Closing CF")
))</f>
        <v>0</v>
      </c>
      <c r="L58" s="70" cm="1">
        <f t="array" ref="L58">_xlfn.BYROW(B58, _xlfn.LAMBDA(_xlpm.party,
   SUMIFS(ledger!J:J, ledger!B:B, _xlpm.party, ledger!E:E, "&lt;&gt;*RD*", ledger!D:D, "Kataan", ledger!C:C, "&lt;&gt;January Closing CF")
))</f>
        <v>0</v>
      </c>
      <c r="M58" s="70" cm="1">
        <f t="array" ref="M58">_xlfn.BYROW(B58, _xlfn.LAMBDA(_xlpm.party,
   SUMIFS(ledger!J:J, ledger!B:B, _xlpm.party, ledger!E:E, "&lt;&gt;*RD*", ledger!D:D, "Munaar", ledger!C:C, "&lt;&gt;January Closing CF")
))</f>
        <v>0</v>
      </c>
      <c r="N58" s="70" cm="1">
        <f t="array" ref="N58">_xlfn.BYROW(B58, _xlfn.LAMBDA(_xlpm.party,
   SUMIFS(ledger!J:J, ledger!B:B, _xlpm.party, ledger!E:E, "&lt;&gt;*RD*", ledger!D:D, "Custom", ledger!C:C, "&lt;&gt;January Closing CF")
))</f>
        <v>0</v>
      </c>
      <c r="O58" s="39">
        <f t="shared" si="10"/>
        <v>0</v>
      </c>
      <c r="P58" s="22">
        <f>(SUMIF(Table14[Party],B58,Table14[Credit]))</f>
        <v>0</v>
      </c>
      <c r="Q58" s="37">
        <f t="shared" si="9"/>
        <v>0</v>
      </c>
      <c r="R58" s="21">
        <v>12</v>
      </c>
      <c r="S58" s="21">
        <v>12</v>
      </c>
      <c r="V58" s="4" t="s">
        <v>21</v>
      </c>
      <c r="W58" s="5">
        <v>830695.86686174106</v>
      </c>
      <c r="X58" s="18">
        <v>5987757.8639356261</v>
      </c>
    </row>
    <row r="59" spans="1:24" x14ac:dyDescent="0.3">
      <c r="B59" s="24" t="str">
        <v>Hafiz Qureshi</v>
      </c>
      <c r="C59" s="22">
        <v>235735</v>
      </c>
      <c r="D59" s="22">
        <v>215558.70519385519</v>
      </c>
      <c r="E59" s="63">
        <v>168209.58302852965</v>
      </c>
      <c r="F59" s="63">
        <v>0</v>
      </c>
      <c r="G59" s="22" cm="1">
        <f t="array" ref="G59">(_xlfn.BYROW(B59,_xlfn.LAMBDA(_xlpm.party,
(SUMIFS(ledger!J:J,ledger!B:B,_xlpm.party,ledger!E:E,"&lt;&gt;*RD*",ledger!D:D,"Chamki",ledger!C:C,"&lt;&gt;January Closing CF")+
SUMIFS(ledger!J:J,ledger!B:B,_xlpm.party,ledger!E:E,"&lt;&gt;*RD*",ledger!D:D,"Crinkle",ledger!C:C,"&lt;&gt;January Closing CF")
))))</f>
        <v>1682095.8302852965</v>
      </c>
      <c r="H59" s="22" cm="1">
        <f t="array" ref="H59">_xlfn.BYROW(B59, _xlfn.LAMBDA(_xlpm.party,
   SUMIFS(ledger!J:J, ledger!B:B, _xlpm.party, ledger!E:E, "&lt;&gt;*RD*", ledger!D:D, "Silky", ledger!C:C, "&lt;&gt;January Closing CF")
))</f>
        <v>0</v>
      </c>
      <c r="I59" s="22" cm="1">
        <f t="array" ref="I59">_xlfn.BYROW(B59, _xlfn.LAMBDA(_xlpm.party,
   SUMIFS(ledger!J:J, ledger!B:B, _xlpm.party, ledger!E:E, "&lt;&gt;*RD*", ledger!D:D, "Slub", ledger!C:C, "&lt;&gt;January Closing CF")
))</f>
        <v>0</v>
      </c>
      <c r="J59" s="22" cm="1">
        <f t="array" ref="J59">_xlfn.BYROW(B59, _xlfn.LAMBDA(_xlpm.party,
   SUMIFS(ledger!J:J, ledger!B:B, _xlpm.party, ledger!E:E, "&lt;&gt;*RD*", ledger!D:D, "Satin", ledger!C:C, "&lt;&gt;January Closing CF")
))</f>
        <v>0</v>
      </c>
      <c r="K59" s="70" cm="1">
        <f t="array" ref="K59">_xlfn.BYROW(B59, _xlfn.LAMBDA(_xlpm.party,
   SUMIFS(ledger!J:J, ledger!B:B, _xlpm.party, ledger!E:E, "&lt;&gt;*RD*", ledger!D:D, "Black-chamki", ledger!C:C, "&lt;&gt;January Closing CF")
))</f>
        <v>0</v>
      </c>
      <c r="L59" s="70" cm="1">
        <f t="array" ref="L59">_xlfn.BYROW(B59, _xlfn.LAMBDA(_xlpm.party,
   SUMIFS(ledger!J:J, ledger!B:B, _xlpm.party, ledger!E:E, "&lt;&gt;*RD*", ledger!D:D, "Kataan", ledger!C:C, "&lt;&gt;January Closing CF")
))</f>
        <v>520840.34381858085</v>
      </c>
      <c r="M59" s="70" cm="1">
        <f t="array" ref="M59">_xlfn.BYROW(B59, _xlfn.LAMBDA(_xlpm.party,
   SUMIFS(ledger!J:J, ledger!B:B, _xlpm.party, ledger!E:E, "&lt;&gt;*RD*", ledger!D:D, "Munaar", ledger!C:C, "&lt;&gt;January Closing CF")
))</f>
        <v>0</v>
      </c>
      <c r="N59" s="70" cm="1">
        <f t="array" ref="N59">_xlfn.BYROW(B59, _xlfn.LAMBDA(_xlpm.party,
   SUMIFS(ledger!J:J, ledger!B:B, _xlpm.party, ledger!E:E, "&lt;&gt;*RD*", ledger!D:D, "Custom", ledger!C:C, "&lt;&gt;January Closing CF")
))</f>
        <v>0</v>
      </c>
      <c r="O59" s="39">
        <f t="shared" si="10"/>
        <v>2202936.1741038775</v>
      </c>
      <c r="P59" s="22">
        <f>(SUMIF(Table14[Party],B59,Table14[Credit]))</f>
        <v>1679674</v>
      </c>
      <c r="Q59" s="37">
        <f t="shared" si="9"/>
        <v>523262.17410387751</v>
      </c>
      <c r="R59" s="21">
        <v>10</v>
      </c>
      <c r="S59" s="21">
        <v>12</v>
      </c>
      <c r="V59" s="4" t="s">
        <v>22</v>
      </c>
      <c r="W59" s="5">
        <v>83720.73884418435</v>
      </c>
      <c r="X59" s="18">
        <v>1004648.8661302122</v>
      </c>
    </row>
    <row r="60" spans="1:24" x14ac:dyDescent="0.3">
      <c r="B60" s="24" t="str">
        <v>Badshah Fabrics</v>
      </c>
      <c r="C60" s="22">
        <v>0</v>
      </c>
      <c r="D60" s="22">
        <v>0</v>
      </c>
      <c r="E60" s="63">
        <v>0</v>
      </c>
      <c r="F60" s="63">
        <v>0</v>
      </c>
      <c r="G60" s="22" cm="1">
        <f t="array" ref="G60">(_xlfn.BYROW(B60,_xlfn.LAMBDA(_xlpm.party,
(SUMIFS(ledger!J:J,ledger!B:B,_xlpm.party,ledger!E:E,"&lt;&gt;*RD*",ledger!D:D,"Chamki",ledger!C:C,"&lt;&gt;January Closing CF")+
SUMIFS(ledger!J:J,ledger!B:B,_xlpm.party,ledger!E:E,"&lt;&gt;*RD*",ledger!D:D,"Crinkle",ledger!C:C,"&lt;&gt;January Closing CF")
))))</f>
        <v>0</v>
      </c>
      <c r="H60" s="22" cm="1">
        <f t="array" ref="H60">_xlfn.BYROW(B60, _xlfn.LAMBDA(_xlpm.party,
   SUMIFS(ledger!J:J, ledger!B:B, _xlpm.party, ledger!E:E, "&lt;&gt;*RD*", ledger!D:D, "Silky", ledger!C:C, "&lt;&gt;January Closing CF")
))</f>
        <v>0</v>
      </c>
      <c r="I60" s="22" cm="1">
        <f t="array" ref="I60">_xlfn.BYROW(B60, _xlfn.LAMBDA(_xlpm.party,
   SUMIFS(ledger!J:J, ledger!B:B, _xlpm.party, ledger!E:E, "&lt;&gt;*RD*", ledger!D:D, "Slub", ledger!C:C, "&lt;&gt;January Closing CF")
))</f>
        <v>0</v>
      </c>
      <c r="J60" s="22" cm="1">
        <f t="array" ref="J60">_xlfn.BYROW(B60, _xlfn.LAMBDA(_xlpm.party,
   SUMIFS(ledger!J:J, ledger!B:B, _xlpm.party, ledger!E:E, "&lt;&gt;*RD*", ledger!D:D, "Satin", ledger!C:C, "&lt;&gt;January Closing CF")
))</f>
        <v>0</v>
      </c>
      <c r="K60" s="70" cm="1">
        <f t="array" ref="K60">_xlfn.BYROW(B60, _xlfn.LAMBDA(_xlpm.party,
   SUMIFS(ledger!J:J, ledger!B:B, _xlpm.party, ledger!E:E, "&lt;&gt;*RD*", ledger!D:D, "Black-chamki", ledger!C:C, "&lt;&gt;January Closing CF")
))</f>
        <v>0</v>
      </c>
      <c r="L60" s="70" cm="1">
        <f t="array" ref="L60">_xlfn.BYROW(B60, _xlfn.LAMBDA(_xlpm.party,
   SUMIFS(ledger!J:J, ledger!B:B, _xlpm.party, ledger!E:E, "&lt;&gt;*RD*", ledger!D:D, "Kataan", ledger!C:C, "&lt;&gt;January Closing CF")
))</f>
        <v>0</v>
      </c>
      <c r="M60" s="70" cm="1">
        <f t="array" ref="M60">_xlfn.BYROW(B60, _xlfn.LAMBDA(_xlpm.party,
   SUMIFS(ledger!J:J, ledger!B:B, _xlpm.party, ledger!E:E, "&lt;&gt;*RD*", ledger!D:D, "Munaar", ledger!C:C, "&lt;&gt;January Closing CF")
))</f>
        <v>0</v>
      </c>
      <c r="N60" s="70" cm="1">
        <f t="array" ref="N60">_xlfn.BYROW(B60, _xlfn.LAMBDA(_xlpm.party,
   SUMIFS(ledger!J:J, ledger!B:B, _xlpm.party, ledger!E:E, "&lt;&gt;*RD*", ledger!D:D, "Custom", ledger!C:C, "&lt;&gt;January Closing CF")
))</f>
        <v>0</v>
      </c>
      <c r="O60" s="39">
        <f t="shared" si="10"/>
        <v>0</v>
      </c>
      <c r="P60" s="22">
        <f>(SUMIF(Table14[Party],B60,Table14[Credit]))</f>
        <v>0</v>
      </c>
      <c r="Q60" s="37">
        <f t="shared" si="9"/>
        <v>0</v>
      </c>
      <c r="R60" s="21">
        <v>10</v>
      </c>
      <c r="S60" s="21">
        <v>12</v>
      </c>
      <c r="V60" s="4" t="s">
        <v>9</v>
      </c>
      <c r="W60" s="5">
        <v>115056.69348939284</v>
      </c>
      <c r="X60" s="18">
        <v>1189264.8134601316</v>
      </c>
    </row>
    <row r="61" spans="1:24" x14ac:dyDescent="0.3">
      <c r="B61" s="24" t="str">
        <v>Gauhar Kashif</v>
      </c>
      <c r="C61" s="22">
        <v>0</v>
      </c>
      <c r="D61" s="22">
        <v>0</v>
      </c>
      <c r="E61" s="63">
        <v>0</v>
      </c>
      <c r="F61" s="63">
        <v>0</v>
      </c>
      <c r="G61" s="22" cm="1">
        <f t="array" ref="G61">(_xlfn.BYROW(B61,_xlfn.LAMBDA(_xlpm.party,
(SUMIFS(ledger!J:J,ledger!B:B,_xlpm.party,ledger!E:E,"&lt;&gt;*RD*",ledger!D:D,"Chamki",ledger!C:C,"&lt;&gt;January Closing CF")+
SUMIFS(ledger!J:J,ledger!B:B,_xlpm.party,ledger!E:E,"&lt;&gt;*RD*",ledger!D:D,"Crinkle",ledger!C:C,"&lt;&gt;January Closing CF")
))))</f>
        <v>0</v>
      </c>
      <c r="H61" s="22" cm="1">
        <f t="array" ref="H61">_xlfn.BYROW(B61, _xlfn.LAMBDA(_xlpm.party,
   SUMIFS(ledger!J:J, ledger!B:B, _xlpm.party, ledger!E:E, "&lt;&gt;*RD*", ledger!D:D, "Silky", ledger!C:C, "&lt;&gt;January Closing CF")
))</f>
        <v>0</v>
      </c>
      <c r="I61" s="22" cm="1">
        <f t="array" ref="I61">_xlfn.BYROW(B61, _xlfn.LAMBDA(_xlpm.party,
   SUMIFS(ledger!J:J, ledger!B:B, _xlpm.party, ledger!E:E, "&lt;&gt;*RD*", ledger!D:D, "Slub", ledger!C:C, "&lt;&gt;January Closing CF")
))</f>
        <v>0</v>
      </c>
      <c r="J61" s="22" cm="1">
        <f t="array" ref="J61">_xlfn.BYROW(B61, _xlfn.LAMBDA(_xlpm.party,
   SUMIFS(ledger!J:J, ledger!B:B, _xlpm.party, ledger!E:E, "&lt;&gt;*RD*", ledger!D:D, "Satin", ledger!C:C, "&lt;&gt;January Closing CF")
))</f>
        <v>0</v>
      </c>
      <c r="K61" s="70" cm="1">
        <f t="array" ref="K61">_xlfn.BYROW(B61, _xlfn.LAMBDA(_xlpm.party,
   SUMIFS(ledger!J:J, ledger!B:B, _xlpm.party, ledger!E:E, "&lt;&gt;*RD*", ledger!D:D, "Black-chamki", ledger!C:C, "&lt;&gt;January Closing CF")
))</f>
        <v>0</v>
      </c>
      <c r="L61" s="70" cm="1">
        <f t="array" ref="L61">_xlfn.BYROW(B61, _xlfn.LAMBDA(_xlpm.party,
   SUMIFS(ledger!J:J, ledger!B:B, _xlpm.party, ledger!E:E, "&lt;&gt;*RD*", ledger!D:D, "Kataan", ledger!C:C, "&lt;&gt;January Closing CF")
))</f>
        <v>0</v>
      </c>
      <c r="M61" s="70" cm="1">
        <f t="array" ref="M61">_xlfn.BYROW(B61, _xlfn.LAMBDA(_xlpm.party,
   SUMIFS(ledger!J:J, ledger!B:B, _xlpm.party, ledger!E:E, "&lt;&gt;*RD*", ledger!D:D, "Munaar", ledger!C:C, "&lt;&gt;January Closing CF")
))</f>
        <v>0</v>
      </c>
      <c r="N61" s="70" cm="1">
        <f t="array" ref="N61">_xlfn.BYROW(B61, _xlfn.LAMBDA(_xlpm.party,
   SUMIFS(ledger!J:J, ledger!B:B, _xlpm.party, ledger!E:E, "&lt;&gt;*RD*", ledger!D:D, "Custom", ledger!C:C, "&lt;&gt;January Closing CF")
))</f>
        <v>0</v>
      </c>
      <c r="O61" s="39">
        <f t="shared" si="10"/>
        <v>0</v>
      </c>
      <c r="P61" s="22">
        <f>(SUMIF(Table14[Party],B61,Table14[Credit]))</f>
        <v>0</v>
      </c>
      <c r="Q61" s="37">
        <f t="shared" si="9"/>
        <v>0</v>
      </c>
      <c r="R61" s="21">
        <v>10</v>
      </c>
      <c r="S61" s="21">
        <v>12</v>
      </c>
      <c r="V61" s="4" t="s">
        <v>23</v>
      </c>
      <c r="W61" s="5">
        <v>0</v>
      </c>
      <c r="X61" s="18">
        <v>0</v>
      </c>
    </row>
    <row r="62" spans="1:24" x14ac:dyDescent="0.3">
      <c r="B62" s="80" t="str">
        <v>Amjad 7up</v>
      </c>
      <c r="C62" s="22">
        <v>0</v>
      </c>
      <c r="D62" s="22">
        <v>0</v>
      </c>
      <c r="E62" s="63">
        <v>0</v>
      </c>
      <c r="F62" s="63">
        <v>0</v>
      </c>
      <c r="G62" s="22" cm="1">
        <f t="array" ref="G62">(_xlfn.BYROW(B62,_xlfn.LAMBDA(_xlpm.party,
(SUMIFS(ledger!J:J,ledger!B:B,_xlpm.party,ledger!E:E,"&lt;&gt;*RD*",ledger!D:D,"Chamki",ledger!C:C,"&lt;&gt;January Closing CF")+
SUMIFS(ledger!J:J,ledger!B:B,_xlpm.party,ledger!E:E,"&lt;&gt;*RD*",ledger!D:D,"Crinkle",ledger!C:C,"&lt;&gt;January Closing CF")
))))</f>
        <v>0</v>
      </c>
      <c r="H62" s="22" cm="1">
        <f t="array" ref="H62">_xlfn.BYROW(B62, _xlfn.LAMBDA(_xlpm.party,
   SUMIFS(ledger!J:J, ledger!B:B, _xlpm.party, ledger!E:E, "&lt;&gt;*RD*", ledger!D:D, "Silky", ledger!C:C, "&lt;&gt;January Closing CF")
))</f>
        <v>0</v>
      </c>
      <c r="I62" s="22" cm="1">
        <f t="array" ref="I62">_xlfn.BYROW(B62, _xlfn.LAMBDA(_xlpm.party,
   SUMIFS(ledger!J:J, ledger!B:B, _xlpm.party, ledger!E:E, "&lt;&gt;*RD*", ledger!D:D, "Slub", ledger!C:C, "&lt;&gt;January Closing CF")
))</f>
        <v>0</v>
      </c>
      <c r="J62" s="22" cm="1">
        <f t="array" ref="J62">_xlfn.BYROW(B62, _xlfn.LAMBDA(_xlpm.party,
   SUMIFS(ledger!J:J, ledger!B:B, _xlpm.party, ledger!E:E, "&lt;&gt;*RD*", ledger!D:D, "Satin", ledger!C:C, "&lt;&gt;January Closing CF")
))</f>
        <v>0</v>
      </c>
      <c r="K62" s="70" cm="1">
        <f t="array" ref="K62">_xlfn.BYROW(B62, _xlfn.LAMBDA(_xlpm.party,
   SUMIFS(ledger!J:J, ledger!B:B, _xlpm.party, ledger!E:E, "&lt;&gt;*RD*", ledger!D:D, "Black-chamki", ledger!C:C, "&lt;&gt;January Closing CF")
))</f>
        <v>0</v>
      </c>
      <c r="L62" s="70" cm="1">
        <f t="array" ref="L62">_xlfn.BYROW(B62, _xlfn.LAMBDA(_xlpm.party,
   SUMIFS(ledger!J:J, ledger!B:B, _xlpm.party, ledger!E:E, "&lt;&gt;*RD*", ledger!D:D, "Kataan", ledger!C:C, "&lt;&gt;January Closing CF")
))</f>
        <v>0</v>
      </c>
      <c r="M62" s="70" cm="1">
        <f t="array" ref="M62">_xlfn.BYROW(B62, _xlfn.LAMBDA(_xlpm.party,
   SUMIFS(ledger!J:J, ledger!B:B, _xlpm.party, ledger!E:E, "&lt;&gt;*RD*", ledger!D:D, "Munaar", ledger!C:C, "&lt;&gt;January Closing CF")
))</f>
        <v>0</v>
      </c>
      <c r="N62" s="70" cm="1">
        <f t="array" ref="N62">_xlfn.BYROW(B62, _xlfn.LAMBDA(_xlpm.party,
   SUMIFS(ledger!J:J, ledger!B:B, _xlpm.party, ledger!E:E, "&lt;&gt;*RD*", ledger!D:D, "Custom", ledger!C:C, "&lt;&gt;January Closing CF")
))</f>
        <v>0</v>
      </c>
      <c r="O62" s="39">
        <f t="shared" si="10"/>
        <v>0</v>
      </c>
      <c r="P62" s="22">
        <f>(SUMIF(Table14[Party],B62,Table14[Credit]))</f>
        <v>0</v>
      </c>
      <c r="Q62" s="37">
        <f t="shared" si="9"/>
        <v>0</v>
      </c>
      <c r="R62" s="21">
        <v>10</v>
      </c>
      <c r="S62" s="21">
        <v>12</v>
      </c>
      <c r="V62" s="4" t="s">
        <v>24</v>
      </c>
      <c r="W62" s="5">
        <v>0</v>
      </c>
      <c r="X62" s="18">
        <v>0</v>
      </c>
    </row>
    <row r="63" spans="1:24" x14ac:dyDescent="0.3">
      <c r="B63" s="80" t="str">
        <v>Hazrat Khan</v>
      </c>
      <c r="C63" s="22">
        <v>0</v>
      </c>
      <c r="D63" s="22">
        <v>0</v>
      </c>
      <c r="E63" s="63">
        <v>0</v>
      </c>
      <c r="F63" s="63">
        <v>0</v>
      </c>
      <c r="G63" s="22" cm="1">
        <f t="array" ref="G63">(_xlfn.BYROW(B63,_xlfn.LAMBDA(_xlpm.party,
(SUMIFS(ledger!J:J,ledger!B:B,_xlpm.party,ledger!E:E,"&lt;&gt;*RD*",ledger!D:D,"Chamki",ledger!C:C,"&lt;&gt;January Closing CF")+
SUMIFS(ledger!J:J,ledger!B:B,_xlpm.party,ledger!E:E,"&lt;&gt;*RD*",ledger!D:D,"Crinkle",ledger!C:C,"&lt;&gt;January Closing CF")
))))</f>
        <v>0</v>
      </c>
      <c r="H63" s="22" cm="1">
        <f t="array" ref="H63">_xlfn.BYROW(B63, _xlfn.LAMBDA(_xlpm.party,
   SUMIFS(ledger!J:J, ledger!B:B, _xlpm.party, ledger!E:E, "&lt;&gt;*RD*", ledger!D:D, "Silky", ledger!C:C, "&lt;&gt;January Closing CF")
))</f>
        <v>0</v>
      </c>
      <c r="I63" s="22" cm="1">
        <f t="array" ref="I63">_xlfn.BYROW(B63, _xlfn.LAMBDA(_xlpm.party,
   SUMIFS(ledger!J:J, ledger!B:B, _xlpm.party, ledger!E:E, "&lt;&gt;*RD*", ledger!D:D, "Slub", ledger!C:C, "&lt;&gt;January Closing CF")
))</f>
        <v>0</v>
      </c>
      <c r="J63" s="22" cm="1">
        <f t="array" ref="J63">_xlfn.BYROW(B63, _xlfn.LAMBDA(_xlpm.party,
   SUMIFS(ledger!J:J, ledger!B:B, _xlpm.party, ledger!E:E, "&lt;&gt;*RD*", ledger!D:D, "Satin", ledger!C:C, "&lt;&gt;January Closing CF")
))</f>
        <v>0</v>
      </c>
      <c r="K63" s="70" cm="1">
        <f t="array" ref="K63">_xlfn.BYROW(B63, _xlfn.LAMBDA(_xlpm.party,
   SUMIFS(ledger!J:J, ledger!B:B, _xlpm.party, ledger!E:E, "&lt;&gt;*RD*", ledger!D:D, "Black-chamki", ledger!C:C, "&lt;&gt;January Closing CF")
))</f>
        <v>0</v>
      </c>
      <c r="L63" s="70" cm="1">
        <f t="array" ref="L63">_xlfn.BYROW(B63, _xlfn.LAMBDA(_xlpm.party,
   SUMIFS(ledger!J:J, ledger!B:B, _xlpm.party, ledger!E:E, "&lt;&gt;*RD*", ledger!D:D, "Kataan", ledger!C:C, "&lt;&gt;January Closing CF")
))</f>
        <v>0</v>
      </c>
      <c r="M63" s="70" cm="1">
        <f t="array" ref="M63">_xlfn.BYROW(B63, _xlfn.LAMBDA(_xlpm.party,
   SUMIFS(ledger!J:J, ledger!B:B, _xlpm.party, ledger!E:E, "&lt;&gt;*RD*", ledger!D:D, "Munaar", ledger!C:C, "&lt;&gt;January Closing CF")
))</f>
        <v>0</v>
      </c>
      <c r="N63" s="70" cm="1">
        <f t="array" ref="N63">_xlfn.BYROW(B63, _xlfn.LAMBDA(_xlpm.party,
   SUMIFS(ledger!J:J, ledger!B:B, _xlpm.party, ledger!E:E, "&lt;&gt;*RD*", ledger!D:D, "Custom", ledger!C:C, "&lt;&gt;January Closing CF")
))</f>
        <v>0</v>
      </c>
      <c r="O63" s="39">
        <f t="shared" si="10"/>
        <v>0</v>
      </c>
      <c r="P63" s="22">
        <f>(SUMIF(Table14[Party],B63,Table14[Credit]))</f>
        <v>0</v>
      </c>
      <c r="Q63" s="37">
        <f t="shared" si="9"/>
        <v>0</v>
      </c>
      <c r="R63" s="21">
        <v>10</v>
      </c>
      <c r="S63" s="21">
        <v>12</v>
      </c>
      <c r="V63" s="4" t="s">
        <v>25</v>
      </c>
      <c r="W63" s="5">
        <v>63240.673006583762</v>
      </c>
      <c r="X63" s="18">
        <v>632406.73006583762</v>
      </c>
    </row>
    <row r="64" spans="1:24" x14ac:dyDescent="0.3">
      <c r="B64" s="80" t="str">
        <v>Haseeb Shamsi</v>
      </c>
      <c r="C64" s="22">
        <v>0</v>
      </c>
      <c r="D64" s="22">
        <v>0</v>
      </c>
      <c r="E64" s="63">
        <v>0</v>
      </c>
      <c r="F64" s="63">
        <v>0</v>
      </c>
      <c r="G64" s="22" cm="1">
        <f t="array" ref="G64">(_xlfn.BYROW(B64,_xlfn.LAMBDA(_xlpm.party,
(SUMIFS(ledger!J:J,ledger!B:B,_xlpm.party,ledger!E:E,"&lt;&gt;*RD*",ledger!D:D,"Chamki",ledger!C:C,"&lt;&gt;January Closing CF")+
SUMIFS(ledger!J:J,ledger!B:B,_xlpm.party,ledger!E:E,"&lt;&gt;*RD*",ledger!D:D,"Crinkle",ledger!C:C,"&lt;&gt;January Closing CF")
))))</f>
        <v>0</v>
      </c>
      <c r="H64" s="22" cm="1">
        <f t="array" ref="H64">_xlfn.BYROW(B64, _xlfn.LAMBDA(_xlpm.party,
   SUMIFS(ledger!J:J, ledger!B:B, _xlpm.party, ledger!E:E, "&lt;&gt;*RD*", ledger!D:D, "Silky", ledger!C:C, "&lt;&gt;January Closing CF")
))</f>
        <v>0</v>
      </c>
      <c r="I64" s="22" cm="1">
        <f t="array" ref="I64">_xlfn.BYROW(B64, _xlfn.LAMBDA(_xlpm.party,
   SUMIFS(ledger!J:J, ledger!B:B, _xlpm.party, ledger!E:E, "&lt;&gt;*RD*", ledger!D:D, "Slub", ledger!C:C, "&lt;&gt;January Closing CF")
))</f>
        <v>0</v>
      </c>
      <c r="J64" s="22" cm="1">
        <f t="array" ref="J64">_xlfn.BYROW(B64, _xlfn.LAMBDA(_xlpm.party,
   SUMIFS(ledger!J:J, ledger!B:B, _xlpm.party, ledger!E:E, "&lt;&gt;*RD*", ledger!D:D, "Satin", ledger!C:C, "&lt;&gt;January Closing CF")
))</f>
        <v>0</v>
      </c>
      <c r="K64" s="70" cm="1">
        <f t="array" ref="K64">_xlfn.BYROW(B64, _xlfn.LAMBDA(_xlpm.party,
   SUMIFS(ledger!J:J, ledger!B:B, _xlpm.party, ledger!E:E, "&lt;&gt;*RD*", ledger!D:D, "Black-chamki", ledger!C:C, "&lt;&gt;January Closing CF")
))</f>
        <v>0</v>
      </c>
      <c r="L64" s="70" cm="1">
        <f t="array" ref="L64">_xlfn.BYROW(B64, _xlfn.LAMBDA(_xlpm.party,
   SUMIFS(ledger!J:J, ledger!B:B, _xlpm.party, ledger!E:E, "&lt;&gt;*RD*", ledger!D:D, "Kataan", ledger!C:C, "&lt;&gt;January Closing CF")
))</f>
        <v>0</v>
      </c>
      <c r="M64" s="70" cm="1">
        <f t="array" ref="M64">_xlfn.BYROW(B64, _xlfn.LAMBDA(_xlpm.party,
   SUMIFS(ledger!J:J, ledger!B:B, _xlpm.party, ledger!E:E, "&lt;&gt;*RD*", ledger!D:D, "Munaar", ledger!C:C, "&lt;&gt;January Closing CF")
))</f>
        <v>0</v>
      </c>
      <c r="N64" s="70" cm="1">
        <f t="array" ref="N64">_xlfn.BYROW(B64, _xlfn.LAMBDA(_xlpm.party,
   SUMIFS(ledger!J:J, ledger!B:B, _xlpm.party, ledger!E:E, "&lt;&gt;*RD*", ledger!D:D, "Custom", ledger!C:C, "&lt;&gt;January Closing CF")
))</f>
        <v>0</v>
      </c>
      <c r="O64" s="39">
        <f t="shared" si="10"/>
        <v>0</v>
      </c>
      <c r="P64" s="22">
        <f>(SUMIF(Table14[Party],B64,Table14[Credit]))</f>
        <v>0</v>
      </c>
      <c r="Q64" s="37">
        <f t="shared" si="9"/>
        <v>0</v>
      </c>
      <c r="R64" s="21">
        <v>10</v>
      </c>
      <c r="S64" s="21">
        <v>12</v>
      </c>
      <c r="V64" s="4" t="s">
        <v>26</v>
      </c>
      <c r="W64" s="5">
        <v>23264.447695683983</v>
      </c>
      <c r="X64" s="18">
        <v>232644.47695683982</v>
      </c>
    </row>
    <row r="65" spans="2:24" x14ac:dyDescent="0.3">
      <c r="B65" s="80" t="str">
        <v>Faizan</v>
      </c>
      <c r="C65" s="22">
        <v>55739</v>
      </c>
      <c r="D65" s="22">
        <v>50968.361375274326</v>
      </c>
      <c r="E65" s="63">
        <v>0</v>
      </c>
      <c r="F65" s="63">
        <v>50968.361375274326</v>
      </c>
      <c r="G65" s="22" cm="1">
        <f t="array" ref="G65">(_xlfn.BYROW(B65,_xlfn.LAMBDA(_xlpm.party,
(SUMIFS(ledger!J:J,ledger!B:B,_xlpm.party,ledger!E:E,"&lt;&gt;*RD*",ledger!D:D,"Chamki",ledger!C:C,"&lt;&gt;January Closing CF")+
SUMIFS(ledger!J:J,ledger!B:B,_xlpm.party,ledger!E:E,"&lt;&gt;*RD*",ledger!D:D,"Crinkle",ledger!C:C,"&lt;&gt;January Closing CF")
))))</f>
        <v>0</v>
      </c>
      <c r="H65" s="22" cm="1">
        <f t="array" ref="H65">_xlfn.BYROW(B65, _xlfn.LAMBDA(_xlpm.party,
   SUMIFS(ledger!J:J, ledger!B:B, _xlpm.party, ledger!E:E, "&lt;&gt;*RD*", ledger!D:D, "Silky", ledger!C:C, "&lt;&gt;January Closing CF")
))</f>
        <v>662588.69787856634</v>
      </c>
      <c r="I65" s="22" cm="1">
        <f t="array" ref="I65">_xlfn.BYROW(B65, _xlfn.LAMBDA(_xlpm.party,
   SUMIFS(ledger!J:J, ledger!B:B, _xlpm.party, ledger!E:E, "&lt;&gt;*RD*", ledger!D:D, "Slub", ledger!C:C, "&lt;&gt;January Closing CF")
))</f>
        <v>0</v>
      </c>
      <c r="J65" s="22" cm="1">
        <f t="array" ref="J65">_xlfn.BYROW(B65, _xlfn.LAMBDA(_xlpm.party,
   SUMIFS(ledger!J:J, ledger!B:B, _xlpm.party, ledger!E:E, "&lt;&gt;*RD*", ledger!D:D, "Satin", ledger!C:C, "&lt;&gt;January Closing CF")
))</f>
        <v>0</v>
      </c>
      <c r="K65" s="70" cm="1">
        <f t="array" ref="K65">_xlfn.BYROW(B65, _xlfn.LAMBDA(_xlpm.party,
   SUMIFS(ledger!J:J, ledger!B:B, _xlpm.party, ledger!E:E, "&lt;&gt;*RD*", ledger!D:D, "Black-chamki", ledger!C:C, "&lt;&gt;January Closing CF")
))</f>
        <v>0</v>
      </c>
      <c r="L65" s="70" cm="1">
        <f t="array" ref="L65">_xlfn.BYROW(B65, _xlfn.LAMBDA(_xlpm.party,
   SUMIFS(ledger!J:J, ledger!B:B, _xlpm.party, ledger!E:E, "&lt;&gt;*RD*", ledger!D:D, "Kataan", ledger!C:C, "&lt;&gt;January Closing CF")
))</f>
        <v>0</v>
      </c>
      <c r="M65" s="70" cm="1">
        <f t="array" ref="M65">_xlfn.BYROW(B65, _xlfn.LAMBDA(_xlpm.party,
   SUMIFS(ledger!J:J, ledger!B:B, _xlpm.party, ledger!E:E, "&lt;&gt;*RD*", ledger!D:D, "Munaar", ledger!C:C, "&lt;&gt;January Closing CF")
))</f>
        <v>0</v>
      </c>
      <c r="N65" s="70" cm="1">
        <f t="array" ref="N65">_xlfn.BYROW(B65, _xlfn.LAMBDA(_xlpm.party,
   SUMIFS(ledger!J:J, ledger!B:B, _xlpm.party, ledger!E:E, "&lt;&gt;*RD*", ledger!D:D, "Custom", ledger!C:C, "&lt;&gt;January Closing CF")
))</f>
        <v>0</v>
      </c>
      <c r="O65" s="39">
        <f t="shared" si="10"/>
        <v>662588.69787856634</v>
      </c>
      <c r="P65" s="22">
        <f>(SUMIF(Table14[Party],B65,Table14[Credit]))</f>
        <v>704000</v>
      </c>
      <c r="Q65" s="37">
        <f t="shared" si="9"/>
        <v>-41411.302121433662</v>
      </c>
      <c r="R65" s="21">
        <v>10</v>
      </c>
      <c r="S65" s="21">
        <v>13</v>
      </c>
      <c r="V65" s="4" t="s">
        <v>152</v>
      </c>
      <c r="W65" s="5">
        <v>0</v>
      </c>
      <c r="X65" s="18">
        <v>0</v>
      </c>
    </row>
    <row r="66" spans="2:24" x14ac:dyDescent="0.3">
      <c r="B66" s="80" t="str">
        <v>Shafique Ansari</v>
      </c>
      <c r="C66" s="22">
        <v>0</v>
      </c>
      <c r="D66" s="22">
        <v>0</v>
      </c>
      <c r="E66" s="63">
        <v>0</v>
      </c>
      <c r="F66" s="63">
        <v>0</v>
      </c>
      <c r="G66" s="22" cm="1">
        <f t="array" ref="G66">(_xlfn.BYROW(B66,_xlfn.LAMBDA(_xlpm.party,
(SUMIFS(ledger!J:J,ledger!B:B,_xlpm.party,ledger!E:E,"&lt;&gt;*RD*",ledger!D:D,"Chamki",ledger!C:C,"&lt;&gt;January Closing CF")+
SUMIFS(ledger!J:J,ledger!B:B,_xlpm.party,ledger!E:E,"&lt;&gt;*RD*",ledger!D:D,"Crinkle",ledger!C:C,"&lt;&gt;January Closing CF")
))))</f>
        <v>0</v>
      </c>
      <c r="H66" s="22" cm="1">
        <f t="array" ref="H66">_xlfn.BYROW(B66, _xlfn.LAMBDA(_xlpm.party,
   SUMIFS(ledger!J:J, ledger!B:B, _xlpm.party, ledger!E:E, "&lt;&gt;*RD*", ledger!D:D, "Silky", ledger!C:C, "&lt;&gt;January Closing CF")
))</f>
        <v>0</v>
      </c>
      <c r="I66" s="22" cm="1">
        <f t="array" ref="I66">_xlfn.BYROW(B66, _xlfn.LAMBDA(_xlpm.party,
   SUMIFS(ledger!J:J, ledger!B:B, _xlpm.party, ledger!E:E, "&lt;&gt;*RD*", ledger!D:D, "Slub", ledger!C:C, "&lt;&gt;January Closing CF")
))</f>
        <v>0</v>
      </c>
      <c r="J66" s="22" cm="1">
        <f t="array" ref="J66">_xlfn.BYROW(B66, _xlfn.LAMBDA(_xlpm.party,
   SUMIFS(ledger!J:J, ledger!B:B, _xlpm.party, ledger!E:E, "&lt;&gt;*RD*", ledger!D:D, "Satin", ledger!C:C, "&lt;&gt;January Closing CF")
))</f>
        <v>0</v>
      </c>
      <c r="K66" s="70" cm="1">
        <f t="array" ref="K66">_xlfn.BYROW(B66, _xlfn.LAMBDA(_xlpm.party,
   SUMIFS(ledger!J:J, ledger!B:B, _xlpm.party, ledger!E:E, "&lt;&gt;*RD*", ledger!D:D, "Black-chamki", ledger!C:C, "&lt;&gt;January Closing CF")
))</f>
        <v>0</v>
      </c>
      <c r="L66" s="70" cm="1">
        <f t="array" ref="L66">_xlfn.BYROW(B66, _xlfn.LAMBDA(_xlpm.party,
   SUMIFS(ledger!J:J, ledger!B:B, _xlpm.party, ledger!E:E, "&lt;&gt;*RD*", ledger!D:D, "Kataan", ledger!C:C, "&lt;&gt;January Closing CF")
))</f>
        <v>0</v>
      </c>
      <c r="M66" s="70" cm="1">
        <f t="array" ref="M66">_xlfn.BYROW(B66, _xlfn.LAMBDA(_xlpm.party,
   SUMIFS(ledger!J:J, ledger!B:B, _xlpm.party, ledger!E:E, "&lt;&gt;*RD*", ledger!D:D, "Munaar", ledger!C:C, "&lt;&gt;January Closing CF")
))</f>
        <v>0</v>
      </c>
      <c r="N66" s="70" cm="1">
        <f t="array" ref="N66">_xlfn.BYROW(B66, _xlfn.LAMBDA(_xlpm.party,
   SUMIFS(ledger!J:J, ledger!B:B, _xlpm.party, ledger!E:E, "&lt;&gt;*RD*", ledger!D:D, "Custom", ledger!C:C, "&lt;&gt;January Closing CF")
))</f>
        <v>0</v>
      </c>
      <c r="O66" s="39">
        <f t="shared" si="10"/>
        <v>0</v>
      </c>
      <c r="P66" s="22">
        <f>(SUMIF(Table14[Party],B66,Table14[Credit]))</f>
        <v>0</v>
      </c>
      <c r="Q66" s="37">
        <f t="shared" si="9"/>
        <v>0</v>
      </c>
      <c r="R66" s="21">
        <v>10</v>
      </c>
      <c r="S66" s="21">
        <v>12</v>
      </c>
      <c r="V66" s="4" t="s">
        <v>35</v>
      </c>
      <c r="W66" s="5">
        <v>100178.31016825166</v>
      </c>
      <c r="X66" s="18">
        <v>1202139.72201902</v>
      </c>
    </row>
    <row r="67" spans="2:24" x14ac:dyDescent="0.3">
      <c r="B67" s="80" t="str">
        <v>Amjad sohail</v>
      </c>
      <c r="C67" s="22">
        <v>55625</v>
      </c>
      <c r="D67" s="22">
        <v>50864.118507681058</v>
      </c>
      <c r="E67" s="63">
        <v>2022.6773957571327</v>
      </c>
      <c r="F67" s="63">
        <v>48841.441111923923</v>
      </c>
      <c r="G67" s="22" cm="1">
        <f t="array" ref="G67">(_xlfn.BYROW(B67,_xlfn.LAMBDA(_xlpm.party,
(SUMIFS(ledger!J:J,ledger!B:B,_xlpm.party,ledger!E:E,"&lt;&gt;*RD*",ledger!D:D,"Chamki",ledger!C:C,"&lt;&gt;January Closing CF")+
SUMIFS(ledger!J:J,ledger!B:B,_xlpm.party,ledger!E:E,"&lt;&gt;*RD*",ledger!D:D,"Crinkle",ledger!C:C,"&lt;&gt;January Closing CF")
))))</f>
        <v>20226.773957571328</v>
      </c>
      <c r="H67" s="22" cm="1">
        <f t="array" ref="H67">_xlfn.BYROW(B67, _xlfn.LAMBDA(_xlpm.party,
   SUMIFS(ledger!J:J, ledger!B:B, _xlpm.party, ledger!E:E, "&lt;&gt;*RD*", ledger!D:D, "Silky", ledger!C:C, "&lt;&gt;January Closing CF")
))</f>
        <v>634938.73445501109</v>
      </c>
      <c r="I67" s="22" cm="1">
        <f t="array" ref="I67">_xlfn.BYROW(B67, _xlfn.LAMBDA(_xlpm.party,
   SUMIFS(ledger!J:J, ledger!B:B, _xlpm.party, ledger!E:E, "&lt;&gt;*RD*", ledger!D:D, "Slub", ledger!C:C, "&lt;&gt;January Closing CF")
))</f>
        <v>0</v>
      </c>
      <c r="J67" s="22" cm="1">
        <f t="array" ref="J67">_xlfn.BYROW(B67, _xlfn.LAMBDA(_xlpm.party,
   SUMIFS(ledger!J:J, ledger!B:B, _xlpm.party, ledger!E:E, "&lt;&gt;*RD*", ledger!D:D, "Satin", ledger!C:C, "&lt;&gt;January Closing CF")
))</f>
        <v>0</v>
      </c>
      <c r="K67" s="70" cm="1">
        <f t="array" ref="K67">_xlfn.BYROW(B67, _xlfn.LAMBDA(_xlpm.party,
   SUMIFS(ledger!J:J, ledger!B:B, _xlpm.party, ledger!E:E, "&lt;&gt;*RD*", ledger!D:D, "Black-chamki", ledger!C:C, "&lt;&gt;January Closing CF")
))</f>
        <v>0</v>
      </c>
      <c r="L67" s="70" cm="1">
        <f t="array" ref="L67">_xlfn.BYROW(B67, _xlfn.LAMBDA(_xlpm.party,
   SUMIFS(ledger!J:J, ledger!B:B, _xlpm.party, ledger!E:E, "&lt;&gt;*RD*", ledger!D:D, "Kataan", ledger!C:C, "&lt;&gt;January Closing CF")
))</f>
        <v>0</v>
      </c>
      <c r="M67" s="70" cm="1">
        <f t="array" ref="M67">_xlfn.BYROW(B67, _xlfn.LAMBDA(_xlpm.party,
   SUMIFS(ledger!J:J, ledger!B:B, _xlpm.party, ledger!E:E, "&lt;&gt;*RD*", ledger!D:D, "Munaar", ledger!C:C, "&lt;&gt;January Closing CF")
))</f>
        <v>0</v>
      </c>
      <c r="N67" s="70" cm="1">
        <f t="array" ref="N67">_xlfn.BYROW(B67, _xlfn.LAMBDA(_xlpm.party,
   SUMIFS(ledger!J:J, ledger!B:B, _xlpm.party, ledger!E:E, "&lt;&gt;*RD*", ledger!D:D, "Custom", ledger!C:C, "&lt;&gt;January Closing CF")
))</f>
        <v>0</v>
      </c>
      <c r="O67" s="39">
        <f t="shared" si="10"/>
        <v>655165.50841258245</v>
      </c>
      <c r="P67" s="22">
        <f>(SUMIF(Table14[Party],B67,Table14[Credit]))</f>
        <v>0</v>
      </c>
      <c r="Q67" s="37">
        <f t="shared" si="9"/>
        <v>655165.50841258245</v>
      </c>
      <c r="R67" s="21">
        <v>10</v>
      </c>
      <c r="S67" s="21">
        <v>12</v>
      </c>
      <c r="V67" s="4" t="s">
        <v>148</v>
      </c>
      <c r="W67" s="5">
        <v>0</v>
      </c>
      <c r="X67" s="18">
        <v>0</v>
      </c>
    </row>
    <row r="68" spans="2:24" x14ac:dyDescent="0.3">
      <c r="B68" s="80" t="str">
        <v>Salman Zaffar</v>
      </c>
      <c r="C68" s="22">
        <v>0</v>
      </c>
      <c r="D68" s="22">
        <v>0</v>
      </c>
      <c r="E68" s="63">
        <v>0</v>
      </c>
      <c r="F68" s="63">
        <v>0</v>
      </c>
      <c r="G68" s="22" cm="1">
        <f t="array" ref="G68">(_xlfn.BYROW(B68,_xlfn.LAMBDA(_xlpm.party,
(SUMIFS(ledger!J:J,ledger!B:B,_xlpm.party,ledger!E:E,"&lt;&gt;*RD*",ledger!D:D,"Chamki",ledger!C:C,"&lt;&gt;January Closing CF")+
SUMIFS(ledger!J:J,ledger!B:B,_xlpm.party,ledger!E:E,"&lt;&gt;*RD*",ledger!D:D,"Crinkle",ledger!C:C,"&lt;&gt;January Closing CF")
))))</f>
        <v>0</v>
      </c>
      <c r="H68" s="22" cm="1">
        <f t="array" ref="H68">_xlfn.BYROW(B68, _xlfn.LAMBDA(_xlpm.party,
   SUMIFS(ledger!J:J, ledger!B:B, _xlpm.party, ledger!E:E, "&lt;&gt;*RD*", ledger!D:D, "Silky", ledger!C:C, "&lt;&gt;January Closing CF")
))</f>
        <v>0</v>
      </c>
      <c r="I68" s="22" cm="1">
        <f t="array" ref="I68">_xlfn.BYROW(B68, _xlfn.LAMBDA(_xlpm.party,
   SUMIFS(ledger!J:J, ledger!B:B, _xlpm.party, ledger!E:E, "&lt;&gt;*RD*", ledger!D:D, "Slub", ledger!C:C, "&lt;&gt;January Closing CF")
))</f>
        <v>0</v>
      </c>
      <c r="J68" s="22" cm="1">
        <f t="array" ref="J68">_xlfn.BYROW(B68, _xlfn.LAMBDA(_xlpm.party,
   SUMIFS(ledger!J:J, ledger!B:B, _xlpm.party, ledger!E:E, "&lt;&gt;*RD*", ledger!D:D, "Satin", ledger!C:C, "&lt;&gt;January Closing CF")
))</f>
        <v>0</v>
      </c>
      <c r="K68" s="70" cm="1">
        <f t="array" ref="K68">_xlfn.BYROW(B68, _xlfn.LAMBDA(_xlpm.party,
   SUMIFS(ledger!J:J, ledger!B:B, _xlpm.party, ledger!E:E, "&lt;&gt;*RD*", ledger!D:D, "Black-chamki", ledger!C:C, "&lt;&gt;January Closing CF")
))</f>
        <v>0</v>
      </c>
      <c r="L68" s="70" cm="1">
        <f t="array" ref="L68">_xlfn.BYROW(B68, _xlfn.LAMBDA(_xlpm.party,
   SUMIFS(ledger!J:J, ledger!B:B, _xlpm.party, ledger!E:E, "&lt;&gt;*RD*", ledger!D:D, "Kataan", ledger!C:C, "&lt;&gt;January Closing CF")
))</f>
        <v>0</v>
      </c>
      <c r="M68" s="70" cm="1">
        <f t="array" ref="M68">_xlfn.BYROW(B68, _xlfn.LAMBDA(_xlpm.party,
   SUMIFS(ledger!J:J, ledger!B:B, _xlpm.party, ledger!E:E, "&lt;&gt;*RD*", ledger!D:D, "Munaar", ledger!C:C, "&lt;&gt;January Closing CF")
))</f>
        <v>0</v>
      </c>
      <c r="N68" s="70" cm="1">
        <f t="array" ref="N68">_xlfn.BYROW(B68, _xlfn.LAMBDA(_xlpm.party,
   SUMIFS(ledger!J:J, ledger!B:B, _xlpm.party, ledger!E:E, "&lt;&gt;*RD*", ledger!D:D, "Custom", ledger!C:C, "&lt;&gt;January Closing CF")
))</f>
        <v>0</v>
      </c>
      <c r="O68" s="39">
        <f t="shared" si="10"/>
        <v>0</v>
      </c>
      <c r="P68" s="22">
        <f>(SUMIF(Table14[Party],B68,Table14[Credit]))</f>
        <v>0</v>
      </c>
      <c r="Q68" s="37">
        <f t="shared" si="9"/>
        <v>0</v>
      </c>
      <c r="R68" s="21">
        <v>10</v>
      </c>
      <c r="S68" s="21">
        <v>12</v>
      </c>
      <c r="V68" s="4" t="s">
        <v>27</v>
      </c>
      <c r="W68" s="5">
        <v>215558.70519385519</v>
      </c>
      <c r="X68" s="18">
        <v>1682095.8302852965</v>
      </c>
    </row>
    <row r="69" spans="2:24" x14ac:dyDescent="0.3">
      <c r="B69" s="80" t="str">
        <v>Shahid Qasayi</v>
      </c>
      <c r="C69" s="22">
        <v>83675</v>
      </c>
      <c r="D69" s="22">
        <v>76513.350402340904</v>
      </c>
      <c r="E69" s="63">
        <v>76513.350402340904</v>
      </c>
      <c r="F69" s="21">
        <v>0</v>
      </c>
      <c r="G69" s="22" cm="1">
        <f t="array" ref="G69">(_xlfn.BYROW(B69,_xlfn.LAMBDA(_xlpm.party,
(SUMIFS(ledger!J:J,ledger!B:B,_xlpm.party,ledger!E:E,"&lt;&gt;*RD*",ledger!D:D,"Chamki",ledger!C:C,"&lt;&gt;January Closing CF")+
SUMIFS(ledger!J:J,ledger!B:B,_xlpm.party,ledger!E:E,"&lt;&gt;*RD*",ledger!D:D,"Crinkle",ledger!C:C,"&lt;&gt;January Closing CF")
))))</f>
        <v>765133.50402340898</v>
      </c>
      <c r="H69" s="22" cm="1">
        <f t="array" ref="H69">_xlfn.BYROW(B69, _xlfn.LAMBDA(_xlpm.party,
   SUMIFS(ledger!J:J, ledger!B:B, _xlpm.party, ledger!E:E, "&lt;&gt;*RD*", ledger!D:D, "Silky", ledger!C:C, "&lt;&gt;January Closing CF")
))</f>
        <v>0</v>
      </c>
      <c r="I69" s="22" cm="1">
        <f t="array" ref="I69">_xlfn.BYROW(B69, _xlfn.LAMBDA(_xlpm.party,
   SUMIFS(ledger!J:J, ledger!B:B, _xlpm.party, ledger!E:E, "&lt;&gt;*RD*", ledger!D:D, "Slub", ledger!C:C, "&lt;&gt;January Closing CF")
))</f>
        <v>0</v>
      </c>
      <c r="J69" s="22" cm="1">
        <f t="array" ref="J69">_xlfn.BYROW(B69, _xlfn.LAMBDA(_xlpm.party,
   SUMIFS(ledger!J:J, ledger!B:B, _xlpm.party, ledger!E:E, "&lt;&gt;*RD*", ledger!D:D, "Satin", ledger!C:C, "&lt;&gt;January Closing CF")
))</f>
        <v>0</v>
      </c>
      <c r="K69" s="70" cm="1">
        <f t="array" ref="K69">_xlfn.BYROW(B69, _xlfn.LAMBDA(_xlpm.party,
   SUMIFS(ledger!J:J, ledger!B:B, _xlpm.party, ledger!E:E, "&lt;&gt;*RD*", ledger!D:D, "Black-chamki", ledger!C:C, "&lt;&gt;January Closing CF")
))</f>
        <v>0</v>
      </c>
      <c r="L69" s="70" cm="1">
        <f t="array" ref="L69">_xlfn.BYROW(B69, _xlfn.LAMBDA(_xlpm.party,
   SUMIFS(ledger!J:J, ledger!B:B, _xlpm.party, ledger!E:E, "&lt;&gt;*RD*", ledger!D:D, "Kataan", ledger!C:C, "&lt;&gt;January Closing CF")
))</f>
        <v>0</v>
      </c>
      <c r="M69" s="70" cm="1">
        <f t="array" ref="M69">_xlfn.BYROW(B69, _xlfn.LAMBDA(_xlpm.party,
   SUMIFS(ledger!J:J, ledger!B:B, _xlpm.party, ledger!E:E, "&lt;&gt;*RD*", ledger!D:D, "Munaar", ledger!C:C, "&lt;&gt;January Closing CF")
))</f>
        <v>0</v>
      </c>
      <c r="N69" s="70" cm="1">
        <f t="array" ref="N69">_xlfn.BYROW(B69, _xlfn.LAMBDA(_xlpm.party,
   SUMIFS(ledger!J:J, ledger!B:B, _xlpm.party, ledger!E:E, "&lt;&gt;*RD*", ledger!D:D, "Custom", ledger!C:C, "&lt;&gt;January Closing CF")
))</f>
        <v>0</v>
      </c>
      <c r="O69" s="39">
        <f t="shared" si="10"/>
        <v>765133.50402340898</v>
      </c>
      <c r="P69" s="22">
        <f>(SUMIF(Table14[Party],B69,Table14[Credit]))</f>
        <v>220340</v>
      </c>
      <c r="Q69" s="37">
        <f t="shared" si="9"/>
        <v>544793.50402340898</v>
      </c>
      <c r="R69" s="21">
        <v>10</v>
      </c>
      <c r="S69" s="21">
        <v>12</v>
      </c>
      <c r="V69" s="4" t="s">
        <v>166</v>
      </c>
      <c r="W69" s="5">
        <v>0</v>
      </c>
      <c r="X69" s="18">
        <v>0</v>
      </c>
    </row>
    <row r="70" spans="2:24" x14ac:dyDescent="0.3">
      <c r="B70" s="80" t="str">
        <v>Hameed corporation</v>
      </c>
      <c r="C70">
        <v>0</v>
      </c>
      <c r="D70">
        <v>0</v>
      </c>
      <c r="E70">
        <v>0</v>
      </c>
      <c r="F70">
        <v>0</v>
      </c>
      <c r="G70" s="22" cm="1">
        <f t="array" ref="G70">(_xlfn.BYROW(B70,_xlfn.LAMBDA(_xlpm.party,
(SUMIFS(ledger!J:J,ledger!B:B,_xlpm.party,ledger!E:E,"&lt;&gt;*RD*",ledger!D:D,"Chamki",ledger!C:C,"&lt;&gt;January Closing CF")+
SUMIFS(ledger!J:J,ledger!B:B,_xlpm.party,ledger!E:E,"&lt;&gt;*RD*",ledger!D:D,"Crinkle",ledger!C:C,"&lt;&gt;January Closing CF")
))))</f>
        <v>0</v>
      </c>
      <c r="H70" s="22" cm="1">
        <f t="array" ref="H70">_xlfn.BYROW(B70, _xlfn.LAMBDA(_xlpm.party,
   SUMIFS(ledger!J:J, ledger!B:B, _xlpm.party, ledger!E:E, "&lt;&gt;*RD*", ledger!D:D, "Silky", ledger!C:C, "&lt;&gt;January Closing CF")
))</f>
        <v>0</v>
      </c>
      <c r="I70" s="22" cm="1">
        <f t="array" ref="I70">_xlfn.BYROW(B70, _xlfn.LAMBDA(_xlpm.party,
   SUMIFS(ledger!J:J, ledger!B:B, _xlpm.party, ledger!E:E, "&lt;&gt;*RD*", ledger!D:D, "Slub", ledger!C:C, "&lt;&gt;January Closing CF")
))</f>
        <v>0</v>
      </c>
      <c r="J70" s="22" cm="1">
        <f t="array" ref="J70">_xlfn.BYROW(B70, _xlfn.LAMBDA(_xlpm.party,
   SUMIFS(ledger!J:J, ledger!B:B, _xlpm.party, ledger!E:E, "&lt;&gt;*RD*", ledger!D:D, "Satin", ledger!C:C, "&lt;&gt;January Closing CF")
))</f>
        <v>0</v>
      </c>
      <c r="K70" s="70" cm="1">
        <f t="array" ref="K70">_xlfn.BYROW(B70, _xlfn.LAMBDA(_xlpm.party,
   SUMIFS(ledger!J:J, ledger!B:B, _xlpm.party, ledger!E:E, "&lt;&gt;*RD*", ledger!D:D, "Black-chamki", ledger!C:C, "&lt;&gt;January Closing CF")
))</f>
        <v>0</v>
      </c>
      <c r="L70" s="70" cm="1">
        <f t="array" ref="L70">_xlfn.BYROW(B70, _xlfn.LAMBDA(_xlpm.party,
   SUMIFS(ledger!J:J, ledger!B:B, _xlpm.party, ledger!E:E, "&lt;&gt;*RD*", ledger!D:D, "Kataan", ledger!C:C, "&lt;&gt;January Closing CF")
))</f>
        <v>0</v>
      </c>
      <c r="M70" s="70" cm="1">
        <f t="array" ref="M70">_xlfn.BYROW(B70, _xlfn.LAMBDA(_xlpm.party,
   SUMIFS(ledger!J:J, ledger!B:B, _xlpm.party, ledger!E:E, "&lt;&gt;*RD*", ledger!D:D, "Munaar", ledger!C:C, "&lt;&gt;January Closing CF")
))</f>
        <v>0</v>
      </c>
      <c r="N70" s="70" cm="1">
        <f t="array" ref="N70">_xlfn.BYROW(B70, _xlfn.LAMBDA(_xlpm.party,
   SUMIFS(ledger!J:J, ledger!B:B, _xlpm.party, ledger!E:E, "&lt;&gt;*RD*", ledger!D:D, "Custom", ledger!C:C, "&lt;&gt;January Closing CF")
))</f>
        <v>0</v>
      </c>
      <c r="O70" s="39">
        <f t="shared" si="10"/>
        <v>0</v>
      </c>
      <c r="P70" s="22">
        <f>(SUMIF(Table14[Party],B70,Table14[Credit]))</f>
        <v>0</v>
      </c>
      <c r="Q70" s="37">
        <f t="shared" si="9"/>
        <v>0</v>
      </c>
      <c r="V70" s="4" t="s">
        <v>219</v>
      </c>
      <c r="W70" s="5">
        <v>0</v>
      </c>
      <c r="X70" s="18">
        <v>0</v>
      </c>
    </row>
    <row r="71" spans="2:24" x14ac:dyDescent="0.3">
      <c r="B71" s="80" t="str">
        <v>ibraheem behraam</v>
      </c>
      <c r="C71">
        <v>37934</v>
      </c>
      <c r="D71">
        <v>34687.271397220196</v>
      </c>
      <c r="E71">
        <v>0</v>
      </c>
      <c r="F71">
        <v>34687.271397220196</v>
      </c>
      <c r="G71" s="22" cm="1">
        <f t="array" ref="G71">(_xlfn.BYROW(B71,_xlfn.LAMBDA(_xlpm.party,
(SUMIFS(ledger!J:J,ledger!B:B,_xlpm.party,ledger!E:E,"&lt;&gt;*RD*",ledger!D:D,"Chamki",ledger!C:C,"&lt;&gt;January Closing CF")+
SUMIFS(ledger!J:J,ledger!B:B,_xlpm.party,ledger!E:E,"&lt;&gt;*RD*",ledger!D:D,"Crinkle",ledger!C:C,"&lt;&gt;January Closing CF")
))))</f>
        <v>0</v>
      </c>
      <c r="H71" s="22" cm="1">
        <f t="array" ref="H71">_xlfn.BYROW(B71, _xlfn.LAMBDA(_xlpm.party,
   SUMIFS(ledger!J:J, ledger!B:B, _xlpm.party, ledger!E:E, "&lt;&gt;*RD*", ledger!D:D, "Silky", ledger!C:C, "&lt;&gt;January Closing CF")
))</f>
        <v>450934.52816386253</v>
      </c>
      <c r="I71" s="22" cm="1">
        <f t="array" ref="I71">_xlfn.BYROW(B71, _xlfn.LAMBDA(_xlpm.party,
   SUMIFS(ledger!J:J, ledger!B:B, _xlpm.party, ledger!E:E, "&lt;&gt;*RD*", ledger!D:D, "Slub", ledger!C:C, "&lt;&gt;January Closing CF")
))</f>
        <v>0</v>
      </c>
      <c r="J71" s="22" cm="1">
        <f t="array" ref="J71">_xlfn.BYROW(B71, _xlfn.LAMBDA(_xlpm.party,
   SUMIFS(ledger!J:J, ledger!B:B, _xlpm.party, ledger!E:E, "&lt;&gt;*RD*", ledger!D:D, "Satin", ledger!C:C, "&lt;&gt;January Closing CF")
))</f>
        <v>0</v>
      </c>
      <c r="K71" s="70" cm="1">
        <f t="array" ref="K71">_xlfn.BYROW(B71, _xlfn.LAMBDA(_xlpm.party,
   SUMIFS(ledger!J:J, ledger!B:B, _xlpm.party, ledger!E:E, "&lt;&gt;*RD*", ledger!D:D, "Black-chamki", ledger!C:C, "&lt;&gt;January Closing CF")
))</f>
        <v>0</v>
      </c>
      <c r="L71" s="70" cm="1">
        <f t="array" ref="L71">_xlfn.BYROW(B71, _xlfn.LAMBDA(_xlpm.party,
   SUMIFS(ledger!J:J, ledger!B:B, _xlpm.party, ledger!E:E, "&lt;&gt;*RD*", ledger!D:D, "Kataan", ledger!C:C, "&lt;&gt;January Closing CF")
))</f>
        <v>0</v>
      </c>
      <c r="M71" s="70" cm="1">
        <f t="array" ref="M71">_xlfn.BYROW(B71, _xlfn.LAMBDA(_xlpm.party,
   SUMIFS(ledger!J:J, ledger!B:B, _xlpm.party, ledger!E:E, "&lt;&gt;*RD*", ledger!D:D, "Munaar", ledger!C:C, "&lt;&gt;January Closing CF")
))</f>
        <v>0</v>
      </c>
      <c r="N71" s="70" cm="1">
        <f t="array" ref="N71">_xlfn.BYROW(B71, _xlfn.LAMBDA(_xlpm.party,
   SUMIFS(ledger!J:J, ledger!B:B, _xlpm.party, ledger!E:E, "&lt;&gt;*RD*", ledger!D:D, "Custom", ledger!C:C, "&lt;&gt;January Closing CF")
))</f>
        <v>0</v>
      </c>
      <c r="O71" s="39">
        <f t="shared" si="10"/>
        <v>450934.52816386253</v>
      </c>
      <c r="P71" s="22">
        <f>(SUMIF(Table14[Party],B71,Table14[Credit]))</f>
        <v>308000</v>
      </c>
      <c r="Q71" s="37">
        <f t="shared" si="9"/>
        <v>142934.52816386253</v>
      </c>
      <c r="V71" s="4" t="s">
        <v>170</v>
      </c>
      <c r="W71" s="5">
        <v>0</v>
      </c>
      <c r="X71" s="18">
        <v>0</v>
      </c>
    </row>
    <row r="72" spans="2:24" x14ac:dyDescent="0.3">
      <c r="B72" s="80" t="str">
        <v>Zia-ullah karachi</v>
      </c>
      <c r="C72">
        <v>0</v>
      </c>
      <c r="D72">
        <v>0</v>
      </c>
      <c r="E72">
        <v>0</v>
      </c>
      <c r="F72">
        <v>0</v>
      </c>
      <c r="G72" s="22" cm="1">
        <f t="array" ref="G72">(_xlfn.BYROW(B72,_xlfn.LAMBDA(_xlpm.party,
(SUMIFS(ledger!J:J,ledger!B:B,_xlpm.party,ledger!E:E,"&lt;&gt;*RD*",ledger!D:D,"Chamki",ledger!C:C,"&lt;&gt;January Closing CF")+
SUMIFS(ledger!J:J,ledger!B:B,_xlpm.party,ledger!E:E,"&lt;&gt;*RD*",ledger!D:D,"Crinkle",ledger!C:C,"&lt;&gt;January Closing CF")
))))</f>
        <v>0</v>
      </c>
      <c r="H72" s="22" cm="1">
        <f t="array" ref="H72">_xlfn.BYROW(B72, _xlfn.LAMBDA(_xlpm.party,
   SUMIFS(ledger!J:J, ledger!B:B, _xlpm.party, ledger!E:E, "&lt;&gt;*RD*", ledger!D:D, "Silky", ledger!C:C, "&lt;&gt;January Closing CF")
))</f>
        <v>0</v>
      </c>
      <c r="I72" s="22" cm="1">
        <f t="array" ref="I72">_xlfn.BYROW(B72, _xlfn.LAMBDA(_xlpm.party,
   SUMIFS(ledger!J:J, ledger!B:B, _xlpm.party, ledger!E:E, "&lt;&gt;*RD*", ledger!D:D, "Slub", ledger!C:C, "&lt;&gt;January Closing CF")
))</f>
        <v>0</v>
      </c>
      <c r="J72" s="22" cm="1">
        <f t="array" ref="J72">_xlfn.BYROW(B72, _xlfn.LAMBDA(_xlpm.party,
   SUMIFS(ledger!J:J, ledger!B:B, _xlpm.party, ledger!E:E, "&lt;&gt;*RD*", ledger!D:D, "Satin", ledger!C:C, "&lt;&gt;January Closing CF")
))</f>
        <v>0</v>
      </c>
      <c r="K72" s="70" cm="1">
        <f t="array" ref="K72">_xlfn.BYROW(B72, _xlfn.LAMBDA(_xlpm.party,
   SUMIFS(ledger!J:J, ledger!B:B, _xlpm.party, ledger!E:E, "&lt;&gt;*RD*", ledger!D:D, "Black-chamki", ledger!C:C, "&lt;&gt;January Closing CF")
))</f>
        <v>0</v>
      </c>
      <c r="L72" s="70" cm="1">
        <f t="array" ref="L72">_xlfn.BYROW(B72, _xlfn.LAMBDA(_xlpm.party,
   SUMIFS(ledger!J:J, ledger!B:B, _xlpm.party, ledger!E:E, "&lt;&gt;*RD*", ledger!D:D, "Kataan", ledger!C:C, "&lt;&gt;January Closing CF")
))</f>
        <v>0</v>
      </c>
      <c r="M72" s="70" cm="1">
        <f t="array" ref="M72">_xlfn.BYROW(B72, _xlfn.LAMBDA(_xlpm.party,
   SUMIFS(ledger!J:J, ledger!B:B, _xlpm.party, ledger!E:E, "&lt;&gt;*RD*", ledger!D:D, "Munaar", ledger!C:C, "&lt;&gt;January Closing CF")
))</f>
        <v>0</v>
      </c>
      <c r="N72" s="70" cm="1">
        <f t="array" ref="N72">_xlfn.BYROW(B72, _xlfn.LAMBDA(_xlpm.party,
   SUMIFS(ledger!J:J, ledger!B:B, _xlpm.party, ledger!E:E, "&lt;&gt;*RD*", ledger!D:D, "Custom", ledger!C:C, "&lt;&gt;January Closing CF")
))</f>
        <v>0</v>
      </c>
      <c r="O72" s="39">
        <f t="shared" si="10"/>
        <v>0</v>
      </c>
      <c r="P72" s="22">
        <f>(SUMIF(Table14[Party],B72,Table14[Credit]))</f>
        <v>0</v>
      </c>
      <c r="Q72" s="37">
        <f t="shared" si="9"/>
        <v>0</v>
      </c>
      <c r="V72" s="4" t="s">
        <v>171</v>
      </c>
      <c r="W72" s="5">
        <v>0</v>
      </c>
      <c r="X72" s="18">
        <v>0</v>
      </c>
    </row>
    <row r="73" spans="2:24" x14ac:dyDescent="0.3">
      <c r="B73" s="80" t="str">
        <v>ZA</v>
      </c>
      <c r="C73">
        <v>0</v>
      </c>
      <c r="D73">
        <v>0</v>
      </c>
      <c r="E73">
        <v>0</v>
      </c>
      <c r="F73">
        <v>0</v>
      </c>
      <c r="G73" s="22" cm="1">
        <f t="array" ref="G73">(_xlfn.BYROW(B73,_xlfn.LAMBDA(_xlpm.party,
(SUMIFS(ledger!J:J,ledger!B:B,_xlpm.party,ledger!E:E,"&lt;&gt;*RD*",ledger!D:D,"Chamki",ledger!C:C,"&lt;&gt;January Closing CF")+
SUMIFS(ledger!J:J,ledger!B:B,_xlpm.party,ledger!E:E,"&lt;&gt;*RD*",ledger!D:D,"Crinkle",ledger!C:C,"&lt;&gt;January Closing CF")
))))</f>
        <v>0</v>
      </c>
      <c r="H73" s="22" cm="1">
        <f t="array" ref="H73">_xlfn.BYROW(B73, _xlfn.LAMBDA(_xlpm.party,
   SUMIFS(ledger!J:J, ledger!B:B, _xlpm.party, ledger!E:E, "&lt;&gt;*RD*", ledger!D:D, "Silky", ledger!C:C, "&lt;&gt;January Closing CF")
))</f>
        <v>0</v>
      </c>
      <c r="I73" s="22" cm="1">
        <f t="array" ref="I73">_xlfn.BYROW(B73, _xlfn.LAMBDA(_xlpm.party,
   SUMIFS(ledger!J:J, ledger!B:B, _xlpm.party, ledger!E:E, "&lt;&gt;*RD*", ledger!D:D, "Slub", ledger!C:C, "&lt;&gt;January Closing CF")
))</f>
        <v>0</v>
      </c>
      <c r="J73" s="22" cm="1">
        <f t="array" ref="J73">_xlfn.BYROW(B73, _xlfn.LAMBDA(_xlpm.party,
   SUMIFS(ledger!J:J, ledger!B:B, _xlpm.party, ledger!E:E, "&lt;&gt;*RD*", ledger!D:D, "Satin", ledger!C:C, "&lt;&gt;January Closing CF")
))</f>
        <v>0</v>
      </c>
      <c r="K73" s="70" cm="1">
        <f t="array" ref="K73">_xlfn.BYROW(B73, _xlfn.LAMBDA(_xlpm.party,
   SUMIFS(ledger!J:J, ledger!B:B, _xlpm.party, ledger!E:E, "&lt;&gt;*RD*", ledger!D:D, "Black-chamki", ledger!C:C, "&lt;&gt;January Closing CF")
))</f>
        <v>0</v>
      </c>
      <c r="L73" s="70" cm="1">
        <f t="array" ref="L73">_xlfn.BYROW(B73, _xlfn.LAMBDA(_xlpm.party,
   SUMIFS(ledger!J:J, ledger!B:B, _xlpm.party, ledger!E:E, "&lt;&gt;*RD*", ledger!D:D, "Kataan", ledger!C:C, "&lt;&gt;January Closing CF")
))</f>
        <v>0</v>
      </c>
      <c r="M73" s="70" cm="1">
        <f t="array" ref="M73">_xlfn.BYROW(B73, _xlfn.LAMBDA(_xlpm.party,
   SUMIFS(ledger!J:J, ledger!B:B, _xlpm.party, ledger!E:E, "&lt;&gt;*RD*", ledger!D:D, "Munaar", ledger!C:C, "&lt;&gt;January Closing CF")
))</f>
        <v>0</v>
      </c>
      <c r="N73" s="70" cm="1">
        <f t="array" ref="N73">_xlfn.BYROW(B73, _xlfn.LAMBDA(_xlpm.party,
   SUMIFS(ledger!J:J, ledger!B:B, _xlpm.party, ledger!E:E, "&lt;&gt;*RD*", ledger!D:D, "Custom", ledger!C:C, "&lt;&gt;January Closing CF")
))</f>
        <v>0</v>
      </c>
      <c r="O73" s="39">
        <f t="shared" si="10"/>
        <v>0</v>
      </c>
      <c r="P73" s="22">
        <f>(SUMIF(Table14[Party],B73,Table14[Credit]))</f>
        <v>135000</v>
      </c>
      <c r="Q73" s="37">
        <f t="shared" si="9"/>
        <v>-135000</v>
      </c>
      <c r="V73" s="4" t="s">
        <v>173</v>
      </c>
      <c r="W73" s="5">
        <v>0</v>
      </c>
      <c r="X73" s="18">
        <v>0</v>
      </c>
    </row>
    <row r="74" spans="2:24" x14ac:dyDescent="0.3">
      <c r="B74" s="80" t="str">
        <v>Ahmad Javaid</v>
      </c>
      <c r="C74">
        <v>0</v>
      </c>
      <c r="D74">
        <v>0</v>
      </c>
      <c r="E74">
        <v>0</v>
      </c>
      <c r="F74">
        <v>0</v>
      </c>
      <c r="G74" s="22" cm="1">
        <f t="array" ref="G74">(_xlfn.BYROW(B74,_xlfn.LAMBDA(_xlpm.party,
(SUMIFS(ledger!J:J,ledger!B:B,_xlpm.party,ledger!E:E,"&lt;&gt;*RD*",ledger!D:D,"Chamki",ledger!C:C,"&lt;&gt;January Closing CF")+
SUMIFS(ledger!J:J,ledger!B:B,_xlpm.party,ledger!E:E,"&lt;&gt;*RD*",ledger!D:D,"Crinkle",ledger!C:C,"&lt;&gt;January Closing CF")
))))</f>
        <v>0</v>
      </c>
      <c r="H74" s="22" cm="1">
        <f t="array" ref="H74">_xlfn.BYROW(B74, _xlfn.LAMBDA(_xlpm.party,
   SUMIFS(ledger!J:J, ledger!B:B, _xlpm.party, ledger!E:E, "&lt;&gt;*RD*", ledger!D:D, "Silky", ledger!C:C, "&lt;&gt;January Closing CF")
))</f>
        <v>0</v>
      </c>
      <c r="I74" s="22" cm="1">
        <f t="array" ref="I74">_xlfn.BYROW(B74, _xlfn.LAMBDA(_xlpm.party,
   SUMIFS(ledger!J:J, ledger!B:B, _xlpm.party, ledger!E:E, "&lt;&gt;*RD*", ledger!D:D, "Slub", ledger!C:C, "&lt;&gt;January Closing CF")
))</f>
        <v>0</v>
      </c>
      <c r="J74" s="22" cm="1">
        <f t="array" ref="J74">_xlfn.BYROW(B74, _xlfn.LAMBDA(_xlpm.party,
   SUMIFS(ledger!J:J, ledger!B:B, _xlpm.party, ledger!E:E, "&lt;&gt;*RD*", ledger!D:D, "Satin", ledger!C:C, "&lt;&gt;January Closing CF")
))</f>
        <v>0</v>
      </c>
      <c r="K74" s="70" cm="1">
        <f t="array" ref="K74">_xlfn.BYROW(B74, _xlfn.LAMBDA(_xlpm.party,
   SUMIFS(ledger!J:J, ledger!B:B, _xlpm.party, ledger!E:E, "&lt;&gt;*RD*", ledger!D:D, "Black-chamki", ledger!C:C, "&lt;&gt;January Closing CF")
))</f>
        <v>0</v>
      </c>
      <c r="L74" s="70" cm="1">
        <f t="array" ref="L74">_xlfn.BYROW(B74, _xlfn.LAMBDA(_xlpm.party,
   SUMIFS(ledger!J:J, ledger!B:B, _xlpm.party, ledger!E:E, "&lt;&gt;*RD*", ledger!D:D, "Kataan", ledger!C:C, "&lt;&gt;January Closing CF")
))</f>
        <v>0</v>
      </c>
      <c r="M74" s="70" cm="1">
        <f t="array" ref="M74">_xlfn.BYROW(B74, _xlfn.LAMBDA(_xlpm.party,
   SUMIFS(ledger!J:J, ledger!B:B, _xlpm.party, ledger!E:E, "&lt;&gt;*RD*", ledger!D:D, "Munaar", ledger!C:C, "&lt;&gt;January Closing CF")
))</f>
        <v>0</v>
      </c>
      <c r="N74" s="70" cm="1">
        <f t="array" ref="N74">_xlfn.BYROW(B74, _xlfn.LAMBDA(_xlpm.party,
   SUMIFS(ledger!J:J, ledger!B:B, _xlpm.party, ledger!E:E, "&lt;&gt;*RD*", ledger!D:D, "Custom", ledger!C:C, "&lt;&gt;January Closing CF")
))</f>
        <v>0</v>
      </c>
      <c r="O74" s="39">
        <f t="shared" si="10"/>
        <v>0</v>
      </c>
      <c r="P74" s="22">
        <f>(SUMIF(Table14[Party],B74,Table14[Credit]))</f>
        <v>130000</v>
      </c>
      <c r="Q74" s="37">
        <f t="shared" si="9"/>
        <v>-130000</v>
      </c>
      <c r="V74" s="4" t="s">
        <v>175</v>
      </c>
      <c r="W74" s="5">
        <v>50968.361375274326</v>
      </c>
      <c r="X74" s="18">
        <v>611620.33650329197</v>
      </c>
    </row>
    <row r="75" spans="2:24" x14ac:dyDescent="0.3">
      <c r="B75" s="80" t="str">
        <v>Shani Badshah</v>
      </c>
      <c r="C75">
        <v>112287</v>
      </c>
      <c r="D75">
        <v>102676.48134601317</v>
      </c>
      <c r="E75">
        <v>102676.48134601317</v>
      </c>
      <c r="F75">
        <v>0</v>
      </c>
      <c r="G75" s="22" cm="1">
        <f t="array" ref="G75">(_xlfn.BYROW(B75,_xlfn.LAMBDA(_xlpm.party,
(SUMIFS(ledger!J:J,ledger!B:B,_xlpm.party,ledger!E:E,"&lt;&gt;*RD*",ledger!D:D,"Chamki",ledger!C:C,"&lt;&gt;January Closing CF")+
SUMIFS(ledger!J:J,ledger!B:B,_xlpm.party,ledger!E:E,"&lt;&gt;*RD*",ledger!D:D,"Crinkle",ledger!C:C,"&lt;&gt;January Closing CF")
))))</f>
        <v>1026764.8134601318</v>
      </c>
      <c r="H75" s="22" cm="1">
        <f t="array" ref="H75">_xlfn.BYROW(B75, _xlfn.LAMBDA(_xlpm.party,
   SUMIFS(ledger!J:J, ledger!B:B, _xlpm.party, ledger!E:E, "&lt;&gt;*RD*", ledger!D:D, "Silky", ledger!C:C, "&lt;&gt;January Closing CF")
))</f>
        <v>0</v>
      </c>
      <c r="I75" s="22" cm="1">
        <f t="array" ref="I75">_xlfn.BYROW(B75, _xlfn.LAMBDA(_xlpm.party,
   SUMIFS(ledger!J:J, ledger!B:B, _xlpm.party, ledger!E:E, "&lt;&gt;*RD*", ledger!D:D, "Slub", ledger!C:C, "&lt;&gt;January Closing CF")
))</f>
        <v>0</v>
      </c>
      <c r="J75" s="22" cm="1">
        <f t="array" ref="J75">_xlfn.BYROW(B75, _xlfn.LAMBDA(_xlpm.party,
   SUMIFS(ledger!J:J, ledger!B:B, _xlpm.party, ledger!E:E, "&lt;&gt;*RD*", ledger!D:D, "Satin", ledger!C:C, "&lt;&gt;January Closing CF")
))</f>
        <v>0</v>
      </c>
      <c r="K75" s="70" cm="1">
        <f t="array" ref="K75">_xlfn.BYROW(B75, _xlfn.LAMBDA(_xlpm.party,
   SUMIFS(ledger!J:J, ledger!B:B, _xlpm.party, ledger!E:E, "&lt;&gt;*RD*", ledger!D:D, "Black-chamki", ledger!C:C, "&lt;&gt;January Closing CF")
))</f>
        <v>0</v>
      </c>
      <c r="L75" s="70" cm="1">
        <f t="array" ref="L75">_xlfn.BYROW(B75, _xlfn.LAMBDA(_xlpm.party,
   SUMIFS(ledger!J:J, ledger!B:B, _xlpm.party, ledger!E:E, "&lt;&gt;*RD*", ledger!D:D, "Kataan", ledger!C:C, "&lt;&gt;January Closing CF")
))</f>
        <v>0</v>
      </c>
      <c r="M75" s="70" cm="1">
        <f t="array" ref="M75">_xlfn.BYROW(B75, _xlfn.LAMBDA(_xlpm.party,
   SUMIFS(ledger!J:J, ledger!B:B, _xlpm.party, ledger!E:E, "&lt;&gt;*RD*", ledger!D:D, "Munaar", ledger!C:C, "&lt;&gt;January Closing CF")
))</f>
        <v>0</v>
      </c>
      <c r="N75" s="70" cm="1">
        <f t="array" ref="N75">_xlfn.BYROW(B75, _xlfn.LAMBDA(_xlpm.party,
   SUMIFS(ledger!J:J, ledger!B:B, _xlpm.party, ledger!E:E, "&lt;&gt;*RD*", ledger!D:D, "Custom", ledger!C:C, "&lt;&gt;January Closing CF")
))</f>
        <v>0</v>
      </c>
      <c r="O75" s="39">
        <f t="shared" si="10"/>
        <v>1026764.8134601318</v>
      </c>
      <c r="P75" s="22">
        <f>(SUMIF(Table14[Party],B75,Table14[Credit]))</f>
        <v>1816071</v>
      </c>
      <c r="Q75" s="37">
        <f t="shared" si="9"/>
        <v>-789306.18653986824</v>
      </c>
      <c r="V75" s="4" t="s">
        <v>28</v>
      </c>
      <c r="W75" s="14">
        <v>1482683.796634967</v>
      </c>
      <c r="X75" s="14">
        <v>12542578.639356256</v>
      </c>
    </row>
    <row r="76" spans="2:24" x14ac:dyDescent="0.3">
      <c r="B76" t="str">
        <v>Rehman Ali</v>
      </c>
      <c r="C76">
        <v>0</v>
      </c>
      <c r="D76">
        <v>0</v>
      </c>
      <c r="E76">
        <v>0</v>
      </c>
      <c r="F76">
        <v>0</v>
      </c>
      <c r="G76" s="22" cm="1">
        <f t="array" ref="G76">(_xlfn.BYROW(B76,_xlfn.LAMBDA(_xlpm.party,
(SUMIFS(ledger!J:J,ledger!B:B,_xlpm.party,ledger!E:E,"&lt;&gt;*RD*",ledger!D:D,"Chamki",ledger!C:C,"&lt;&gt;January Closing CF")+
SUMIFS(ledger!J:J,ledger!B:B,_xlpm.party,ledger!E:E,"&lt;&gt;*RD*",ledger!D:D,"Crinkle",ledger!C:C,"&lt;&gt;January Closing CF")
))))</f>
        <v>0</v>
      </c>
      <c r="H76" s="22" cm="1">
        <f t="array" ref="H76">_xlfn.BYROW(B76, _xlfn.LAMBDA(_xlpm.party,
   SUMIFS(ledger!J:J, ledger!B:B, _xlpm.party, ledger!E:E, "&lt;&gt;*RD*", ledger!D:D, "Silky", ledger!C:C, "&lt;&gt;January Closing CF")
))</f>
        <v>0</v>
      </c>
      <c r="I76" s="22" cm="1">
        <f t="array" ref="I76">_xlfn.BYROW(B76, _xlfn.LAMBDA(_xlpm.party,
   SUMIFS(ledger!J:J, ledger!B:B, _xlpm.party, ledger!E:E, "&lt;&gt;*RD*", ledger!D:D, "Slub", ledger!C:C, "&lt;&gt;January Closing CF")
))</f>
        <v>0</v>
      </c>
      <c r="J76" s="22" cm="1">
        <f t="array" ref="J76">_xlfn.BYROW(B76, _xlfn.LAMBDA(_xlpm.party,
   SUMIFS(ledger!J:J, ledger!B:B, _xlpm.party, ledger!E:E, "&lt;&gt;*RD*", ledger!D:D, "Satin", ledger!C:C, "&lt;&gt;January Closing CF")
))</f>
        <v>0</v>
      </c>
      <c r="K76" s="70" cm="1">
        <f t="array" ref="K76">_xlfn.BYROW(B76, _xlfn.LAMBDA(_xlpm.party,
   SUMIFS(ledger!J:J, ledger!B:B, _xlpm.party, ledger!E:E, "&lt;&gt;*RD*", ledger!D:D, "Black-chamki", ledger!C:C, "&lt;&gt;January Closing CF")
))</f>
        <v>0</v>
      </c>
      <c r="L76" s="70" cm="1">
        <f t="array" ref="L76">_xlfn.BYROW(B76, _xlfn.LAMBDA(_xlpm.party,
   SUMIFS(ledger!J:J, ledger!B:B, _xlpm.party, ledger!E:E, "&lt;&gt;*RD*", ledger!D:D, "Kataan", ledger!C:C, "&lt;&gt;January Closing CF")
))</f>
        <v>0</v>
      </c>
      <c r="M76" s="70" cm="1">
        <f t="array" ref="M76">_xlfn.BYROW(B76, _xlfn.LAMBDA(_xlpm.party,
   SUMIFS(ledger!J:J, ledger!B:B, _xlpm.party, ledger!E:E, "&lt;&gt;*RD*", ledger!D:D, "Munaar", ledger!C:C, "&lt;&gt;January Closing CF")
))</f>
        <v>0</v>
      </c>
      <c r="N76" s="70" cm="1">
        <f t="array" ref="N76">_xlfn.BYROW(B76, _xlfn.LAMBDA(_xlpm.party,
   SUMIFS(ledger!J:J, ledger!B:B, _xlpm.party, ledger!E:E, "&lt;&gt;*RD*", ledger!D:D, "Custom", ledger!C:C, "&lt;&gt;January Closing CF")
))</f>
        <v>0</v>
      </c>
      <c r="O76" s="39">
        <f t="shared" si="10"/>
        <v>0</v>
      </c>
      <c r="P76" s="22">
        <f>SUMIF(Table14[Party], B76, Table14[Credit])</f>
        <v>0</v>
      </c>
      <c r="Q76" s="37">
        <f t="shared" si="9"/>
        <v>0</v>
      </c>
    </row>
    <row r="77" spans="2:24" x14ac:dyDescent="0.3">
      <c r="B77" t="str">
        <v>Ahmad Shafique</v>
      </c>
      <c r="C77">
        <v>0</v>
      </c>
      <c r="D77">
        <v>0</v>
      </c>
      <c r="E77">
        <v>0</v>
      </c>
      <c r="F77">
        <v>0</v>
      </c>
      <c r="G77" s="22" cm="1">
        <f t="array" ref="G77">(_xlfn.BYROW(B77,_xlfn.LAMBDA(_xlpm.party,
(SUMIFS(ledger!J:J,ledger!B:B,_xlpm.party,ledger!E:E,"&lt;&gt;*RD*",ledger!D:D,"Chamki",ledger!C:C,"&lt;&gt;January Closing CF")+
SUMIFS(ledger!J:J,ledger!B:B,_xlpm.party,ledger!E:E,"&lt;&gt;*RD*",ledger!D:D,"Crinkle",ledger!C:C,"&lt;&gt;January Closing CF")
))))</f>
        <v>0</v>
      </c>
      <c r="H77" s="22" cm="1">
        <f t="array" ref="H77">_xlfn.BYROW(B77, _xlfn.LAMBDA(_xlpm.party,
   SUMIFS(ledger!J:J, ledger!B:B, _xlpm.party, ledger!E:E, "&lt;&gt;*RD*", ledger!D:D, "Silky", ledger!C:C, "&lt;&gt;January Closing CF")
))</f>
        <v>0</v>
      </c>
      <c r="I77" s="22" cm="1">
        <f t="array" ref="I77">_xlfn.BYROW(B77, _xlfn.LAMBDA(_xlpm.party,
   SUMIFS(ledger!J:J, ledger!B:B, _xlpm.party, ledger!E:E, "&lt;&gt;*RD*", ledger!D:D, "Slub", ledger!C:C, "&lt;&gt;January Closing CF")
))</f>
        <v>0</v>
      </c>
      <c r="J77" s="22" cm="1">
        <f t="array" ref="J77">_xlfn.BYROW(B77, _xlfn.LAMBDA(_xlpm.party,
   SUMIFS(ledger!J:J, ledger!B:B, _xlpm.party, ledger!E:E, "&lt;&gt;*RD*", ledger!D:D, "Satin", ledger!C:C, "&lt;&gt;January Closing CF")
))</f>
        <v>0</v>
      </c>
      <c r="K77" s="70" cm="1">
        <f t="array" ref="K77">_xlfn.BYROW(B77, _xlfn.LAMBDA(_xlpm.party,
   SUMIFS(ledger!J:J, ledger!B:B, _xlpm.party, ledger!E:E, "&lt;&gt;*RD*", ledger!D:D, "Black-chamki", ledger!C:C, "&lt;&gt;January Closing CF")
))</f>
        <v>0</v>
      </c>
      <c r="L77" s="70" cm="1">
        <f t="array" ref="L77">_xlfn.BYROW(B77, _xlfn.LAMBDA(_xlpm.party,
   SUMIFS(ledger!J:J, ledger!B:B, _xlpm.party, ledger!E:E, "&lt;&gt;*RD*", ledger!D:D, "Kataan", ledger!C:C, "&lt;&gt;January Closing CF")
))</f>
        <v>0</v>
      </c>
      <c r="M77" s="70" cm="1">
        <f t="array" ref="M77">_xlfn.BYROW(B77, _xlfn.LAMBDA(_xlpm.party,
   SUMIFS(ledger!J:J, ledger!B:B, _xlpm.party, ledger!E:E, "&lt;&gt;*RD*", ledger!D:D, "Munaar", ledger!C:C, "&lt;&gt;January Closing CF")
))</f>
        <v>0</v>
      </c>
      <c r="N77" s="70" cm="1">
        <f t="array" ref="N77">_xlfn.BYROW(B77, _xlfn.LAMBDA(_xlpm.party,
   SUMIFS(ledger!J:J, ledger!B:B, _xlpm.party, ledger!E:E, "&lt;&gt;*RD*", ledger!D:D, "Custom", ledger!C:C, "&lt;&gt;January Closing CF")
))</f>
        <v>0</v>
      </c>
      <c r="O77" s="39">
        <f t="shared" si="10"/>
        <v>0</v>
      </c>
      <c r="P77" s="22">
        <f>SUMIF(Table14[Party], B77, Table14[Credit])</f>
        <v>0</v>
      </c>
      <c r="Q77" s="37">
        <f t="shared" si="9"/>
        <v>0</v>
      </c>
    </row>
    <row r="78" spans="2:24" x14ac:dyDescent="0.3">
      <c r="B78" t="str">
        <v>Hafiz Shawl</v>
      </c>
      <c r="C78">
        <v>31950</v>
      </c>
      <c r="D78">
        <v>29215.43525969276</v>
      </c>
      <c r="E78">
        <v>0</v>
      </c>
      <c r="F78">
        <v>0</v>
      </c>
      <c r="G78" s="22" cm="1">
        <f t="array" ref="G78">(_xlfn.BYROW(B78,_xlfn.LAMBDA(_xlpm.party,
(SUMIFS(ledger!J:J,ledger!B:B,_xlpm.party,ledger!E:E,"&lt;&gt;*RD*",ledger!D:D,"Chamki",ledger!C:C,"&lt;&gt;January Closing CF")+
SUMIFS(ledger!J:J,ledger!B:B,_xlpm.party,ledger!E:E,"&lt;&gt;*RD*",ledger!D:D,"Crinkle",ledger!C:C,"&lt;&gt;January Closing CF")
))))</f>
        <v>0</v>
      </c>
      <c r="H78" s="22" cm="1">
        <f t="array" ref="H78">_xlfn.BYROW(B78, _xlfn.LAMBDA(_xlpm.party,
   SUMIFS(ledger!J:J, ledger!B:B, _xlpm.party, ledger!E:E, "&lt;&gt;*RD*", ledger!D:D, "Silky", ledger!C:C, "&lt;&gt;January Closing CF")
))</f>
        <v>0</v>
      </c>
      <c r="I78" s="22" cm="1">
        <f t="array" ref="I78">_xlfn.BYROW(B78, _xlfn.LAMBDA(_xlpm.party,
   SUMIFS(ledger!J:J, ledger!B:B, _xlpm.party, ledger!E:E, "&lt;&gt;*RD*", ledger!D:D, "Slub", ledger!C:C, "&lt;&gt;January Closing CF")
))</f>
        <v>0</v>
      </c>
      <c r="J78" s="22" cm="1">
        <f t="array" ref="J78">_xlfn.BYROW(B78, _xlfn.LAMBDA(_xlpm.party,
   SUMIFS(ledger!J:J, ledger!B:B, _xlpm.party, ledger!E:E, "&lt;&gt;*RD*", ledger!D:D, "Satin", ledger!C:C, "&lt;&gt;January Closing CF")
))</f>
        <v>0</v>
      </c>
      <c r="K78" s="70" cm="1">
        <f t="array" ref="K78">_xlfn.BYROW(B78, _xlfn.LAMBDA(_xlpm.party,
   SUMIFS(ledger!J:J, ledger!B:B, _xlpm.party, ledger!E:E, "&lt;&gt;*RD*", ledger!D:D, "Black-chamki", ledger!C:C, "&lt;&gt;January Closing CF")
))</f>
        <v>0</v>
      </c>
      <c r="L78" s="70" cm="1">
        <f t="array" ref="L78">_xlfn.BYROW(B78, _xlfn.LAMBDA(_xlpm.party,
   SUMIFS(ledger!J:J, ledger!B:B, _xlpm.party, ledger!E:E, "&lt;&gt;*RD*", ledger!D:D, "Kataan", ledger!C:C, "&lt;&gt;January Closing CF")
))</f>
        <v>0</v>
      </c>
      <c r="M78" s="70" cm="1">
        <f t="array" ref="M78">_xlfn.BYROW(B78, _xlfn.LAMBDA(_xlpm.party,
   SUMIFS(ledger!J:J, ledger!B:B, _xlpm.party, ledger!E:E, "&lt;&gt;*RD*", ledger!D:D, "Munaar", ledger!C:C, "&lt;&gt;January Closing CF")
))</f>
        <v>0</v>
      </c>
      <c r="N78" s="70" cm="1">
        <f t="array" ref="N78">_xlfn.BYROW(B78, _xlfn.LAMBDA(_xlpm.party,
   SUMIFS(ledger!J:J, ledger!B:B, _xlpm.party, ledger!E:E, "&lt;&gt;*RD*", ledger!D:D, "Custom", ledger!C:C, "&lt;&gt;January Closing CF")
))</f>
        <v>584043.52596927586</v>
      </c>
      <c r="O78" s="39">
        <f t="shared" si="10"/>
        <v>584043.52596927586</v>
      </c>
      <c r="P78" s="22">
        <f>SUMIF(Table14[Party], B78, Table14[Credit])</f>
        <v>40000</v>
      </c>
      <c r="Q78" s="37">
        <f t="shared" si="9"/>
        <v>544043.52596927586</v>
      </c>
    </row>
    <row r="79" spans="2:24" x14ac:dyDescent="0.3">
      <c r="B79" t="str">
        <v>Zahid Ejaz</v>
      </c>
      <c r="C79">
        <v>16060</v>
      </c>
      <c r="D79">
        <v>14685.442574981713</v>
      </c>
      <c r="E79">
        <v>14685.442574981713</v>
      </c>
      <c r="F79">
        <v>0</v>
      </c>
      <c r="G79" s="22" cm="1">
        <f t="array" ref="G79">(_xlfn.BYROW(B79,_xlfn.LAMBDA(_xlpm.party,
(SUMIFS(ledger!J:J,ledger!B:B,_xlpm.party,ledger!E:E,"&lt;&gt;*RD*",ledger!D:D,"Chamki",ledger!C:C,"&lt;&gt;January Closing CF")+
SUMIFS(ledger!J:J,ledger!B:B,_xlpm.party,ledger!E:E,"&lt;&gt;*RD*",ledger!D:D,"Crinkle",ledger!C:C,"&lt;&gt;January Closing CF")
))))</f>
        <v>161539.86832479882</v>
      </c>
      <c r="H79" s="22" cm="1">
        <f t="array" ref="H79">_xlfn.BYROW(B79, _xlfn.LAMBDA(_xlpm.party,
   SUMIFS(ledger!J:J, ledger!B:B, _xlpm.party, ledger!E:E, "&lt;&gt;*RD*", ledger!D:D, "Silky", ledger!C:C, "&lt;&gt;January Closing CF")
))</f>
        <v>0</v>
      </c>
      <c r="I79" s="22" cm="1">
        <f t="array" ref="I79">_xlfn.BYROW(B79, _xlfn.LAMBDA(_xlpm.party,
   SUMIFS(ledger!J:J, ledger!B:B, _xlpm.party, ledger!E:E, "&lt;&gt;*RD*", ledger!D:D, "Slub", ledger!C:C, "&lt;&gt;January Closing CF")
))</f>
        <v>0</v>
      </c>
      <c r="J79" s="22" cm="1">
        <f t="array" ref="J79">_xlfn.BYROW(B79, _xlfn.LAMBDA(_xlpm.party,
   SUMIFS(ledger!J:J, ledger!B:B, _xlpm.party, ledger!E:E, "&lt;&gt;*RD*", ledger!D:D, "Satin", ledger!C:C, "&lt;&gt;January Closing CF")
))</f>
        <v>0</v>
      </c>
      <c r="K79" s="70" cm="1">
        <f t="array" ref="K79">_xlfn.BYROW(B79, _xlfn.LAMBDA(_xlpm.party,
   SUMIFS(ledger!J:J, ledger!B:B, _xlpm.party, ledger!E:E, "&lt;&gt;*RD*", ledger!D:D, "Black-chamki", ledger!C:C, "&lt;&gt;January Closing CF")
))</f>
        <v>0</v>
      </c>
      <c r="L79" s="70" cm="1">
        <f t="array" ref="L79">_xlfn.BYROW(B79, _xlfn.LAMBDA(_xlpm.party,
   SUMIFS(ledger!J:J, ledger!B:B, _xlpm.party, ledger!E:E, "&lt;&gt;*RD*", ledger!D:D, "Kataan", ledger!C:C, "&lt;&gt;January Closing CF")
))</f>
        <v>0</v>
      </c>
      <c r="M79" s="70" cm="1">
        <f t="array" ref="M79">_xlfn.BYROW(B79, _xlfn.LAMBDA(_xlpm.party,
   SUMIFS(ledger!J:J, ledger!B:B, _xlpm.party, ledger!E:E, "&lt;&gt;*RD*", ledger!D:D, "Munaar", ledger!C:C, "&lt;&gt;January Closing CF")
))</f>
        <v>0</v>
      </c>
      <c r="N79" s="70" cm="1">
        <f t="array" ref="N79">_xlfn.BYROW(B79, _xlfn.LAMBDA(_xlpm.party,
   SUMIFS(ledger!J:J, ledger!B:B, _xlpm.party, ledger!E:E, "&lt;&gt;*RD*", ledger!D:D, "Custom", ledger!C:C, "&lt;&gt;January Closing CF")
))</f>
        <v>0</v>
      </c>
      <c r="O79" s="39">
        <f t="shared" si="10"/>
        <v>161539.86832479882</v>
      </c>
      <c r="P79" s="22">
        <f>SUMIF(Table14[Party], B79, Table14[Credit])</f>
        <v>169278</v>
      </c>
      <c r="Q79" s="37">
        <f t="shared" si="9"/>
        <v>-7738.1316752011771</v>
      </c>
    </row>
    <row r="80" spans="2:24" x14ac:dyDescent="0.3">
      <c r="B80" t="str">
        <v>Faizan Kamoki</v>
      </c>
      <c r="C80">
        <v>490216</v>
      </c>
      <c r="D80">
        <v>448258.96122896858</v>
      </c>
      <c r="E80">
        <v>0</v>
      </c>
      <c r="F80">
        <v>306760.24140453548</v>
      </c>
      <c r="G80" s="22" cm="1">
        <f t="array" ref="G80">(_xlfn.BYROW(B80,_xlfn.LAMBDA(_xlpm.party,
(SUMIFS(ledger!J:J,ledger!B:B,_xlpm.party,ledger!E:E,"&lt;&gt;*RD*",ledger!D:D,"Chamki",ledger!C:C,"&lt;&gt;January Closing CF")+
SUMIFS(ledger!J:J,ledger!B:B,_xlpm.party,ledger!E:E,"&lt;&gt;*RD*",ledger!D:D,"Crinkle",ledger!C:C,"&lt;&gt;January Closing CF")
))))</f>
        <v>0</v>
      </c>
      <c r="H80" s="22" cm="1">
        <f t="array" ref="H80">_xlfn.BYROW(B80, _xlfn.LAMBDA(_xlpm.party,
   SUMIFS(ledger!J:J, ledger!B:B, _xlpm.party, ledger!E:E, "&lt;&gt;*RD*", ledger!D:D, "Silky", ledger!C:C, "&lt;&gt;January Closing CF")
))</f>
        <v>3987883.1382589615</v>
      </c>
      <c r="I80" s="22" cm="1">
        <f t="array" ref="I80">_xlfn.BYROW(B80, _xlfn.LAMBDA(_xlpm.party,
   SUMIFS(ledger!J:J, ledger!B:B, _xlpm.party, ledger!E:E, "&lt;&gt;*RD*", ledger!D:D, "Slub", ledger!C:C, "&lt;&gt;January Closing CF")
))</f>
        <v>0</v>
      </c>
      <c r="J80" s="22" cm="1">
        <f t="array" ref="J80">_xlfn.BYROW(B80, _xlfn.LAMBDA(_xlpm.party,
   SUMIFS(ledger!J:J, ledger!B:B, _xlpm.party, ledger!E:E, "&lt;&gt;*RD*", ledger!D:D, "Satin", ledger!C:C, "&lt;&gt;January Closing CF")
))</f>
        <v>0</v>
      </c>
      <c r="K80" s="70" cm="1">
        <f t="array" ref="K80">_xlfn.BYROW(B80, _xlfn.LAMBDA(_xlpm.party,
   SUMIFS(ledger!J:J, ledger!B:B, _xlpm.party, ledger!E:E, "&lt;&gt;*RD*", ledger!D:D, "Black-chamki", ledger!C:C, "&lt;&gt;January Closing CF")
))</f>
        <v>0</v>
      </c>
      <c r="L80" s="70" cm="1">
        <f t="array" ref="L80">_xlfn.BYROW(B80, _xlfn.LAMBDA(_xlpm.party,
   SUMIFS(ledger!J:J, ledger!B:B, _xlpm.party, ledger!E:E, "&lt;&gt;*RD*", ledger!D:D, "Kataan", ledger!C:C, "&lt;&gt;January Closing CF")
))</f>
        <v>1638023.043160205</v>
      </c>
      <c r="M80" s="70" cm="1">
        <f t="array" ref="M80">_xlfn.BYROW(B80, _xlfn.LAMBDA(_xlpm.party,
   SUMIFS(ledger!J:J, ledger!B:B, _xlpm.party, ledger!E:E, "&lt;&gt;*RD*", ledger!D:D, "Munaar", ledger!C:C, "&lt;&gt;January Closing CF")
))</f>
        <v>0</v>
      </c>
      <c r="N80" s="70" cm="1">
        <f t="array" ref="N80">_xlfn.BYROW(B80, _xlfn.LAMBDA(_xlpm.party,
   SUMIFS(ledger!J:J, ledger!B:B, _xlpm.party, ledger!E:E, "&lt;&gt;*RD*", ledger!D:D, "Custom", ledger!C:C, "&lt;&gt;January Closing CF")
))</f>
        <v>0</v>
      </c>
      <c r="O80" s="39">
        <f t="shared" si="10"/>
        <v>5625906.1814191667</v>
      </c>
      <c r="P80" s="22">
        <f>SUMIF(Table14[Party], B80, Table14[Credit])</f>
        <v>5245323.4930504756</v>
      </c>
      <c r="Q80" s="37">
        <f t="shared" si="9"/>
        <v>380582.68836869113</v>
      </c>
    </row>
    <row r="81" spans="1:17" x14ac:dyDescent="0.3">
      <c r="B81" t="str">
        <v>KK fabrics</v>
      </c>
      <c r="C81">
        <v>59639</v>
      </c>
      <c r="D81">
        <v>54534.564740307243</v>
      </c>
      <c r="E81">
        <v>54534.564740307243</v>
      </c>
      <c r="F81">
        <v>0</v>
      </c>
      <c r="G81" s="22" cm="1">
        <f t="array" ref="G81">(_xlfn.BYROW(B81,_xlfn.LAMBDA(_xlpm.party,
(SUMIFS(ledger!J:J,ledger!B:B,_xlpm.party,ledger!E:E,"&lt;&gt;*RD*",ledger!D:D,"Chamki",ledger!C:C,"&lt;&gt;January Closing CF")+
SUMIFS(ledger!J:J,ledger!B:B,_xlpm.party,ledger!E:E,"&lt;&gt;*RD*",ledger!D:D,"Crinkle",ledger!C:C,"&lt;&gt;January Closing CF")
))))</f>
        <v>545345.64740307245</v>
      </c>
      <c r="H81" s="22" cm="1">
        <f t="array" ref="H81">_xlfn.BYROW(B81, _xlfn.LAMBDA(_xlpm.party,
   SUMIFS(ledger!J:J, ledger!B:B, _xlpm.party, ledger!E:E, "&lt;&gt;*RD*", ledger!D:D, "Silky", ledger!C:C, "&lt;&gt;January Closing CF")
))</f>
        <v>0</v>
      </c>
      <c r="I81" s="22" cm="1">
        <f t="array" ref="I81">_xlfn.BYROW(B81, _xlfn.LAMBDA(_xlpm.party,
   SUMIFS(ledger!J:J, ledger!B:B, _xlpm.party, ledger!E:E, "&lt;&gt;*RD*", ledger!D:D, "Slub", ledger!C:C, "&lt;&gt;January Closing CF")
))</f>
        <v>0</v>
      </c>
      <c r="J81" s="22" cm="1">
        <f t="array" ref="J81">_xlfn.BYROW(B81, _xlfn.LAMBDA(_xlpm.party,
   SUMIFS(ledger!J:J, ledger!B:B, _xlpm.party, ledger!E:E, "&lt;&gt;*RD*", ledger!D:D, "Satin", ledger!C:C, "&lt;&gt;January Closing CF")
))</f>
        <v>0</v>
      </c>
      <c r="K81" s="70" cm="1">
        <f t="array" ref="K81">_xlfn.BYROW(B81, _xlfn.LAMBDA(_xlpm.party,
   SUMIFS(ledger!J:J, ledger!B:B, _xlpm.party, ledger!E:E, "&lt;&gt;*RD*", ledger!D:D, "Black-chamki", ledger!C:C, "&lt;&gt;January Closing CF")
))</f>
        <v>0</v>
      </c>
      <c r="L81" s="70" cm="1">
        <f t="array" ref="L81">_xlfn.BYROW(B81, _xlfn.LAMBDA(_xlpm.party,
   SUMIFS(ledger!J:J, ledger!B:B, _xlpm.party, ledger!E:E, "&lt;&gt;*RD*", ledger!D:D, "Kataan", ledger!C:C, "&lt;&gt;January Closing CF")
))</f>
        <v>0</v>
      </c>
      <c r="M81" s="70" cm="1">
        <f t="array" ref="M81">_xlfn.BYROW(B81, _xlfn.LAMBDA(_xlpm.party,
   SUMIFS(ledger!J:J, ledger!B:B, _xlpm.party, ledger!E:E, "&lt;&gt;*RD*", ledger!D:D, "Munaar", ledger!C:C, "&lt;&gt;January Closing CF")
))</f>
        <v>0</v>
      </c>
      <c r="N81" s="70" cm="1">
        <f t="array" ref="N81">_xlfn.BYROW(B81, _xlfn.LAMBDA(_xlpm.party,
   SUMIFS(ledger!J:J, ledger!B:B, _xlpm.party, ledger!E:E, "&lt;&gt;*RD*", ledger!D:D, "Custom", ledger!C:C, "&lt;&gt;January Closing CF")
))</f>
        <v>0</v>
      </c>
      <c r="O81" s="39">
        <f t="shared" si="10"/>
        <v>545345.64740307245</v>
      </c>
      <c r="P81" s="22">
        <f>SUMIF(Table14[Party], B81, Table14[Credit])</f>
        <v>544000</v>
      </c>
      <c r="Q81" s="37">
        <f t="shared" ref="Q81" si="11">O81-P81</f>
        <v>1345.6474030724494</v>
      </c>
    </row>
    <row r="82" spans="1:17" x14ac:dyDescent="0.3">
      <c r="A82" t="s">
        <v>154</v>
      </c>
      <c r="B82" t="str">
        <v>Rauf Khan</v>
      </c>
      <c r="C82">
        <v>110981</v>
      </c>
      <c r="D82">
        <v>101482.26042428677</v>
      </c>
      <c r="E82">
        <v>81045.171909290424</v>
      </c>
      <c r="F82">
        <v>0</v>
      </c>
      <c r="G82" s="22" cm="1">
        <f t="array" ref="G82">(_xlfn.BYROW(B82,_xlfn.LAMBDA(_xlpm.party,
(SUMIFS(ledger!J:J,ledger!B:B,_xlpm.party,ledger!E:E,"&lt;&gt;*RD*",ledger!D:D,"Chamki",ledger!C:C,"&lt;&gt;January Closing CF")+
SUMIFS(ledger!J:J,ledger!B:B,_xlpm.party,ledger!E:E,"&lt;&gt;*RD*",ledger!D:D,"Crinkle",ledger!C:C,"&lt;&gt;January Closing CF")
))))</f>
        <v>810451.71909290424</v>
      </c>
      <c r="H82" s="22" cm="1">
        <f t="array" ref="H82">_xlfn.BYROW(B82, _xlfn.LAMBDA(_xlpm.party,
   SUMIFS(ledger!J:J, ledger!B:B, _xlpm.party, ledger!E:E, "&lt;&gt;*RD*", ledger!D:D, "Silky", ledger!C:C, "&lt;&gt;January Closing CF")
))</f>
        <v>0</v>
      </c>
      <c r="I82" s="22" cm="1">
        <f t="array" ref="I82">_xlfn.BYROW(B82, _xlfn.LAMBDA(_xlpm.party,
   SUMIFS(ledger!J:J, ledger!B:B, _xlpm.party, ledger!E:E, "&lt;&gt;*RD*", ledger!D:D, "Slub", ledger!C:C, "&lt;&gt;January Closing CF")
))</f>
        <v>0</v>
      </c>
      <c r="J82" s="22" cm="1">
        <f t="array" ref="J82">_xlfn.BYROW(B82, _xlfn.LAMBDA(_xlpm.party,
   SUMIFS(ledger!J:J, ledger!B:B, _xlpm.party, ledger!E:E, "&lt;&gt;*RD*", ledger!D:D, "Satin", ledger!C:C, "&lt;&gt;January Closing CF")
))</f>
        <v>306556.32772494515</v>
      </c>
      <c r="K82" s="70" cm="1">
        <f t="array" ref="K82">_xlfn.BYROW(B82, _xlfn.LAMBDA(_xlpm.party,
   SUMIFS(ledger!J:J, ledger!B:B, _xlpm.party, ledger!E:E, "&lt;&gt;*RD*", ledger!D:D, "Black-chamki", ledger!C:C, "&lt;&gt;January Closing CF")
))</f>
        <v>0</v>
      </c>
      <c r="L82" s="70" cm="1">
        <f t="array" ref="L82">_xlfn.BYROW(B82, _xlfn.LAMBDA(_xlpm.party,
   SUMIFS(ledger!J:J, ledger!B:B, _xlpm.party, ledger!E:E, "&lt;&gt;*RD*", ledger!D:D, "Kataan", ledger!C:C, "&lt;&gt;January Closing CF")
))</f>
        <v>0</v>
      </c>
      <c r="M82" s="70" cm="1">
        <f t="array" ref="M82">_xlfn.BYROW(B82, _xlfn.LAMBDA(_xlpm.party,
   SUMIFS(ledger!J:J, ledger!B:B, _xlpm.party, ledger!E:E, "&lt;&gt;*RD*", ledger!D:D, "Munaar", ledger!C:C, "&lt;&gt;January Closing CF")
))</f>
        <v>0</v>
      </c>
      <c r="N82" s="70" cm="1">
        <f t="array" ref="N82">_xlfn.BYROW(B82, _xlfn.LAMBDA(_xlpm.party,
   SUMIFS(ledger!J:J, ledger!B:B, _xlpm.party, ledger!E:E, "&lt;&gt;*RD*", ledger!D:D, "Custom", ledger!C:C, "&lt;&gt;January Closing CF")
))</f>
        <v>0</v>
      </c>
      <c r="O82" s="39">
        <f t="shared" si="10"/>
        <v>1117008.0468178494</v>
      </c>
      <c r="P82" s="22">
        <f>SUMIF(Table14[Party], B82, Table14[Credit])</f>
        <v>0</v>
      </c>
      <c r="Q82" s="37">
        <f t="shared" ref="Q82:Q83" si="12">O82-P82</f>
        <v>1117008.0468178494</v>
      </c>
    </row>
    <row r="83" spans="1:17" x14ac:dyDescent="0.3">
      <c r="B83" t="str">
        <v>Farhaan ali</v>
      </c>
      <c r="C83">
        <v>163883</v>
      </c>
      <c r="D83">
        <v>149856.43745427945</v>
      </c>
      <c r="E83">
        <v>0</v>
      </c>
      <c r="F83">
        <v>149856.43745427945</v>
      </c>
      <c r="G83" s="22" cm="1">
        <f t="array" ref="G83">(_xlfn.BYROW(B83,_xlfn.LAMBDA(_xlpm.party,
(SUMIFS(ledger!J:J,ledger!B:B,_xlpm.party,ledger!E:E,"&lt;&gt;*RD*",ledger!D:D,"Chamki",ledger!C:C,"&lt;&gt;January Closing CF")+
SUMIFS(ledger!J:J,ledger!B:B,_xlpm.party,ledger!E:E,"&lt;&gt;*RD*",ledger!D:D,"Crinkle",ledger!C:C,"&lt;&gt;January Closing CF")
))))</f>
        <v>0</v>
      </c>
      <c r="H83" s="22" cm="1">
        <f t="array" ref="H83">_xlfn.BYROW(B83, _xlfn.LAMBDA(_xlpm.party,
   SUMIFS(ledger!J:J, ledger!B:B, _xlpm.party, ledger!E:E, "&lt;&gt;*RD*", ledger!D:D, "Silky", ledger!C:C, "&lt;&gt;January Closing CF")
))</f>
        <v>1798277.2494513534</v>
      </c>
      <c r="I83" s="22" cm="1">
        <f t="array" ref="I83">_xlfn.BYROW(B83, _xlfn.LAMBDA(_xlpm.party,
   SUMIFS(ledger!J:J, ledger!B:B, _xlpm.party, ledger!E:E, "&lt;&gt;*RD*", ledger!D:D, "Slub", ledger!C:C, "&lt;&gt;January Closing CF")
))</f>
        <v>0</v>
      </c>
      <c r="J83" s="22" cm="1">
        <f t="array" ref="J83">_xlfn.BYROW(B83, _xlfn.LAMBDA(_xlpm.party,
   SUMIFS(ledger!J:J, ledger!B:B, _xlpm.party, ledger!E:E, "&lt;&gt;*RD*", ledger!D:D, "Satin", ledger!C:C, "&lt;&gt;January Closing CF")
))</f>
        <v>0</v>
      </c>
      <c r="K83" s="70" cm="1">
        <f t="array" ref="K83">_xlfn.BYROW(B83, _xlfn.LAMBDA(_xlpm.party,
   SUMIFS(ledger!J:J, ledger!B:B, _xlpm.party, ledger!E:E, "&lt;&gt;*RD*", ledger!D:D, "Black-chamki", ledger!C:C, "&lt;&gt;January Closing CF")
))</f>
        <v>0</v>
      </c>
      <c r="L83" s="70" cm="1">
        <f t="array" ref="L83">_xlfn.BYROW(B83, _xlfn.LAMBDA(_xlpm.party,
   SUMIFS(ledger!J:J, ledger!B:B, _xlpm.party, ledger!E:E, "&lt;&gt;*RD*", ledger!D:D, "Kataan", ledger!C:C, "&lt;&gt;January Closing CF")
))</f>
        <v>0</v>
      </c>
      <c r="M83" s="70" cm="1">
        <f t="array" ref="M83">_xlfn.BYROW(B83, _xlfn.LAMBDA(_xlpm.party,
   SUMIFS(ledger!J:J, ledger!B:B, _xlpm.party, ledger!E:E, "&lt;&gt;*RD*", ledger!D:D, "Munaar", ledger!C:C, "&lt;&gt;January Closing CF")
))</f>
        <v>0</v>
      </c>
      <c r="N83" s="70" cm="1">
        <f t="array" ref="N83">_xlfn.BYROW(B83, _xlfn.LAMBDA(_xlpm.party,
   SUMIFS(ledger!J:J, ledger!B:B, _xlpm.party, ledger!E:E, "&lt;&gt;*RD*", ledger!D:D, "Custom", ledger!C:C, "&lt;&gt;January Closing CF")
))</f>
        <v>0</v>
      </c>
      <c r="O83" s="39">
        <f t="shared" si="10"/>
        <v>1798277.2494513534</v>
      </c>
      <c r="P83" s="22">
        <f>SUMIF(Table14[Party], B83, Table14[Credit])</f>
        <v>0</v>
      </c>
      <c r="Q83" s="37">
        <f t="shared" si="12"/>
        <v>1798277.2494513534</v>
      </c>
    </row>
    <row r="84" spans="1:17" x14ac:dyDescent="0.3">
      <c r="B84">
        <v>0</v>
      </c>
      <c r="C84">
        <v>0</v>
      </c>
      <c r="D84">
        <v>0</v>
      </c>
      <c r="E84">
        <v>0</v>
      </c>
      <c r="F84">
        <v>0</v>
      </c>
    </row>
    <row r="97" spans="2:19" x14ac:dyDescent="0.3">
      <c r="B97" t="s">
        <v>33</v>
      </c>
      <c r="C97" s="23" t="s">
        <v>10</v>
      </c>
      <c r="D97" s="23" t="s">
        <v>11</v>
      </c>
      <c r="E97" s="23" t="s">
        <v>12</v>
      </c>
      <c r="F97" s="23" t="s">
        <v>13</v>
      </c>
      <c r="G97" s="23" t="s">
        <v>14</v>
      </c>
      <c r="H97" s="23" t="s">
        <v>15</v>
      </c>
      <c r="I97" s="23" t="s">
        <v>208</v>
      </c>
      <c r="J97" s="23" t="s">
        <v>180</v>
      </c>
      <c r="K97" s="113" t="s">
        <v>209</v>
      </c>
      <c r="L97" s="113" t="s">
        <v>210</v>
      </c>
      <c r="M97" s="113" t="s">
        <v>206</v>
      </c>
      <c r="N97" s="113" t="s">
        <v>384</v>
      </c>
      <c r="O97" s="23" t="s">
        <v>16</v>
      </c>
      <c r="P97" s="23" t="s">
        <v>17</v>
      </c>
      <c r="Q97" s="23" t="s">
        <v>18</v>
      </c>
      <c r="R97" s="23" t="s">
        <v>19</v>
      </c>
      <c r="S97" s="23" t="s">
        <v>20</v>
      </c>
    </row>
    <row r="98" spans="2:19" x14ac:dyDescent="0.3">
      <c r="B98" s="24" t="str" cm="1">
        <f t="array" ref="B98:B133">_xlfn.UNIQUE(Table1[Party Name])</f>
        <v>BSC</v>
      </c>
      <c r="C98" s="22">
        <f>_xlfn.XLOOKUP($B49,[1]Billing!$Q$5:$Q$40,[1]Billing!$R$5:$R$40)</f>
        <v>3652766.8824</v>
      </c>
      <c r="D98" s="22">
        <f>_xlfn.XLOOKUP($B49,[1]Billing!$Q$5:$Q$40,[1]Billing!$S$5:$S$40)</f>
        <v>3340130.6532553039</v>
      </c>
      <c r="E98" s="22">
        <f>_xlfn.XLOOKUP($B49,[1]Billing!$Q$5:$Q$40,[1]Billing!$T$5:$T$40)</f>
        <v>2767584.0182882226</v>
      </c>
      <c r="F98" s="22">
        <f>_xlfn.XLOOKUP($B49,[1]Billing!$Q$5:$Q$40,[1]Billing!$U$5:$U$40)</f>
        <v>561031.45574250189</v>
      </c>
      <c r="G98" s="22">
        <f>_xlfn.XLOOKUP($B49,[1]Billing!$Q$5:$Q$40,[1]Billing!$V$5:$V$40)</f>
        <v>27675840.182882231</v>
      </c>
      <c r="H98" s="22">
        <f>_xlfn.XLOOKUP($B49,[1]Billing!$Q$5:$Q$40,[1]Billing!$W$5:$W$40)</f>
        <v>7205053.0358449165</v>
      </c>
      <c r="I98" s="22">
        <f>_xlfn.XLOOKUP($B49,[1]Billing!$Q$5:$Q$40,[1]Billing!$X$5:$X$40)</f>
        <v>0</v>
      </c>
      <c r="J98" s="22">
        <f>_xlfn.XLOOKUP($B49,[1]Billing!$Q$5:$Q$40,[1]Billing!$Y$5:$Y$40)</f>
        <v>0</v>
      </c>
      <c r="K98">
        <f>_xlfn.XLOOKUP($B49,[1]Billing!$Q$5:$Q$40,[1]Billing!$Z$5:$Z$40)</f>
        <v>0</v>
      </c>
      <c r="L98">
        <f>_xlfn.XLOOKUP($B49,[1]Billing!$Q$5:$Q$40,[1]Billing!$AA$5:$AA$40)</f>
        <v>126666.9714703731</v>
      </c>
      <c r="M98">
        <f>_xlfn.XLOOKUP($B49,[1]Billing!$Q$5:$Q$40,[1]Billing!$AB$5:$AB$40)</f>
        <v>0</v>
      </c>
      <c r="O98" s="39">
        <f>G98+H98+I98+J98+K98+L98+M98</f>
        <v>35007560.19019752</v>
      </c>
      <c r="P98" s="22">
        <f>_xlfn.XLOOKUP($B49,[1]Billing!$Q$5:$Q$40,[1]Billing!$AD$5:$AD$40)</f>
        <v>19750734</v>
      </c>
      <c r="Q98" s="37">
        <f>O98-P98</f>
        <v>15256826.19019752</v>
      </c>
      <c r="R98" s="21">
        <v>10</v>
      </c>
      <c r="S98" s="21">
        <v>13</v>
      </c>
    </row>
    <row r="99" spans="2:19" x14ac:dyDescent="0.3">
      <c r="B99" s="24" t="str">
        <v>Ejaz Sahab</v>
      </c>
      <c r="C99" s="22">
        <f>_xlfn.XLOOKUP($B50,[1]Billing!$Q$5:$Q$40,[1]Billing!$R$5:$R$40)</f>
        <v>580479</v>
      </c>
      <c r="D99" s="22">
        <f>_xlfn.XLOOKUP($B50,[1]Billing!$Q$5:$Q$40,[1]Billing!$S$5:$S$40)</f>
        <v>530796.45208485739</v>
      </c>
      <c r="E99" s="22">
        <f>_xlfn.XLOOKUP($B50,[1]Billing!$Q$5:$Q$40,[1]Billing!$T$5:$T$40)</f>
        <v>148145.57425018289</v>
      </c>
      <c r="F99" s="22">
        <f>_xlfn.XLOOKUP($B50,[1]Billing!$Q$5:$Q$40,[1]Billing!$U$5:$U$40)</f>
        <v>382650.87783467449</v>
      </c>
      <c r="G99" s="22">
        <f>_xlfn.XLOOKUP($B50,[1]Billing!$Q$5:$Q$40,[1]Billing!$V$5:$V$40)</f>
        <v>1481455.7425018288</v>
      </c>
      <c r="H99" s="22">
        <f>_xlfn.XLOOKUP($B50,[1]Billing!$Q$5:$Q$40,[1]Billing!$W$5:$W$40)</f>
        <v>4915317.3006583769</v>
      </c>
      <c r="I99" s="22">
        <f>_xlfn.XLOOKUP($B50,[1]Billing!$Q$5:$Q$40,[1]Billing!$X$5:$X$40)</f>
        <v>0</v>
      </c>
      <c r="J99" s="22">
        <f>_xlfn.XLOOKUP($B50,[1]Billing!$Q$5:$Q$40,[1]Billing!$Y$5:$Y$40)</f>
        <v>0</v>
      </c>
      <c r="K99">
        <f>_xlfn.XLOOKUP($B50,[1]Billing!$Q$5:$Q$40,[1]Billing!$Z$5:$Z$40)</f>
        <v>0</v>
      </c>
      <c r="L99">
        <f>_xlfn.XLOOKUP($B50,[1]Billing!$Q$5:$Q$40,[1]Billing!$AA$5:$AA$40)</f>
        <v>0</v>
      </c>
      <c r="M99">
        <f>_xlfn.XLOOKUP($B50,[1]Billing!$Q$5:$Q$40,[1]Billing!$AB$5:$AB$40)</f>
        <v>0</v>
      </c>
      <c r="O99" s="39">
        <f>G99+H99+I99+J99+K99+L99+M99</f>
        <v>6396773.0431602057</v>
      </c>
      <c r="P99" s="22">
        <f>_xlfn.XLOOKUP($B50,[1]Billing!$Q$5:$Q$40,[1]Billing!$AD$5:$AD$40)</f>
        <v>6067319</v>
      </c>
      <c r="Q99" s="37">
        <f t="shared" ref="Q99:Q128" si="13">O99-P99</f>
        <v>329454.04316020571</v>
      </c>
      <c r="R99" s="21">
        <v>10</v>
      </c>
      <c r="S99" s="21">
        <v>13</v>
      </c>
    </row>
    <row r="100" spans="2:19" x14ac:dyDescent="0.3">
      <c r="B100" s="24" t="str">
        <v>Arshad</v>
      </c>
      <c r="C100" s="22">
        <f>_xlfn.XLOOKUP($B51,[1]Billing!$Q$5:$Q$40,[1]Billing!$R$5:$R$40)</f>
        <v>894593</v>
      </c>
      <c r="D100" s="22">
        <f>_xlfn.XLOOKUP($B51,[1]Billing!$Q$5:$Q$40,[1]Billing!$S$5:$S$40)</f>
        <v>818025.78639356268</v>
      </c>
      <c r="E100" s="22">
        <f>_xlfn.XLOOKUP($B51,[1]Billing!$Q$5:$Q$40,[1]Billing!$T$5:$T$40)</f>
        <v>671848.9392831017</v>
      </c>
      <c r="F100" s="22">
        <f>_xlfn.XLOOKUP($B51,[1]Billing!$Q$5:$Q$40,[1]Billing!$U$5:$U$40)</f>
        <v>146176.84711046086</v>
      </c>
      <c r="G100" s="22">
        <f>_xlfn.XLOOKUP($B51,[1]Billing!$Q$5:$Q$40,[1]Billing!$V$5:$V$40)</f>
        <v>6718489.3928310173</v>
      </c>
      <c r="H100" s="22">
        <f>_xlfn.XLOOKUP($B51,[1]Billing!$Q$5:$Q$40,[1]Billing!$W$5:$W$40)</f>
        <v>1885504.7549378201</v>
      </c>
      <c r="I100" s="22">
        <f>_xlfn.XLOOKUP($B51,[1]Billing!$Q$5:$Q$40,[1]Billing!$X$5:$X$40)</f>
        <v>0</v>
      </c>
      <c r="J100" s="22">
        <f>_xlfn.XLOOKUP($B51,[1]Billing!$Q$5:$Q$40,[1]Billing!$Y$5:$Y$40)</f>
        <v>0</v>
      </c>
      <c r="K100">
        <f>_xlfn.XLOOKUP($B51,[1]Billing!$Q$5:$Q$40,[1]Billing!$Z$5:$Z$40)</f>
        <v>0</v>
      </c>
      <c r="L100">
        <f>_xlfn.XLOOKUP($B51,[1]Billing!$Q$5:$Q$40,[1]Billing!$AA$5:$AA$40)</f>
        <v>0</v>
      </c>
      <c r="M100">
        <f>_xlfn.XLOOKUP($B51,[1]Billing!$Q$5:$Q$40,[1]Billing!$AB$5:$AB$40)</f>
        <v>0</v>
      </c>
      <c r="O100" s="39">
        <f t="shared" ref="O100:O128" si="14">G100+H100+I100+J100+K100+L100+M100</f>
        <v>8603994.1477688365</v>
      </c>
      <c r="P100" s="22">
        <f>_xlfn.XLOOKUP($B51,[1]Billing!$Q$5:$Q$40,[1]Billing!$AD$5:$AD$40)</f>
        <v>8492501</v>
      </c>
      <c r="Q100" s="37">
        <f t="shared" si="13"/>
        <v>111493.14776883647</v>
      </c>
      <c r="R100" s="21">
        <v>10</v>
      </c>
      <c r="S100" s="21">
        <v>13</v>
      </c>
    </row>
    <row r="101" spans="2:19" x14ac:dyDescent="0.3">
      <c r="B101" s="24" t="str">
        <v>Shehzad Kamoki</v>
      </c>
      <c r="C101" s="22">
        <f>_xlfn.XLOOKUP($B52,[1]Billing!$Q$5:$Q$40,[1]Billing!$R$5:$R$40)</f>
        <v>143457</v>
      </c>
      <c r="D101" s="22">
        <f>_xlfn.XLOOKUP($B52,[1]Billing!$Q$5:$Q$40,[1]Billing!$S$5:$S$40)</f>
        <v>131178.67593269935</v>
      </c>
      <c r="E101" s="22">
        <f>_xlfn.XLOOKUP($B52,[1]Billing!$Q$5:$Q$40,[1]Billing!$T$5:$T$40)</f>
        <v>131178.67593269935</v>
      </c>
      <c r="F101" s="22">
        <f>_xlfn.XLOOKUP($B52,[1]Billing!$Q$5:$Q$40,[1]Billing!$U$5:$U$40)</f>
        <v>0</v>
      </c>
      <c r="G101" s="22">
        <f>_xlfn.XLOOKUP($B52,[1]Billing!$Q$5:$Q$40,[1]Billing!$V$5:$V$40)</f>
        <v>1354241.9972933433</v>
      </c>
      <c r="H101" s="22">
        <f>_xlfn.XLOOKUP($B52,[1]Billing!$Q$5:$Q$40,[1]Billing!$W$5:$W$40)</f>
        <v>0</v>
      </c>
      <c r="I101" s="22">
        <f>_xlfn.XLOOKUP($B52,[1]Billing!$Q$5:$Q$40,[1]Billing!$X$5:$X$40)</f>
        <v>0</v>
      </c>
      <c r="J101" s="22">
        <f>_xlfn.XLOOKUP($B52,[1]Billing!$Q$5:$Q$40,[1]Billing!$Y$5:$Y$40)</f>
        <v>0</v>
      </c>
      <c r="K101">
        <f>_xlfn.XLOOKUP($B52,[1]Billing!$Q$5:$Q$40,[1]Billing!$Z$5:$Z$40)</f>
        <v>0</v>
      </c>
      <c r="L101">
        <f>_xlfn.XLOOKUP($B52,[1]Billing!$Q$5:$Q$40,[1]Billing!$AA$5:$AA$40)</f>
        <v>0</v>
      </c>
      <c r="M101">
        <f>_xlfn.XLOOKUP($B52,[1]Billing!$Q$5:$Q$40,[1]Billing!$AB$5:$AB$40)</f>
        <v>0</v>
      </c>
      <c r="O101" s="39">
        <f t="shared" si="14"/>
        <v>1354241.9972933433</v>
      </c>
      <c r="P101" s="22">
        <f>_xlfn.XLOOKUP($B52,[1]Billing!$Q$5:$Q$40,[1]Billing!$AD$5:$AD$40)</f>
        <v>1353710</v>
      </c>
      <c r="Q101" s="37">
        <f t="shared" si="13"/>
        <v>531.99729334330186</v>
      </c>
      <c r="R101" s="21">
        <v>10.5</v>
      </c>
      <c r="S101" s="21">
        <v>13</v>
      </c>
    </row>
    <row r="102" spans="2:19" x14ac:dyDescent="0.3">
      <c r="B102" s="24" t="str">
        <v>Sufi Nawaz Sahab</v>
      </c>
      <c r="C102" s="22">
        <f>_xlfn.XLOOKUP($B53,[1]Billing!$Q$5:$Q$40,[1]Billing!$R$5:$R$40)</f>
        <v>1212967</v>
      </c>
      <c r="D102" s="22">
        <f>_xlfn.XLOOKUP($B53,[1]Billing!$Q$5:$Q$40,[1]Billing!$S$5:$S$40)</f>
        <v>1109150.5120702267</v>
      </c>
      <c r="E102" s="22">
        <f>_xlfn.XLOOKUP($B53,[1]Billing!$Q$5:$Q$40,[1]Billing!$T$5:$T$40)</f>
        <v>599330.65106071695</v>
      </c>
      <c r="F102" s="22">
        <f>_xlfn.XLOOKUP($B53,[1]Billing!$Q$5:$Q$40,[1]Billing!$U$5:$U$40)</f>
        <v>485823.88441843458</v>
      </c>
      <c r="G102" s="22">
        <f>_xlfn.XLOOKUP($B53,[1]Billing!$Q$5:$Q$40,[1]Billing!$V$5:$V$40)</f>
        <v>5408917.8595464528</v>
      </c>
      <c r="H102" s="22">
        <f>_xlfn.XLOOKUP($B53,[1]Billing!$Q$5:$Q$40,[1]Billing!$W$5:$W$40)</f>
        <v>5829886.6130212145</v>
      </c>
      <c r="I102" s="22">
        <f>_xlfn.XLOOKUP($B53,[1]Billing!$Q$5:$Q$40,[1]Billing!$X$5:$X$40)</f>
        <v>0</v>
      </c>
      <c r="J102" s="22">
        <f>_xlfn.XLOOKUP($B53,[1]Billing!$Q$5:$Q$40,[1]Billing!$Y$5:$Y$40)</f>
        <v>239959.76591075349</v>
      </c>
      <c r="K102">
        <f>_xlfn.XLOOKUP($B53,[1]Billing!$Q$5:$Q$40,[1]Billing!$Z$5:$Z$40)</f>
        <v>0</v>
      </c>
      <c r="L102">
        <f>_xlfn.XLOOKUP($B53,[1]Billing!$Q$5:$Q$40,[1]Billing!$AA$5:$AA$40)</f>
        <v>0</v>
      </c>
      <c r="M102">
        <f>_xlfn.XLOOKUP($B53,[1]Billing!$Q$5:$Q$40,[1]Billing!$AB$5:$AB$40)</f>
        <v>0</v>
      </c>
      <c r="O102" s="39">
        <f t="shared" si="14"/>
        <v>11478764.23847842</v>
      </c>
      <c r="P102" s="22">
        <f>_xlfn.XLOOKUP($B53,[1]Billing!$Q$5:$Q$40,[1]Billing!$AD$5:$AD$40)</f>
        <v>11478764</v>
      </c>
      <c r="Q102" s="37">
        <f t="shared" si="13"/>
        <v>0.23847842030227184</v>
      </c>
      <c r="R102" s="21">
        <v>10</v>
      </c>
      <c r="S102" s="21">
        <v>13</v>
      </c>
    </row>
    <row r="103" spans="2:19" x14ac:dyDescent="0.3">
      <c r="B103" s="24" t="str">
        <v>Sajad Khan</v>
      </c>
      <c r="C103" s="22">
        <f>_xlfn.XLOOKUP($B54,[1]Billing!$Q$5:$Q$40,[1]Billing!$R$5:$R$40)</f>
        <v>1065869</v>
      </c>
      <c r="D103" s="22">
        <f>_xlfn.XLOOKUP($B54,[1]Billing!$Q$5:$Q$40,[1]Billing!$S$5:$S$40)</f>
        <v>974642.46525237767</v>
      </c>
      <c r="E103" s="22">
        <f>_xlfn.XLOOKUP($B54,[1]Billing!$Q$5:$Q$40,[1]Billing!$T$5:$T$40)</f>
        <v>942295.17190929048</v>
      </c>
      <c r="F103" s="22">
        <f>_xlfn.XLOOKUP($B54,[1]Billing!$Q$5:$Q$40,[1]Billing!$U$5:$U$40)</f>
        <v>0</v>
      </c>
      <c r="G103" s="22">
        <f>_xlfn.XLOOKUP($B54,[1]Billing!$Q$5:$Q$40,[1]Billing!$V$5:$V$40)</f>
        <v>9422951.7190929055</v>
      </c>
      <c r="H103" s="22">
        <f>_xlfn.XLOOKUP($B54,[1]Billing!$Q$5:$Q$40,[1]Billing!$W$5:$W$40)</f>
        <v>0</v>
      </c>
      <c r="I103" s="22">
        <f>_xlfn.XLOOKUP($B54,[1]Billing!$Q$5:$Q$40,[1]Billing!$X$5:$X$40)</f>
        <v>71359.729334308722</v>
      </c>
      <c r="J103" s="22">
        <f>_xlfn.XLOOKUP($B54,[1]Billing!$Q$5:$Q$40,[1]Billing!$Y$5:$Y$40)</f>
        <v>0</v>
      </c>
      <c r="K103">
        <f>_xlfn.XLOOKUP($B54,[1]Billing!$Q$5:$Q$40,[1]Billing!$Z$5:$Z$40)</f>
        <v>322297.00073152891</v>
      </c>
      <c r="L103">
        <f>_xlfn.XLOOKUP($B54,[1]Billing!$Q$5:$Q$40,[1]Billing!$AA$5:$AA$40)</f>
        <v>0</v>
      </c>
      <c r="M103">
        <f>_xlfn.XLOOKUP($B54,[1]Billing!$Q$5:$Q$40,[1]Billing!$AB$5:$AB$40)</f>
        <v>0</v>
      </c>
      <c r="O103" s="39">
        <f t="shared" si="14"/>
        <v>9816608.449158743</v>
      </c>
      <c r="P103" s="22">
        <f>_xlfn.XLOOKUP($B54,[1]Billing!$Q$5:$Q$40,[1]Billing!$AD$5:$AD$40)</f>
        <v>9609871</v>
      </c>
      <c r="Q103" s="37">
        <f t="shared" si="13"/>
        <v>206737.44915874302</v>
      </c>
      <c r="R103" s="21">
        <v>10</v>
      </c>
      <c r="S103" s="21">
        <v>13</v>
      </c>
    </row>
    <row r="104" spans="2:19" x14ac:dyDescent="0.3">
      <c r="B104" s="24" t="str">
        <v>Raaz Fabrics</v>
      </c>
      <c r="C104" s="22">
        <f>_xlfn.XLOOKUP($B55,[1]Billing!$Q$5:$Q$40,[1]Billing!$R$5:$R$40)</f>
        <v>177861</v>
      </c>
      <c r="D104" s="22">
        <f>_xlfn.XLOOKUP($B55,[1]Billing!$Q$5:$Q$40,[1]Billing!$S$5:$S$40)</f>
        <v>162638.07607900514</v>
      </c>
      <c r="E104" s="22">
        <f>_xlfn.XLOOKUP($B55,[1]Billing!$Q$5:$Q$40,[1]Billing!$T$5:$T$40)</f>
        <v>162638.07607900514</v>
      </c>
      <c r="F104" s="22">
        <f>_xlfn.XLOOKUP($B55,[1]Billing!$Q$5:$Q$40,[1]Billing!$U$5:$U$40)</f>
        <v>0</v>
      </c>
      <c r="G104" s="22">
        <f>_xlfn.XLOOKUP($B55,[1]Billing!$Q$5:$Q$40,[1]Billing!$V$5:$V$40)</f>
        <v>1626380.7607900514</v>
      </c>
      <c r="H104" s="22">
        <f>_xlfn.XLOOKUP($B55,[1]Billing!$Q$5:$Q$40,[1]Billing!$W$5:$W$40)</f>
        <v>0</v>
      </c>
      <c r="I104" s="22">
        <f>_xlfn.XLOOKUP($B55,[1]Billing!$Q$5:$Q$40,[1]Billing!$X$5:$X$40)</f>
        <v>0</v>
      </c>
      <c r="J104" s="22">
        <f>_xlfn.XLOOKUP($B55,[1]Billing!$Q$5:$Q$40,[1]Billing!$Y$5:$Y$40)</f>
        <v>0</v>
      </c>
      <c r="K104">
        <f>_xlfn.XLOOKUP($B55,[1]Billing!$Q$5:$Q$40,[1]Billing!$Z$5:$Z$40)</f>
        <v>0</v>
      </c>
      <c r="L104">
        <f>_xlfn.XLOOKUP($B55,[1]Billing!$Q$5:$Q$40,[1]Billing!$AA$5:$AA$40)</f>
        <v>0</v>
      </c>
      <c r="M104">
        <f>_xlfn.XLOOKUP($B55,[1]Billing!$Q$5:$Q$40,[1]Billing!$AB$5:$AB$40)</f>
        <v>0</v>
      </c>
      <c r="O104" s="39">
        <f t="shared" si="14"/>
        <v>1626380.7607900514</v>
      </c>
      <c r="P104" s="22">
        <f>_xlfn.XLOOKUP($B55,[1]Billing!$Q$5:$Q$40,[1]Billing!$AD$5:$AD$40)</f>
        <v>1526321</v>
      </c>
      <c r="Q104" s="37">
        <f t="shared" si="13"/>
        <v>100059.76079005143</v>
      </c>
      <c r="R104" s="21">
        <v>10</v>
      </c>
      <c r="S104" s="21">
        <v>13</v>
      </c>
    </row>
    <row r="105" spans="2:19" x14ac:dyDescent="0.3">
      <c r="B105" s="24" t="str">
        <v>Azam</v>
      </c>
      <c r="C105" s="22">
        <f>_xlfn.XLOOKUP($B56,[1]Billing!$Q$5:$Q$40,[1]Billing!$R$5:$R$40)</f>
        <v>749236</v>
      </c>
      <c r="D105" s="22">
        <f>_xlfn.XLOOKUP($B56,[1]Billing!$Q$5:$Q$40,[1]Billing!$S$5:$S$40)</f>
        <v>685109.72933430877</v>
      </c>
      <c r="E105" s="22">
        <f>_xlfn.XLOOKUP($B56,[1]Billing!$Q$5:$Q$40,[1]Billing!$T$5:$T$40)</f>
        <v>501118.32479882962</v>
      </c>
      <c r="F105" s="22">
        <f>_xlfn.XLOOKUP($B56,[1]Billing!$Q$5:$Q$40,[1]Billing!$U$5:$U$40)</f>
        <v>183991.40453547917</v>
      </c>
      <c r="G105" s="22">
        <f>_xlfn.XLOOKUP($B56,[1]Billing!$Q$5:$Q$40,[1]Billing!$V$5:$V$40)</f>
        <v>5011183.2479882967</v>
      </c>
      <c r="H105" s="22">
        <f>_xlfn.XLOOKUP($B56,[1]Billing!$Q$5:$Q$40,[1]Billing!$W$5:$W$40)</f>
        <v>2391888.2589612291</v>
      </c>
      <c r="I105" s="22">
        <f>_xlfn.XLOOKUP($B56,[1]Billing!$Q$5:$Q$40,[1]Billing!$X$5:$X$40)</f>
        <v>0</v>
      </c>
      <c r="J105" s="22">
        <f>_xlfn.XLOOKUP($B56,[1]Billing!$Q$5:$Q$40,[1]Billing!$Y$5:$Y$40)</f>
        <v>0</v>
      </c>
      <c r="K105">
        <f>_xlfn.XLOOKUP($B56,[1]Billing!$Q$5:$Q$40,[1]Billing!$Z$5:$Z$40)</f>
        <v>0</v>
      </c>
      <c r="L105">
        <f>_xlfn.XLOOKUP($B56,[1]Billing!$Q$5:$Q$40,[1]Billing!$AA$5:$AA$40)</f>
        <v>0</v>
      </c>
      <c r="M105">
        <f>_xlfn.XLOOKUP($B56,[1]Billing!$Q$5:$Q$40,[1]Billing!$AB$5:$AB$40)</f>
        <v>0</v>
      </c>
      <c r="O105" s="39">
        <f t="shared" si="14"/>
        <v>7403071.5069495253</v>
      </c>
      <c r="P105" s="22">
        <f>_xlfn.XLOOKUP($B56,[1]Billing!$Q$5:$Q$40,[1]Billing!$AD$5:$AD$40)</f>
        <v>7402540</v>
      </c>
      <c r="Q105" s="37">
        <f t="shared" si="13"/>
        <v>531.50694952532649</v>
      </c>
      <c r="R105" s="21">
        <v>10</v>
      </c>
      <c r="S105" s="21">
        <v>13</v>
      </c>
    </row>
    <row r="106" spans="2:19" x14ac:dyDescent="0.3">
      <c r="B106" s="24" t="str">
        <v>Ubaidullah</v>
      </c>
      <c r="C106" s="22">
        <f>_xlfn.XLOOKUP($B57,[1]Billing!$Q$5:$Q$40,[1]Billing!$R$5:$R$40)</f>
        <v>173534</v>
      </c>
      <c r="D106" s="22">
        <f>_xlfn.XLOOKUP($B57,[1]Billing!$Q$5:$Q$40,[1]Billing!$S$5:$S$40)</f>
        <v>158681.41916605708</v>
      </c>
      <c r="E106" s="22">
        <f>_xlfn.XLOOKUP($B57,[1]Billing!$Q$5:$Q$40,[1]Billing!$T$5:$T$40)</f>
        <v>46132.955376737387</v>
      </c>
      <c r="F106" s="22">
        <f>_xlfn.XLOOKUP($B57,[1]Billing!$Q$5:$Q$40,[1]Billing!$U$5:$U$40)</f>
        <v>112548.46378931969</v>
      </c>
      <c r="G106" s="22">
        <f>_xlfn.XLOOKUP($B57,[1]Billing!$Q$5:$Q$40,[1]Billing!$V$5:$V$40)</f>
        <v>461329.5537673739</v>
      </c>
      <c r="H106" s="22">
        <f>_xlfn.XLOOKUP($B57,[1]Billing!$Q$5:$Q$40,[1]Billing!$W$5:$W$40)</f>
        <v>1448134.6013167519</v>
      </c>
      <c r="I106" s="22">
        <f>_xlfn.XLOOKUP($B57,[1]Billing!$Q$5:$Q$40,[1]Billing!$X$5:$X$40)</f>
        <v>0</v>
      </c>
      <c r="J106" s="22">
        <f>_xlfn.XLOOKUP($B57,[1]Billing!$Q$5:$Q$40,[1]Billing!$Y$5:$Y$40)</f>
        <v>0</v>
      </c>
      <c r="K106">
        <f>_xlfn.XLOOKUP($B57,[1]Billing!$Q$5:$Q$40,[1]Billing!$Z$5:$Z$40)</f>
        <v>0</v>
      </c>
      <c r="L106">
        <f>_xlfn.XLOOKUP($B57,[1]Billing!$Q$5:$Q$40,[1]Billing!$AA$5:$AA$40)</f>
        <v>0</v>
      </c>
      <c r="M106">
        <f>_xlfn.XLOOKUP($B57,[1]Billing!$Q$5:$Q$40,[1]Billing!$AB$5:$AB$40)</f>
        <v>0</v>
      </c>
      <c r="O106" s="39">
        <f t="shared" si="14"/>
        <v>1909464.1550841257</v>
      </c>
      <c r="P106" s="22">
        <f>_xlfn.XLOOKUP($B57,[1]Billing!$Q$5:$Q$40,[1]Billing!$AD$5:$AD$40)</f>
        <v>1908190</v>
      </c>
      <c r="Q106" s="37">
        <f t="shared" si="13"/>
        <v>1274.1550841256976</v>
      </c>
      <c r="R106" s="21">
        <v>10</v>
      </c>
      <c r="S106" s="21">
        <v>13</v>
      </c>
    </row>
    <row r="107" spans="2:19" x14ac:dyDescent="0.3">
      <c r="B107" s="24" t="str">
        <v>Ashraf Zia</v>
      </c>
      <c r="C107" s="22">
        <f>_xlfn.XLOOKUP($B58,[1]Billing!$Q$5:$Q$40,[1]Billing!$R$5:$R$40)</f>
        <v>23305</v>
      </c>
      <c r="D107" s="22">
        <f>_xlfn.XLOOKUP($B58,[1]Billing!$Q$5:$Q$40,[1]Billing!$S$5:$S$40)</f>
        <v>21310.35113386979</v>
      </c>
      <c r="E107" s="22">
        <f>_xlfn.XLOOKUP($B58,[1]Billing!$Q$5:$Q$40,[1]Billing!$T$5:$T$40)</f>
        <v>21310.35113386979</v>
      </c>
      <c r="F107" s="22">
        <f>_xlfn.XLOOKUP($B58,[1]Billing!$Q$5:$Q$40,[1]Billing!$U$5:$U$40)</f>
        <v>0</v>
      </c>
      <c r="G107" s="22">
        <f>_xlfn.XLOOKUP($B58,[1]Billing!$Q$5:$Q$40,[1]Billing!$V$5:$V$40)</f>
        <v>255724.21360643749</v>
      </c>
      <c r="H107" s="22">
        <f>_xlfn.XLOOKUP($B58,[1]Billing!$Q$5:$Q$40,[1]Billing!$W$5:$W$40)</f>
        <v>0</v>
      </c>
      <c r="I107" s="22">
        <f>_xlfn.XLOOKUP($B58,[1]Billing!$Q$5:$Q$40,[1]Billing!$X$5:$X$40)</f>
        <v>0</v>
      </c>
      <c r="J107" s="22">
        <f>_xlfn.XLOOKUP($B58,[1]Billing!$Q$5:$Q$40,[1]Billing!$Y$5:$Y$40)</f>
        <v>0</v>
      </c>
      <c r="K107">
        <f>_xlfn.XLOOKUP($B58,[1]Billing!$Q$5:$Q$40,[1]Billing!$Z$5:$Z$40)</f>
        <v>0</v>
      </c>
      <c r="L107">
        <f>_xlfn.XLOOKUP($B58,[1]Billing!$Q$5:$Q$40,[1]Billing!$AA$5:$AA$40)</f>
        <v>0</v>
      </c>
      <c r="M107">
        <f>_xlfn.XLOOKUP($B58,[1]Billing!$Q$5:$Q$40,[1]Billing!$AB$5:$AB$40)</f>
        <v>0</v>
      </c>
      <c r="O107" s="39">
        <f t="shared" si="14"/>
        <v>255724.21360643749</v>
      </c>
      <c r="P107" s="22">
        <f>_xlfn.XLOOKUP($B58,[1]Billing!$Q$5:$Q$40,[1]Billing!$AD$5:$AD$40)</f>
        <v>130000</v>
      </c>
      <c r="Q107" s="37">
        <f t="shared" si="13"/>
        <v>125724.21360643749</v>
      </c>
      <c r="R107" s="21">
        <v>12</v>
      </c>
      <c r="S107" s="21">
        <v>13</v>
      </c>
    </row>
    <row r="108" spans="2:19" x14ac:dyDescent="0.3">
      <c r="B108" s="24" t="str">
        <v>Hafiz Qureshi</v>
      </c>
      <c r="C108" s="22">
        <f>_xlfn.XLOOKUP($B59,[1]Billing!$Q$5:$Q$40,[1]Billing!$R$5:$R$40)</f>
        <v>454627</v>
      </c>
      <c r="D108" s="22">
        <f>_xlfn.XLOOKUP($B59,[1]Billing!$Q$5:$Q$40,[1]Billing!$S$5:$S$40)</f>
        <v>415715.98390636436</v>
      </c>
      <c r="E108" s="22">
        <f>_xlfn.XLOOKUP($B59,[1]Billing!$Q$5:$Q$40,[1]Billing!$T$5:$T$40)</f>
        <v>415715.98390636436</v>
      </c>
      <c r="F108" s="22">
        <f>_xlfn.XLOOKUP($B59,[1]Billing!$Q$5:$Q$40,[1]Billing!$U$5:$U$40)</f>
        <v>0</v>
      </c>
      <c r="G108" s="22">
        <f>_xlfn.XLOOKUP($B59,[1]Billing!$Q$5:$Q$40,[1]Billing!$V$5:$V$40)</f>
        <v>4157159.8390636435</v>
      </c>
      <c r="H108" s="22">
        <f>_xlfn.XLOOKUP($B59,[1]Billing!$Q$5:$Q$40,[1]Billing!$W$5:$W$40)</f>
        <v>0</v>
      </c>
      <c r="I108" s="22">
        <f>_xlfn.XLOOKUP($B59,[1]Billing!$Q$5:$Q$40,[1]Billing!$X$5:$X$40)</f>
        <v>0</v>
      </c>
      <c r="J108" s="22">
        <f>_xlfn.XLOOKUP($B59,[1]Billing!$Q$5:$Q$40,[1]Billing!$Y$5:$Y$40)</f>
        <v>0</v>
      </c>
      <c r="K108">
        <f>_xlfn.XLOOKUP($B59,[1]Billing!$Q$5:$Q$40,[1]Billing!$Z$5:$Z$40)</f>
        <v>0</v>
      </c>
      <c r="L108">
        <f>_xlfn.XLOOKUP($B59,[1]Billing!$Q$5:$Q$40,[1]Billing!$AA$5:$AA$40)</f>
        <v>0</v>
      </c>
      <c r="M108">
        <f>_xlfn.XLOOKUP($B59,[1]Billing!$Q$5:$Q$40,[1]Billing!$AB$5:$AB$40)</f>
        <v>0</v>
      </c>
      <c r="O108" s="39">
        <f t="shared" si="14"/>
        <v>4157159.8390636435</v>
      </c>
      <c r="P108" s="22">
        <f>_xlfn.XLOOKUP($B59,[1]Billing!$Q$5:$Q$40,[1]Billing!$AD$5:$AD$40)</f>
        <v>4146179</v>
      </c>
      <c r="Q108" s="37">
        <f t="shared" si="13"/>
        <v>10980.839063643478</v>
      </c>
      <c r="R108" s="21">
        <v>10</v>
      </c>
      <c r="S108" s="21">
        <v>13</v>
      </c>
    </row>
    <row r="109" spans="2:19" x14ac:dyDescent="0.3">
      <c r="B109" s="24" t="str">
        <v>Badshah Fabrics</v>
      </c>
      <c r="C109" s="22">
        <f>_xlfn.XLOOKUP($B60,[1]Billing!$Q$5:$Q$40,[1]Billing!$R$5:$R$40)</f>
        <v>681314</v>
      </c>
      <c r="D109" s="22">
        <f>_xlfn.XLOOKUP($B60,[1]Billing!$Q$5:$Q$40,[1]Billing!$S$5:$S$40)</f>
        <v>623001.09729334316</v>
      </c>
      <c r="E109" s="22">
        <f>_xlfn.XLOOKUP($B60,[1]Billing!$Q$5:$Q$40,[1]Billing!$T$5:$T$40)</f>
        <v>481526.15215801029</v>
      </c>
      <c r="F109" s="22">
        <f>_xlfn.XLOOKUP($B60,[1]Billing!$Q$5:$Q$40,[1]Billing!$U$5:$U$40)</f>
        <v>141474.94513533285</v>
      </c>
      <c r="G109" s="22">
        <f>_xlfn.XLOOKUP($B60,[1]Billing!$Q$5:$Q$40,[1]Billing!$V$5:$V$40)</f>
        <v>4861679.7732260432</v>
      </c>
      <c r="H109" s="22">
        <f>_xlfn.XLOOKUP($B60,[1]Billing!$Q$5:$Q$40,[1]Billing!$W$5:$W$40)</f>
        <v>1776019.5683979518</v>
      </c>
      <c r="I109" s="22">
        <f>_xlfn.XLOOKUP($B60,[1]Billing!$Q$5:$Q$40,[1]Billing!$X$5:$X$40)</f>
        <v>0</v>
      </c>
      <c r="J109" s="22">
        <f>_xlfn.XLOOKUP($B60,[1]Billing!$Q$5:$Q$40,[1]Billing!$Y$5:$Y$40)</f>
        <v>0</v>
      </c>
      <c r="K109">
        <f>_xlfn.XLOOKUP($B60,[1]Billing!$Q$5:$Q$40,[1]Billing!$Z$5:$Z$40)</f>
        <v>0</v>
      </c>
      <c r="L109">
        <f>_xlfn.XLOOKUP($B60,[1]Billing!$Q$5:$Q$40,[1]Billing!$AA$5:$AA$40)</f>
        <v>0</v>
      </c>
      <c r="M109">
        <f>_xlfn.XLOOKUP($B60,[1]Billing!$Q$5:$Q$40,[1]Billing!$AB$5:$AB$40)</f>
        <v>0</v>
      </c>
      <c r="O109" s="39">
        <f t="shared" si="14"/>
        <v>6637699.3416239955</v>
      </c>
      <c r="P109" s="22">
        <f>_xlfn.XLOOKUP($B60,[1]Billing!$Q$5:$Q$40,[1]Billing!$AD$5:$AD$40)</f>
        <v>6545761</v>
      </c>
      <c r="Q109" s="37">
        <f t="shared" si="13"/>
        <v>91938.341623995453</v>
      </c>
      <c r="R109" s="21">
        <v>10</v>
      </c>
      <c r="S109" s="21">
        <v>13</v>
      </c>
    </row>
    <row r="110" spans="2:19" x14ac:dyDescent="0.3">
      <c r="B110" s="24" t="str">
        <v>Gauhar Kashif</v>
      </c>
      <c r="C110" s="22">
        <f>_xlfn.XLOOKUP($B61,[1]Billing!$Q$5:$Q$40,[1]Billing!$R$5:$R$40)</f>
        <v>132768</v>
      </c>
      <c r="D110" s="22">
        <f>_xlfn.XLOOKUP($B61,[1]Billing!$Q$5:$Q$40,[1]Billing!$S$5:$S$40)</f>
        <v>121404.53547915144</v>
      </c>
      <c r="E110" s="22">
        <f>_xlfn.XLOOKUP($B61,[1]Billing!$Q$5:$Q$40,[1]Billing!$T$5:$T$40)</f>
        <v>121404.53547915144</v>
      </c>
      <c r="F110" s="22">
        <f>_xlfn.XLOOKUP($B61,[1]Billing!$Q$5:$Q$40,[1]Billing!$U$5:$U$40)</f>
        <v>0</v>
      </c>
      <c r="G110" s="22">
        <f>_xlfn.XLOOKUP($B61,[1]Billing!$Q$5:$Q$40,[1]Billing!$V$5:$V$40)</f>
        <v>1214045.3547915143</v>
      </c>
      <c r="H110" s="22">
        <f>_xlfn.XLOOKUP($B61,[1]Billing!$Q$5:$Q$40,[1]Billing!$W$5:$W$40)</f>
        <v>0</v>
      </c>
      <c r="I110" s="22">
        <f>_xlfn.XLOOKUP($B61,[1]Billing!$Q$5:$Q$40,[1]Billing!$X$5:$X$40)</f>
        <v>0</v>
      </c>
      <c r="J110" s="22">
        <f>_xlfn.XLOOKUP($B61,[1]Billing!$Q$5:$Q$40,[1]Billing!$Y$5:$Y$40)</f>
        <v>0</v>
      </c>
      <c r="K110">
        <f>_xlfn.XLOOKUP($B61,[1]Billing!$Q$5:$Q$40,[1]Billing!$Z$5:$Z$40)</f>
        <v>0</v>
      </c>
      <c r="L110">
        <f>_xlfn.XLOOKUP($B61,[1]Billing!$Q$5:$Q$40,[1]Billing!$AA$5:$AA$40)</f>
        <v>0</v>
      </c>
      <c r="M110">
        <f>_xlfn.XLOOKUP($B61,[1]Billing!$Q$5:$Q$40,[1]Billing!$AB$5:$AB$40)</f>
        <v>0</v>
      </c>
      <c r="O110" s="39">
        <f t="shared" si="14"/>
        <v>1214045.3547915143</v>
      </c>
      <c r="P110" s="22">
        <f>_xlfn.XLOOKUP($B61,[1]Billing!$Q$5:$Q$40,[1]Billing!$AD$5:$AD$40)</f>
        <v>1214045</v>
      </c>
      <c r="Q110" s="37">
        <f t="shared" si="13"/>
        <v>0.35479151434265077</v>
      </c>
      <c r="R110" s="21">
        <v>10</v>
      </c>
      <c r="S110" s="21">
        <v>13</v>
      </c>
    </row>
    <row r="111" spans="2:19" x14ac:dyDescent="0.3">
      <c r="B111" s="24" t="str">
        <v>Amjad 7up</v>
      </c>
      <c r="C111" s="22">
        <f>_xlfn.XLOOKUP($B62,[1]Billing!$Q$5:$Q$40,[1]Billing!$R$5:$R$40)</f>
        <v>52914</v>
      </c>
      <c r="D111" s="22">
        <f>_xlfn.XLOOKUP($B62,[1]Billing!$Q$5:$Q$40,[1]Billing!$S$5:$S$40)</f>
        <v>48385.149963423559</v>
      </c>
      <c r="E111" s="22">
        <f>_xlfn.XLOOKUP($B62,[1]Billing!$Q$5:$Q$40,[1]Billing!$T$5:$T$40)</f>
        <v>48385.149963423559</v>
      </c>
      <c r="F111" s="22">
        <f>_xlfn.XLOOKUP($B62,[1]Billing!$Q$5:$Q$40,[1]Billing!$U$5:$U$40)</f>
        <v>0</v>
      </c>
      <c r="G111" s="22">
        <f>_xlfn.XLOOKUP($B62,[1]Billing!$Q$5:$Q$40,[1]Billing!$V$5:$V$40)</f>
        <v>483851.49963423557</v>
      </c>
      <c r="H111" s="22">
        <f>_xlfn.XLOOKUP($B62,[1]Billing!$Q$5:$Q$40,[1]Billing!$W$5:$W$40)</f>
        <v>0</v>
      </c>
      <c r="I111" s="22">
        <f>_xlfn.XLOOKUP($B62,[1]Billing!$Q$5:$Q$40,[1]Billing!$X$5:$X$40)</f>
        <v>0</v>
      </c>
      <c r="J111" s="22">
        <f>_xlfn.XLOOKUP($B62,[1]Billing!$Q$5:$Q$40,[1]Billing!$Y$5:$Y$40)</f>
        <v>0</v>
      </c>
      <c r="K111">
        <f>_xlfn.XLOOKUP($B62,[1]Billing!$Q$5:$Q$40,[1]Billing!$Z$5:$Z$40)</f>
        <v>0</v>
      </c>
      <c r="L111">
        <f>_xlfn.XLOOKUP($B62,[1]Billing!$Q$5:$Q$40,[1]Billing!$AA$5:$AA$40)</f>
        <v>0</v>
      </c>
      <c r="M111">
        <f>_xlfn.XLOOKUP($B62,[1]Billing!$Q$5:$Q$40,[1]Billing!$AB$5:$AB$40)</f>
        <v>0</v>
      </c>
      <c r="O111" s="39">
        <f t="shared" si="14"/>
        <v>483851.49963423557</v>
      </c>
      <c r="P111" s="22">
        <f>_xlfn.XLOOKUP($B62,[1]Billing!$Q$5:$Q$40,[1]Billing!$AD$5:$AD$40)</f>
        <v>480000</v>
      </c>
      <c r="Q111" s="37">
        <f t="shared" si="13"/>
        <v>3851.4996342355735</v>
      </c>
      <c r="R111" s="21">
        <v>10</v>
      </c>
      <c r="S111" s="21">
        <v>13</v>
      </c>
    </row>
    <row r="112" spans="2:19" x14ac:dyDescent="0.3">
      <c r="B112" s="24" t="str">
        <v>Hazrat Khan</v>
      </c>
      <c r="C112" s="22">
        <f>_xlfn.XLOOKUP($B63,[1]Billing!$Q$5:$Q$40,[1]Billing!$R$5:$R$40)</f>
        <v>9750</v>
      </c>
      <c r="D112" s="22">
        <f>_xlfn.XLOOKUP($B63,[1]Billing!$Q$5:$Q$40,[1]Billing!$S$5:$S$40)</f>
        <v>8915.5084125822978</v>
      </c>
      <c r="E112" s="22">
        <f>_xlfn.XLOOKUP($B63,[1]Billing!$Q$5:$Q$40,[1]Billing!$T$5:$T$40)</f>
        <v>8915.5084125822978</v>
      </c>
      <c r="F112" s="22">
        <f>_xlfn.XLOOKUP($B63,[1]Billing!$Q$5:$Q$40,[1]Billing!$U$5:$U$40)</f>
        <v>0</v>
      </c>
      <c r="G112" s="22">
        <f>_xlfn.XLOOKUP($B63,[1]Billing!$Q$5:$Q$40,[1]Billing!$V$5:$V$40)</f>
        <v>89155.084125822978</v>
      </c>
      <c r="H112" s="22">
        <f>_xlfn.XLOOKUP($B63,[1]Billing!$Q$5:$Q$40,[1]Billing!$W$5:$W$40)</f>
        <v>0</v>
      </c>
      <c r="I112" s="22">
        <f>_xlfn.XLOOKUP($B63,[1]Billing!$Q$5:$Q$40,[1]Billing!$X$5:$X$40)</f>
        <v>0</v>
      </c>
      <c r="J112" s="22">
        <f>_xlfn.XLOOKUP($B63,[1]Billing!$Q$5:$Q$40,[1]Billing!$Y$5:$Y$40)</f>
        <v>0</v>
      </c>
      <c r="K112">
        <f>_xlfn.XLOOKUP($B63,[1]Billing!$Q$5:$Q$40,[1]Billing!$Z$5:$Z$40)</f>
        <v>0</v>
      </c>
      <c r="L112">
        <f>_xlfn.XLOOKUP($B63,[1]Billing!$Q$5:$Q$40,[1]Billing!$AA$5:$AA$40)</f>
        <v>0</v>
      </c>
      <c r="M112">
        <f>_xlfn.XLOOKUP($B63,[1]Billing!$Q$5:$Q$40,[1]Billing!$AB$5:$AB$40)</f>
        <v>0</v>
      </c>
      <c r="O112" s="39">
        <f t="shared" si="14"/>
        <v>89155.084125822978</v>
      </c>
      <c r="P112" s="22">
        <f>_xlfn.XLOOKUP($B63,[1]Billing!$Q$5:$Q$40,[1]Billing!$AD$5:$AD$40)</f>
        <v>95000</v>
      </c>
      <c r="Q112" s="37">
        <f t="shared" si="13"/>
        <v>-5844.9158741770225</v>
      </c>
      <c r="R112" s="21">
        <v>10</v>
      </c>
      <c r="S112" s="21">
        <v>13</v>
      </c>
    </row>
    <row r="113" spans="2:19" x14ac:dyDescent="0.3">
      <c r="B113" s="24" t="str">
        <v>Haseeb Shamsi</v>
      </c>
      <c r="C113" s="22">
        <f>_xlfn.XLOOKUP($B64,[1]Billing!$Q$5:$Q$40,[1]Billing!$R$5:$R$40)</f>
        <v>61975</v>
      </c>
      <c r="D113" s="22">
        <f>_xlfn.XLOOKUP($B64,[1]Billing!$Q$5:$Q$40,[1]Billing!$S$5:$S$40)</f>
        <v>56670.629114850046</v>
      </c>
      <c r="E113" s="22">
        <f>_xlfn.XLOOKUP($B64,[1]Billing!$Q$5:$Q$40,[1]Billing!$T$5:$T$40)</f>
        <v>47437.820043891741</v>
      </c>
      <c r="F113" s="22">
        <f>_xlfn.XLOOKUP($B64,[1]Billing!$Q$5:$Q$40,[1]Billing!$U$5:$U$40)</f>
        <v>9232.809070958303</v>
      </c>
      <c r="G113" s="22">
        <f>_xlfn.XLOOKUP($B64,[1]Billing!$Q$5:$Q$40,[1]Billing!$V$5:$V$40)</f>
        <v>474378.20043891744</v>
      </c>
      <c r="H113" s="22">
        <f>_xlfn.XLOOKUP($B64,[1]Billing!$Q$5:$Q$40,[1]Billing!$W$5:$W$40)</f>
        <v>120026.51792245793</v>
      </c>
      <c r="I113" s="22">
        <f>_xlfn.XLOOKUP($B64,[1]Billing!$Q$5:$Q$40,[1]Billing!$X$5:$X$40)</f>
        <v>0</v>
      </c>
      <c r="J113" s="22">
        <f>_xlfn.XLOOKUP($B64,[1]Billing!$Q$5:$Q$40,[1]Billing!$Y$5:$Y$40)</f>
        <v>0</v>
      </c>
      <c r="K113">
        <f>_xlfn.XLOOKUP($B64,[1]Billing!$Q$5:$Q$40,[1]Billing!$Z$5:$Z$40)</f>
        <v>0</v>
      </c>
      <c r="L113">
        <f>_xlfn.XLOOKUP($B64,[1]Billing!$Q$5:$Q$40,[1]Billing!$AA$5:$AA$40)</f>
        <v>0</v>
      </c>
      <c r="M113">
        <f>_xlfn.XLOOKUP($B64,[1]Billing!$Q$5:$Q$40,[1]Billing!$AB$5:$AB$40)</f>
        <v>0</v>
      </c>
      <c r="O113" s="39">
        <f t="shared" si="14"/>
        <v>594404.71836137539</v>
      </c>
      <c r="P113" s="22">
        <f>_xlfn.XLOOKUP($B64,[1]Billing!$Q$5:$Q$40,[1]Billing!$AD$5:$AD$40)</f>
        <v>594405</v>
      </c>
      <c r="Q113" s="37">
        <f t="shared" si="13"/>
        <v>-0.28163862461224198</v>
      </c>
      <c r="R113" s="21">
        <v>10</v>
      </c>
      <c r="S113" s="21">
        <v>13</v>
      </c>
    </row>
    <row r="114" spans="2:19" x14ac:dyDescent="0.3">
      <c r="B114" s="80" t="str">
        <v>Faizan</v>
      </c>
      <c r="C114" s="22">
        <f>_xlfn.XLOOKUP($B65,[1]Billing!$Q$5:$Q$40,[1]Billing!$R$5:$R$40)</f>
        <v>509411</v>
      </c>
      <c r="D114" s="22">
        <f>_xlfn.XLOOKUP($B65,[1]Billing!$Q$5:$Q$40,[1]Billing!$S$5:$S$40)</f>
        <v>465811.08266276523</v>
      </c>
      <c r="E114" s="22">
        <f>_xlfn.XLOOKUP($B65,[1]Billing!$Q$5:$Q$40,[1]Billing!$T$5:$T$40)</f>
        <v>0</v>
      </c>
      <c r="F114" s="22">
        <f>_xlfn.XLOOKUP($B65,[1]Billing!$Q$5:$Q$40,[1]Billing!$U$5:$U$40)</f>
        <v>462841.07534747623</v>
      </c>
      <c r="G114" s="22">
        <f>_xlfn.XLOOKUP($B65,[1]Billing!$Q$5:$Q$40,[1]Billing!$V$5:$V$40)</f>
        <v>30000</v>
      </c>
      <c r="H114" s="22">
        <f>_xlfn.XLOOKUP($B65,[1]Billing!$Q$5:$Q$40,[1]Billing!$W$5:$W$40)</f>
        <v>6016933.9795171916</v>
      </c>
      <c r="I114" s="22">
        <f>_xlfn.XLOOKUP($B65,[1]Billing!$Q$5:$Q$40,[1]Billing!$X$5:$X$40)</f>
        <v>44550.109729334312</v>
      </c>
      <c r="J114" s="22">
        <f>_xlfn.XLOOKUP($B65,[1]Billing!$Q$5:$Q$40,[1]Billing!$Y$5:$Y$40)</f>
        <v>0</v>
      </c>
      <c r="K114">
        <f>_xlfn.XLOOKUP($B65,[1]Billing!$Q$5:$Q$40,[1]Billing!$Z$5:$Z$40)</f>
        <v>0</v>
      </c>
      <c r="L114">
        <f>_xlfn.XLOOKUP($B65,[1]Billing!$Q$5:$Q$40,[1]Billing!$AA$5:$AA$40)</f>
        <v>0</v>
      </c>
      <c r="M114">
        <f>_xlfn.XLOOKUP($B65,[1]Billing!$Q$5:$Q$40,[1]Billing!$AB$5:$AB$40)</f>
        <v>0</v>
      </c>
      <c r="O114" s="39">
        <f t="shared" si="14"/>
        <v>6091484.0892465264</v>
      </c>
      <c r="P114" s="22">
        <f>_xlfn.XLOOKUP($B65,[1]Billing!$Q$5:$Q$40,[1]Billing!$AD$5:$AD$40)</f>
        <v>6024187</v>
      </c>
      <c r="Q114" s="37">
        <f t="shared" si="13"/>
        <v>67297.089246526361</v>
      </c>
      <c r="R114" s="21">
        <v>10</v>
      </c>
      <c r="S114" s="21">
        <v>13</v>
      </c>
    </row>
    <row r="115" spans="2:19" x14ac:dyDescent="0.3">
      <c r="B115" s="80" t="str">
        <v>Shafique Ansari</v>
      </c>
      <c r="C115" s="22">
        <f>_xlfn.XLOOKUP($B66,[1]Billing!$Q$5:$Q$40,[1]Billing!$R$5:$R$40)</f>
        <v>82290</v>
      </c>
      <c r="D115" s="22">
        <f>_xlfn.XLOOKUP($B66,[1]Billing!$Q$5:$Q$40,[1]Billing!$S$5:$S$40)</f>
        <v>75246.891002194592</v>
      </c>
      <c r="E115" s="22">
        <f>_xlfn.XLOOKUP($B66,[1]Billing!$Q$5:$Q$40,[1]Billing!$T$5:$T$40)</f>
        <v>64300.475493782011</v>
      </c>
      <c r="F115" s="22">
        <f>_xlfn.XLOOKUP($B66,[1]Billing!$Q$5:$Q$40,[1]Billing!$U$5:$U$40)</f>
        <v>7565.8376005852242</v>
      </c>
      <c r="G115" s="22">
        <f>_xlfn.XLOOKUP($B66,[1]Billing!$Q$5:$Q$40,[1]Billing!$V$5:$V$40)</f>
        <v>643004.75493782014</v>
      </c>
      <c r="H115" s="22">
        <f>_xlfn.XLOOKUP($B66,[1]Billing!$Q$5:$Q$40,[1]Billing!$W$5:$W$40)</f>
        <v>98355.888807607917</v>
      </c>
      <c r="I115" s="22">
        <f>_xlfn.XLOOKUP($B66,[1]Billing!$Q$5:$Q$40,[1]Billing!$X$5:$X$40)</f>
        <v>0</v>
      </c>
      <c r="J115" s="22">
        <f>_xlfn.XLOOKUP($B66,[1]Billing!$Q$5:$Q$40,[1]Billing!$Y$5:$Y$40)</f>
        <v>94656.181419166067</v>
      </c>
      <c r="K115">
        <f>_xlfn.XLOOKUP($B66,[1]Billing!$Q$5:$Q$40,[1]Billing!$Z$5:$Z$40)</f>
        <v>0</v>
      </c>
      <c r="L115">
        <f>_xlfn.XLOOKUP($B66,[1]Billing!$Q$5:$Q$40,[1]Billing!$AA$5:$AA$40)</f>
        <v>0</v>
      </c>
      <c r="M115">
        <f>_xlfn.XLOOKUP($B66,[1]Billing!$Q$5:$Q$40,[1]Billing!$AB$5:$AB$40)</f>
        <v>0</v>
      </c>
      <c r="O115" s="39">
        <f t="shared" si="14"/>
        <v>836016.82516459411</v>
      </c>
      <c r="P115" s="22">
        <f>_xlfn.XLOOKUP($B66,[1]Billing!$Q$5:$Q$40,[1]Billing!$AD$5:$AD$40)</f>
        <v>835660</v>
      </c>
      <c r="Q115" s="37">
        <f t="shared" si="13"/>
        <v>356.82516459410544</v>
      </c>
      <c r="R115" s="21">
        <v>10</v>
      </c>
      <c r="S115" s="21">
        <v>13</v>
      </c>
    </row>
    <row r="116" spans="2:19" x14ac:dyDescent="0.3">
      <c r="B116" s="80" t="str">
        <v>Amjad sohail</v>
      </c>
      <c r="C116" s="22">
        <f>_xlfn.XLOOKUP($B67,[1]Billing!$Q$5:$Q$40,[1]Billing!$R$5:$R$40)</f>
        <v>445530</v>
      </c>
      <c r="D116" s="22">
        <f>_xlfn.XLOOKUP($B67,[1]Billing!$Q$5:$Q$40,[1]Billing!$S$5:$S$40)</f>
        <v>407397.58595464518</v>
      </c>
      <c r="E116" s="22">
        <f>_xlfn.XLOOKUP($B67,[1]Billing!$Q$5:$Q$40,[1]Billing!$T$5:$T$40)</f>
        <v>360797.36649597657</v>
      </c>
      <c r="F116" s="22">
        <f>_xlfn.XLOOKUP($B67,[1]Billing!$Q$5:$Q$40,[1]Billing!$U$5:$U$40)</f>
        <v>46600.219458668624</v>
      </c>
      <c r="G116" s="22">
        <f>_xlfn.XLOOKUP($B67,[1]Billing!$Q$5:$Q$40,[1]Billing!$V$5:$V$40)</f>
        <v>3607973.6649597664</v>
      </c>
      <c r="H116" s="22">
        <f>_xlfn.XLOOKUP($B67,[1]Billing!$Q$5:$Q$40,[1]Billing!$W$5:$W$40)</f>
        <v>605802.85296269215</v>
      </c>
      <c r="I116" s="22">
        <f>_xlfn.XLOOKUP($B67,[1]Billing!$Q$5:$Q$40,[1]Billing!$X$5:$X$40)</f>
        <v>0</v>
      </c>
      <c r="J116" s="22">
        <f>_xlfn.XLOOKUP($B67,[1]Billing!$Q$5:$Q$40,[1]Billing!$Y$5:$Y$40)</f>
        <v>0</v>
      </c>
      <c r="K116">
        <f>_xlfn.XLOOKUP($B67,[1]Billing!$Q$5:$Q$40,[1]Billing!$Z$5:$Z$40)</f>
        <v>0</v>
      </c>
      <c r="L116">
        <f>_xlfn.XLOOKUP($B67,[1]Billing!$Q$5:$Q$40,[1]Billing!$AA$5:$AA$40)</f>
        <v>0</v>
      </c>
      <c r="M116">
        <f>_xlfn.XLOOKUP($B67,[1]Billing!$Q$5:$Q$40,[1]Billing!$AB$5:$AB$40)</f>
        <v>0</v>
      </c>
      <c r="O116" s="39">
        <f t="shared" si="14"/>
        <v>4213776.5179224582</v>
      </c>
      <c r="P116" s="22">
        <f>_xlfn.XLOOKUP($B67,[1]Billing!$Q$5:$Q$40,[1]Billing!$AD$5:$AD$40)</f>
        <v>4417830</v>
      </c>
      <c r="Q116" s="37">
        <f t="shared" si="13"/>
        <v>-204053.48207754176</v>
      </c>
      <c r="R116" s="21">
        <v>10</v>
      </c>
      <c r="S116" s="21">
        <v>13</v>
      </c>
    </row>
    <row r="117" spans="2:19" x14ac:dyDescent="0.3">
      <c r="B117" s="80" t="str">
        <v>Salman Zaffar</v>
      </c>
      <c r="C117" s="22">
        <f>_xlfn.XLOOKUP($B68,[1]Billing!$Q$5:$Q$40,[1]Billing!$R$5:$R$40)</f>
        <v>344332</v>
      </c>
      <c r="D117" s="22">
        <f>_xlfn.XLOOKUP($B68,[1]Billing!$Q$5:$Q$40,[1]Billing!$S$5:$S$40)</f>
        <v>314861.00950987567</v>
      </c>
      <c r="E117" s="22">
        <f>_xlfn.XLOOKUP($B68,[1]Billing!$Q$5:$Q$40,[1]Billing!$T$5:$T$40)</f>
        <v>72939.831748354074</v>
      </c>
      <c r="F117" s="22">
        <f>_xlfn.XLOOKUP($B68,[1]Billing!$Q$5:$Q$40,[1]Billing!$U$5:$U$40)</f>
        <v>31409.107534747625</v>
      </c>
      <c r="G117" s="22">
        <f>_xlfn.XLOOKUP($B68,[1]Billing!$Q$5:$Q$40,[1]Billing!$V$5:$V$40)</f>
        <v>729398.31748354062</v>
      </c>
      <c r="H117" s="22">
        <f>_xlfn.XLOOKUP($B68,[1]Billing!$Q$5:$Q$40,[1]Billing!$W$5:$W$40)</f>
        <v>408318.39795171918</v>
      </c>
      <c r="I117" s="22">
        <f>_xlfn.XLOOKUP($B68,[1]Billing!$Q$5:$Q$40,[1]Billing!$X$5:$X$40)</f>
        <v>0</v>
      </c>
      <c r="J117" s="22">
        <f>_xlfn.XLOOKUP($B68,[1]Billing!$Q$5:$Q$40,[1]Billing!$Y$5:$Y$40)</f>
        <v>0</v>
      </c>
      <c r="K117">
        <f>_xlfn.XLOOKUP($B68,[1]Billing!$Q$5:$Q$40,[1]Billing!$Z$5:$Z$40)</f>
        <v>161653.2553035845</v>
      </c>
      <c r="L117">
        <f>_xlfn.XLOOKUP($B68,[1]Billing!$Q$5:$Q$40,[1]Billing!$AA$5:$AA$40)</f>
        <v>1970409.6561814193</v>
      </c>
      <c r="M117">
        <f>_xlfn.XLOOKUP($B68,[1]Billing!$Q$5:$Q$40,[1]Billing!$AB$5:$AB$40)</f>
        <v>0</v>
      </c>
      <c r="O117" s="39">
        <f t="shared" si="14"/>
        <v>3269779.6269202633</v>
      </c>
      <c r="P117" s="22">
        <f>_xlfn.XLOOKUP($B68,[1]Billing!$Q$5:$Q$40,[1]Billing!$AD$5:$AD$40)</f>
        <v>3296025</v>
      </c>
      <c r="Q117" s="37">
        <f t="shared" si="13"/>
        <v>-26245.373079736717</v>
      </c>
      <c r="R117" s="21">
        <v>10</v>
      </c>
      <c r="S117" s="21">
        <v>13</v>
      </c>
    </row>
    <row r="118" spans="2:19" x14ac:dyDescent="0.3">
      <c r="B118" s="80" t="str">
        <v>Shahid Qasayi</v>
      </c>
      <c r="C118" s="22">
        <f>_xlfn.XLOOKUP($B69,[1]Billing!$Q$5:$Q$40,[1]Billing!$R$5:$R$40)</f>
        <v>394284</v>
      </c>
      <c r="D118" s="22">
        <f>_xlfn.XLOOKUP($B69,[1]Billing!$Q$5:$Q$40,[1]Billing!$S$5:$S$40)</f>
        <v>360537.67373811267</v>
      </c>
      <c r="E118" s="22">
        <f>_xlfn.XLOOKUP($B69,[1]Billing!$Q$5:$Q$40,[1]Billing!$T$5:$T$40)</f>
        <v>310998.53694220923</v>
      </c>
      <c r="F118" s="22">
        <f>_xlfn.XLOOKUP($B69,[1]Billing!$Q$5:$Q$40,[1]Billing!$U$5:$U$40)</f>
        <v>0</v>
      </c>
      <c r="G118" s="22">
        <f>_xlfn.XLOOKUP($B69,[1]Billing!$Q$5:$Q$40,[1]Billing!$V$5:$V$40)</f>
        <v>3109985.3694220926</v>
      </c>
      <c r="H118" s="22">
        <f>_xlfn.XLOOKUP($B69,[1]Billing!$Q$5:$Q$40,[1]Billing!$W$5:$W$40)</f>
        <v>0</v>
      </c>
      <c r="I118" s="22">
        <f>_xlfn.XLOOKUP($B69,[1]Billing!$Q$5:$Q$40,[1]Billing!$X$5:$X$40)</f>
        <v>0</v>
      </c>
      <c r="J118" s="22">
        <f>_xlfn.XLOOKUP($B69,[1]Billing!$Q$5:$Q$40,[1]Billing!$Y$5:$Y$40)</f>
        <v>0</v>
      </c>
      <c r="K118">
        <f>_xlfn.XLOOKUP($B69,[1]Billing!$Q$5:$Q$40,[1]Billing!$Z$5:$Z$40)</f>
        <v>23767.373811265548</v>
      </c>
      <c r="L118">
        <f>_xlfn.XLOOKUP($B69,[1]Billing!$Q$5:$Q$40,[1]Billing!$AA$5:$AA$40)</f>
        <v>523143.74542794435</v>
      </c>
      <c r="M118">
        <f>_xlfn.XLOOKUP($B69,[1]Billing!$Q$5:$Q$40,[1]Billing!$AB$5:$AB$40)</f>
        <v>0</v>
      </c>
      <c r="O118" s="39">
        <f t="shared" si="14"/>
        <v>3656896.4886613023</v>
      </c>
      <c r="P118" s="22">
        <f>_xlfn.XLOOKUP($B69,[1]Billing!$Q$5:$Q$40,[1]Billing!$AD$5:$AD$40)</f>
        <v>3625137</v>
      </c>
      <c r="Q118" s="37">
        <f t="shared" si="13"/>
        <v>31759.488661302254</v>
      </c>
    </row>
    <row r="119" spans="2:19" x14ac:dyDescent="0.3">
      <c r="B119" s="80" t="str">
        <v>Hameed corporation</v>
      </c>
      <c r="C119" s="22">
        <f>_xlfn.XLOOKUP($B70,[1]Billing!$Q$5:$Q$40,[1]Billing!$R$5:$R$40)</f>
        <v>46404</v>
      </c>
      <c r="D119" s="22">
        <f>_xlfn.XLOOKUP($B70,[1]Billing!$Q$5:$Q$40,[1]Billing!$S$5:$S$40)</f>
        <v>42432.333577176301</v>
      </c>
      <c r="E119" s="22">
        <f>_xlfn.XLOOKUP($B70,[1]Billing!$Q$5:$Q$40,[1]Billing!$T$5:$T$40)</f>
        <v>42432.333577176301</v>
      </c>
      <c r="F119" s="22">
        <f>_xlfn.XLOOKUP($B70,[1]Billing!$Q$5:$Q$40,[1]Billing!$U$5:$U$40)</f>
        <v>0</v>
      </c>
      <c r="G119" s="22">
        <f>_xlfn.XLOOKUP($B70,[1]Billing!$Q$5:$Q$40,[1]Billing!$V$5:$V$40)</f>
        <v>424323.335771763</v>
      </c>
      <c r="H119" s="22">
        <f>_xlfn.XLOOKUP($B70,[1]Billing!$Q$5:$Q$40,[1]Billing!$W$5:$W$40)</f>
        <v>0</v>
      </c>
      <c r="I119" s="22">
        <f>_xlfn.XLOOKUP($B70,[1]Billing!$Q$5:$Q$40,[1]Billing!$X$5:$X$40)</f>
        <v>0</v>
      </c>
      <c r="J119" s="22">
        <f>_xlfn.XLOOKUP($B70,[1]Billing!$Q$5:$Q$40,[1]Billing!$Y$5:$Y$40)</f>
        <v>0</v>
      </c>
      <c r="K119">
        <f>_xlfn.XLOOKUP($B70,[1]Billing!$Q$5:$Q$40,[1]Billing!$Z$5:$Z$40)</f>
        <v>0</v>
      </c>
      <c r="L119">
        <f>_xlfn.XLOOKUP($B70,[1]Billing!$Q$5:$Q$40,[1]Billing!$AA$5:$AA$40)</f>
        <v>0</v>
      </c>
      <c r="M119">
        <f>_xlfn.XLOOKUP($B70,[1]Billing!$Q$5:$Q$40,[1]Billing!$AB$5:$AB$40)</f>
        <v>0</v>
      </c>
      <c r="O119" s="39">
        <f t="shared" si="14"/>
        <v>424323.335771763</v>
      </c>
      <c r="P119" s="22">
        <f>_xlfn.XLOOKUP($B70,[1]Billing!$Q$5:$Q$40,[1]Billing!$AD$5:$AD$40)</f>
        <v>424323</v>
      </c>
      <c r="Q119" s="37">
        <f t="shared" si="13"/>
        <v>0.33577176299877465</v>
      </c>
    </row>
    <row r="120" spans="2:19" x14ac:dyDescent="0.3">
      <c r="B120" s="80" t="str">
        <v>ibraheem behraam</v>
      </c>
      <c r="C120" s="22">
        <f>_xlfn.XLOOKUP($B71,[1]Billing!$Q$5:$Q$40,[1]Billing!$R$5:$R$40)</f>
        <v>122386</v>
      </c>
      <c r="D120" s="22">
        <f>_xlfn.XLOOKUP($B71,[1]Billing!$Q$5:$Q$40,[1]Billing!$S$5:$S$40)</f>
        <v>111911.11923920995</v>
      </c>
      <c r="E120" s="22">
        <f>_xlfn.XLOOKUP($B71,[1]Billing!$Q$5:$Q$40,[1]Billing!$T$5:$T$40)</f>
        <v>0</v>
      </c>
      <c r="F120" s="22">
        <f>_xlfn.XLOOKUP($B71,[1]Billing!$Q$5:$Q$40,[1]Billing!$U$5:$U$40)</f>
        <v>111911.11923920995</v>
      </c>
      <c r="G120" s="22">
        <f>_xlfn.XLOOKUP($B71,[1]Billing!$Q$5:$Q$40,[1]Billing!$V$5:$V$40)</f>
        <v>0</v>
      </c>
      <c r="H120" s="22">
        <f>_xlfn.XLOOKUP($B71,[1]Billing!$Q$5:$Q$40,[1]Billing!$W$5:$W$40)</f>
        <v>1454844.5501097296</v>
      </c>
      <c r="I120" s="22">
        <f>_xlfn.XLOOKUP($B71,[1]Billing!$Q$5:$Q$40,[1]Billing!$X$5:$X$40)</f>
        <v>0</v>
      </c>
      <c r="J120" s="22">
        <f>_xlfn.XLOOKUP($B71,[1]Billing!$Q$5:$Q$40,[1]Billing!$Y$5:$Y$40)</f>
        <v>0</v>
      </c>
      <c r="K120">
        <f>_xlfn.XLOOKUP($B71,[1]Billing!$Q$5:$Q$40,[1]Billing!$Z$5:$Z$40)</f>
        <v>0</v>
      </c>
      <c r="L120">
        <f>_xlfn.XLOOKUP($B71,[1]Billing!$Q$5:$Q$40,[1]Billing!$AA$5:$AA$40)</f>
        <v>0</v>
      </c>
      <c r="M120">
        <f>_xlfn.XLOOKUP($B71,[1]Billing!$Q$5:$Q$40,[1]Billing!$AB$5:$AB$40)</f>
        <v>0</v>
      </c>
      <c r="O120" s="39">
        <f t="shared" si="14"/>
        <v>1454844.5501097296</v>
      </c>
      <c r="P120" s="22">
        <f>_xlfn.XLOOKUP($B71,[1]Billing!$Q$5:$Q$40,[1]Billing!$AD$5:$AD$40)</f>
        <v>1415500</v>
      </c>
      <c r="Q120" s="37">
        <f t="shared" si="13"/>
        <v>39344.550109729636</v>
      </c>
    </row>
    <row r="121" spans="2:19" x14ac:dyDescent="0.3">
      <c r="B121" s="80" t="str">
        <v>Zia-ullah karachi</v>
      </c>
      <c r="C121" s="22">
        <f>_xlfn.XLOOKUP($B72,[1]Billing!$Q$5:$Q$40,[1]Billing!$R$5:$R$40)</f>
        <v>13622</v>
      </c>
      <c r="D121" s="22">
        <f>_xlfn.XLOOKUP($B72,[1]Billing!$Q$5:$Q$40,[1]Billing!$S$5:$S$40)</f>
        <v>12456.108266276518</v>
      </c>
      <c r="E121" s="22">
        <f>_xlfn.XLOOKUP($B72,[1]Billing!$Q$5:$Q$40,[1]Billing!$T$5:$T$40)</f>
        <v>12456.108266276518</v>
      </c>
      <c r="F121" s="22">
        <f>_xlfn.XLOOKUP($B72,[1]Billing!$Q$5:$Q$40,[1]Billing!$U$5:$U$40)</f>
        <v>0</v>
      </c>
      <c r="G121" s="22">
        <f>_xlfn.XLOOKUP($B72,[1]Billing!$Q$5:$Q$40,[1]Billing!$V$5:$V$40)</f>
        <v>124561.08266276518</v>
      </c>
      <c r="H121" s="22">
        <f>_xlfn.XLOOKUP($B72,[1]Billing!$Q$5:$Q$40,[1]Billing!$W$5:$W$40)</f>
        <v>0</v>
      </c>
      <c r="I121" s="22">
        <f>_xlfn.XLOOKUP($B72,[1]Billing!$Q$5:$Q$40,[1]Billing!$X$5:$X$40)</f>
        <v>0</v>
      </c>
      <c r="J121" s="22">
        <f>_xlfn.XLOOKUP($B72,[1]Billing!$Q$5:$Q$40,[1]Billing!$Y$5:$Y$40)</f>
        <v>0</v>
      </c>
      <c r="K121">
        <f>_xlfn.XLOOKUP($B72,[1]Billing!$Q$5:$Q$40,[1]Billing!$Z$5:$Z$40)</f>
        <v>0</v>
      </c>
      <c r="L121">
        <f>_xlfn.XLOOKUP($B72,[1]Billing!$Q$5:$Q$40,[1]Billing!$AA$5:$AA$40)</f>
        <v>0</v>
      </c>
      <c r="M121">
        <f>_xlfn.XLOOKUP($B72,[1]Billing!$Q$5:$Q$40,[1]Billing!$AB$5:$AB$40)</f>
        <v>0</v>
      </c>
      <c r="O121" s="39">
        <f t="shared" si="14"/>
        <v>124561.08266276518</v>
      </c>
      <c r="P121" s="22">
        <f>_xlfn.XLOOKUP($B72,[1]Billing!$Q$5:$Q$40,[1]Billing!$AD$5:$AD$40)</f>
        <v>124560</v>
      </c>
      <c r="Q121" s="37">
        <f t="shared" si="13"/>
        <v>1.0826627651840681</v>
      </c>
    </row>
    <row r="122" spans="2:19" x14ac:dyDescent="0.3">
      <c r="B122" s="80" t="str">
        <v>ZA</v>
      </c>
      <c r="C122" s="22">
        <f>_xlfn.XLOOKUP($B73,[1]Billing!$Q$5:$Q$40,[1]Billing!$R$5:$R$40)</f>
        <v>32399</v>
      </c>
      <c r="D122" s="22">
        <f>_xlfn.XLOOKUP($B73,[1]Billing!$Q$5:$Q$40,[1]Billing!$S$5:$S$40)</f>
        <v>29626.005852231167</v>
      </c>
      <c r="E122" s="22">
        <f>_xlfn.XLOOKUP($B73,[1]Billing!$Q$5:$Q$40,[1]Billing!$T$5:$T$40)</f>
        <v>0</v>
      </c>
      <c r="F122" s="22">
        <f>_xlfn.XLOOKUP($B73,[1]Billing!$Q$5:$Q$40,[1]Billing!$U$5:$U$40)</f>
        <v>29626.005852231167</v>
      </c>
      <c r="G122" s="22">
        <f>_xlfn.XLOOKUP($B73,[1]Billing!$Q$5:$Q$40,[1]Billing!$V$5:$V$40)</f>
        <v>0</v>
      </c>
      <c r="H122" s="22">
        <f>_xlfn.XLOOKUP($B73,[1]Billing!$Q$5:$Q$40,[1]Billing!$W$5:$W$40)</f>
        <v>385138.07607900514</v>
      </c>
      <c r="I122" s="22">
        <f>_xlfn.XLOOKUP($B73,[1]Billing!$Q$5:$Q$40,[1]Billing!$X$5:$X$40)</f>
        <v>0</v>
      </c>
      <c r="J122" s="22">
        <f>_xlfn.XLOOKUP($B73,[1]Billing!$Q$5:$Q$40,[1]Billing!$Y$5:$Y$40)</f>
        <v>0</v>
      </c>
      <c r="K122">
        <f>_xlfn.XLOOKUP($B73,[1]Billing!$Q$5:$Q$40,[1]Billing!$Z$5:$Z$40)</f>
        <v>0</v>
      </c>
      <c r="L122">
        <f>_xlfn.XLOOKUP($B73,[1]Billing!$Q$5:$Q$40,[1]Billing!$AA$5:$AA$40)</f>
        <v>0</v>
      </c>
      <c r="M122">
        <f>_xlfn.XLOOKUP($B73,[1]Billing!$Q$5:$Q$40,[1]Billing!$AB$5:$AB$40)</f>
        <v>0</v>
      </c>
      <c r="O122" s="39">
        <f t="shared" si="14"/>
        <v>385138.07607900514</v>
      </c>
      <c r="P122" s="22">
        <f>_xlfn.XLOOKUP($B73,[1]Billing!$Q$5:$Q$40,[1]Billing!$AD$5:$AD$40)</f>
        <v>250000</v>
      </c>
      <c r="Q122" s="37">
        <f t="shared" si="13"/>
        <v>135138.07607900514</v>
      </c>
    </row>
    <row r="123" spans="2:19" x14ac:dyDescent="0.3">
      <c r="B123" s="80" t="str">
        <v>Ahmad Javaid</v>
      </c>
      <c r="C123" s="22">
        <f>_xlfn.XLOOKUP($B74,[1]Billing!$Q$5:$Q$40,[1]Billing!$R$5:$R$40)</f>
        <v>12745</v>
      </c>
      <c r="D123" s="22">
        <f>_xlfn.XLOOKUP($B74,[1]Billing!$Q$5:$Q$40,[1]Billing!$S$5:$S$40)</f>
        <v>11654.16971470373</v>
      </c>
      <c r="E123" s="22">
        <f>_xlfn.XLOOKUP($B74,[1]Billing!$Q$5:$Q$40,[1]Billing!$T$5:$T$40)</f>
        <v>0</v>
      </c>
      <c r="F123" s="22">
        <f>_xlfn.XLOOKUP($B74,[1]Billing!$Q$5:$Q$40,[1]Billing!$U$5:$U$40)</f>
        <v>0</v>
      </c>
      <c r="G123" s="22">
        <f>_xlfn.XLOOKUP($B74,[1]Billing!$Q$5:$Q$40,[1]Billing!$V$5:$V$40)</f>
        <v>0</v>
      </c>
      <c r="H123" s="22">
        <f>_xlfn.XLOOKUP($B74,[1]Billing!$Q$5:$Q$40,[1]Billing!$W$5:$W$40)</f>
        <v>0</v>
      </c>
      <c r="I123" s="22">
        <f>_xlfn.XLOOKUP($B74,[1]Billing!$Q$5:$Q$40,[1]Billing!$X$5:$X$40)</f>
        <v>0</v>
      </c>
      <c r="J123" s="22">
        <f>_xlfn.XLOOKUP($B74,[1]Billing!$Q$5:$Q$40,[1]Billing!$Y$5:$Y$40)</f>
        <v>0</v>
      </c>
      <c r="K123">
        <f>_xlfn.XLOOKUP($B74,[1]Billing!$Q$5:$Q$40,[1]Billing!$Z$5:$Z$40)</f>
        <v>0</v>
      </c>
      <c r="L123">
        <f>_xlfn.XLOOKUP($B74,[1]Billing!$Q$5:$Q$40,[1]Billing!$AA$5:$AA$40)</f>
        <v>0</v>
      </c>
      <c r="M123">
        <f>_xlfn.XLOOKUP($B74,[1]Billing!$Q$5:$Q$40,[1]Billing!$AB$5:$AB$40)</f>
        <v>151504.2062911485</v>
      </c>
      <c r="O123" s="39">
        <f t="shared" si="14"/>
        <v>151504.2062911485</v>
      </c>
      <c r="P123" s="22">
        <f>_xlfn.XLOOKUP($B74,[1]Billing!$Q$5:$Q$40,[1]Billing!$AD$5:$AD$40)</f>
        <v>0</v>
      </c>
      <c r="Q123" s="37">
        <f t="shared" si="13"/>
        <v>151504.2062911485</v>
      </c>
    </row>
    <row r="124" spans="2:19" x14ac:dyDescent="0.3">
      <c r="B124" s="80" t="str">
        <v>Shani Badshah</v>
      </c>
      <c r="C124" s="22">
        <f>_xlfn.XLOOKUP($B75,[1]Billing!$Q$5:$Q$40,[1]Billing!$R$5:$R$40)</f>
        <v>200033</v>
      </c>
      <c r="D124" s="22">
        <f>_xlfn.XLOOKUP($B75,[1]Billing!$Q$5:$Q$40,[1]Billing!$S$5:$S$40)</f>
        <v>182912.39941477691</v>
      </c>
      <c r="E124" s="22">
        <f>_xlfn.XLOOKUP($B75,[1]Billing!$Q$5:$Q$40,[1]Billing!$T$5:$T$40)</f>
        <v>96185.076810534025</v>
      </c>
      <c r="F124" s="22">
        <f>_xlfn.XLOOKUP($B75,[1]Billing!$Q$5:$Q$40,[1]Billing!$U$5:$U$40)</f>
        <v>86727.322604242872</v>
      </c>
      <c r="G124" s="22">
        <f>_xlfn.XLOOKUP($B75,[1]Billing!$Q$5:$Q$40,[1]Billing!$V$5:$V$40)</f>
        <v>961850.76810534031</v>
      </c>
      <c r="H124" s="22">
        <f>_xlfn.XLOOKUP($B75,[1]Billing!$Q$5:$Q$40,[1]Billing!$W$5:$W$40)</f>
        <v>1127455.1938551574</v>
      </c>
      <c r="I124" s="22">
        <f>_xlfn.XLOOKUP($B75,[1]Billing!$Q$5:$Q$40,[1]Billing!$X$5:$X$40)</f>
        <v>0</v>
      </c>
      <c r="J124" s="22">
        <f>_xlfn.XLOOKUP($B75,[1]Billing!$Q$5:$Q$40,[1]Billing!$Y$5:$Y$40)</f>
        <v>0</v>
      </c>
      <c r="K124">
        <f>_xlfn.XLOOKUP($B75,[1]Billing!$Q$5:$Q$40,[1]Billing!$Z$5:$Z$40)</f>
        <v>0</v>
      </c>
      <c r="L124">
        <f>_xlfn.XLOOKUP($B75,[1]Billing!$Q$5:$Q$40,[1]Billing!$AA$5:$AA$40)</f>
        <v>0</v>
      </c>
      <c r="M124">
        <f>_xlfn.XLOOKUP($B75,[1]Billing!$Q$5:$Q$40,[1]Billing!$AB$5:$AB$40)</f>
        <v>0</v>
      </c>
      <c r="O124" s="39">
        <f t="shared" si="14"/>
        <v>2089305.9619604978</v>
      </c>
      <c r="P124" s="22">
        <f>_xlfn.XLOOKUP($B75,[1]Billing!$Q$5:$Q$40,[1]Billing!$AD$5:$AD$40)</f>
        <v>1300000</v>
      </c>
      <c r="Q124" s="37">
        <f t="shared" si="13"/>
        <v>789305.96196049778</v>
      </c>
    </row>
    <row r="125" spans="2:19" x14ac:dyDescent="0.3">
      <c r="B125" t="str">
        <v>Rehman Ali</v>
      </c>
      <c r="C125" s="22">
        <f>_xlfn.XLOOKUP($B76,[1]Billing!$Q$5:$Q$40,[1]Billing!$R$5:$R$40)</f>
        <v>50131</v>
      </c>
      <c r="D125" s="22">
        <f>_xlfn.XLOOKUP($B76,[1]Billing!$Q$5:$Q$40,[1]Billing!$S$5:$S$40)</f>
        <v>45840.343818580841</v>
      </c>
      <c r="E125" s="22">
        <f>_xlfn.XLOOKUP($B76,[1]Billing!$Q$5:$Q$40,[1]Billing!$T$5:$T$40)</f>
        <v>0</v>
      </c>
      <c r="F125" s="22">
        <f>_xlfn.XLOOKUP($B76,[1]Billing!$Q$5:$Q$40,[1]Billing!$U$5:$U$40)</f>
        <v>45840.343818580841</v>
      </c>
      <c r="G125" s="22">
        <f>_xlfn.XLOOKUP($B76,[1]Billing!$Q$5:$Q$40,[1]Billing!$V$5:$V$40)</f>
        <v>0</v>
      </c>
      <c r="H125" s="22">
        <f>_xlfn.XLOOKUP($B76,[1]Billing!$Q$5:$Q$40,[1]Billing!$W$5:$W$40)</f>
        <v>595924.46964155091</v>
      </c>
      <c r="I125" s="22">
        <f>_xlfn.XLOOKUP($B76,[1]Billing!$Q$5:$Q$40,[1]Billing!$X$5:$X$40)</f>
        <v>0</v>
      </c>
      <c r="J125" s="22">
        <f>_xlfn.XLOOKUP($B76,[1]Billing!$Q$5:$Q$40,[1]Billing!$Y$5:$Y$40)</f>
        <v>0</v>
      </c>
      <c r="K125">
        <f>_xlfn.XLOOKUP($B76,[1]Billing!$Q$5:$Q$40,[1]Billing!$Z$5:$Z$40)</f>
        <v>0</v>
      </c>
      <c r="L125">
        <f>_xlfn.XLOOKUP($B76,[1]Billing!$Q$5:$Q$40,[1]Billing!$AA$5:$AA$40)</f>
        <v>0</v>
      </c>
      <c r="M125">
        <f>_xlfn.XLOOKUP($B76,[1]Billing!$Q$5:$Q$40,[1]Billing!$AB$5:$AB$40)</f>
        <v>0</v>
      </c>
      <c r="O125" s="39">
        <f t="shared" si="14"/>
        <v>595924.46964155091</v>
      </c>
      <c r="P125" s="22">
        <f>_xlfn.XLOOKUP($B76,[1]Billing!$Q$5:$Q$40,[1]Billing!$AD$5:$AD$40)</f>
        <v>550000</v>
      </c>
      <c r="Q125" s="37">
        <f t="shared" si="13"/>
        <v>45924.46964155091</v>
      </c>
    </row>
    <row r="126" spans="2:19" x14ac:dyDescent="0.3">
      <c r="B126" t="str">
        <v>Ahmad Shafique</v>
      </c>
      <c r="C126" s="22">
        <f>_xlfn.XLOOKUP($B77,[1]Billing!$Q$5:$Q$40,[1]Billing!$R$5:$R$40)</f>
        <v>53541</v>
      </c>
      <c r="D126" s="22">
        <f>_xlfn.XLOOKUP($B77,[1]Billing!$Q$5:$Q$40,[1]Billing!$S$5:$S$40)</f>
        <v>48958.485735186543</v>
      </c>
      <c r="E126" s="22">
        <f>_xlfn.XLOOKUP($B77,[1]Billing!$Q$5:$Q$40,[1]Billing!$T$5:$T$40)</f>
        <v>0</v>
      </c>
      <c r="F126" s="22">
        <f>_xlfn.XLOOKUP($B77,[1]Billing!$Q$5:$Q$40,[1]Billing!$U$5:$U$40)</f>
        <v>48958.485735186543</v>
      </c>
      <c r="G126" s="22">
        <f>_xlfn.XLOOKUP($B77,[1]Billing!$Q$5:$Q$40,[1]Billing!$V$5:$V$40)</f>
        <v>0</v>
      </c>
      <c r="H126" s="22">
        <f>_xlfn.XLOOKUP($B77,[1]Billing!$Q$5:$Q$40,[1]Billing!$W$5:$W$40)</f>
        <v>636460.3145574251</v>
      </c>
      <c r="I126" s="22">
        <f>_xlfn.XLOOKUP($B77,[1]Billing!$Q$5:$Q$40,[1]Billing!$X$5:$X$40)</f>
        <v>0</v>
      </c>
      <c r="J126" s="22">
        <f>_xlfn.XLOOKUP($B77,[1]Billing!$Q$5:$Q$40,[1]Billing!$Y$5:$Y$40)</f>
        <v>0</v>
      </c>
      <c r="K126">
        <f>_xlfn.XLOOKUP($B77,[1]Billing!$Q$5:$Q$40,[1]Billing!$Z$5:$Z$40)</f>
        <v>0</v>
      </c>
      <c r="L126">
        <f>_xlfn.XLOOKUP($B77,[1]Billing!$Q$5:$Q$40,[1]Billing!$AA$5:$AA$40)</f>
        <v>0</v>
      </c>
      <c r="M126">
        <f>_xlfn.XLOOKUP($B77,[1]Billing!$Q$5:$Q$40,[1]Billing!$AB$5:$AB$40)</f>
        <v>0</v>
      </c>
      <c r="O126" s="39">
        <f t="shared" si="14"/>
        <v>636460.3145574251</v>
      </c>
      <c r="P126" s="22">
        <f>_xlfn.XLOOKUP($B77,[1]Billing!$Q$5:$Q$40,[1]Billing!$AD$5:$AD$40)</f>
        <v>636000</v>
      </c>
      <c r="Q126" s="37">
        <f t="shared" si="13"/>
        <v>460.3145574250957</v>
      </c>
    </row>
    <row r="127" spans="2:19" x14ac:dyDescent="0.3">
      <c r="B127" t="str">
        <v>Hafiz Shawl</v>
      </c>
      <c r="C127" s="22">
        <f>_xlfn.XLOOKUP($B78,[1]Billing!$Q$5:$Q$40,[1]Billing!$R$5:$R$40)</f>
        <v>1445</v>
      </c>
      <c r="D127" s="22">
        <f>_xlfn.XLOOKUP($B78,[1]Billing!$Q$5:$Q$40,[1]Billing!$S$5:$S$40)</f>
        <v>1321.3240673006585</v>
      </c>
      <c r="E127" s="22">
        <f>_xlfn.XLOOKUP($B78,[1]Billing!$Q$5:$Q$40,[1]Billing!$T$5:$T$40)</f>
        <v>0</v>
      </c>
      <c r="F127" s="22">
        <f>_xlfn.XLOOKUP($B78,[1]Billing!$Q$5:$Q$40,[1]Billing!$U$5:$U$40)</f>
        <v>1321.3240673006585</v>
      </c>
      <c r="G127" s="22">
        <f>_xlfn.XLOOKUP($B78,[1]Billing!$Q$5:$Q$40,[1]Billing!$V$5:$V$40)</f>
        <v>0</v>
      </c>
      <c r="H127" s="22">
        <f>_xlfn.XLOOKUP($B78,[1]Billing!$Q$5:$Q$40,[1]Billing!$W$5:$W$40)</f>
        <v>15855.888807607902</v>
      </c>
      <c r="I127" s="22">
        <f>_xlfn.XLOOKUP($B78,[1]Billing!$Q$5:$Q$40,[1]Billing!$X$5:$X$40)</f>
        <v>0</v>
      </c>
      <c r="J127" s="22">
        <f>_xlfn.XLOOKUP($B78,[1]Billing!$Q$5:$Q$40,[1]Billing!$Y$5:$Y$40)</f>
        <v>0</v>
      </c>
      <c r="K127">
        <f>_xlfn.XLOOKUP($B78,[1]Billing!$Q$5:$Q$40,[1]Billing!$Z$5:$Z$40)</f>
        <v>0</v>
      </c>
      <c r="L127">
        <f>_xlfn.XLOOKUP($B78,[1]Billing!$Q$5:$Q$40,[1]Billing!$AA$5:$AA$40)</f>
        <v>0</v>
      </c>
      <c r="M127">
        <f>_xlfn.XLOOKUP($B78,[1]Billing!$Q$5:$Q$40,[1]Billing!$AB$5:$AB$40)</f>
        <v>0</v>
      </c>
      <c r="O127" s="39">
        <f t="shared" si="14"/>
        <v>15855.888807607902</v>
      </c>
      <c r="P127" s="22">
        <f>_xlfn.XLOOKUP($B78,[1]Billing!$Q$5:$Q$40,[1]Billing!$AD$5:$AD$40)</f>
        <v>15855</v>
      </c>
      <c r="Q127" s="37">
        <f t="shared" si="13"/>
        <v>0.8888076079019811</v>
      </c>
    </row>
    <row r="128" spans="2:19" x14ac:dyDescent="0.3">
      <c r="B128" t="str">
        <v>Zahid Ejaz</v>
      </c>
      <c r="C128" s="22" t="e">
        <f>_xlfn.XLOOKUP($B79,[1]Billing!$Q$5:$Q$40,[1]Billing!$R$5:$R$40)</f>
        <v>#N/A</v>
      </c>
      <c r="D128" s="22" t="e">
        <f>_xlfn.XLOOKUP($B79,[1]Billing!$Q$5:$Q$40,[1]Billing!$S$5:$S$40)</f>
        <v>#N/A</v>
      </c>
      <c r="E128" s="22" t="e">
        <f>_xlfn.XLOOKUP($B79,[1]Billing!$Q$5:$Q$40,[1]Billing!$T$5:$T$40)</f>
        <v>#N/A</v>
      </c>
      <c r="F128" s="22" t="e">
        <f>_xlfn.XLOOKUP($B79,[1]Billing!$Q$5:$Q$40,[1]Billing!$U$5:$U$40)</f>
        <v>#N/A</v>
      </c>
      <c r="G128" s="22" t="e">
        <f>_xlfn.XLOOKUP($B79,[1]Billing!$Q$5:$Q$40,[1]Billing!$V$5:$V$40)</f>
        <v>#N/A</v>
      </c>
      <c r="H128" s="22" t="e">
        <f>_xlfn.XLOOKUP($B79,[1]Billing!$Q$5:$Q$40,[1]Billing!$W$5:$W$40)</f>
        <v>#N/A</v>
      </c>
      <c r="I128" s="22" t="e">
        <f>_xlfn.XLOOKUP($B79,[1]Billing!$Q$5:$Q$40,[1]Billing!$X$5:$X$40)</f>
        <v>#N/A</v>
      </c>
      <c r="J128" s="22" t="e">
        <f>_xlfn.XLOOKUP($B79,[1]Billing!$Q$5:$Q$40,[1]Billing!$Y$5:$Y$40)</f>
        <v>#N/A</v>
      </c>
      <c r="K128" t="e">
        <f>_xlfn.XLOOKUP($B79,[1]Billing!$Q$5:$Q$40,[1]Billing!$Z$5:$Z$40)</f>
        <v>#N/A</v>
      </c>
      <c r="L128" t="e">
        <f>_xlfn.XLOOKUP($B79,[1]Billing!$Q$5:$Q$40,[1]Billing!$AA$5:$AA$40)</f>
        <v>#N/A</v>
      </c>
      <c r="M128" t="e">
        <f>_xlfn.XLOOKUP($B79,[1]Billing!$Q$5:$Q$40,[1]Billing!$AB$5:$AB$40)</f>
        <v>#N/A</v>
      </c>
      <c r="O128" s="39" t="e">
        <f t="shared" si="14"/>
        <v>#N/A</v>
      </c>
      <c r="P128" s="22" t="e">
        <f>_xlfn.XLOOKUP($B79,[1]Billing!$Q$5:$Q$40,[1]Billing!$AD$5:$AD$40)</f>
        <v>#N/A</v>
      </c>
      <c r="Q128" s="37" t="e">
        <f t="shared" si="13"/>
        <v>#N/A</v>
      </c>
    </row>
    <row r="129" spans="2:17" x14ac:dyDescent="0.3">
      <c r="B129" t="str">
        <v>Faizan Kamoki</v>
      </c>
      <c r="C129" s="22" t="e">
        <f>_xlfn.XLOOKUP($B80,[1]Billing!$Q$5:$Q$40,[1]Billing!$R$5:$R$40)</f>
        <v>#N/A</v>
      </c>
      <c r="D129" s="22" t="e">
        <f>_xlfn.XLOOKUP($B80,[1]Billing!$Q$5:$Q$40,[1]Billing!$S$5:$S$40)</f>
        <v>#N/A</v>
      </c>
      <c r="E129" s="22" t="e">
        <f>_xlfn.XLOOKUP($B80,[1]Billing!$Q$5:$Q$40,[1]Billing!$T$5:$T$40)</f>
        <v>#N/A</v>
      </c>
      <c r="F129" s="22" t="e">
        <f>_xlfn.XLOOKUP($B80,[1]Billing!$Q$5:$Q$40,[1]Billing!$U$5:$U$40)</f>
        <v>#N/A</v>
      </c>
      <c r="G129" s="22" t="e">
        <f>_xlfn.XLOOKUP($B80,[1]Billing!$Q$5:$Q$40,[1]Billing!$V$5:$V$40)</f>
        <v>#N/A</v>
      </c>
      <c r="H129" s="22" t="e">
        <f>_xlfn.XLOOKUP($B80,[1]Billing!$Q$5:$Q$40,[1]Billing!$W$5:$W$40)</f>
        <v>#N/A</v>
      </c>
      <c r="I129" s="22" t="e">
        <f>_xlfn.XLOOKUP($B80,[1]Billing!$Q$5:$Q$40,[1]Billing!$X$5:$X$40)</f>
        <v>#N/A</v>
      </c>
      <c r="J129" s="22" t="e">
        <f>_xlfn.XLOOKUP($B80,[1]Billing!$Q$5:$Q$40,[1]Billing!$Y$5:$Y$40)</f>
        <v>#N/A</v>
      </c>
      <c r="K129" t="e">
        <f>_xlfn.XLOOKUP($B80,[1]Billing!$Q$5:$Q$40,[1]Billing!$Z$5:$Z$40)</f>
        <v>#N/A</v>
      </c>
      <c r="L129" t="e">
        <f>_xlfn.XLOOKUP($B80,[1]Billing!$Q$5:$Q$40,[1]Billing!$AA$5:$AA$40)</f>
        <v>#N/A</v>
      </c>
      <c r="M129" t="e">
        <f>_xlfn.XLOOKUP($B80,[1]Billing!$Q$5:$Q$40,[1]Billing!$AB$5:$AB$40)</f>
        <v>#N/A</v>
      </c>
      <c r="O129" s="39" t="e">
        <f t="shared" ref="O129:O132" si="15">G129+H129+I129+J129+K129+L129+M129</f>
        <v>#N/A</v>
      </c>
      <c r="P129" s="22" t="e">
        <f>_xlfn.XLOOKUP($B80,[1]Billing!$Q$5:$Q$40,[1]Billing!$AD$5:$AD$40)</f>
        <v>#N/A</v>
      </c>
      <c r="Q129" s="37" t="e">
        <f t="shared" ref="Q129:Q132" si="16">O129-P129</f>
        <v>#N/A</v>
      </c>
    </row>
    <row r="130" spans="2:17" x14ac:dyDescent="0.3">
      <c r="B130" t="str">
        <v>KK fabrics</v>
      </c>
      <c r="C130" s="22" t="e">
        <f>_xlfn.XLOOKUP($B81,[1]Billing!$Q$5:$Q$40,[1]Billing!$R$5:$R$40)</f>
        <v>#N/A</v>
      </c>
      <c r="D130" s="22" t="e">
        <f>_xlfn.XLOOKUP($B81,[1]Billing!$Q$5:$Q$40,[1]Billing!$S$5:$S$40)</f>
        <v>#N/A</v>
      </c>
      <c r="E130" s="22" t="e">
        <f>_xlfn.XLOOKUP($B81,[1]Billing!$Q$5:$Q$40,[1]Billing!$T$5:$T$40)</f>
        <v>#N/A</v>
      </c>
      <c r="F130" s="22" t="e">
        <f>_xlfn.XLOOKUP($B81,[1]Billing!$Q$5:$Q$40,[1]Billing!$U$5:$U$40)</f>
        <v>#N/A</v>
      </c>
      <c r="G130" s="22" t="e">
        <f>_xlfn.XLOOKUP($B81,[1]Billing!$Q$5:$Q$40,[1]Billing!$V$5:$V$40)</f>
        <v>#N/A</v>
      </c>
      <c r="H130" s="22" t="e">
        <f>_xlfn.XLOOKUP($B81,[1]Billing!$Q$5:$Q$40,[1]Billing!$W$5:$W$40)</f>
        <v>#N/A</v>
      </c>
      <c r="I130" s="22" t="e">
        <f>_xlfn.XLOOKUP($B81,[1]Billing!$Q$5:$Q$40,[1]Billing!$X$5:$X$40)</f>
        <v>#N/A</v>
      </c>
      <c r="J130" s="22" t="e">
        <f>_xlfn.XLOOKUP($B81,[1]Billing!$Q$5:$Q$40,[1]Billing!$Y$5:$Y$40)</f>
        <v>#N/A</v>
      </c>
      <c r="K130" t="e">
        <f>_xlfn.XLOOKUP($B81,[1]Billing!$Q$5:$Q$40,[1]Billing!$Z$5:$Z$40)</f>
        <v>#N/A</v>
      </c>
      <c r="L130" t="e">
        <f>_xlfn.XLOOKUP($B81,[1]Billing!$Q$5:$Q$40,[1]Billing!$AA$5:$AA$40)</f>
        <v>#N/A</v>
      </c>
      <c r="M130" t="e">
        <f>_xlfn.XLOOKUP($B81,[1]Billing!$Q$5:$Q$40,[1]Billing!$AB$5:$AB$40)</f>
        <v>#N/A</v>
      </c>
      <c r="O130" s="39" t="e">
        <f t="shared" si="15"/>
        <v>#N/A</v>
      </c>
      <c r="P130" s="22" t="e">
        <f>_xlfn.XLOOKUP($B81,[1]Billing!$Q$5:$Q$40,[1]Billing!$AD$5:$AD$40)</f>
        <v>#N/A</v>
      </c>
      <c r="Q130" s="37" t="e">
        <f t="shared" si="16"/>
        <v>#N/A</v>
      </c>
    </row>
    <row r="131" spans="2:17" x14ac:dyDescent="0.3">
      <c r="B131" t="str">
        <v>Rauf Khan</v>
      </c>
      <c r="C131" s="22" t="e">
        <f>_xlfn.XLOOKUP($B82,[1]Billing!$Q$5:$Q$40,[1]Billing!$R$5:$R$40)</f>
        <v>#N/A</v>
      </c>
      <c r="D131" s="22" t="e">
        <f>_xlfn.XLOOKUP($B82,[1]Billing!$Q$5:$Q$40,[1]Billing!$S$5:$S$40)</f>
        <v>#N/A</v>
      </c>
      <c r="E131" s="22" t="e">
        <f>_xlfn.XLOOKUP($B82,[1]Billing!$Q$5:$Q$40,[1]Billing!$T$5:$T$40)</f>
        <v>#N/A</v>
      </c>
      <c r="F131" s="22" t="e">
        <f>_xlfn.XLOOKUP($B82,[1]Billing!$Q$5:$Q$40,[1]Billing!$U$5:$U$40)</f>
        <v>#N/A</v>
      </c>
      <c r="G131" s="22" t="e">
        <f>_xlfn.XLOOKUP($B82,[1]Billing!$Q$5:$Q$40,[1]Billing!$V$5:$V$40)</f>
        <v>#N/A</v>
      </c>
      <c r="H131" s="22" t="e">
        <f>_xlfn.XLOOKUP($B82,[1]Billing!$Q$5:$Q$40,[1]Billing!$W$5:$W$40)</f>
        <v>#N/A</v>
      </c>
      <c r="I131" s="22" t="e">
        <f>_xlfn.XLOOKUP($B82,[1]Billing!$Q$5:$Q$40,[1]Billing!$X$5:$X$40)</f>
        <v>#N/A</v>
      </c>
      <c r="J131" s="22" t="e">
        <f>_xlfn.XLOOKUP($B82,[1]Billing!$Q$5:$Q$40,[1]Billing!$Y$5:$Y$40)</f>
        <v>#N/A</v>
      </c>
      <c r="K131" t="e">
        <f>_xlfn.XLOOKUP($B82,[1]Billing!$Q$5:$Q$40,[1]Billing!$Z$5:$Z$40)</f>
        <v>#N/A</v>
      </c>
      <c r="L131" t="e">
        <f>_xlfn.XLOOKUP($B82,[1]Billing!$Q$5:$Q$40,[1]Billing!$AA$5:$AA$40)</f>
        <v>#N/A</v>
      </c>
      <c r="M131" t="e">
        <f>_xlfn.XLOOKUP($B82,[1]Billing!$Q$5:$Q$40,[1]Billing!$AB$5:$AB$40)</f>
        <v>#N/A</v>
      </c>
      <c r="O131" s="39" t="e">
        <f t="shared" si="15"/>
        <v>#N/A</v>
      </c>
      <c r="P131" s="22" t="e">
        <f>_xlfn.XLOOKUP($B82,[1]Billing!$Q$5:$Q$40,[1]Billing!$AD$5:$AD$40)</f>
        <v>#N/A</v>
      </c>
      <c r="Q131" s="37" t="e">
        <f t="shared" si="16"/>
        <v>#N/A</v>
      </c>
    </row>
    <row r="132" spans="2:17" x14ac:dyDescent="0.3">
      <c r="B132" t="str">
        <v>Farhaan ali</v>
      </c>
      <c r="C132" s="22" t="e">
        <f>_xlfn.XLOOKUP($B83,[1]Billing!$Q$5:$Q$40,[1]Billing!$R$5:$R$40)</f>
        <v>#N/A</v>
      </c>
      <c r="D132" s="22" t="e">
        <f>_xlfn.XLOOKUP($B83,[1]Billing!$Q$5:$Q$40,[1]Billing!$S$5:$S$40)</f>
        <v>#N/A</v>
      </c>
      <c r="E132" s="22" t="e">
        <f>_xlfn.XLOOKUP($B83,[1]Billing!$Q$5:$Q$40,[1]Billing!$T$5:$T$40)</f>
        <v>#N/A</v>
      </c>
      <c r="F132" s="22" t="e">
        <f>_xlfn.XLOOKUP($B83,[1]Billing!$Q$5:$Q$40,[1]Billing!$U$5:$U$40)</f>
        <v>#N/A</v>
      </c>
      <c r="G132" s="22" t="e">
        <f>_xlfn.XLOOKUP($B83,[1]Billing!$Q$5:$Q$40,[1]Billing!$V$5:$V$40)</f>
        <v>#N/A</v>
      </c>
      <c r="H132" s="22" t="e">
        <f>_xlfn.XLOOKUP($B83,[1]Billing!$Q$5:$Q$40,[1]Billing!$W$5:$W$40)</f>
        <v>#N/A</v>
      </c>
      <c r="I132" s="22" t="e">
        <f>_xlfn.XLOOKUP($B83,[1]Billing!$Q$5:$Q$40,[1]Billing!$X$5:$X$40)</f>
        <v>#N/A</v>
      </c>
      <c r="J132" s="22" t="e">
        <f>_xlfn.XLOOKUP($B83,[1]Billing!$Q$5:$Q$40,[1]Billing!$Y$5:$Y$40)</f>
        <v>#N/A</v>
      </c>
      <c r="K132" t="e">
        <f>_xlfn.XLOOKUP($B83,[1]Billing!$Q$5:$Q$40,[1]Billing!$Z$5:$Z$40)</f>
        <v>#N/A</v>
      </c>
      <c r="L132" t="e">
        <f>_xlfn.XLOOKUP($B83,[1]Billing!$Q$5:$Q$40,[1]Billing!$AA$5:$AA$40)</f>
        <v>#N/A</v>
      </c>
      <c r="M132" t="e">
        <f>_xlfn.XLOOKUP($B83,[1]Billing!$Q$5:$Q$40,[1]Billing!$AB$5:$AB$40)</f>
        <v>#N/A</v>
      </c>
      <c r="O132" s="39" t="e">
        <f t="shared" si="15"/>
        <v>#N/A</v>
      </c>
      <c r="P132" s="22" t="e">
        <f>_xlfn.XLOOKUP($B83,[1]Billing!$Q$5:$Q$40,[1]Billing!$AD$5:$AD$40)</f>
        <v>#N/A</v>
      </c>
      <c r="Q132" s="37" t="e">
        <f t="shared" si="16"/>
        <v>#N/A</v>
      </c>
    </row>
    <row r="133" spans="2:17" x14ac:dyDescent="0.3">
      <c r="B133">
        <v>0</v>
      </c>
    </row>
  </sheetData>
  <phoneticPr fontId="4" type="noConversion"/>
  <pageMargins left="0.7" right="0.7" top="0.75" bottom="0.75" header="0.3" footer="0.3"/>
  <pageSetup paperSize="121"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AD-D664-44CF-A1E1-2DB6CE627410}">
  <dimension ref="B4:J39"/>
  <sheetViews>
    <sheetView topLeftCell="A14" zoomScale="105" workbookViewId="0">
      <selection activeCell="B7" sqref="B7"/>
    </sheetView>
  </sheetViews>
  <sheetFormatPr defaultRowHeight="14.4" x14ac:dyDescent="0.3"/>
  <cols>
    <col min="2" max="2" width="23.109375" customWidth="1"/>
    <col min="3" max="3" width="14.6640625" customWidth="1"/>
    <col min="4" max="4" width="16.6640625" bestFit="1" customWidth="1"/>
    <col min="5" max="5" width="20.33203125" customWidth="1"/>
    <col min="9" max="9" width="11.6640625" customWidth="1"/>
    <col min="10" max="10" width="12.88671875" customWidth="1"/>
  </cols>
  <sheetData>
    <row r="4" spans="2:10" ht="15.6" x14ac:dyDescent="0.3">
      <c r="C4" s="62"/>
      <c r="D4" s="62"/>
      <c r="I4" t="s">
        <v>34</v>
      </c>
      <c r="J4" t="str" cm="1">
        <f t="array" ref="J4:J39">_xlfn.UNIQUE(Table1[Party Name])</f>
        <v>BSC</v>
      </c>
    </row>
    <row r="5" spans="2:10" x14ac:dyDescent="0.3">
      <c r="J5" t="str">
        <v>Ejaz Sahab</v>
      </c>
    </row>
    <row r="6" spans="2:10" ht="21" x14ac:dyDescent="0.4">
      <c r="B6" s="64" t="s">
        <v>719</v>
      </c>
      <c r="J6" t="str">
        <v>Arshad</v>
      </c>
    </row>
    <row r="7" spans="2:10" ht="15.6" x14ac:dyDescent="0.3">
      <c r="B7" s="62" t="s">
        <v>36</v>
      </c>
      <c r="C7" s="62" t="s">
        <v>4</v>
      </c>
      <c r="D7" s="62" t="s">
        <v>150</v>
      </c>
      <c r="E7" s="62" t="s">
        <v>151</v>
      </c>
      <c r="J7" t="str">
        <v>Shehzad Kamoki</v>
      </c>
    </row>
    <row r="8" spans="2:10" ht="18" x14ac:dyDescent="0.35">
      <c r="B8" s="55" t="s">
        <v>37</v>
      </c>
      <c r="C8" s="66"/>
      <c r="D8" s="68" t="e" cm="1">
        <f t="array" ref="D8">_xlfn.XLOOKUP($B$6,_xlfn.ANCHORARRAY( Billing!R5), INDEX(Billing!S5:S25, _xlfn.SEQUENCE(ROWS(_xlfn.ANCHORARRAY(Billing!$R$5)))), "Not Found")</f>
        <v>#REF!</v>
      </c>
      <c r="E8" s="66"/>
      <c r="J8" t="str">
        <v>Sufi Nawaz Sahab</v>
      </c>
    </row>
    <row r="9" spans="2:10" ht="18" x14ac:dyDescent="0.35">
      <c r="B9" s="55"/>
      <c r="C9" s="66"/>
      <c r="D9" s="66"/>
      <c r="E9" s="66"/>
      <c r="J9" t="str">
        <v>Sajad Khan</v>
      </c>
    </row>
    <row r="10" spans="2:10" ht="18" x14ac:dyDescent="0.35">
      <c r="B10" s="55" t="s">
        <v>38</v>
      </c>
      <c r="C10" s="66"/>
      <c r="D10" s="68" t="e" cm="1">
        <f t="array" ref="D10">_xlfn.XLOOKUP($B$6,_xlfn.ANCHORARRAY( Billing!$R$5), INDEX(Billing!T5:T25, _xlfn.SEQUENCE(ROWS(_xlfn.ANCHORARRAY(Billing!$R$5)))), "Not Found")</f>
        <v>#REF!</v>
      </c>
      <c r="E10" s="66"/>
      <c r="J10" t="str">
        <v>Raaz Fabrics</v>
      </c>
    </row>
    <row r="11" spans="2:10" ht="18.600000000000001" thickBot="1" x14ac:dyDescent="0.4">
      <c r="B11" s="55"/>
      <c r="C11" s="66"/>
      <c r="D11" s="66"/>
      <c r="E11" s="66"/>
      <c r="J11" t="str">
        <v>Azam</v>
      </c>
    </row>
    <row r="12" spans="2:10" ht="18.600000000000001" thickBot="1" x14ac:dyDescent="0.4">
      <c r="B12" s="55" t="s">
        <v>39</v>
      </c>
      <c r="C12" s="66" cm="1">
        <f t="array" aca="1" ref="C12" ca="1">_xlfn.XLOOKUP($B$6,_xlfn.ANCHORARRAY( Billing!$B$49), OFFSET(Billing!R49, 0, 0, ROWS(_xlfn.ANCHORARRAY(Billing!$B$49))), "Not Found")</f>
        <v>0</v>
      </c>
      <c r="D12" s="66" t="e" cm="1">
        <f t="array" ref="D12">_xlfn.XLOOKUP($B$6,_xlfn.ANCHORARRAY( Billing!$R$5), INDEX(Billing!U5:U25, _xlfn.SEQUENCE(ROWS(_xlfn.ANCHORARRAY(Billing!$R$5)))), "Not Found")</f>
        <v>#REF!</v>
      </c>
      <c r="E12" s="91" t="e">
        <f ca="1">Table21[[#This Row],[gazana]]*Table21[[#This Row],[Rate]]</f>
        <v>#REF!</v>
      </c>
      <c r="J12" t="str">
        <v>Ubaidullah</v>
      </c>
    </row>
    <row r="13" spans="2:10" ht="18" x14ac:dyDescent="0.35">
      <c r="B13" s="65"/>
      <c r="C13" s="67"/>
      <c r="D13" s="67"/>
      <c r="E13" s="66"/>
      <c r="J13" t="str">
        <v>Ashraf Zia</v>
      </c>
    </row>
    <row r="14" spans="2:10" ht="18" x14ac:dyDescent="0.35">
      <c r="B14" s="55" t="s">
        <v>40</v>
      </c>
      <c r="C14" s="66">
        <v>13</v>
      </c>
      <c r="D14" s="66" t="e" cm="1">
        <f t="array" ref="D14">_xlfn.XLOOKUP($B$6,_xlfn.ANCHORARRAY( Billing!$R$5), INDEX(Billing!V5:V25, _xlfn.SEQUENCE(ROWS(_xlfn.ANCHORARRAY(Billing!$R$5)))), "Not Found")</f>
        <v>#REF!</v>
      </c>
      <c r="E14" s="66" t="e">
        <f>Table21[[#This Row],[gazana]]*Table21[[#This Row],[Rate]]</f>
        <v>#REF!</v>
      </c>
      <c r="J14" t="str">
        <v>Hafiz Qureshi</v>
      </c>
    </row>
    <row r="15" spans="2:10" ht="18.600000000000001" thickBot="1" x14ac:dyDescent="0.4">
      <c r="B15" s="65"/>
      <c r="C15" s="67"/>
      <c r="D15" s="67"/>
      <c r="E15" s="66"/>
      <c r="J15" t="str">
        <v>Badshah Fabrics</v>
      </c>
    </row>
    <row r="16" spans="2:10" ht="18.600000000000001" thickBot="1" x14ac:dyDescent="0.4">
      <c r="B16" s="55" t="s">
        <v>41</v>
      </c>
      <c r="C16" s="66"/>
      <c r="D16" s="90"/>
      <c r="E16" s="92" t="e">
        <f ca="1">E12+E14</f>
        <v>#REF!</v>
      </c>
      <c r="H16" s="14"/>
      <c r="J16" t="str">
        <v>Gauhar Kashif</v>
      </c>
    </row>
    <row r="17" spans="2:10" ht="18.600000000000001" thickBot="1" x14ac:dyDescent="0.4">
      <c r="B17" s="65"/>
      <c r="C17" s="67"/>
      <c r="D17" s="69"/>
      <c r="E17" s="66"/>
      <c r="J17" t="str">
        <v>Amjad 7up</v>
      </c>
    </row>
    <row r="18" spans="2:10" ht="18.600000000000001" thickBot="1" x14ac:dyDescent="0.4">
      <c r="B18" s="55" t="s">
        <v>42</v>
      </c>
      <c r="C18" s="66"/>
      <c r="D18" s="90"/>
      <c r="E18" s="92" cm="1">
        <f t="array" aca="1" ref="E18" ca="1">_xlfn.XLOOKUP($B$6,_xlfn.ANCHORARRAY( Billing!R5), OFFSET(Billing!AF5, 0, 0, ROWS(_xlfn.ANCHORARRAY(Billing!R5))), "Not Found")</f>
        <v>0</v>
      </c>
      <c r="J18" t="str">
        <v>Hazrat Khan</v>
      </c>
    </row>
    <row r="19" spans="2:10" ht="18.600000000000001" thickBot="1" x14ac:dyDescent="0.4">
      <c r="B19" s="55"/>
      <c r="C19" s="66"/>
      <c r="D19" s="68"/>
      <c r="E19" s="66"/>
      <c r="J19" t="str">
        <v>Haseeb Shamsi</v>
      </c>
    </row>
    <row r="20" spans="2:10" ht="18.600000000000001" thickBot="1" x14ac:dyDescent="0.4">
      <c r="B20" s="55" t="s">
        <v>43</v>
      </c>
      <c r="C20" s="66"/>
      <c r="D20" s="90"/>
      <c r="E20" s="100" cm="1">
        <f t="array" aca="1" ref="E20" ca="1">_xlfn.XLOOKUP($B$6,_xlfn.ANCHORARRAY( Billing!R5), OFFSET(Billing!AG5, 0, 0, ROWS(_xlfn.ANCHORARRAY(Billing!R5))), "Not Found")</f>
        <v>1798277.2494513534</v>
      </c>
      <c r="J20" t="str">
        <v>Faizan</v>
      </c>
    </row>
    <row r="21" spans="2:10" x14ac:dyDescent="0.3">
      <c r="J21" t="str">
        <v>Shafique Ansari</v>
      </c>
    </row>
    <row r="22" spans="2:10" x14ac:dyDescent="0.3">
      <c r="J22" t="str">
        <v>Amjad sohail</v>
      </c>
    </row>
    <row r="23" spans="2:10" x14ac:dyDescent="0.3">
      <c r="J23" t="str">
        <v>Salman Zaffar</v>
      </c>
    </row>
    <row r="24" spans="2:10" x14ac:dyDescent="0.3">
      <c r="J24" t="str">
        <v>Shahid Qasayi</v>
      </c>
    </row>
    <row r="25" spans="2:10" x14ac:dyDescent="0.3">
      <c r="J25" t="str">
        <v>Hameed corporation</v>
      </c>
    </row>
    <row r="26" spans="2:10" x14ac:dyDescent="0.3">
      <c r="J26" t="str">
        <v>ibraheem behraam</v>
      </c>
    </row>
    <row r="27" spans="2:10" x14ac:dyDescent="0.3">
      <c r="J27" t="str">
        <v>Zia-ullah karachi</v>
      </c>
    </row>
    <row r="28" spans="2:10" x14ac:dyDescent="0.3">
      <c r="J28" t="str">
        <v>ZA</v>
      </c>
    </row>
    <row r="29" spans="2:10" x14ac:dyDescent="0.3">
      <c r="J29" t="str">
        <v>Ahmad Javaid</v>
      </c>
    </row>
    <row r="30" spans="2:10" x14ac:dyDescent="0.3">
      <c r="J30" t="str">
        <v>Shani Badshah</v>
      </c>
    </row>
    <row r="31" spans="2:10" x14ac:dyDescent="0.3">
      <c r="J31" t="str">
        <v>Rehman Ali</v>
      </c>
    </row>
    <row r="32" spans="2:10" x14ac:dyDescent="0.3">
      <c r="J32" t="str">
        <v>Ahmad Shafique</v>
      </c>
    </row>
    <row r="33" spans="10:10" x14ac:dyDescent="0.3">
      <c r="J33" t="str">
        <v>Hafiz Shawl</v>
      </c>
    </row>
    <row r="34" spans="10:10" x14ac:dyDescent="0.3">
      <c r="J34" t="str">
        <v>Zahid Ejaz</v>
      </c>
    </row>
    <row r="35" spans="10:10" x14ac:dyDescent="0.3">
      <c r="J35" t="str">
        <v>Faizan Kamoki</v>
      </c>
    </row>
    <row r="36" spans="10:10" x14ac:dyDescent="0.3">
      <c r="J36" t="str">
        <v>KK fabrics</v>
      </c>
    </row>
    <row r="37" spans="10:10" x14ac:dyDescent="0.3">
      <c r="J37" t="str">
        <v>Rauf Khan</v>
      </c>
    </row>
    <row r="38" spans="10:10" x14ac:dyDescent="0.3">
      <c r="J38" t="str">
        <v>Farhaan ali</v>
      </c>
    </row>
    <row r="39" spans="10:10" x14ac:dyDescent="0.3">
      <c r="J39">
        <v>0</v>
      </c>
    </row>
  </sheetData>
  <conditionalFormatting sqref="E20">
    <cfRule type="cellIs" dxfId="8" priority="1" operator="lessThan">
      <formula>20000</formula>
    </cfRule>
    <cfRule type="cellIs" dxfId="7" priority="2" operator="greaterThan">
      <formula>20000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7F4A-599E-4FA7-83B0-FA30D9237F09}">
  <dimension ref="A1:E22"/>
  <sheetViews>
    <sheetView topLeftCell="B1" zoomScale="150" workbookViewId="0">
      <selection activeCell="C33" sqref="C33"/>
    </sheetView>
  </sheetViews>
  <sheetFormatPr defaultRowHeight="14.4" x14ac:dyDescent="0.3"/>
  <cols>
    <col min="2" max="2" width="12.5546875" customWidth="1"/>
    <col min="3" max="3" width="14.5546875" customWidth="1"/>
    <col min="4" max="4" width="28.6640625" customWidth="1"/>
    <col min="5" max="5" width="23.21875" customWidth="1"/>
    <col min="7" max="7" width="14.6640625" bestFit="1" customWidth="1"/>
    <col min="8" max="8" width="12.33203125" bestFit="1" customWidth="1"/>
    <col min="9" max="9" width="13.5546875" bestFit="1" customWidth="1"/>
    <col min="10" max="11" width="7.88671875" bestFit="1" customWidth="1"/>
    <col min="12" max="12" width="1.6640625" bestFit="1" customWidth="1"/>
    <col min="13" max="13" width="10.33203125" bestFit="1" customWidth="1"/>
    <col min="14" max="14" width="5.6640625" bestFit="1" customWidth="1"/>
    <col min="15" max="15" width="10.33203125" bestFit="1" customWidth="1"/>
    <col min="16" max="16" width="5" bestFit="1" customWidth="1"/>
    <col min="17" max="19" width="6" bestFit="1" customWidth="1"/>
    <col min="20" max="21" width="7" bestFit="1" customWidth="1"/>
    <col min="22" max="22" width="1.6640625" bestFit="1" customWidth="1"/>
    <col min="23" max="23" width="10.33203125" bestFit="1" customWidth="1"/>
  </cols>
  <sheetData>
    <row r="1" spans="1:5" ht="25.8" x14ac:dyDescent="0.5">
      <c r="A1" s="6"/>
      <c r="B1" s="7" t="s">
        <v>44</v>
      </c>
    </row>
    <row r="3" spans="1:5" x14ac:dyDescent="0.3">
      <c r="B3" t="s">
        <v>45</v>
      </c>
      <c r="C3" t="s">
        <v>46</v>
      </c>
      <c r="D3" t="s">
        <v>36</v>
      </c>
      <c r="E3" t="s">
        <v>217</v>
      </c>
    </row>
    <row r="4" spans="1:5" x14ac:dyDescent="0.3">
      <c r="B4" t="s">
        <v>47</v>
      </c>
      <c r="C4" s="11">
        <f>Wood!K6+(1000*810)</f>
        <v>12772585</v>
      </c>
      <c r="D4" t="s">
        <v>189</v>
      </c>
      <c r="E4" s="43">
        <f ca="1">Table12[[#This Row],[Amount]]/Table1[[#Totals],[tiyar/meters]]</f>
        <v>5.0177942036409604</v>
      </c>
    </row>
    <row r="5" spans="1:5" x14ac:dyDescent="0.3">
      <c r="B5" t="s">
        <v>48</v>
      </c>
      <c r="C5" s="11">
        <f>SUM(Table8[Price])+(301660)</f>
        <v>2638415</v>
      </c>
      <c r="E5" s="43">
        <f ca="1">Table12[[#This Row],[Amount]]/Table1[[#Totals],[tiyar/meters]]</f>
        <v>1.0365187230149078</v>
      </c>
    </row>
    <row r="6" spans="1:5" x14ac:dyDescent="0.3">
      <c r="B6" t="s">
        <v>49</v>
      </c>
      <c r="C6" s="11">
        <f>SUM(Table2[Price])</f>
        <v>1120250</v>
      </c>
      <c r="D6" t="s">
        <v>188</v>
      </c>
      <c r="E6" s="43">
        <f ca="1">Table12[[#This Row],[Amount]]/Table1[[#Totals],[tiyar/meters]]</f>
        <v>0.44009759626800576</v>
      </c>
    </row>
    <row r="7" spans="1:5" x14ac:dyDescent="0.3">
      <c r="B7" t="s">
        <v>50</v>
      </c>
      <c r="C7" s="11">
        <f>SUMIFS(Table14[Debit], Table14[Party],Table12[[#This Row],[Type]])</f>
        <v>102080</v>
      </c>
      <c r="E7" s="43">
        <f ca="1">Table12[[#This Row],[Amount]]/Table1[[#Totals],[tiyar/meters]]</f>
        <v>4.0102800827527811E-2</v>
      </c>
    </row>
    <row r="8" spans="1:5" x14ac:dyDescent="0.3">
      <c r="B8" t="s">
        <v>51</v>
      </c>
      <c r="C8" s="11">
        <f>Electricity!E5</f>
        <v>3500011</v>
      </c>
      <c r="E8" s="43">
        <f ca="1">Table12[[#This Row],[Amount]]/Table1[[#Totals],[tiyar/meters]]</f>
        <v>1.3750023905481625</v>
      </c>
    </row>
    <row r="9" spans="1:5" x14ac:dyDescent="0.3">
      <c r="B9" t="s">
        <v>52</v>
      </c>
      <c r="C9" s="11">
        <f>SUMIFS(Table14[Debit], Table14[Party],Table12[[#This Row],[Type]])+SUMIFS(Table14[Debit], Table14[Party],"Advance Salary")</f>
        <v>5027653</v>
      </c>
      <c r="E9" s="43">
        <f ca="1">Table12[[#This Row],[Amount]]/Table1[[#Totals],[tiyar/meters]]</f>
        <v>1.9751466192096656</v>
      </c>
    </row>
    <row r="10" spans="1:5" x14ac:dyDescent="0.3">
      <c r="B10" t="s">
        <v>53</v>
      </c>
      <c r="C10" s="11">
        <f>Table5[[#Totals],[Amount]]</f>
        <v>245140</v>
      </c>
      <c r="E10" s="43">
        <f ca="1">Table12[[#This Row],[Amount]]/Table1[[#Totals],[tiyar/meters]]</f>
        <v>9.6304864761561193E-2</v>
      </c>
    </row>
    <row r="11" spans="1:5" x14ac:dyDescent="0.3">
      <c r="B11" t="s">
        <v>54</v>
      </c>
      <c r="C11" s="11">
        <f>Table13[[#Totals],[Debit]]</f>
        <v>126926</v>
      </c>
      <c r="E11" s="43">
        <f ca="1">Table12[[#This Row],[Amount]]/Table1[[#Totals],[tiyar/meters]]</f>
        <v>4.9863715691955274E-2</v>
      </c>
    </row>
    <row r="12" spans="1:5" x14ac:dyDescent="0.3">
      <c r="B12" t="s">
        <v>55</v>
      </c>
      <c r="C12" s="11">
        <f>Table15[[#Totals],[Amount]]</f>
        <v>1279522</v>
      </c>
      <c r="E12" s="43">
        <f ca="1">Table12[[#This Row],[Amount]]/Table1[[#Totals],[tiyar/meters]]</f>
        <v>0.50266865125822924</v>
      </c>
    </row>
    <row r="13" spans="1:5" x14ac:dyDescent="0.3">
      <c r="C13" s="11"/>
      <c r="E13" s="43">
        <f ca="1">Table12[[#This Row],[Amount]]/Table1[[#Totals],[tiyar/meters]]</f>
        <v>0</v>
      </c>
    </row>
    <row r="14" spans="1:5" x14ac:dyDescent="0.3">
      <c r="C14" s="14">
        <f>SUM(Table12[Amount])</f>
        <v>26812582</v>
      </c>
      <c r="E14" s="43">
        <f ca="1">SUM(Table12[cost per meter])</f>
        <v>10.533499565220977</v>
      </c>
    </row>
    <row r="17" spans="2:4" x14ac:dyDescent="0.3">
      <c r="B17" t="s">
        <v>56</v>
      </c>
    </row>
    <row r="18" spans="2:4" x14ac:dyDescent="0.3">
      <c r="B18" t="s">
        <v>57</v>
      </c>
      <c r="C18" t="s">
        <v>58</v>
      </c>
      <c r="D18" t="s">
        <v>59</v>
      </c>
    </row>
    <row r="19" spans="2:4" x14ac:dyDescent="0.3">
      <c r="B19" t="s">
        <v>47</v>
      </c>
      <c r="C19">
        <f>388+236+100+288</f>
        <v>1012</v>
      </c>
      <c r="D19" t="s">
        <v>60</v>
      </c>
    </row>
    <row r="20" spans="2:4" x14ac:dyDescent="0.3">
      <c r="B20" t="s">
        <v>61</v>
      </c>
      <c r="C20">
        <v>100</v>
      </c>
      <c r="D20" t="s">
        <v>62</v>
      </c>
    </row>
    <row r="21" spans="2:4" x14ac:dyDescent="0.3">
      <c r="B21" t="s">
        <v>63</v>
      </c>
      <c r="C21">
        <v>75</v>
      </c>
      <c r="D21" t="s">
        <v>62</v>
      </c>
    </row>
    <row r="22" spans="2:4" x14ac:dyDescent="0.3">
      <c r="B22" t="s">
        <v>64</v>
      </c>
      <c r="C22" t="s">
        <v>65</v>
      </c>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9B88-176D-4283-9F20-7A53851A72BB}">
  <dimension ref="A2:F21"/>
  <sheetViews>
    <sheetView topLeftCell="A8" zoomScale="111" workbookViewId="0">
      <selection activeCell="E29" sqref="E29"/>
    </sheetView>
  </sheetViews>
  <sheetFormatPr defaultRowHeight="14.4" x14ac:dyDescent="0.3"/>
  <cols>
    <col min="2" max="2" width="11.6640625" customWidth="1"/>
    <col min="3" max="3" width="13" bestFit="1" customWidth="1"/>
    <col min="6" max="6" width="11.109375" customWidth="1"/>
    <col min="8" max="8" width="10.33203125" bestFit="1" customWidth="1"/>
  </cols>
  <sheetData>
    <row r="2" spans="1:3" x14ac:dyDescent="0.3">
      <c r="B2" s="11" t="s">
        <v>66</v>
      </c>
      <c r="C2" s="11" t="s">
        <v>67</v>
      </c>
    </row>
    <row r="3" spans="1:3" x14ac:dyDescent="0.3">
      <c r="B3" s="11" t="s">
        <v>0</v>
      </c>
      <c r="C3" s="11">
        <f>Billing!C23 + SUMIFS(Table14[Credit], Table14[Party], "Transport")</f>
        <v>29036182.333577175</v>
      </c>
    </row>
    <row r="4" spans="1:3" x14ac:dyDescent="0.3">
      <c r="B4" s="11" t="s">
        <v>44</v>
      </c>
      <c r="C4" s="11">
        <f>Table12[[#Totals],[Amount]]</f>
        <v>26812582</v>
      </c>
    </row>
    <row r="5" spans="1:3" x14ac:dyDescent="0.3">
      <c r="A5" s="6"/>
      <c r="B5" s="15" t="s">
        <v>68</v>
      </c>
      <c r="C5" s="15">
        <f>C3-C4</f>
        <v>2223600.3335771747</v>
      </c>
    </row>
    <row r="10" spans="1:3" ht="15" thickBot="1" x14ac:dyDescent="0.35">
      <c r="B10" t="s">
        <v>66</v>
      </c>
      <c r="C10" s="14" t="s">
        <v>67</v>
      </c>
    </row>
    <row r="11" spans="1:3" x14ac:dyDescent="0.3">
      <c r="B11" s="56" t="s">
        <v>0</v>
      </c>
      <c r="C11" s="57">
        <f>C3</f>
        <v>29036182.333577175</v>
      </c>
    </row>
    <row r="12" spans="1:3" x14ac:dyDescent="0.3">
      <c r="B12" s="58" t="s">
        <v>69</v>
      </c>
      <c r="C12" s="59">
        <f>SUM(Table14[Credit])</f>
        <v>37226536.229517192</v>
      </c>
    </row>
    <row r="13" spans="1:3" ht="15" thickBot="1" x14ac:dyDescent="0.35">
      <c r="B13" s="74" t="s">
        <v>93</v>
      </c>
      <c r="C13" s="73">
        <f>(C11-C12)</f>
        <v>-8190353.895940017</v>
      </c>
    </row>
    <row r="14" spans="1:3" ht="15" thickBot="1" x14ac:dyDescent="0.35">
      <c r="B14" s="58"/>
      <c r="C14" s="59"/>
    </row>
    <row r="15" spans="1:3" x14ac:dyDescent="0.3">
      <c r="B15" s="56" t="s">
        <v>44</v>
      </c>
      <c r="C15" s="57">
        <f>C4</f>
        <v>26812582</v>
      </c>
    </row>
    <row r="16" spans="1:3" x14ac:dyDescent="0.3">
      <c r="B16" s="58" t="s">
        <v>70</v>
      </c>
      <c r="C16" s="59">
        <f>SUM(Table14[Debit])</f>
        <v>37308133.399999999</v>
      </c>
    </row>
    <row r="17" spans="2:6" ht="15" thickBot="1" x14ac:dyDescent="0.35">
      <c r="B17" s="74" t="s">
        <v>71</v>
      </c>
      <c r="C17" s="73">
        <f>C15-C16</f>
        <v>-10495551.399999999</v>
      </c>
    </row>
    <row r="18" spans="2:6" ht="15" thickBot="1" x14ac:dyDescent="0.35">
      <c r="B18" s="58"/>
      <c r="C18" s="59"/>
    </row>
    <row r="19" spans="2:6" ht="15" thickBot="1" x14ac:dyDescent="0.35">
      <c r="B19" s="75" t="s">
        <v>72</v>
      </c>
      <c r="C19" s="76">
        <f>Table18[[#Totals],[amount]]</f>
        <v>-74083.170482806861</v>
      </c>
    </row>
    <row r="20" spans="2:6" ht="15" thickBot="1" x14ac:dyDescent="0.35">
      <c r="B20" s="71"/>
      <c r="C20" s="72"/>
    </row>
    <row r="21" spans="2:6" ht="15" thickBot="1" x14ac:dyDescent="0.35">
      <c r="B21" s="60" t="s">
        <v>73</v>
      </c>
      <c r="C21" s="61">
        <f>(C13-C17)+C19</f>
        <v>2231114.3335771747</v>
      </c>
      <c r="E21" s="79" t="s">
        <v>74</v>
      </c>
      <c r="F21" s="125">
        <f>C5*0.05</f>
        <v>111180.01667885874</v>
      </c>
    </row>
  </sheetData>
  <phoneticPr fontId="4" type="noConversion"/>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E7E-0ED4-4A4C-A825-11433EC34268}">
  <dimension ref="B2:F44"/>
  <sheetViews>
    <sheetView topLeftCell="A10" workbookViewId="0">
      <selection activeCell="J23" sqref="J23"/>
    </sheetView>
  </sheetViews>
  <sheetFormatPr defaultRowHeight="14.4" x14ac:dyDescent="0.3"/>
  <cols>
    <col min="2" max="2" width="10.33203125" bestFit="1" customWidth="1"/>
    <col min="4" max="4" width="9.33203125" customWidth="1"/>
  </cols>
  <sheetData>
    <row r="2" spans="2:6" x14ac:dyDescent="0.3">
      <c r="B2" t="s">
        <v>75</v>
      </c>
      <c r="C2" t="s">
        <v>45</v>
      </c>
      <c r="D2" t="s">
        <v>70</v>
      </c>
      <c r="E2" t="s">
        <v>69</v>
      </c>
      <c r="F2" t="s">
        <v>76</v>
      </c>
    </row>
    <row r="3" spans="2:6" x14ac:dyDescent="0.3">
      <c r="B3" s="1">
        <v>46072</v>
      </c>
      <c r="D3">
        <f>SUMIFS(Table14[Debit], Table14[Date], Table13[[#This Row],[Date]], Table14[Party], "Transport")</f>
        <v>0</v>
      </c>
      <c r="E3">
        <f>SUMIFS(Table14[Credit], Table14[Date], Table13[[#This Row],[Date]], Table14[Party], "Transport")</f>
        <v>0</v>
      </c>
    </row>
    <row r="4" spans="2:6" x14ac:dyDescent="0.3">
      <c r="B4" s="1">
        <v>46073</v>
      </c>
      <c r="D4">
        <f>SUMIFS(Table14[Debit], Table14[Date], Table13[[#This Row],[Date]], Table14[Party], "Transport")</f>
        <v>16600</v>
      </c>
      <c r="E4">
        <f>SUMIFS(Table14[Credit], Table14[Date], Table13[[#This Row],[Date]], Table14[Party], "Transport")</f>
        <v>0</v>
      </c>
    </row>
    <row r="5" spans="2:6" x14ac:dyDescent="0.3">
      <c r="B5" s="1">
        <v>46074</v>
      </c>
      <c r="D5">
        <f>SUMIFS(Table14[Debit], Table14[Date], Table13[[#This Row],[Date]], Table14[Party], "Transport")</f>
        <v>0</v>
      </c>
      <c r="E5">
        <f>SUMIFS(Table14[Credit], Table14[Date], Table13[[#This Row],[Date]], Table14[Party], "Transport")</f>
        <v>0</v>
      </c>
    </row>
    <row r="6" spans="2:6" x14ac:dyDescent="0.3">
      <c r="B6" s="1">
        <v>46075</v>
      </c>
      <c r="D6">
        <f>SUMIFS(Table14[Debit], Table14[Date], Table13[[#This Row],[Date]], Table14[Party], "Transport")</f>
        <v>6000</v>
      </c>
      <c r="E6">
        <f>SUMIFS(Table14[Credit], Table14[Date], Table13[[#This Row],[Date]], Table14[Party], "Transport")</f>
        <v>0</v>
      </c>
    </row>
    <row r="7" spans="2:6" x14ac:dyDescent="0.3">
      <c r="B7" s="1">
        <v>46076</v>
      </c>
      <c r="D7">
        <f>SUMIFS(Table14[Debit], Table14[Date], Table13[[#This Row],[Date]], Table14[Party], "Transport")</f>
        <v>5000</v>
      </c>
      <c r="E7">
        <f>SUMIFS(Table14[Credit], Table14[Date], Table13[[#This Row],[Date]], Table14[Party], "Transport")</f>
        <v>0</v>
      </c>
    </row>
    <row r="8" spans="2:6" x14ac:dyDescent="0.3">
      <c r="B8" s="1">
        <v>46077</v>
      </c>
      <c r="D8">
        <f>SUMIFS(Table14[Debit], Table14[Date], Table13[[#This Row],[Date]], Table14[Party], "Transport")</f>
        <v>11428</v>
      </c>
      <c r="E8">
        <f>SUMIFS(Table14[Credit], Table14[Date], Table13[[#This Row],[Date]], Table14[Party], "Transport")</f>
        <v>0</v>
      </c>
    </row>
    <row r="9" spans="2:6" x14ac:dyDescent="0.3">
      <c r="B9" s="1">
        <v>46078</v>
      </c>
      <c r="D9">
        <f>SUMIFS(Table14[Debit], Table14[Date], Table13[[#This Row],[Date]], Table14[Party], "Transport")</f>
        <v>6500</v>
      </c>
      <c r="E9">
        <f>SUMIFS(Table14[Credit], Table14[Date], Table13[[#This Row],[Date]], Table14[Party], "Transport")</f>
        <v>0</v>
      </c>
    </row>
    <row r="10" spans="2:6" x14ac:dyDescent="0.3">
      <c r="B10" s="1">
        <v>46079</v>
      </c>
      <c r="D10">
        <f>SUMIFS(Table14[Debit], Table14[Date], Table13[[#This Row],[Date]], Table14[Party], "Transport")</f>
        <v>0</v>
      </c>
      <c r="E10">
        <f>SUMIFS(Table14[Credit], Table14[Date], Table13[[#This Row],[Date]], Table14[Party], "Transport")</f>
        <v>0</v>
      </c>
    </row>
    <row r="11" spans="2:6" x14ac:dyDescent="0.3">
      <c r="B11" s="1">
        <v>46080</v>
      </c>
      <c r="D11">
        <f>SUMIFS(Table14[Debit], Table14[Date], Table13[[#This Row],[Date]], Table14[Party], "Transport")</f>
        <v>0</v>
      </c>
      <c r="E11">
        <f>SUMIFS(Table14[Credit], Table14[Date], Table13[[#This Row],[Date]], Table14[Party], "Transport")</f>
        <v>0</v>
      </c>
    </row>
    <row r="12" spans="2:6" x14ac:dyDescent="0.3">
      <c r="B12" s="1">
        <v>46081</v>
      </c>
      <c r="D12">
        <f>SUMIFS(Table14[Debit], Table14[Date], Table13[[#This Row],[Date]], Table14[Party], "Transport")</f>
        <v>6500</v>
      </c>
      <c r="E12">
        <f>SUMIFS(Table14[Credit], Table14[Date], Table13[[#This Row],[Date]], Table14[Party], "Transport")</f>
        <v>0</v>
      </c>
    </row>
    <row r="13" spans="2:6" x14ac:dyDescent="0.3">
      <c r="B13" s="1">
        <v>46082</v>
      </c>
      <c r="D13">
        <f>SUMIFS(Table14[Debit], Table14[Date], Table13[[#This Row],[Date]], Table14[Party], "Transport")</f>
        <v>0</v>
      </c>
      <c r="E13">
        <f>SUMIFS(Table14[Credit], Table14[Date], Table13[[#This Row],[Date]], Table14[Party], "Transport")</f>
        <v>0</v>
      </c>
    </row>
    <row r="14" spans="2:6" x14ac:dyDescent="0.3">
      <c r="B14" s="1">
        <v>46083</v>
      </c>
      <c r="D14">
        <f>SUMIFS(Table14[Debit], Table14[Date], Table13[[#This Row],[Date]], Table14[Party], "Transport")</f>
        <v>10701</v>
      </c>
      <c r="E14">
        <f>SUMIFS(Table14[Credit], Table14[Date], Table13[[#This Row],[Date]], Table14[Party], "Transport")</f>
        <v>0</v>
      </c>
    </row>
    <row r="15" spans="2:6" x14ac:dyDescent="0.3">
      <c r="B15" s="1">
        <v>46084</v>
      </c>
      <c r="D15">
        <f>SUMIFS(Table14[Debit], Table14[Date], Table13[[#This Row],[Date]], Table14[Party], "Transport")</f>
        <v>5000</v>
      </c>
      <c r="E15">
        <f>SUMIFS(Table14[Credit], Table14[Date], Table13[[#This Row],[Date]], Table14[Party], "Transport")</f>
        <v>0</v>
      </c>
    </row>
    <row r="16" spans="2:6" x14ac:dyDescent="0.3">
      <c r="B16" s="1">
        <v>46085</v>
      </c>
      <c r="D16">
        <f>SUMIFS(Table14[Debit], Table14[Date], Table13[[#This Row],[Date]], Table14[Party], "Transport")</f>
        <v>5110</v>
      </c>
      <c r="E16">
        <f>SUMIFS(Table14[Credit], Table14[Date], Table13[[#This Row],[Date]], Table14[Party], "Transport")</f>
        <v>0</v>
      </c>
    </row>
    <row r="17" spans="2:5" x14ac:dyDescent="0.3">
      <c r="B17" s="1">
        <v>46086</v>
      </c>
      <c r="D17">
        <f>SUMIFS(Table14[Debit], Table14[Date], Table13[[#This Row],[Date]], Table14[Party], "Transport")</f>
        <v>0</v>
      </c>
      <c r="E17">
        <f>SUMIFS(Table14[Credit], Table14[Date], Table13[[#This Row],[Date]], Table14[Party], "Transport")</f>
        <v>0</v>
      </c>
    </row>
    <row r="18" spans="2:5" x14ac:dyDescent="0.3">
      <c r="B18" s="1">
        <v>46087</v>
      </c>
      <c r="D18">
        <f>SUMIFS(Table14[Debit], Table14[Date], Table13[[#This Row],[Date]], Table14[Party], "Transport")</f>
        <v>1200</v>
      </c>
      <c r="E18">
        <f>SUMIFS(Table14[Credit], Table14[Date], Table13[[#This Row],[Date]], Table14[Party], "Transport")</f>
        <v>0</v>
      </c>
    </row>
    <row r="19" spans="2:5" x14ac:dyDescent="0.3">
      <c r="B19" s="1">
        <v>46088</v>
      </c>
      <c r="D19">
        <f>SUMIFS(Table14[Debit], Table14[Date], Table13[[#This Row],[Date]], Table14[Party], "Transport")</f>
        <v>11000</v>
      </c>
      <c r="E19">
        <f>SUMIFS(Table14[Credit], Table14[Date], Table13[[#This Row],[Date]], Table14[Party], "Transport")</f>
        <v>0</v>
      </c>
    </row>
    <row r="20" spans="2:5" x14ac:dyDescent="0.3">
      <c r="B20" s="1">
        <v>46089</v>
      </c>
      <c r="D20">
        <f>SUMIFS(Table14[Debit], Table14[Date], Table13[[#This Row],[Date]], Table14[Party], "Transport")</f>
        <v>2700</v>
      </c>
      <c r="E20">
        <f>SUMIFS(Table14[Credit], Table14[Date], Table13[[#This Row],[Date]], Table14[Party], "Transport")</f>
        <v>0</v>
      </c>
    </row>
    <row r="21" spans="2:5" x14ac:dyDescent="0.3">
      <c r="B21" s="1">
        <v>46090</v>
      </c>
      <c r="D21">
        <f>SUMIFS(Table14[Debit], Table14[Date], Table13[[#This Row],[Date]], Table14[Party], "Transport")</f>
        <v>0</v>
      </c>
      <c r="E21">
        <f>SUMIFS(Table14[Credit], Table14[Date], Table13[[#This Row],[Date]], Table14[Party], "Transport")</f>
        <v>0</v>
      </c>
    </row>
    <row r="22" spans="2:5" x14ac:dyDescent="0.3">
      <c r="B22" s="1">
        <v>46091</v>
      </c>
      <c r="D22">
        <f>SUMIFS(Table14[Debit], Table14[Date], Table13[[#This Row],[Date]], Table14[Party], "Transport")</f>
        <v>5000</v>
      </c>
      <c r="E22">
        <f>SUMIFS(Table14[Credit], Table14[Date], Table13[[#This Row],[Date]], Table14[Party], "Transport")</f>
        <v>0</v>
      </c>
    </row>
    <row r="23" spans="2:5" x14ac:dyDescent="0.3">
      <c r="B23" s="1">
        <v>46092</v>
      </c>
      <c r="D23">
        <f>SUMIFS(Table14[Debit], Table14[Date], Table13[[#This Row],[Date]], Table14[Party], "Transport")</f>
        <v>0</v>
      </c>
      <c r="E23">
        <f>SUMIFS(Table14[Credit], Table14[Date], Table13[[#This Row],[Date]], Table14[Party], "Transport")</f>
        <v>0</v>
      </c>
    </row>
    <row r="24" spans="2:5" x14ac:dyDescent="0.3">
      <c r="B24" s="1">
        <v>46093</v>
      </c>
      <c r="D24">
        <f>SUMIFS(Table14[Debit], Table14[Date], Table13[[#This Row],[Date]], Table14[Party], "Transport")</f>
        <v>7236</v>
      </c>
      <c r="E24">
        <f>SUMIFS(Table14[Credit], Table14[Date], Table13[[#This Row],[Date]], Table14[Party], "Transport")</f>
        <v>0</v>
      </c>
    </row>
    <row r="25" spans="2:5" x14ac:dyDescent="0.3">
      <c r="B25" s="1">
        <v>46094</v>
      </c>
      <c r="D25">
        <f>SUMIFS(Table14[Debit], Table14[Date], Table13[[#This Row],[Date]], Table14[Party], "Transport")</f>
        <v>0</v>
      </c>
      <c r="E25">
        <f>SUMIFS(Table14[Credit], Table14[Date], Table13[[#This Row],[Date]], Table14[Party], "Transport")</f>
        <v>0</v>
      </c>
    </row>
    <row r="26" spans="2:5" x14ac:dyDescent="0.3">
      <c r="B26" s="1">
        <v>46095</v>
      </c>
      <c r="D26">
        <f>SUMIFS(Table14[Debit], Table14[Date], Table13[[#This Row],[Date]], Table14[Party], "Transport")</f>
        <v>3000</v>
      </c>
      <c r="E26">
        <f>SUMIFS(Table14[Credit], Table14[Date], Table13[[#This Row],[Date]], Table14[Party], "Transport")</f>
        <v>0</v>
      </c>
    </row>
    <row r="27" spans="2:5" x14ac:dyDescent="0.3">
      <c r="B27" s="1">
        <v>46096</v>
      </c>
      <c r="D27">
        <f>SUMIFS(Table14[Debit], Table14[Date], Table13[[#This Row],[Date]], Table14[Party], "Transport")</f>
        <v>0</v>
      </c>
      <c r="E27">
        <f>SUMIFS(Table14[Credit], Table14[Date], Table13[[#This Row],[Date]], Table14[Party], "Transport")</f>
        <v>0</v>
      </c>
    </row>
    <row r="28" spans="2:5" x14ac:dyDescent="0.3">
      <c r="B28" s="1">
        <v>46097</v>
      </c>
      <c r="D28">
        <f>SUMIFS(Table14[Debit], Table14[Date], Table13[[#This Row],[Date]], Table14[Party], "Transport")</f>
        <v>800</v>
      </c>
      <c r="E28">
        <f>SUMIFS(Table14[Credit], Table14[Date], Table13[[#This Row],[Date]], Table14[Party], "Transport")</f>
        <v>0</v>
      </c>
    </row>
    <row r="29" spans="2:5" x14ac:dyDescent="0.3">
      <c r="B29" s="1">
        <v>46098</v>
      </c>
      <c r="D29">
        <f>SUMIFS(Table14[Debit], Table14[Date], Table13[[#This Row],[Date]], Table14[Party], "Transport")</f>
        <v>0</v>
      </c>
      <c r="E29">
        <f>SUMIFS(Table14[Credit], Table14[Date], Table13[[#This Row],[Date]], Table14[Party], "Transport")</f>
        <v>0</v>
      </c>
    </row>
    <row r="30" spans="2:5" x14ac:dyDescent="0.3">
      <c r="B30" s="1">
        <v>46099</v>
      </c>
      <c r="D30">
        <f>SUMIFS(Table14[Debit], Table14[Date], Table13[[#This Row],[Date]], Table14[Party], "Transport")</f>
        <v>0</v>
      </c>
      <c r="E30">
        <f>SUMIFS(Table14[Credit], Table14[Date], Table13[[#This Row],[Date]], Table14[Party], "Transport")</f>
        <v>0</v>
      </c>
    </row>
    <row r="31" spans="2:5" x14ac:dyDescent="0.3">
      <c r="B31" s="1">
        <v>46100</v>
      </c>
      <c r="D31">
        <f>SUMIFS(Table14[Debit], Table14[Date], Table13[[#This Row],[Date]], Table14[Party], "Transport")</f>
        <v>0</v>
      </c>
      <c r="E31">
        <f>SUMIFS(Table14[Credit], Table14[Date], Table13[[#This Row],[Date]], Table14[Party], "Transport")</f>
        <v>0</v>
      </c>
    </row>
    <row r="32" spans="2:5" x14ac:dyDescent="0.3">
      <c r="B32" s="1">
        <v>46101</v>
      </c>
      <c r="D32">
        <f>SUMIFS(Table14[Debit], Table14[Date], Table13[[#This Row],[Date]], Table14[Party], "Transport")</f>
        <v>13151</v>
      </c>
      <c r="E32">
        <f>SUMIFS(Table14[Credit], Table14[Date], Table13[[#This Row],[Date]], Table14[Party], "Transport")</f>
        <v>0</v>
      </c>
    </row>
    <row r="33" spans="2:6" x14ac:dyDescent="0.3">
      <c r="B33" s="1">
        <v>46102</v>
      </c>
      <c r="D33">
        <f>SUMIFS(Table14[Debit], Table14[Date], Table13[[#This Row],[Date]], Table14[Party], "Transport")</f>
        <v>0</v>
      </c>
      <c r="E33">
        <f>SUMIFS(Table14[Credit], Table14[Date], Table13[[#This Row],[Date]], Table14[Party], "Transport")</f>
        <v>0</v>
      </c>
    </row>
    <row r="34" spans="2:6" x14ac:dyDescent="0.3">
      <c r="B34" s="1">
        <v>46103</v>
      </c>
      <c r="D34">
        <f>SUMIFS(Table14[Debit], Table14[Date], Table13[[#This Row],[Date]], Table14[Party], "Transport")</f>
        <v>0</v>
      </c>
      <c r="E34">
        <f>SUMIFS(Table14[Credit], Table14[Date], Table13[[#This Row],[Date]], Table14[Party], "Transport")</f>
        <v>0</v>
      </c>
    </row>
    <row r="35" spans="2:6" x14ac:dyDescent="0.3">
      <c r="B35" s="1">
        <v>46104</v>
      </c>
      <c r="D35">
        <f>SUMIFS(Table14[Debit], Table14[Date], Table13[[#This Row],[Date]], Table14[Party], "Transport")</f>
        <v>0</v>
      </c>
      <c r="E35">
        <f>SUMIFS(Table14[Credit], Table14[Date], Table13[[#This Row],[Date]], Table14[Party], "Transport")</f>
        <v>0</v>
      </c>
    </row>
    <row r="36" spans="2:6" x14ac:dyDescent="0.3">
      <c r="B36" s="1">
        <v>46105</v>
      </c>
      <c r="D36">
        <f>SUMIFS(Table14[Debit], Table14[Date], Table13[[#This Row],[Date]], Table14[Party], "Transport")</f>
        <v>5000</v>
      </c>
      <c r="E36">
        <f>SUMIFS(Table14[Credit], Table14[Date], Table13[[#This Row],[Date]], Table14[Party], "Transport")</f>
        <v>0</v>
      </c>
    </row>
    <row r="37" spans="2:6" x14ac:dyDescent="0.3">
      <c r="B37" s="1">
        <v>46106</v>
      </c>
      <c r="D37">
        <f>SUMIFS(Table14[Debit], Table14[Date], Table13[[#This Row],[Date]], Table14[Party], "Transport")</f>
        <v>0</v>
      </c>
      <c r="E37">
        <f>SUMIFS(Table14[Credit], Table14[Date], Table13[[#This Row],[Date]], Table14[Party], "Transport")</f>
        <v>0</v>
      </c>
    </row>
    <row r="38" spans="2:6" x14ac:dyDescent="0.3">
      <c r="B38" s="1">
        <v>46107</v>
      </c>
      <c r="D38">
        <f>SUMIFS(Table14[Debit], Table14[Date], Table13[[#This Row],[Date]], Table14[Party], "Transport")</f>
        <v>0</v>
      </c>
      <c r="E38">
        <f>SUMIFS(Table14[Credit], Table14[Date], Table13[[#This Row],[Date]], Table14[Party], "Transport")</f>
        <v>0</v>
      </c>
    </row>
    <row r="39" spans="2:6" x14ac:dyDescent="0.3">
      <c r="B39" s="1">
        <v>46108</v>
      </c>
      <c r="D39">
        <f>SUMIFS(Table14[Debit], Table14[Date], Table13[[#This Row],[Date]], Table14[Party], "Transport")</f>
        <v>0</v>
      </c>
      <c r="E39">
        <f>SUMIFS(Table14[Credit], Table14[Date], Table13[[#This Row],[Date]], Table14[Party], "Transport")</f>
        <v>0</v>
      </c>
    </row>
    <row r="40" spans="2:6" x14ac:dyDescent="0.3">
      <c r="B40" s="1">
        <v>46109</v>
      </c>
      <c r="D40">
        <f>SUMIFS(Table14[Debit], Table14[Date], Table13[[#This Row],[Date]], Table14[Party], "Transport")</f>
        <v>0</v>
      </c>
      <c r="E40">
        <f>SUMIFS(Table14[Credit], Table14[Date], Table13[[#This Row],[Date]], Table14[Party], "Transport")</f>
        <v>0</v>
      </c>
    </row>
    <row r="41" spans="2:6" x14ac:dyDescent="0.3">
      <c r="B41" s="1">
        <v>46110</v>
      </c>
      <c r="D41">
        <f>SUMIFS(Table14[Debit], Table14[Date], Table13[[#This Row],[Date]], Table14[Party], "Transport")</f>
        <v>0</v>
      </c>
      <c r="E41">
        <f>SUMIFS(Table14[Credit], Table14[Date], Table13[[#This Row],[Date]], Table14[Party], "Transport")</f>
        <v>0</v>
      </c>
    </row>
    <row r="42" spans="2:6" x14ac:dyDescent="0.3">
      <c r="B42" s="1">
        <v>46111</v>
      </c>
      <c r="D42">
        <f>SUMIFS(Table14[Debit], Table14[Date], Table13[[#This Row],[Date]], Table14[Party], "Transport")</f>
        <v>5000</v>
      </c>
      <c r="E42">
        <f>SUMIFS(Table14[Credit], Table14[Date], Table13[[#This Row],[Date]], Table14[Party], "Transport")</f>
        <v>0</v>
      </c>
    </row>
    <row r="43" spans="2:6" x14ac:dyDescent="0.3">
      <c r="B43" s="1">
        <v>46112</v>
      </c>
      <c r="D43">
        <f>SUMIFS(Table14[Debit], Table14[Date], Table13[[#This Row],[Date]], Table14[Party], "Transport")</f>
        <v>0</v>
      </c>
      <c r="E43">
        <f>SUMIFS(Table14[Credit], Table14[Date], Table13[[#This Row],[Date]], Table14[Party], "Transport")</f>
        <v>0</v>
      </c>
    </row>
    <row r="44" spans="2:6" x14ac:dyDescent="0.3">
      <c r="B44" s="1"/>
      <c r="D44">
        <f>SUBTOTAL(109,Table13[Debit])</f>
        <v>126926</v>
      </c>
      <c r="E44">
        <f>SUBTOTAL(109,Table13[Credit])</f>
        <v>0</v>
      </c>
      <c r="F44">
        <f>Table13[[#Totals],[Debit]]-Table13[[#Totals],[Credit]]</f>
        <v>126926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F55-86DF-4B9C-ABE1-54F1EB648833}">
  <sheetPr>
    <pageSetUpPr fitToPage="1"/>
  </sheetPr>
  <dimension ref="A1:AB238"/>
  <sheetViews>
    <sheetView topLeftCell="A212" zoomScale="107" zoomScaleNormal="107" workbookViewId="0">
      <selection activeCell="H228" sqref="H228"/>
    </sheetView>
  </sheetViews>
  <sheetFormatPr defaultColWidth="8.88671875" defaultRowHeight="14.4" x14ac:dyDescent="0.3"/>
  <cols>
    <col min="1" max="1" width="16.5546875" style="10" bestFit="1" customWidth="1"/>
    <col min="2" max="2" width="16.109375" style="10" bestFit="1" customWidth="1"/>
    <col min="3" max="3" width="20.6640625" style="10" customWidth="1"/>
    <col min="4" max="4" width="18.109375" style="10" bestFit="1" customWidth="1"/>
    <col min="5" max="5" width="15.77734375" style="10" bestFit="1" customWidth="1"/>
    <col min="6" max="6" width="18.109375" style="10" bestFit="1" customWidth="1"/>
    <col min="7" max="7" width="12.6640625" style="10" bestFit="1" customWidth="1"/>
    <col min="8" max="8" width="18.33203125" style="10" customWidth="1"/>
    <col min="9" max="9" width="13.21875" style="10" bestFit="1" customWidth="1"/>
    <col min="10" max="10" width="18.109375" style="10" bestFit="1" customWidth="1"/>
    <col min="11" max="11" width="12.6640625" style="10" bestFit="1" customWidth="1"/>
    <col min="12" max="12" width="15.5546875" style="10" bestFit="1" customWidth="1"/>
    <col min="13" max="13" width="15.88671875" style="10" bestFit="1" customWidth="1"/>
    <col min="14" max="15" width="15.5546875" style="10" bestFit="1" customWidth="1"/>
    <col min="16" max="16" width="16.5546875" style="10" bestFit="1" customWidth="1"/>
    <col min="17" max="17" width="16.109375" style="10" bestFit="1" customWidth="1"/>
    <col min="18" max="18" width="18" style="10" bestFit="1" customWidth="1"/>
    <col min="19" max="19" width="12.6640625" style="10" bestFit="1" customWidth="1"/>
    <col min="20" max="20" width="17.44140625" style="10" bestFit="1" customWidth="1"/>
    <col min="21" max="21" width="13" style="10" bestFit="1" customWidth="1"/>
    <col min="22" max="22" width="18" style="10" bestFit="1" customWidth="1"/>
    <col min="23" max="23" width="12.6640625" style="10" bestFit="1" customWidth="1"/>
    <col min="24" max="25" width="17.33203125" style="10" bestFit="1" customWidth="1"/>
    <col min="26" max="26" width="20.88671875" style="10" bestFit="1" customWidth="1"/>
    <col min="27" max="27" width="20.33203125" style="10" bestFit="1" customWidth="1"/>
    <col min="28" max="28" width="21.6640625" style="10" bestFit="1" customWidth="1"/>
    <col min="29" max="16384" width="8.88671875" style="10"/>
  </cols>
  <sheetData>
    <row r="1" spans="1:28" x14ac:dyDescent="0.3">
      <c r="A1" s="105" t="s">
        <v>75</v>
      </c>
      <c r="B1" s="105" t="s">
        <v>2</v>
      </c>
      <c r="C1" s="105" t="s">
        <v>77</v>
      </c>
      <c r="D1" s="105" t="s">
        <v>78</v>
      </c>
      <c r="E1" s="105" t="s">
        <v>79</v>
      </c>
      <c r="F1" s="105" t="s">
        <v>80</v>
      </c>
      <c r="G1" s="105" t="s">
        <v>81</v>
      </c>
      <c r="H1" s="27" t="s">
        <v>82</v>
      </c>
      <c r="I1" s="27" t="s">
        <v>83</v>
      </c>
      <c r="J1" s="27" t="s">
        <v>84</v>
      </c>
      <c r="K1" s="27" t="s">
        <v>41</v>
      </c>
    </row>
    <row r="2" spans="1:28" x14ac:dyDescent="0.3">
      <c r="A2" s="106">
        <v>46072</v>
      </c>
      <c r="B2" s="80" t="s">
        <v>21</v>
      </c>
      <c r="C2" s="107" t="s">
        <v>289</v>
      </c>
      <c r="D2" s="107" t="s">
        <v>85</v>
      </c>
      <c r="E2" s="108"/>
      <c r="F2" s="37"/>
      <c r="G2" s="37"/>
      <c r="H2" s="109" t="e">
        <f>_xlfn.XLOOKUP(Table1[[#This Row],[Shipment Number]], 'pivot '!A:A,'pivot '!G:G, "NF")</f>
        <v>#DIV/0!</v>
      </c>
      <c r="I2" s="109">
        <f>_xlfn.XLOOKUP(Table1[[#This Row],[Party Name]],
[1]Billing!$Q$5:$Q$40,
[1]Billing!$T$5:$T$40)</f>
        <v>2767584.0182882226</v>
      </c>
      <c r="J2" s="109">
        <f>_xlfn.XLOOKUP(Table1[[#This Row],[Party Name]],
[1]Billing!$Q$5:$Q$40,
[1]Billing!$V$5:$V$40)</f>
        <v>27675840.182882231</v>
      </c>
      <c r="K2" s="107"/>
      <c r="M2" s="10" t="str" cm="1">
        <f t="array" ref="M2:M37">_xlfn.UNIQUE(Table1[Party Name])</f>
        <v>BSC</v>
      </c>
    </row>
    <row r="3" spans="1:28" x14ac:dyDescent="0.3">
      <c r="A3" s="106">
        <v>46072</v>
      </c>
      <c r="B3" s="80" t="s">
        <v>22</v>
      </c>
      <c r="C3" s="107" t="s">
        <v>289</v>
      </c>
      <c r="D3" s="107" t="s">
        <v>85</v>
      </c>
      <c r="E3" s="108"/>
      <c r="F3" s="37"/>
      <c r="G3" s="37"/>
      <c r="H3" s="109" t="e">
        <f>_xlfn.XLOOKUP(Table1[[#This Row],[Shipment Number]], 'pivot '!A:A,'pivot '!G:G, "NF")</f>
        <v>#DIV/0!</v>
      </c>
      <c r="I3" s="109">
        <f>_xlfn.XLOOKUP(Table1[[#This Row],[Party Name]],
[1]Billing!$Q$5:$Q$40,
[1]Billing!$T$5:$T$40)</f>
        <v>148145.57425018289</v>
      </c>
      <c r="J3" s="109">
        <f>_xlfn.XLOOKUP(Table1[[#This Row],[Party Name]],
[1]Billing!$Q$5:$Q$40,
[1]Billing!$V$5:$V$40)</f>
        <v>1481455.7425018288</v>
      </c>
      <c r="K3" s="107"/>
      <c r="M3" s="10" t="str">
        <v>Ejaz Sahab</v>
      </c>
    </row>
    <row r="4" spans="1:28" x14ac:dyDescent="0.3">
      <c r="A4" s="106">
        <v>46072</v>
      </c>
      <c r="B4" s="80" t="s">
        <v>9</v>
      </c>
      <c r="C4" s="107" t="s">
        <v>289</v>
      </c>
      <c r="D4" s="107" t="s">
        <v>85</v>
      </c>
      <c r="E4" s="108"/>
      <c r="F4" s="37"/>
      <c r="G4" s="37"/>
      <c r="H4" s="109" t="e">
        <f>_xlfn.XLOOKUP(Table1[[#This Row],[Shipment Number]], 'pivot '!A:A,'pivot '!G:G, "NF")</f>
        <v>#DIV/0!</v>
      </c>
      <c r="I4" s="109">
        <f>_xlfn.XLOOKUP(Table1[[#This Row],[Party Name]],
[1]Billing!$Q$5:$Q$40,
[1]Billing!$T$5:$T$40)</f>
        <v>671848.9392831017</v>
      </c>
      <c r="J4" s="109">
        <f>_xlfn.XLOOKUP(Table1[[#This Row],[Party Name]],
[1]Billing!$Q$5:$Q$40,
[1]Billing!$V$5:$V$40)</f>
        <v>6718489.3928310173</v>
      </c>
      <c r="K4" s="107"/>
      <c r="M4" s="10" t="str">
        <v>Arshad</v>
      </c>
    </row>
    <row r="5" spans="1:28" x14ac:dyDescent="0.3">
      <c r="A5" s="106">
        <v>46072</v>
      </c>
      <c r="B5" s="80" t="s">
        <v>23</v>
      </c>
      <c r="C5" s="107" t="s">
        <v>289</v>
      </c>
      <c r="D5" s="107" t="s">
        <v>85</v>
      </c>
      <c r="E5" s="108"/>
      <c r="F5" s="37"/>
      <c r="G5" s="37"/>
      <c r="H5" s="109" t="e">
        <f>_xlfn.XLOOKUP(Table1[[#This Row],[Shipment Number]], 'pivot '!A:A,'pivot '!G:G, "NF")</f>
        <v>#DIV/0!</v>
      </c>
      <c r="I5" s="109">
        <f>_xlfn.XLOOKUP(Table1[[#This Row],[Party Name]],
[1]Billing!$Q$5:$Q$40,
[1]Billing!$T$5:$T$40)</f>
        <v>131178.67593269935</v>
      </c>
      <c r="J5" s="109">
        <f>_xlfn.XLOOKUP(Table1[[#This Row],[Party Name]],
[1]Billing!$Q$5:$Q$40,
[1]Billing!$V$5:$V$40)</f>
        <v>1354241.9972933433</v>
      </c>
      <c r="K5" s="107"/>
      <c r="M5" s="10" t="str">
        <v>Shehzad Kamoki</v>
      </c>
    </row>
    <row r="6" spans="1:28" x14ac:dyDescent="0.3">
      <c r="A6" s="106">
        <v>46072</v>
      </c>
      <c r="B6" s="80" t="s">
        <v>24</v>
      </c>
      <c r="C6" s="107" t="s">
        <v>289</v>
      </c>
      <c r="D6" s="107" t="s">
        <v>85</v>
      </c>
      <c r="E6" s="108"/>
      <c r="F6" s="37"/>
      <c r="G6" s="37"/>
      <c r="H6" s="109" t="e">
        <f>_xlfn.XLOOKUP(Table1[[#This Row],[Shipment Number]], 'pivot '!A:A,'pivot '!G:G, "NF")</f>
        <v>#DIV/0!</v>
      </c>
      <c r="I6" s="109">
        <f>_xlfn.XLOOKUP(Table1[[#This Row],[Party Name]],
[1]Billing!$Q$5:$Q$40,
[1]Billing!$T$5:$T$40)</f>
        <v>599330.65106071695</v>
      </c>
      <c r="J6" s="109">
        <f>_xlfn.XLOOKUP(Table1[[#This Row],[Party Name]],
[1]Billing!$Q$5:$Q$40,
[1]Billing!$V$5:$V$40)</f>
        <v>5408917.8595464528</v>
      </c>
      <c r="K6" s="107"/>
      <c r="M6" s="10" t="str">
        <v>Sufi Nawaz Sahab</v>
      </c>
      <c r="X6"/>
      <c r="Y6"/>
      <c r="Z6"/>
      <c r="AA6"/>
      <c r="AB6"/>
    </row>
    <row r="7" spans="1:28" x14ac:dyDescent="0.3">
      <c r="A7" s="106">
        <v>46072</v>
      </c>
      <c r="B7" s="80" t="s">
        <v>25</v>
      </c>
      <c r="C7" s="107" t="s">
        <v>289</v>
      </c>
      <c r="D7" s="107" t="s">
        <v>85</v>
      </c>
      <c r="E7" s="108"/>
      <c r="F7" s="37"/>
      <c r="G7" s="37"/>
      <c r="H7" s="109" t="e">
        <f>_xlfn.XLOOKUP(Table1[[#This Row],[Shipment Number]], 'pivot '!A:A,'pivot '!G:G, "NF")</f>
        <v>#DIV/0!</v>
      </c>
      <c r="I7" s="109">
        <f>_xlfn.XLOOKUP(Table1[[#This Row],[Party Name]],
[1]Billing!$Q$5:$Q$40,
[1]Billing!$T$5:$T$40)</f>
        <v>942295.17190929048</v>
      </c>
      <c r="J7" s="109">
        <f>_xlfn.XLOOKUP(Table1[[#This Row],[Party Name]],
[1]Billing!$Q$5:$Q$40,
[1]Billing!$V$5:$V$40)</f>
        <v>9422951.7190929055</v>
      </c>
      <c r="K7" s="107"/>
      <c r="M7" s="10" t="str">
        <v>Sajad Khan</v>
      </c>
      <c r="X7"/>
      <c r="Y7"/>
      <c r="Z7"/>
      <c r="AA7"/>
      <c r="AB7"/>
    </row>
    <row r="8" spans="1:28" x14ac:dyDescent="0.3">
      <c r="A8" s="106">
        <v>46072</v>
      </c>
      <c r="B8" s="80" t="s">
        <v>26</v>
      </c>
      <c r="C8" s="107" t="s">
        <v>289</v>
      </c>
      <c r="D8" s="107" t="s">
        <v>85</v>
      </c>
      <c r="E8" s="108"/>
      <c r="F8" s="37"/>
      <c r="G8" s="37"/>
      <c r="H8" s="109" t="e">
        <f>_xlfn.XLOOKUP(Table1[[#This Row],[Shipment Number]], 'pivot '!A:A,'pivot '!G:G, "NF")</f>
        <v>#DIV/0!</v>
      </c>
      <c r="I8" s="109">
        <f>_xlfn.XLOOKUP(Table1[[#This Row],[Party Name]],
[1]Billing!$Q$5:$Q$40,
[1]Billing!$T$5:$T$40)</f>
        <v>162638.07607900514</v>
      </c>
      <c r="J8" s="109">
        <f>_xlfn.XLOOKUP(Table1[[#This Row],[Party Name]],
[1]Billing!$Q$5:$Q$40,
[1]Billing!$V$5:$V$40)</f>
        <v>1626380.7607900514</v>
      </c>
      <c r="K8" s="107"/>
      <c r="M8" s="10" t="str">
        <v>Raaz Fabrics</v>
      </c>
      <c r="X8"/>
      <c r="Y8"/>
      <c r="Z8"/>
      <c r="AA8"/>
      <c r="AB8"/>
    </row>
    <row r="9" spans="1:28" x14ac:dyDescent="0.3">
      <c r="A9" s="106">
        <v>46072</v>
      </c>
      <c r="B9" s="80" t="s">
        <v>152</v>
      </c>
      <c r="C9" s="107" t="s">
        <v>289</v>
      </c>
      <c r="D9" s="107" t="s">
        <v>85</v>
      </c>
      <c r="E9" s="108"/>
      <c r="F9" s="37"/>
      <c r="G9" s="37"/>
      <c r="H9" s="109" t="e">
        <f>_xlfn.XLOOKUP(Table1[[#This Row],[Shipment Number]], 'pivot '!A:A,'pivot '!G:G, "NF")</f>
        <v>#DIV/0!</v>
      </c>
      <c r="I9" s="109">
        <f>_xlfn.XLOOKUP(Table1[[#This Row],[Party Name]],
[1]Billing!$Q$5:$Q$40,
[1]Billing!$T$5:$T$40)</f>
        <v>501118.32479882962</v>
      </c>
      <c r="J9" s="109">
        <f>_xlfn.XLOOKUP(Table1[[#This Row],[Party Name]],
[1]Billing!$Q$5:$Q$40,
[1]Billing!$V$5:$V$40)</f>
        <v>5011183.2479882967</v>
      </c>
      <c r="K9" s="107"/>
      <c r="M9" s="10" t="str">
        <v>Azam</v>
      </c>
      <c r="X9"/>
      <c r="Y9"/>
      <c r="Z9"/>
      <c r="AA9"/>
      <c r="AB9"/>
    </row>
    <row r="10" spans="1:28" x14ac:dyDescent="0.3">
      <c r="A10" s="106">
        <v>46072</v>
      </c>
      <c r="B10" s="80" t="s">
        <v>35</v>
      </c>
      <c r="C10" s="107" t="s">
        <v>289</v>
      </c>
      <c r="D10" s="107" t="s">
        <v>85</v>
      </c>
      <c r="E10" s="108"/>
      <c r="F10" s="37"/>
      <c r="G10" s="37"/>
      <c r="H10" s="109" t="e">
        <f>_xlfn.XLOOKUP(Table1[[#This Row],[Shipment Number]], 'pivot '!A:A,'pivot '!G:G, "NF")</f>
        <v>#DIV/0!</v>
      </c>
      <c r="I10" s="109">
        <f>_xlfn.XLOOKUP(Table1[[#This Row],[Party Name]],
[1]Billing!$Q$5:$Q$40,
[1]Billing!$T$5:$T$40)</f>
        <v>46132.955376737387</v>
      </c>
      <c r="J10" s="109">
        <f>_xlfn.XLOOKUP(Table1[[#This Row],[Party Name]],
[1]Billing!$Q$5:$Q$40,
[1]Billing!$V$5:$V$40)</f>
        <v>461329.5537673739</v>
      </c>
      <c r="K10" s="107"/>
      <c r="M10" s="10" t="str">
        <v>Ubaidullah</v>
      </c>
      <c r="X10"/>
      <c r="Y10"/>
    </row>
    <row r="11" spans="1:28" x14ac:dyDescent="0.3">
      <c r="A11" s="106">
        <v>46072</v>
      </c>
      <c r="B11" s="80" t="s">
        <v>148</v>
      </c>
      <c r="C11" s="107" t="s">
        <v>289</v>
      </c>
      <c r="D11" s="107" t="s">
        <v>85</v>
      </c>
      <c r="E11" s="108"/>
      <c r="F11" s="37"/>
      <c r="G11" s="37"/>
      <c r="H11" s="109" t="e">
        <f>_xlfn.XLOOKUP(Table1[[#This Row],[Shipment Number]], 'pivot '!A:A,'pivot '!G:G, "NF")</f>
        <v>#DIV/0!</v>
      </c>
      <c r="I11" s="109">
        <f>_xlfn.XLOOKUP(Table1[[#This Row],[Party Name]],
[1]Billing!$Q$5:$Q$40,
[1]Billing!$T$5:$T$40)</f>
        <v>21310.35113386979</v>
      </c>
      <c r="J11" s="109">
        <f>_xlfn.XLOOKUP(Table1[[#This Row],[Party Name]],
[1]Billing!$Q$5:$Q$40,
[1]Billing!$V$5:$V$40)</f>
        <v>255724.21360643749</v>
      </c>
      <c r="K11" s="107"/>
      <c r="M11" s="10" t="str">
        <v>Ashraf Zia</v>
      </c>
      <c r="P11"/>
      <c r="Q11"/>
      <c r="R11"/>
      <c r="S11"/>
      <c r="T11"/>
      <c r="U11"/>
      <c r="V11"/>
      <c r="W11"/>
      <c r="X11"/>
      <c r="Y11"/>
    </row>
    <row r="12" spans="1:28" x14ac:dyDescent="0.3">
      <c r="A12" s="106">
        <v>46072</v>
      </c>
      <c r="B12" s="80" t="s">
        <v>27</v>
      </c>
      <c r="C12" s="107" t="s">
        <v>289</v>
      </c>
      <c r="D12" s="107" t="s">
        <v>85</v>
      </c>
      <c r="E12" s="108"/>
      <c r="F12" s="37"/>
      <c r="G12" s="37"/>
      <c r="H12" s="109" t="e">
        <f>_xlfn.XLOOKUP(Table1[[#This Row],[Shipment Number]], 'pivot '!A:A,'pivot '!G:G, "NF")</f>
        <v>#DIV/0!</v>
      </c>
      <c r="I12" s="109">
        <f>_xlfn.XLOOKUP(Table1[[#This Row],[Party Name]],
[1]Billing!$Q$5:$Q$40,
[1]Billing!$T$5:$T$40)</f>
        <v>415715.98390636436</v>
      </c>
      <c r="J12" s="109">
        <f>_xlfn.XLOOKUP(Table1[[#This Row],[Party Name]],
[1]Billing!$Q$5:$Q$40,
[1]Billing!$V$5:$V$40)</f>
        <v>4157159.8390636435</v>
      </c>
      <c r="K12" s="107"/>
      <c r="M12" s="10" t="str">
        <v>Hafiz Qureshi</v>
      </c>
      <c r="P12"/>
      <c r="Q12"/>
      <c r="R12"/>
      <c r="S12"/>
      <c r="T12"/>
      <c r="U12"/>
      <c r="V12"/>
      <c r="W12"/>
      <c r="X12"/>
      <c r="Y12"/>
    </row>
    <row r="13" spans="1:28" x14ac:dyDescent="0.3">
      <c r="A13" s="106">
        <v>46072</v>
      </c>
      <c r="B13" s="80" t="s">
        <v>166</v>
      </c>
      <c r="C13" s="107" t="s">
        <v>289</v>
      </c>
      <c r="D13" s="107" t="s">
        <v>85</v>
      </c>
      <c r="E13" s="37"/>
      <c r="F13" s="37"/>
      <c r="G13" s="37"/>
      <c r="H13" s="109" t="e">
        <f>_xlfn.XLOOKUP(Table1[[#This Row],[Shipment Number]], 'pivot '!A:A,'pivot '!G:G, "NF")</f>
        <v>#DIV/0!</v>
      </c>
      <c r="I13" s="109">
        <f>_xlfn.XLOOKUP(Table1[[#This Row],[Party Name]],
[1]Billing!$Q$5:$Q$40,
[1]Billing!$T$5:$T$40)</f>
        <v>481526.15215801029</v>
      </c>
      <c r="J13" s="109">
        <f>_xlfn.XLOOKUP(Table1[[#This Row],[Party Name]],
[1]Billing!$Q$5:$Q$40,
[1]Billing!$V$5:$V$40)</f>
        <v>4861679.7732260432</v>
      </c>
      <c r="K13" s="107"/>
      <c r="M13" s="10" t="str">
        <v>Badshah Fabrics</v>
      </c>
      <c r="P13"/>
      <c r="Q13"/>
      <c r="R13"/>
      <c r="S13"/>
      <c r="T13"/>
      <c r="U13"/>
      <c r="V13"/>
      <c r="W13"/>
      <c r="X13"/>
      <c r="Y13"/>
    </row>
    <row r="14" spans="1:28" x14ac:dyDescent="0.3">
      <c r="A14" s="106">
        <v>46072</v>
      </c>
      <c r="B14" s="80" t="s">
        <v>219</v>
      </c>
      <c r="C14" s="107" t="s">
        <v>289</v>
      </c>
      <c r="D14" s="107" t="s">
        <v>85</v>
      </c>
      <c r="E14" s="37"/>
      <c r="F14" s="37"/>
      <c r="G14" s="37"/>
      <c r="H14" s="109" t="e">
        <f>_xlfn.XLOOKUP(Table1[[#This Row],[Shipment Number]], 'pivot '!A:A,'pivot '!G:G, "NF")</f>
        <v>#DIV/0!</v>
      </c>
      <c r="I14" s="109">
        <f>_xlfn.XLOOKUP(Table1[[#This Row],[Party Name]],
[1]Billing!$Q$5:$Q$40,
[1]Billing!$T$5:$T$40)</f>
        <v>121404.53547915144</v>
      </c>
      <c r="J14" s="109">
        <f>_xlfn.XLOOKUP(Table1[[#This Row],[Party Name]],
[1]Billing!$Q$5:$Q$40,
[1]Billing!$V$5:$V$40)</f>
        <v>1214045.3547915143</v>
      </c>
      <c r="K14" s="107"/>
      <c r="M14" s="10" t="str">
        <v>Gauhar Kashif</v>
      </c>
      <c r="P14"/>
      <c r="Q14"/>
      <c r="R14"/>
      <c r="S14"/>
      <c r="T14"/>
      <c r="U14"/>
      <c r="V14"/>
      <c r="W14"/>
      <c r="X14"/>
      <c r="Y14"/>
    </row>
    <row r="15" spans="1:28" x14ac:dyDescent="0.3">
      <c r="A15" s="106">
        <v>46072</v>
      </c>
      <c r="B15" s="80" t="s">
        <v>170</v>
      </c>
      <c r="C15" s="107" t="s">
        <v>289</v>
      </c>
      <c r="D15" s="107" t="s">
        <v>85</v>
      </c>
      <c r="E15" s="37"/>
      <c r="F15" s="37"/>
      <c r="G15" s="37"/>
      <c r="H15" s="109" t="e">
        <f>_xlfn.XLOOKUP(Table1[[#This Row],[Shipment Number]], 'pivot '!A:A,'pivot '!G:G, "NF")</f>
        <v>#DIV/0!</v>
      </c>
      <c r="I15" s="109">
        <f>_xlfn.XLOOKUP(Table1[[#This Row],[Party Name]],
[1]Billing!$Q$5:$Q$40,
[1]Billing!$T$5:$T$40)</f>
        <v>48385.149963423559</v>
      </c>
      <c r="J15" s="109">
        <f>_xlfn.XLOOKUP(Table1[[#This Row],[Party Name]],
[1]Billing!$Q$5:$Q$40,
[1]Billing!$V$5:$V$40)</f>
        <v>483851.49963423557</v>
      </c>
      <c r="K15" s="107"/>
      <c r="M15" s="10" t="str">
        <v>Amjad 7up</v>
      </c>
      <c r="P15"/>
      <c r="Q15"/>
      <c r="R15"/>
      <c r="S15"/>
      <c r="T15"/>
      <c r="U15"/>
      <c r="V15"/>
      <c r="W15"/>
      <c r="X15"/>
      <c r="Y15"/>
    </row>
    <row r="16" spans="1:28" x14ac:dyDescent="0.3">
      <c r="A16" s="106">
        <v>46072</v>
      </c>
      <c r="B16" s="80" t="s">
        <v>171</v>
      </c>
      <c r="C16" s="107" t="s">
        <v>289</v>
      </c>
      <c r="D16" s="107" t="s">
        <v>85</v>
      </c>
      <c r="E16" s="37"/>
      <c r="F16" s="37"/>
      <c r="G16" s="37"/>
      <c r="H16" s="109" t="e">
        <f>_xlfn.XLOOKUP(Table1[[#This Row],[Shipment Number]], 'pivot '!A:A,'pivot '!G:G, "NF")</f>
        <v>#DIV/0!</v>
      </c>
      <c r="I16" s="109">
        <f>_xlfn.XLOOKUP(Table1[[#This Row],[Party Name]],
[1]Billing!$Q$5:$Q$40,
[1]Billing!$T$5:$T$40)</f>
        <v>8915.5084125822978</v>
      </c>
      <c r="J16" s="109">
        <f>_xlfn.XLOOKUP(Table1[[#This Row],[Party Name]],
[1]Billing!$Q$5:$Q$40,
[1]Billing!$V$5:$V$40)</f>
        <v>89155.084125822978</v>
      </c>
      <c r="K16" s="107"/>
      <c r="M16" s="10" t="str">
        <v>Hazrat Khan</v>
      </c>
      <c r="P16"/>
      <c r="Q16"/>
      <c r="R16"/>
      <c r="S16"/>
      <c r="T16"/>
      <c r="U16"/>
      <c r="V16"/>
      <c r="W16"/>
      <c r="X16"/>
      <c r="Y16"/>
    </row>
    <row r="17" spans="1:25" x14ac:dyDescent="0.3">
      <c r="A17" s="106">
        <v>46072</v>
      </c>
      <c r="B17" s="80" t="s">
        <v>173</v>
      </c>
      <c r="C17" s="107" t="s">
        <v>289</v>
      </c>
      <c r="D17" s="107" t="s">
        <v>85</v>
      </c>
      <c r="E17" s="37"/>
      <c r="F17" s="37"/>
      <c r="G17" s="37"/>
      <c r="H17" s="109" t="e">
        <f>_xlfn.XLOOKUP(Table1[[#This Row],[Shipment Number]], 'pivot '!A:A,'pivot '!G:G, "NF")</f>
        <v>#DIV/0!</v>
      </c>
      <c r="I17" s="109">
        <f>_xlfn.XLOOKUP(Table1[[#This Row],[Party Name]],
[1]Billing!$Q$5:$Q$40,
[1]Billing!$T$5:$T$40)</f>
        <v>47437.820043891741</v>
      </c>
      <c r="J17" s="109">
        <f>_xlfn.XLOOKUP(Table1[[#This Row],[Party Name]],
[1]Billing!$Q$5:$Q$40,
[1]Billing!$V$5:$V$40)</f>
        <v>474378.20043891744</v>
      </c>
      <c r="K17" s="107"/>
      <c r="M17" s="10" t="str">
        <v>Haseeb Shamsi</v>
      </c>
      <c r="P17"/>
      <c r="Q17"/>
      <c r="R17"/>
      <c r="S17"/>
      <c r="T17"/>
      <c r="U17"/>
      <c r="V17"/>
      <c r="W17"/>
      <c r="X17"/>
      <c r="Y17"/>
    </row>
    <row r="18" spans="1:25" x14ac:dyDescent="0.3">
      <c r="A18" s="106">
        <v>46072</v>
      </c>
      <c r="B18" s="80" t="s">
        <v>175</v>
      </c>
      <c r="C18" s="107" t="s">
        <v>289</v>
      </c>
      <c r="D18" s="107" t="s">
        <v>85</v>
      </c>
      <c r="E18" s="37"/>
      <c r="F18" s="37"/>
      <c r="G18" s="37"/>
      <c r="H18" s="109" t="e">
        <f>_xlfn.XLOOKUP(Table1[[#This Row],[Shipment Number]], 'pivot '!A:A,'pivot '!G:G, "NF")</f>
        <v>#DIV/0!</v>
      </c>
      <c r="I18" s="109">
        <f>_xlfn.XLOOKUP(Table1[[#This Row],[Party Name]],
[1]Billing!$Q$5:$Q$40,
[1]Billing!$T$5:$T$40)</f>
        <v>0</v>
      </c>
      <c r="J18" s="109">
        <f>_xlfn.XLOOKUP(Table1[[#This Row],[Party Name]],
[1]Billing!$Q$5:$Q$40,
[1]Billing!$V$5:$V$40)</f>
        <v>30000</v>
      </c>
      <c r="K18" s="107"/>
      <c r="M18" s="10" t="str">
        <v>Faizan</v>
      </c>
      <c r="P18"/>
      <c r="Q18"/>
      <c r="R18"/>
      <c r="S18"/>
      <c r="T18"/>
      <c r="U18"/>
      <c r="V18"/>
      <c r="W18"/>
      <c r="X18"/>
      <c r="Y18"/>
    </row>
    <row r="19" spans="1:25" x14ac:dyDescent="0.3">
      <c r="A19" s="106">
        <v>46072</v>
      </c>
      <c r="B19" s="80" t="s">
        <v>177</v>
      </c>
      <c r="C19" s="107" t="s">
        <v>289</v>
      </c>
      <c r="D19" s="107" t="s">
        <v>85</v>
      </c>
      <c r="E19" s="37"/>
      <c r="F19" s="37"/>
      <c r="G19" s="37"/>
      <c r="H19" s="109" t="e">
        <f>_xlfn.XLOOKUP(Table1[[#This Row],[Shipment Number]], 'pivot '!A:A,'pivot '!G:G, "NF")</f>
        <v>#DIV/0!</v>
      </c>
      <c r="I19" s="109">
        <f>_xlfn.XLOOKUP(Table1[[#This Row],[Party Name]],
[1]Billing!$Q$5:$Q$40,
[1]Billing!$T$5:$T$40)</f>
        <v>64300.475493782011</v>
      </c>
      <c r="J19" s="109">
        <f>_xlfn.XLOOKUP(Table1[[#This Row],[Party Name]],
[1]Billing!$Q$5:$Q$40,
[1]Billing!$V$5:$V$40)</f>
        <v>643004.75493782014</v>
      </c>
      <c r="K19" s="107"/>
      <c r="M19" s="10" t="str">
        <v>Shafique Ansari</v>
      </c>
      <c r="P19"/>
      <c r="Q19"/>
      <c r="R19"/>
      <c r="S19"/>
      <c r="T19"/>
      <c r="U19"/>
      <c r="V19"/>
      <c r="W19"/>
      <c r="X19"/>
      <c r="Y19"/>
    </row>
    <row r="20" spans="1:25" x14ac:dyDescent="0.3">
      <c r="A20" s="106">
        <v>46072</v>
      </c>
      <c r="B20" s="80" t="s">
        <v>178</v>
      </c>
      <c r="C20" s="107" t="s">
        <v>289</v>
      </c>
      <c r="D20" s="107" t="s">
        <v>85</v>
      </c>
      <c r="E20" s="37"/>
      <c r="F20" s="37"/>
      <c r="G20" s="37"/>
      <c r="H20" s="109" t="e">
        <f>_xlfn.XLOOKUP(Table1[[#This Row],[Shipment Number]], 'pivot '!A:A,'pivot '!G:G, "NF")</f>
        <v>#DIV/0!</v>
      </c>
      <c r="I20" s="109">
        <f>_xlfn.XLOOKUP(Table1[[#This Row],[Party Name]],
[1]Billing!$Q$5:$Q$40,
[1]Billing!$T$5:$T$40)</f>
        <v>360797.36649597657</v>
      </c>
      <c r="J20" s="109">
        <f>_xlfn.XLOOKUP(Table1[[#This Row],[Party Name]],
[1]Billing!$Q$5:$Q$40,
[1]Billing!$V$5:$V$40)</f>
        <v>3607973.6649597664</v>
      </c>
      <c r="K20" s="107"/>
      <c r="M20" s="10" t="str">
        <v>Amjad sohail</v>
      </c>
      <c r="P20"/>
      <c r="Q20"/>
      <c r="R20"/>
      <c r="S20"/>
      <c r="T20"/>
      <c r="U20"/>
      <c r="V20"/>
      <c r="W20"/>
      <c r="X20"/>
      <c r="Y20"/>
    </row>
    <row r="21" spans="1:25" x14ac:dyDescent="0.3">
      <c r="A21" s="106">
        <v>46072</v>
      </c>
      <c r="B21" s="80" t="s">
        <v>183</v>
      </c>
      <c r="C21" s="107" t="s">
        <v>289</v>
      </c>
      <c r="D21" s="107" t="s">
        <v>85</v>
      </c>
      <c r="E21" s="37"/>
      <c r="F21" s="37"/>
      <c r="G21" s="37"/>
      <c r="H21" s="109" t="e">
        <f>_xlfn.XLOOKUP(Table1[[#This Row],[Shipment Number]], 'pivot '!A:A,'pivot '!G:G, "NF")</f>
        <v>#DIV/0!</v>
      </c>
      <c r="I21" s="109">
        <f>_xlfn.XLOOKUP(Table1[[#This Row],[Party Name]],
[1]Billing!$Q$5:$Q$40,
[1]Billing!$T$5:$T$40)</f>
        <v>72939.831748354074</v>
      </c>
      <c r="J21" s="109">
        <f>_xlfn.XLOOKUP(Table1[[#This Row],[Party Name]],
[1]Billing!$Q$5:$Q$40,
[1]Billing!$V$5:$V$40)</f>
        <v>729398.31748354062</v>
      </c>
      <c r="K21" s="107"/>
      <c r="M21" s="10" t="str">
        <v>Salman Zaffar</v>
      </c>
      <c r="P21"/>
      <c r="Q21"/>
      <c r="R21"/>
      <c r="S21"/>
      <c r="T21"/>
      <c r="U21"/>
      <c r="V21"/>
      <c r="W21"/>
      <c r="X21"/>
      <c r="Y21"/>
    </row>
    <row r="22" spans="1:25" x14ac:dyDescent="0.3">
      <c r="A22" s="106">
        <v>46072</v>
      </c>
      <c r="B22" s="80" t="s">
        <v>190</v>
      </c>
      <c r="C22" s="107" t="s">
        <v>289</v>
      </c>
      <c r="D22" s="107" t="s">
        <v>85</v>
      </c>
      <c r="E22" s="37"/>
      <c r="F22" s="37"/>
      <c r="G22" s="37"/>
      <c r="H22" s="109" t="e">
        <f>_xlfn.XLOOKUP(Table1[[#This Row],[Shipment Number]], 'pivot '!A:A,'pivot '!G:G, "NF")</f>
        <v>#DIV/0!</v>
      </c>
      <c r="I22" s="109">
        <f>_xlfn.XLOOKUP(Table1[[#This Row],[Party Name]],
[1]Billing!$Q$5:$Q$40,
[1]Billing!$T$5:$T$40)</f>
        <v>310998.53694220923</v>
      </c>
      <c r="J22" s="109">
        <f>_xlfn.XLOOKUP(Table1[[#This Row],[Party Name]],
[1]Billing!$Q$5:$Q$40,
[1]Billing!$V$5:$V$40)</f>
        <v>3109985.3694220926</v>
      </c>
      <c r="K22" s="107"/>
      <c r="M22" s="10" t="str">
        <v>Shahid Qasayi</v>
      </c>
      <c r="P22"/>
      <c r="Q22"/>
      <c r="R22"/>
      <c r="S22"/>
      <c r="T22"/>
      <c r="U22"/>
      <c r="V22"/>
      <c r="W22"/>
      <c r="X22"/>
      <c r="Y22"/>
    </row>
    <row r="23" spans="1:25" x14ac:dyDescent="0.3">
      <c r="A23" s="106">
        <v>46072</v>
      </c>
      <c r="B23" s="80" t="s">
        <v>193</v>
      </c>
      <c r="C23" s="107" t="s">
        <v>289</v>
      </c>
      <c r="D23" s="107" t="s">
        <v>85</v>
      </c>
      <c r="E23" s="37"/>
      <c r="F23" s="37"/>
      <c r="G23" s="37"/>
      <c r="H23" s="109" t="e">
        <f>_xlfn.XLOOKUP(Table1[[#This Row],[Shipment Number]], 'pivot '!A:A,'pivot '!G:G, "NF")</f>
        <v>#DIV/0!</v>
      </c>
      <c r="I23" s="109">
        <f>_xlfn.XLOOKUP(Table1[[#This Row],[Party Name]],
[1]Billing!$Q$5:$Q$40,
[1]Billing!$T$5:$T$40)</f>
        <v>42432.333577176301</v>
      </c>
      <c r="J23" s="109">
        <f>_xlfn.XLOOKUP(Table1[[#This Row],[Party Name]],
[1]Billing!$Q$5:$Q$40,
[1]Billing!$V$5:$V$40)</f>
        <v>424323.335771763</v>
      </c>
      <c r="K23" s="107"/>
      <c r="M23" s="10" t="str">
        <v>Hameed corporation</v>
      </c>
      <c r="P23"/>
      <c r="Q23"/>
      <c r="R23"/>
      <c r="S23"/>
      <c r="T23"/>
      <c r="U23"/>
      <c r="V23"/>
      <c r="W23"/>
      <c r="X23"/>
      <c r="Y23"/>
    </row>
    <row r="24" spans="1:25" x14ac:dyDescent="0.3">
      <c r="A24" s="106">
        <v>46072</v>
      </c>
      <c r="B24" s="80" t="s">
        <v>192</v>
      </c>
      <c r="C24" s="107" t="s">
        <v>289</v>
      </c>
      <c r="D24" s="107" t="s">
        <v>85</v>
      </c>
      <c r="E24" s="37"/>
      <c r="F24" s="37"/>
      <c r="G24" s="37"/>
      <c r="H24" s="109" t="e">
        <f>_xlfn.XLOOKUP(Table1[[#This Row],[Shipment Number]], 'pivot '!A:A,'pivot '!G:G, "NF")</f>
        <v>#DIV/0!</v>
      </c>
      <c r="I24" s="109">
        <f>_xlfn.XLOOKUP(Table1[[#This Row],[Party Name]],
[1]Billing!$Q$5:$Q$40,
[1]Billing!$T$5:$T$40)</f>
        <v>0</v>
      </c>
      <c r="J24" s="109">
        <f>_xlfn.XLOOKUP(Table1[[#This Row],[Party Name]],
[1]Billing!$Q$5:$Q$40,
[1]Billing!$V$5:$V$40)</f>
        <v>0</v>
      </c>
      <c r="K24" s="107"/>
      <c r="M24" s="10" t="str">
        <v>ibraheem behraam</v>
      </c>
      <c r="P24"/>
      <c r="Q24"/>
      <c r="R24"/>
      <c r="S24"/>
      <c r="T24"/>
      <c r="U24"/>
      <c r="V24"/>
      <c r="W24"/>
      <c r="X24"/>
      <c r="Y24"/>
    </row>
    <row r="25" spans="1:25" x14ac:dyDescent="0.3">
      <c r="A25" s="106">
        <v>46072</v>
      </c>
      <c r="B25" s="80" t="s">
        <v>197</v>
      </c>
      <c r="C25" s="107" t="s">
        <v>289</v>
      </c>
      <c r="D25" s="107" t="s">
        <v>85</v>
      </c>
      <c r="E25" s="37"/>
      <c r="F25" s="37"/>
      <c r="G25" s="37"/>
      <c r="H25" s="109" t="e">
        <f>_xlfn.XLOOKUP(Table1[[#This Row],[Shipment Number]], 'pivot '!A:A,'pivot '!G:G, "NF")</f>
        <v>#DIV/0!</v>
      </c>
      <c r="I25" s="109">
        <f>_xlfn.XLOOKUP(Table1[[#This Row],[Party Name]],
[1]Billing!$Q$5:$Q$40,
[1]Billing!$T$5:$T$40)</f>
        <v>12456.108266276518</v>
      </c>
      <c r="J25" s="109">
        <f>_xlfn.XLOOKUP(Table1[[#This Row],[Party Name]],
[1]Billing!$Q$5:$Q$40,
[1]Billing!$V$5:$V$40)</f>
        <v>124561.08266276518</v>
      </c>
      <c r="K25" s="107"/>
      <c r="M25" s="10" t="str">
        <v>Zia-ullah karachi</v>
      </c>
      <c r="P25"/>
      <c r="Q25"/>
      <c r="R25"/>
      <c r="S25"/>
      <c r="T25"/>
      <c r="U25"/>
      <c r="V25"/>
      <c r="W25"/>
      <c r="X25"/>
      <c r="Y25"/>
    </row>
    <row r="26" spans="1:25" x14ac:dyDescent="0.3">
      <c r="A26" s="106">
        <v>46072</v>
      </c>
      <c r="B26" s="80" t="s">
        <v>202</v>
      </c>
      <c r="C26" s="107" t="s">
        <v>289</v>
      </c>
      <c r="D26" s="107" t="s">
        <v>85</v>
      </c>
      <c r="E26" s="37"/>
      <c r="F26" s="37"/>
      <c r="G26" s="37"/>
      <c r="H26" s="109" t="e">
        <f>_xlfn.XLOOKUP(Table1[[#This Row],[Shipment Number]], 'pivot '!A:A,'pivot '!G:G, "NF")</f>
        <v>#DIV/0!</v>
      </c>
      <c r="I26" s="109">
        <f>_xlfn.XLOOKUP(Table1[[#This Row],[Party Name]],
[1]Billing!$Q$5:$Q$40,
[1]Billing!$T$5:$T$40)</f>
        <v>0</v>
      </c>
      <c r="J26" s="109">
        <f>_xlfn.XLOOKUP(Table1[[#This Row],[Party Name]],
[1]Billing!$Q$5:$Q$40,
[1]Billing!$V$5:$V$40)</f>
        <v>0</v>
      </c>
      <c r="K26" s="107"/>
      <c r="M26" s="10" t="str">
        <v>ZA</v>
      </c>
      <c r="P26"/>
      <c r="Q26"/>
      <c r="R26"/>
      <c r="S26"/>
      <c r="T26"/>
      <c r="U26"/>
      <c r="V26"/>
      <c r="W26"/>
      <c r="X26"/>
      <c r="Y26"/>
    </row>
    <row r="27" spans="1:25" x14ac:dyDescent="0.3">
      <c r="A27" s="106">
        <v>46072</v>
      </c>
      <c r="B27" s="116" t="s">
        <v>204</v>
      </c>
      <c r="C27" s="107" t="s">
        <v>289</v>
      </c>
      <c r="D27" s="107" t="s">
        <v>85</v>
      </c>
      <c r="E27" s="37"/>
      <c r="F27" s="37"/>
      <c r="G27" s="37"/>
      <c r="H27" s="109" t="e">
        <f>_xlfn.XLOOKUP(Table1[[#This Row],[Shipment Number]], 'pivot '!A:A,'pivot '!G:G, "NF")</f>
        <v>#DIV/0!</v>
      </c>
      <c r="I27" s="109">
        <f>_xlfn.XLOOKUP(Table1[[#This Row],[Party Name]],
[1]Billing!$Q$5:$Q$40,
[1]Billing!$T$5:$T$40)</f>
        <v>0</v>
      </c>
      <c r="J27" s="109">
        <f>_xlfn.XLOOKUP(Table1[[#This Row],[Party Name]],
[1]Billing!$Q$5:$Q$40,
[1]Billing!$V$5:$V$40)</f>
        <v>0</v>
      </c>
      <c r="K27" s="107"/>
      <c r="M27" s="10" t="str">
        <v>Ahmad Javaid</v>
      </c>
      <c r="P27"/>
      <c r="Q27"/>
      <c r="R27"/>
      <c r="S27"/>
      <c r="T27"/>
      <c r="U27"/>
      <c r="V27"/>
      <c r="W27"/>
      <c r="X27"/>
      <c r="Y27"/>
    </row>
    <row r="28" spans="1:25" x14ac:dyDescent="0.3">
      <c r="A28" s="106">
        <v>46072</v>
      </c>
      <c r="B28" s="120" t="s">
        <v>228</v>
      </c>
      <c r="C28" s="107" t="s">
        <v>289</v>
      </c>
      <c r="D28" s="117" t="s">
        <v>85</v>
      </c>
      <c r="E28" s="83"/>
      <c r="F28" s="83"/>
      <c r="G28" s="83"/>
      <c r="H28" s="124" t="e">
        <f>_xlfn.XLOOKUP(Table1[[#This Row],[Shipment Number]], 'pivot '!A:A,'pivot '!G:G, "NF")</f>
        <v>#DIV/0!</v>
      </c>
      <c r="I28" s="109">
        <f>_xlfn.XLOOKUP(Table1[[#This Row],[Party Name]],
[1]Billing!$Q$5:$Q$40,
[1]Billing!$T$5:$T$40)</f>
        <v>96185.076810534025</v>
      </c>
      <c r="J28" s="109">
        <f>_xlfn.XLOOKUP(Table1[[#This Row],[Party Name]],
[1]Billing!$Q$5:$Q$40,
[1]Billing!$V$5:$V$40)</f>
        <v>961850.76810534031</v>
      </c>
      <c r="K28" s="123"/>
      <c r="M28" s="10" t="str">
        <v>Shani Badshah</v>
      </c>
      <c r="P28"/>
      <c r="Q28"/>
      <c r="R28"/>
      <c r="S28"/>
      <c r="T28"/>
      <c r="U28"/>
      <c r="V28"/>
      <c r="W28"/>
      <c r="X28"/>
      <c r="Y28"/>
    </row>
    <row r="29" spans="1:25" x14ac:dyDescent="0.3">
      <c r="A29" s="106">
        <v>46072</v>
      </c>
      <c r="B29" s="80" t="s">
        <v>21</v>
      </c>
      <c r="C29" s="107" t="s">
        <v>289</v>
      </c>
      <c r="D29" s="111" t="s">
        <v>86</v>
      </c>
      <c r="E29" s="13"/>
      <c r="F29" s="13"/>
      <c r="G29" s="13"/>
      <c r="H29" s="112" t="e">
        <f>_xlfn.XLOOKUP(Table1[[#This Row],[Shipment Number]], 'pivot '!A:A,'pivot '!G:G, "NF")</f>
        <v>#DIV/0!</v>
      </c>
      <c r="I29" s="112">
        <f>_xlfn.XLOOKUP(Table1[[#This Row],[Party Name]],
[1]Billing!$Q$5:$Q$40,
[1]Billing!$U$5:$U$40)</f>
        <v>561031.45574250189</v>
      </c>
      <c r="J29" s="112">
        <f>_xlfn.XLOOKUP(Table1[[#This Row],[Party Name]],
[1]Billing!$Q$5:$Q$40,
[1]Billing!$W$5:$W$40)</f>
        <v>7205053.0358449165</v>
      </c>
      <c r="K29" s="111"/>
      <c r="M29" s="10" t="str">
        <v>Rehman Ali</v>
      </c>
      <c r="P29"/>
      <c r="Q29"/>
      <c r="R29"/>
      <c r="S29"/>
      <c r="T29"/>
      <c r="U29"/>
      <c r="V29"/>
      <c r="W29"/>
      <c r="X29"/>
      <c r="Y29"/>
    </row>
    <row r="30" spans="1:25" x14ac:dyDescent="0.3">
      <c r="A30" s="106">
        <v>46072</v>
      </c>
      <c r="B30" s="80" t="s">
        <v>22</v>
      </c>
      <c r="C30" s="107" t="s">
        <v>289</v>
      </c>
      <c r="D30" s="107" t="s">
        <v>86</v>
      </c>
      <c r="E30" s="37"/>
      <c r="F30" s="37"/>
      <c r="G30" s="37"/>
      <c r="H30" s="109" t="e">
        <f>_xlfn.XLOOKUP(Table1[[#This Row],[Shipment Number]], 'pivot '!A:A,'pivot '!G:G, "NF")</f>
        <v>#DIV/0!</v>
      </c>
      <c r="I30" s="112">
        <f>_xlfn.XLOOKUP(Table1[[#This Row],[Party Name]],
[1]Billing!$Q$5:$Q$40,
[1]Billing!$U$5:$U$40)</f>
        <v>382650.87783467449</v>
      </c>
      <c r="J30" s="112">
        <f>_xlfn.XLOOKUP(Table1[[#This Row],[Party Name]],
[1]Billing!$Q$5:$Q$40,
[1]Billing!$W$5:$W$40)</f>
        <v>4915317.3006583769</v>
      </c>
      <c r="K30" s="107"/>
      <c r="M30" s="10" t="str">
        <v>Ahmad Shafique</v>
      </c>
      <c r="P30"/>
      <c r="Q30"/>
      <c r="R30"/>
      <c r="S30"/>
      <c r="T30"/>
      <c r="U30"/>
      <c r="V30"/>
      <c r="W30"/>
      <c r="X30"/>
      <c r="Y30"/>
    </row>
    <row r="31" spans="1:25" x14ac:dyDescent="0.3">
      <c r="A31" s="106">
        <v>46072</v>
      </c>
      <c r="B31" s="80" t="s">
        <v>9</v>
      </c>
      <c r="C31" s="107" t="s">
        <v>289</v>
      </c>
      <c r="D31" s="111" t="s">
        <v>86</v>
      </c>
      <c r="E31" s="37"/>
      <c r="F31" s="37"/>
      <c r="G31" s="37"/>
      <c r="H31" s="109" t="e">
        <f>_xlfn.XLOOKUP(Table1[[#This Row],[Shipment Number]], 'pivot '!A:A,'pivot '!G:G, "NF")</f>
        <v>#DIV/0!</v>
      </c>
      <c r="I31" s="112">
        <f>_xlfn.XLOOKUP(Table1[[#This Row],[Party Name]],
[1]Billing!$Q$5:$Q$40,
[1]Billing!$U$5:$U$40)</f>
        <v>146176.84711046086</v>
      </c>
      <c r="J31" s="112">
        <f>_xlfn.XLOOKUP(Table1[[#This Row],[Party Name]],
[1]Billing!$Q$5:$Q$40,
[1]Billing!$W$5:$W$40)</f>
        <v>1885504.7549378201</v>
      </c>
      <c r="K31" s="107"/>
      <c r="M31" s="10" t="str">
        <v>Hafiz Shawl</v>
      </c>
      <c r="P31"/>
      <c r="Q31"/>
      <c r="R31"/>
      <c r="S31"/>
      <c r="T31"/>
      <c r="U31"/>
      <c r="V31"/>
      <c r="W31"/>
      <c r="X31"/>
      <c r="Y31"/>
    </row>
    <row r="32" spans="1:25" x14ac:dyDescent="0.3">
      <c r="A32" s="106">
        <v>46072</v>
      </c>
      <c r="B32" s="80" t="s">
        <v>23</v>
      </c>
      <c r="C32" s="107" t="s">
        <v>289</v>
      </c>
      <c r="D32" s="107" t="s">
        <v>86</v>
      </c>
      <c r="E32" s="37"/>
      <c r="F32" s="37"/>
      <c r="G32" s="37"/>
      <c r="H32" s="109" t="e">
        <f>_xlfn.XLOOKUP(Table1[[#This Row],[Shipment Number]], 'pivot '!A:A,'pivot '!G:G, "NF")</f>
        <v>#DIV/0!</v>
      </c>
      <c r="I32" s="112">
        <f>_xlfn.XLOOKUP(Table1[[#This Row],[Party Name]],
[1]Billing!$Q$5:$Q$40,
[1]Billing!$U$5:$U$40)</f>
        <v>0</v>
      </c>
      <c r="J32" s="112">
        <f>_xlfn.XLOOKUP(Table1[[#This Row],[Party Name]],
[1]Billing!$Q$5:$Q$40,
[1]Billing!$W$5:$W$40)</f>
        <v>0</v>
      </c>
      <c r="K32" s="107"/>
      <c r="M32" s="10" t="str">
        <v>Zahid Ejaz</v>
      </c>
      <c r="P32"/>
      <c r="Q32"/>
      <c r="R32"/>
      <c r="S32"/>
      <c r="T32"/>
      <c r="U32"/>
      <c r="V32"/>
      <c r="W32"/>
      <c r="X32"/>
      <c r="Y32"/>
    </row>
    <row r="33" spans="1:25" x14ac:dyDescent="0.3">
      <c r="A33" s="106">
        <v>46072</v>
      </c>
      <c r="B33" s="80" t="s">
        <v>24</v>
      </c>
      <c r="C33" s="107" t="s">
        <v>289</v>
      </c>
      <c r="D33" s="111" t="s">
        <v>86</v>
      </c>
      <c r="E33" s="37"/>
      <c r="F33" s="37"/>
      <c r="G33" s="37"/>
      <c r="H33" s="109" t="e">
        <f>_xlfn.XLOOKUP(Table1[[#This Row],[Shipment Number]], 'pivot '!A:A,'pivot '!G:G, "NF")</f>
        <v>#DIV/0!</v>
      </c>
      <c r="I33" s="112">
        <f>_xlfn.XLOOKUP(Table1[[#This Row],[Party Name]],
[1]Billing!$Q$5:$Q$40,
[1]Billing!$U$5:$U$40)</f>
        <v>485823.88441843458</v>
      </c>
      <c r="J33" s="112">
        <f>_xlfn.XLOOKUP(Table1[[#This Row],[Party Name]],
[1]Billing!$Q$5:$Q$40,
[1]Billing!$W$5:$W$40)</f>
        <v>5829886.6130212145</v>
      </c>
      <c r="K33" s="107"/>
      <c r="M33" s="10" t="str">
        <v>Faizan Kamoki</v>
      </c>
      <c r="P33"/>
      <c r="Q33"/>
      <c r="R33"/>
      <c r="S33"/>
      <c r="T33"/>
      <c r="U33"/>
      <c r="V33"/>
      <c r="W33"/>
      <c r="X33"/>
      <c r="Y33"/>
    </row>
    <row r="34" spans="1:25" x14ac:dyDescent="0.3">
      <c r="A34" s="106">
        <v>46072</v>
      </c>
      <c r="B34" s="80" t="s">
        <v>25</v>
      </c>
      <c r="C34" s="107" t="s">
        <v>289</v>
      </c>
      <c r="D34" s="107" t="s">
        <v>86</v>
      </c>
      <c r="E34" s="37"/>
      <c r="F34" s="37"/>
      <c r="G34" s="37"/>
      <c r="H34" s="109" t="e">
        <f>_xlfn.XLOOKUP(Table1[[#This Row],[Shipment Number]], 'pivot '!A:A,'pivot '!G:G, "NF")</f>
        <v>#DIV/0!</v>
      </c>
      <c r="I34" s="112">
        <f>_xlfn.XLOOKUP(Table1[[#This Row],[Party Name]],
[1]Billing!$Q$5:$Q$40,
[1]Billing!$U$5:$U$40)</f>
        <v>0</v>
      </c>
      <c r="J34" s="112">
        <f>_xlfn.XLOOKUP(Table1[[#This Row],[Party Name]],
[1]Billing!$Q$5:$Q$40,
[1]Billing!$W$5:$W$40)</f>
        <v>0</v>
      </c>
      <c r="K34" s="107"/>
      <c r="M34" s="10" t="str">
        <v>KK fabrics</v>
      </c>
      <c r="P34"/>
      <c r="Q34"/>
      <c r="R34"/>
      <c r="S34"/>
      <c r="T34"/>
      <c r="U34"/>
      <c r="V34"/>
      <c r="W34"/>
      <c r="X34"/>
      <c r="Y34"/>
    </row>
    <row r="35" spans="1:25" x14ac:dyDescent="0.3">
      <c r="A35" s="106">
        <v>46072</v>
      </c>
      <c r="B35" s="80" t="s">
        <v>26</v>
      </c>
      <c r="C35" s="107" t="s">
        <v>289</v>
      </c>
      <c r="D35" s="111" t="s">
        <v>86</v>
      </c>
      <c r="E35" s="37"/>
      <c r="F35" s="37"/>
      <c r="G35" s="37"/>
      <c r="H35" s="109" t="e">
        <f>_xlfn.XLOOKUP(Table1[[#This Row],[Shipment Number]], 'pivot '!A:A,'pivot '!G:G, "NF")</f>
        <v>#DIV/0!</v>
      </c>
      <c r="I35" s="112">
        <f>_xlfn.XLOOKUP(Table1[[#This Row],[Party Name]],
[1]Billing!$Q$5:$Q$40,
[1]Billing!$U$5:$U$40)</f>
        <v>0</v>
      </c>
      <c r="J35" s="112">
        <f>_xlfn.XLOOKUP(Table1[[#This Row],[Party Name]],
[1]Billing!$Q$5:$Q$40,
[1]Billing!$W$5:$W$40)</f>
        <v>0</v>
      </c>
      <c r="K35" s="107"/>
      <c r="M35" s="10" t="str">
        <v>Rauf Khan</v>
      </c>
      <c r="P35"/>
      <c r="Q35"/>
      <c r="R35"/>
      <c r="S35"/>
      <c r="T35"/>
      <c r="U35"/>
      <c r="V35"/>
      <c r="W35"/>
      <c r="X35"/>
      <c r="Y35"/>
    </row>
    <row r="36" spans="1:25" x14ac:dyDescent="0.3">
      <c r="A36" s="106">
        <v>46072</v>
      </c>
      <c r="B36" s="80" t="s">
        <v>152</v>
      </c>
      <c r="C36" s="107" t="s">
        <v>289</v>
      </c>
      <c r="D36" s="107" t="s">
        <v>86</v>
      </c>
      <c r="E36" s="37"/>
      <c r="F36" s="37"/>
      <c r="G36" s="37"/>
      <c r="H36" s="109" t="e">
        <f>_xlfn.XLOOKUP(Table1[[#This Row],[Shipment Number]], 'pivot '!A:A,'pivot '!G:G, "NF")</f>
        <v>#DIV/0!</v>
      </c>
      <c r="I36" s="112">
        <f>_xlfn.XLOOKUP(Table1[[#This Row],[Party Name]],
[1]Billing!$Q$5:$Q$40,
[1]Billing!$U$5:$U$40)</f>
        <v>183991.40453547917</v>
      </c>
      <c r="J36" s="112">
        <f>_xlfn.XLOOKUP(Table1[[#This Row],[Party Name]],
[1]Billing!$Q$5:$Q$40,
[1]Billing!$W$5:$W$40)</f>
        <v>2391888.2589612291</v>
      </c>
      <c r="K36" s="107"/>
      <c r="M36" s="10" t="str">
        <v>Farhaan ali</v>
      </c>
      <c r="P36"/>
      <c r="Q36"/>
      <c r="R36"/>
      <c r="S36"/>
      <c r="T36"/>
      <c r="U36"/>
      <c r="V36"/>
      <c r="W36"/>
      <c r="X36"/>
      <c r="Y36"/>
    </row>
    <row r="37" spans="1:25" x14ac:dyDescent="0.3">
      <c r="A37" s="106">
        <v>46072</v>
      </c>
      <c r="B37" s="80" t="s">
        <v>35</v>
      </c>
      <c r="C37" s="107" t="s">
        <v>289</v>
      </c>
      <c r="D37" s="111" t="s">
        <v>86</v>
      </c>
      <c r="E37" s="37"/>
      <c r="F37" s="37"/>
      <c r="G37" s="37"/>
      <c r="H37" s="109" t="e">
        <f>_xlfn.XLOOKUP(Table1[[#This Row],[Shipment Number]], 'pivot '!A:A,'pivot '!G:G, "NF")</f>
        <v>#DIV/0!</v>
      </c>
      <c r="I37" s="112">
        <f>_xlfn.XLOOKUP(Table1[[#This Row],[Party Name]],
[1]Billing!$Q$5:$Q$40,
[1]Billing!$U$5:$U$40)</f>
        <v>112548.46378931969</v>
      </c>
      <c r="J37" s="112">
        <f>_xlfn.XLOOKUP(Table1[[#This Row],[Party Name]],
[1]Billing!$Q$5:$Q$40,
[1]Billing!$W$5:$W$40)</f>
        <v>1448134.6013167519</v>
      </c>
      <c r="K37" s="107"/>
      <c r="M37" s="10">
        <v>0</v>
      </c>
      <c r="P37"/>
      <c r="Q37"/>
      <c r="R37"/>
      <c r="S37"/>
      <c r="T37"/>
      <c r="U37"/>
      <c r="V37"/>
      <c r="W37"/>
      <c r="X37"/>
      <c r="Y37"/>
    </row>
    <row r="38" spans="1:25" x14ac:dyDescent="0.3">
      <c r="A38" s="106">
        <v>46072</v>
      </c>
      <c r="B38" s="80" t="s">
        <v>148</v>
      </c>
      <c r="C38" s="107" t="s">
        <v>289</v>
      </c>
      <c r="D38" s="107" t="s">
        <v>86</v>
      </c>
      <c r="E38" s="37"/>
      <c r="F38" s="37"/>
      <c r="G38" s="37"/>
      <c r="H38" s="109" t="e">
        <f>_xlfn.XLOOKUP(Table1[[#This Row],[Shipment Number]], 'pivot '!A:A,'pivot '!G:G, "NF")</f>
        <v>#DIV/0!</v>
      </c>
      <c r="I38" s="112">
        <f>_xlfn.XLOOKUP(Table1[[#This Row],[Party Name]],
[1]Billing!$Q$5:$Q$40,
[1]Billing!$U$5:$U$40)</f>
        <v>0</v>
      </c>
      <c r="J38" s="112">
        <f>_xlfn.XLOOKUP(Table1[[#This Row],[Party Name]],
[1]Billing!$Q$5:$Q$40,
[1]Billing!$W$5:$W$40)</f>
        <v>0</v>
      </c>
      <c r="K38" s="107"/>
      <c r="P38"/>
      <c r="Q38"/>
      <c r="R38"/>
      <c r="S38"/>
      <c r="T38"/>
      <c r="U38"/>
      <c r="V38"/>
      <c r="W38"/>
      <c r="X38"/>
      <c r="Y38"/>
    </row>
    <row r="39" spans="1:25" x14ac:dyDescent="0.3">
      <c r="A39" s="106">
        <v>46072</v>
      </c>
      <c r="B39" s="80" t="s">
        <v>27</v>
      </c>
      <c r="C39" s="107" t="s">
        <v>289</v>
      </c>
      <c r="D39" s="111" t="s">
        <v>86</v>
      </c>
      <c r="E39" s="37"/>
      <c r="F39" s="37"/>
      <c r="G39" s="37"/>
      <c r="H39" s="109" t="e">
        <f>_xlfn.XLOOKUP(Table1[[#This Row],[Shipment Number]], 'pivot '!A:A,'pivot '!G:G, "NF")</f>
        <v>#DIV/0!</v>
      </c>
      <c r="I39" s="112">
        <f>_xlfn.XLOOKUP(Table1[[#This Row],[Party Name]],
[1]Billing!$Q$5:$Q$40,
[1]Billing!$U$5:$U$40)</f>
        <v>0</v>
      </c>
      <c r="J39" s="112">
        <f>_xlfn.XLOOKUP(Table1[[#This Row],[Party Name]],
[1]Billing!$Q$5:$Q$40,
[1]Billing!$W$5:$W$40)</f>
        <v>0</v>
      </c>
      <c r="K39" s="107"/>
      <c r="P39"/>
      <c r="Q39"/>
      <c r="R39"/>
      <c r="S39"/>
      <c r="T39"/>
      <c r="U39"/>
      <c r="V39"/>
      <c r="W39"/>
      <c r="X39"/>
      <c r="Y39"/>
    </row>
    <row r="40" spans="1:25" x14ac:dyDescent="0.3">
      <c r="A40" s="106">
        <v>46072</v>
      </c>
      <c r="B40" s="80" t="s">
        <v>166</v>
      </c>
      <c r="C40" s="107" t="s">
        <v>289</v>
      </c>
      <c r="D40" s="107" t="s">
        <v>86</v>
      </c>
      <c r="E40" s="37"/>
      <c r="F40" s="37"/>
      <c r="G40" s="37"/>
      <c r="H40" s="109" t="e">
        <f>_xlfn.XLOOKUP(Table1[[#This Row],[Shipment Number]], 'pivot '!A:A,'pivot '!G:G, "NF")</f>
        <v>#DIV/0!</v>
      </c>
      <c r="I40" s="112">
        <f>_xlfn.XLOOKUP(Table1[[#This Row],[Party Name]],
[1]Billing!$Q$5:$Q$40,
[1]Billing!$U$5:$U$40)</f>
        <v>141474.94513533285</v>
      </c>
      <c r="J40" s="112">
        <f>_xlfn.XLOOKUP(Table1[[#This Row],[Party Name]],
[1]Billing!$Q$5:$Q$40,
[1]Billing!$W$5:$W$40)</f>
        <v>1776019.5683979518</v>
      </c>
      <c r="K40" s="107"/>
      <c r="P40"/>
      <c r="Q40"/>
      <c r="R40"/>
      <c r="S40"/>
      <c r="T40"/>
      <c r="U40"/>
      <c r="V40"/>
      <c r="W40"/>
      <c r="X40"/>
      <c r="Y40"/>
    </row>
    <row r="41" spans="1:25" x14ac:dyDescent="0.3">
      <c r="A41" s="106">
        <v>46072</v>
      </c>
      <c r="B41" s="80" t="s">
        <v>219</v>
      </c>
      <c r="C41" s="107" t="s">
        <v>289</v>
      </c>
      <c r="D41" s="111" t="s">
        <v>86</v>
      </c>
      <c r="E41" s="37"/>
      <c r="F41" s="37"/>
      <c r="G41" s="37"/>
      <c r="H41" s="109" t="e">
        <f>_xlfn.XLOOKUP(Table1[[#This Row],[Shipment Number]], 'pivot '!A:A,'pivot '!G:G, "NF")</f>
        <v>#DIV/0!</v>
      </c>
      <c r="I41" s="112">
        <f>_xlfn.XLOOKUP(Table1[[#This Row],[Party Name]],
[1]Billing!$Q$5:$Q$40,
[1]Billing!$U$5:$U$40)</f>
        <v>0</v>
      </c>
      <c r="J41" s="112">
        <f>_xlfn.XLOOKUP(Table1[[#This Row],[Party Name]],
[1]Billing!$Q$5:$Q$40,
[1]Billing!$W$5:$W$40)</f>
        <v>0</v>
      </c>
      <c r="K41" s="107"/>
      <c r="P41"/>
      <c r="Q41"/>
      <c r="R41"/>
      <c r="S41"/>
      <c r="T41"/>
      <c r="U41"/>
      <c r="V41"/>
      <c r="W41"/>
      <c r="X41"/>
      <c r="Y41"/>
    </row>
    <row r="42" spans="1:25" x14ac:dyDescent="0.3">
      <c r="A42" s="106">
        <v>46072</v>
      </c>
      <c r="B42" s="80" t="s">
        <v>170</v>
      </c>
      <c r="C42" s="107" t="s">
        <v>289</v>
      </c>
      <c r="D42" s="107" t="s">
        <v>86</v>
      </c>
      <c r="E42" s="37"/>
      <c r="F42" s="37"/>
      <c r="G42" s="37"/>
      <c r="H42" s="109" t="e">
        <f>_xlfn.XLOOKUP(Table1[[#This Row],[Shipment Number]], 'pivot '!A:A,'pivot '!G:G, "NF")</f>
        <v>#DIV/0!</v>
      </c>
      <c r="I42" s="112">
        <f>_xlfn.XLOOKUP(Table1[[#This Row],[Party Name]],
[1]Billing!$Q$5:$Q$40,
[1]Billing!$U$5:$U$40)</f>
        <v>0</v>
      </c>
      <c r="J42" s="112">
        <f>_xlfn.XLOOKUP(Table1[[#This Row],[Party Name]],
[1]Billing!$Q$5:$Q$40,
[1]Billing!$W$5:$W$40)</f>
        <v>0</v>
      </c>
      <c r="K42" s="107"/>
      <c r="P42"/>
      <c r="Q42"/>
      <c r="R42"/>
      <c r="S42"/>
      <c r="T42"/>
      <c r="U42"/>
      <c r="V42"/>
      <c r="W42"/>
      <c r="X42"/>
      <c r="Y42"/>
    </row>
    <row r="43" spans="1:25" x14ac:dyDescent="0.3">
      <c r="A43" s="106">
        <v>46072</v>
      </c>
      <c r="B43" s="80" t="s">
        <v>171</v>
      </c>
      <c r="C43" s="107" t="s">
        <v>289</v>
      </c>
      <c r="D43" s="111" t="s">
        <v>86</v>
      </c>
      <c r="E43" s="37"/>
      <c r="F43" s="37"/>
      <c r="G43" s="37"/>
      <c r="H43" s="109" t="e">
        <f>_xlfn.XLOOKUP(Table1[[#This Row],[Shipment Number]], 'pivot '!A:A,'pivot '!G:G, "NF")</f>
        <v>#DIV/0!</v>
      </c>
      <c r="I43" s="112">
        <f>_xlfn.XLOOKUP(Table1[[#This Row],[Party Name]],
[1]Billing!$Q$5:$Q$40,
[1]Billing!$U$5:$U$40)</f>
        <v>0</v>
      </c>
      <c r="J43" s="112">
        <f>_xlfn.XLOOKUP(Table1[[#This Row],[Party Name]],
[1]Billing!$Q$5:$Q$40,
[1]Billing!$W$5:$W$40)</f>
        <v>0</v>
      </c>
      <c r="K43" s="107"/>
      <c r="P43"/>
      <c r="Q43"/>
      <c r="R43"/>
      <c r="S43"/>
      <c r="T43"/>
      <c r="U43"/>
      <c r="V43"/>
      <c r="W43"/>
      <c r="X43"/>
      <c r="Y43"/>
    </row>
    <row r="44" spans="1:25" x14ac:dyDescent="0.3">
      <c r="A44" s="106">
        <v>46072</v>
      </c>
      <c r="B44" s="80" t="s">
        <v>173</v>
      </c>
      <c r="C44" s="107" t="s">
        <v>289</v>
      </c>
      <c r="D44" s="107" t="s">
        <v>86</v>
      </c>
      <c r="E44" s="37"/>
      <c r="F44" s="37"/>
      <c r="G44" s="37"/>
      <c r="H44" s="109" t="e">
        <f>_xlfn.XLOOKUP(Table1[[#This Row],[Shipment Number]], 'pivot '!A:A,'pivot '!G:G, "NF")</f>
        <v>#DIV/0!</v>
      </c>
      <c r="I44" s="112">
        <f>_xlfn.XLOOKUP(Table1[[#This Row],[Party Name]],
[1]Billing!$Q$5:$Q$40,
[1]Billing!$U$5:$U$40)</f>
        <v>9232.809070958303</v>
      </c>
      <c r="J44" s="112">
        <f>_xlfn.XLOOKUP(Table1[[#This Row],[Party Name]],
[1]Billing!$Q$5:$Q$40,
[1]Billing!$W$5:$W$40)</f>
        <v>120026.51792245793</v>
      </c>
      <c r="K44" s="107"/>
      <c r="P44"/>
      <c r="Q44"/>
      <c r="R44"/>
      <c r="S44"/>
      <c r="T44"/>
      <c r="U44"/>
      <c r="V44"/>
      <c r="W44"/>
      <c r="X44"/>
      <c r="Y44"/>
    </row>
    <row r="45" spans="1:25" x14ac:dyDescent="0.3">
      <c r="A45" s="106">
        <v>46072</v>
      </c>
      <c r="B45" s="80" t="s">
        <v>175</v>
      </c>
      <c r="C45" s="107" t="s">
        <v>289</v>
      </c>
      <c r="D45" s="111" t="s">
        <v>86</v>
      </c>
      <c r="E45" s="37"/>
      <c r="F45" s="37"/>
      <c r="G45" s="37"/>
      <c r="H45" s="109" t="e">
        <f>_xlfn.XLOOKUP(Table1[[#This Row],[Shipment Number]], 'pivot '!A:A,'pivot '!G:G, "NF")</f>
        <v>#DIV/0!</v>
      </c>
      <c r="I45" s="112">
        <f>_xlfn.XLOOKUP(Table1[[#This Row],[Party Name]],
[1]Billing!$Q$5:$Q$40,
[1]Billing!$U$5:$U$40)</f>
        <v>462841.07534747623</v>
      </c>
      <c r="J45" s="112">
        <f>_xlfn.XLOOKUP(Table1[[#This Row],[Party Name]],
[1]Billing!$Q$5:$Q$40,
[1]Billing!$W$5:$W$40)</f>
        <v>6016933.9795171916</v>
      </c>
      <c r="K45" s="107"/>
      <c r="P45"/>
      <c r="Q45"/>
      <c r="R45"/>
      <c r="S45"/>
      <c r="T45"/>
      <c r="U45"/>
      <c r="V45"/>
      <c r="W45"/>
      <c r="X45"/>
      <c r="Y45"/>
    </row>
    <row r="46" spans="1:25" x14ac:dyDescent="0.3">
      <c r="A46" s="106">
        <v>46072</v>
      </c>
      <c r="B46" s="80" t="s">
        <v>177</v>
      </c>
      <c r="C46" s="107" t="s">
        <v>289</v>
      </c>
      <c r="D46" s="107" t="s">
        <v>86</v>
      </c>
      <c r="E46" s="37"/>
      <c r="F46" s="37"/>
      <c r="G46" s="37"/>
      <c r="H46" s="109" t="e">
        <f>_xlfn.XLOOKUP(Table1[[#This Row],[Shipment Number]], 'pivot '!A:A,'pivot '!G:G, "NF")</f>
        <v>#DIV/0!</v>
      </c>
      <c r="I46" s="112">
        <f>_xlfn.XLOOKUP(Table1[[#This Row],[Party Name]],
[1]Billing!$Q$5:$Q$40,
[1]Billing!$U$5:$U$40)</f>
        <v>7565.8376005852242</v>
      </c>
      <c r="J46" s="112">
        <f>_xlfn.XLOOKUP(Table1[[#This Row],[Party Name]],
[1]Billing!$Q$5:$Q$40,
[1]Billing!$W$5:$W$40)</f>
        <v>98355.888807607917</v>
      </c>
      <c r="K46" s="107"/>
      <c r="P46"/>
      <c r="Q46"/>
      <c r="R46"/>
      <c r="S46"/>
      <c r="T46"/>
      <c r="U46"/>
      <c r="V46"/>
      <c r="W46"/>
      <c r="X46"/>
      <c r="Y46"/>
    </row>
    <row r="47" spans="1:25" x14ac:dyDescent="0.3">
      <c r="A47" s="106">
        <v>46072</v>
      </c>
      <c r="B47" s="80" t="s">
        <v>178</v>
      </c>
      <c r="C47" s="107" t="s">
        <v>289</v>
      </c>
      <c r="D47" s="111" t="s">
        <v>86</v>
      </c>
      <c r="E47" s="37"/>
      <c r="F47" s="37"/>
      <c r="G47" s="37"/>
      <c r="H47" s="109" t="e">
        <f>_xlfn.XLOOKUP(Table1[[#This Row],[Shipment Number]], 'pivot '!A:A,'pivot '!G:G, "NF")</f>
        <v>#DIV/0!</v>
      </c>
      <c r="I47" s="112">
        <f>_xlfn.XLOOKUP(Table1[[#This Row],[Party Name]],
[1]Billing!$Q$5:$Q$40,
[1]Billing!$U$5:$U$40)</f>
        <v>46600.219458668624</v>
      </c>
      <c r="J47" s="112">
        <f>_xlfn.XLOOKUP(Table1[[#This Row],[Party Name]],
[1]Billing!$Q$5:$Q$40,
[1]Billing!$W$5:$W$40)</f>
        <v>605802.85296269215</v>
      </c>
      <c r="K47" s="107"/>
      <c r="P47"/>
      <c r="Q47"/>
      <c r="R47"/>
      <c r="S47"/>
      <c r="T47"/>
      <c r="U47"/>
      <c r="V47"/>
      <c r="W47"/>
      <c r="X47"/>
      <c r="Y47"/>
    </row>
    <row r="48" spans="1:25" x14ac:dyDescent="0.3">
      <c r="A48" s="106">
        <v>46072</v>
      </c>
      <c r="B48" s="80" t="s">
        <v>183</v>
      </c>
      <c r="C48" s="107" t="s">
        <v>289</v>
      </c>
      <c r="D48" s="107" t="s">
        <v>86</v>
      </c>
      <c r="E48" s="37"/>
      <c r="F48" s="37"/>
      <c r="G48" s="37"/>
      <c r="H48" s="109" t="e">
        <f>_xlfn.XLOOKUP(Table1[[#This Row],[Shipment Number]], 'pivot '!A:A,'pivot '!G:G, "NF")</f>
        <v>#DIV/0!</v>
      </c>
      <c r="I48" s="112">
        <f>_xlfn.XLOOKUP(Table1[[#This Row],[Party Name]],
[1]Billing!$Q$5:$Q$40,
[1]Billing!$U$5:$U$40)</f>
        <v>31409.107534747625</v>
      </c>
      <c r="J48" s="112">
        <f>_xlfn.XLOOKUP(Table1[[#This Row],[Party Name]],
[1]Billing!$Q$5:$Q$40,
[1]Billing!$W$5:$W$40)</f>
        <v>408318.39795171918</v>
      </c>
      <c r="K48" s="107"/>
      <c r="P48"/>
      <c r="Q48"/>
      <c r="R48"/>
      <c r="S48"/>
      <c r="T48"/>
      <c r="U48"/>
      <c r="V48"/>
      <c r="W48"/>
      <c r="X48"/>
      <c r="Y48"/>
    </row>
    <row r="49" spans="1:25" x14ac:dyDescent="0.3">
      <c r="A49" s="106">
        <v>46072</v>
      </c>
      <c r="B49" s="123" t="s">
        <v>227</v>
      </c>
      <c r="C49" s="107" t="s">
        <v>289</v>
      </c>
      <c r="D49" s="123" t="s">
        <v>86</v>
      </c>
      <c r="E49" s="83"/>
      <c r="F49" s="83"/>
      <c r="G49" s="83"/>
      <c r="H49" s="124" t="e">
        <f>_xlfn.XLOOKUP(Table1[[#This Row],[Shipment Number]], 'pivot '!A:A,'pivot '!G:G, "NF")</f>
        <v>#DIV/0!</v>
      </c>
      <c r="I49" s="112">
        <f>_xlfn.XLOOKUP(Table1[[#This Row],[Party Name]],
[1]Billing!$Q$5:$Q$40,
[1]Billing!$U$5:$U$40)</f>
        <v>45840.343818580841</v>
      </c>
      <c r="J49" s="112">
        <f>_xlfn.XLOOKUP(Table1[[#This Row],[Party Name]],
[1]Billing!$Q$5:$Q$40,
[1]Billing!$W$5:$W$40)</f>
        <v>595924.46964155091</v>
      </c>
      <c r="K49" s="123"/>
      <c r="P49"/>
      <c r="Q49"/>
      <c r="R49"/>
      <c r="S49"/>
      <c r="T49"/>
      <c r="U49"/>
      <c r="V49"/>
      <c r="W49"/>
      <c r="X49"/>
      <c r="Y49"/>
    </row>
    <row r="50" spans="1:25" x14ac:dyDescent="0.3">
      <c r="A50" s="106">
        <v>46072</v>
      </c>
      <c r="B50" s="123" t="s">
        <v>228</v>
      </c>
      <c r="C50" s="107" t="s">
        <v>289</v>
      </c>
      <c r="D50" s="123" t="s">
        <v>86</v>
      </c>
      <c r="E50" s="83"/>
      <c r="F50" s="83"/>
      <c r="G50" s="83"/>
      <c r="H50" s="124" t="e">
        <f>_xlfn.XLOOKUP(Table1[[#This Row],[Shipment Number]], 'pivot '!A:A,'pivot '!G:G, "NF")</f>
        <v>#DIV/0!</v>
      </c>
      <c r="I50" s="112">
        <f>_xlfn.XLOOKUP(Table1[[#This Row],[Party Name]],
[1]Billing!$Q$5:$Q$40,
[1]Billing!$U$5:$U$40)</f>
        <v>86727.322604242872</v>
      </c>
      <c r="J50" s="112">
        <f>_xlfn.XLOOKUP(Table1[[#This Row],[Party Name]],
[1]Billing!$Q$5:$Q$40,
[1]Billing!$W$5:$W$40)</f>
        <v>1127455.1938551574</v>
      </c>
      <c r="K50" s="123"/>
      <c r="P50"/>
      <c r="Q50"/>
      <c r="R50"/>
      <c r="S50"/>
      <c r="T50"/>
      <c r="U50"/>
      <c r="V50"/>
      <c r="W50"/>
      <c r="X50"/>
      <c r="Y50"/>
    </row>
    <row r="51" spans="1:25" x14ac:dyDescent="0.3">
      <c r="A51" s="106">
        <v>46072</v>
      </c>
      <c r="B51" s="123" t="s">
        <v>244</v>
      </c>
      <c r="C51" s="107" t="s">
        <v>289</v>
      </c>
      <c r="D51" s="123" t="s">
        <v>86</v>
      </c>
      <c r="E51" s="83"/>
      <c r="F51" s="83"/>
      <c r="G51" s="83"/>
      <c r="H51" s="124" t="e">
        <f>_xlfn.XLOOKUP(Table1[[#This Row],[Shipment Number]], 'pivot '!A:A,'pivot '!G:G, "NF")</f>
        <v>#DIV/0!</v>
      </c>
      <c r="I51" s="112">
        <f>_xlfn.XLOOKUP(Table1[[#This Row],[Party Name]],
[1]Billing!$Q$5:$Q$40,
[1]Billing!$U$5:$U$40)</f>
        <v>48958.485735186543</v>
      </c>
      <c r="J51" s="112">
        <f>_xlfn.XLOOKUP(Table1[[#This Row],[Party Name]],
[1]Billing!$Q$5:$Q$40,
[1]Billing!$W$5:$W$40)</f>
        <v>636460.3145574251</v>
      </c>
      <c r="K51" s="123"/>
      <c r="P51"/>
      <c r="Q51"/>
      <c r="R51"/>
      <c r="S51"/>
      <c r="T51"/>
      <c r="U51"/>
      <c r="V51"/>
      <c r="W51"/>
      <c r="X51"/>
      <c r="Y51"/>
    </row>
    <row r="52" spans="1:25" x14ac:dyDescent="0.3">
      <c r="A52" s="106">
        <v>46072</v>
      </c>
      <c r="B52" s="123" t="s">
        <v>248</v>
      </c>
      <c r="C52" s="107" t="s">
        <v>289</v>
      </c>
      <c r="D52" s="123" t="s">
        <v>86</v>
      </c>
      <c r="E52" s="83"/>
      <c r="F52" s="83"/>
      <c r="G52" s="83"/>
      <c r="H52" s="124" t="e">
        <f>_xlfn.XLOOKUP(Table1[[#This Row],[Shipment Number]], 'pivot '!A:A,'pivot '!G:G, "NF")</f>
        <v>#DIV/0!</v>
      </c>
      <c r="I52" s="112">
        <f>_xlfn.XLOOKUP(Table1[[#This Row],[Party Name]],
[1]Billing!$Q$5:$Q$40,
[1]Billing!$U$5:$U$40)</f>
        <v>1321.3240673006585</v>
      </c>
      <c r="J52" s="112">
        <f>_xlfn.XLOOKUP(Table1[[#This Row],[Party Name]],
[1]Billing!$Q$5:$Q$40,
[1]Billing!$W$5:$W$40)</f>
        <v>15855.888807607902</v>
      </c>
      <c r="K52" s="123"/>
      <c r="P52"/>
      <c r="Q52"/>
      <c r="R52"/>
      <c r="S52"/>
      <c r="T52"/>
      <c r="U52"/>
      <c r="V52"/>
      <c r="W52"/>
      <c r="X52"/>
      <c r="Y52"/>
    </row>
    <row r="53" spans="1:25" x14ac:dyDescent="0.3">
      <c r="A53" s="106">
        <v>46072</v>
      </c>
      <c r="B53" s="80" t="s">
        <v>190</v>
      </c>
      <c r="C53" s="107" t="s">
        <v>289</v>
      </c>
      <c r="D53" s="111" t="s">
        <v>86</v>
      </c>
      <c r="E53" s="37"/>
      <c r="F53" s="37"/>
      <c r="G53" s="37"/>
      <c r="H53" s="109" t="e">
        <f>_xlfn.XLOOKUP(Table1[[#This Row],[Shipment Number]], 'pivot '!A:A,'pivot '!G:G, "NF")</f>
        <v>#DIV/0!</v>
      </c>
      <c r="I53" s="112">
        <f>_xlfn.XLOOKUP(Table1[[#This Row],[Party Name]],
[1]Billing!$Q$5:$Q$40,
[1]Billing!$U$5:$U$40)</f>
        <v>0</v>
      </c>
      <c r="J53" s="112">
        <f>_xlfn.XLOOKUP(Table1[[#This Row],[Party Name]],
[1]Billing!$Q$5:$Q$40,
[1]Billing!$W$5:$W$40)</f>
        <v>0</v>
      </c>
      <c r="K53" s="107"/>
      <c r="P53"/>
      <c r="Q53"/>
      <c r="R53"/>
      <c r="S53"/>
      <c r="T53"/>
      <c r="U53"/>
      <c r="V53"/>
      <c r="W53"/>
      <c r="X53"/>
      <c r="Y53"/>
    </row>
    <row r="54" spans="1:25" x14ac:dyDescent="0.3">
      <c r="A54" s="106">
        <v>46072</v>
      </c>
      <c r="B54" s="80" t="s">
        <v>193</v>
      </c>
      <c r="C54" s="107" t="s">
        <v>289</v>
      </c>
      <c r="D54" s="107" t="s">
        <v>86</v>
      </c>
      <c r="E54" s="37"/>
      <c r="F54" s="37"/>
      <c r="G54" s="37"/>
      <c r="H54" s="109" t="e">
        <f>_xlfn.XLOOKUP(Table1[[#This Row],[Shipment Number]], 'pivot '!A:A,'pivot '!G:G, "NF")</f>
        <v>#DIV/0!</v>
      </c>
      <c r="I54" s="112">
        <f>_xlfn.XLOOKUP(Table1[[#This Row],[Party Name]],
[1]Billing!$Q$5:$Q$40,
[1]Billing!$U$5:$U$40)</f>
        <v>0</v>
      </c>
      <c r="J54" s="112">
        <f>_xlfn.XLOOKUP(Table1[[#This Row],[Party Name]],
[1]Billing!$Q$5:$Q$40,
[1]Billing!$W$5:$W$40)</f>
        <v>0</v>
      </c>
      <c r="K54" s="107"/>
      <c r="P54"/>
      <c r="Q54"/>
      <c r="R54"/>
      <c r="S54"/>
      <c r="T54"/>
      <c r="U54"/>
      <c r="V54"/>
      <c r="W54"/>
      <c r="X54"/>
      <c r="Y54"/>
    </row>
    <row r="55" spans="1:25" x14ac:dyDescent="0.3">
      <c r="A55" s="106">
        <v>46072</v>
      </c>
      <c r="B55" s="80" t="s">
        <v>192</v>
      </c>
      <c r="C55" s="107" t="s">
        <v>289</v>
      </c>
      <c r="D55" s="111" t="s">
        <v>86</v>
      </c>
      <c r="E55" s="37"/>
      <c r="F55" s="37"/>
      <c r="G55" s="37"/>
      <c r="H55" s="109" t="e">
        <f>_xlfn.XLOOKUP(Table1[[#This Row],[Shipment Number]], 'pivot '!A:A,'pivot '!G:G, "NF")</f>
        <v>#DIV/0!</v>
      </c>
      <c r="I55" s="112">
        <f>_xlfn.XLOOKUP(Table1[[#This Row],[Party Name]],
[1]Billing!$Q$5:$Q$40,
[1]Billing!$U$5:$U$40)</f>
        <v>111911.11923920995</v>
      </c>
      <c r="J55" s="112">
        <f>_xlfn.XLOOKUP(Table1[[#This Row],[Party Name]],
[1]Billing!$Q$5:$Q$40,
[1]Billing!$W$5:$W$40)</f>
        <v>1454844.5501097296</v>
      </c>
      <c r="K55" s="107"/>
      <c r="P55"/>
      <c r="Q55"/>
      <c r="R55"/>
      <c r="S55"/>
      <c r="T55"/>
      <c r="U55"/>
      <c r="V55"/>
      <c r="W55"/>
      <c r="X55"/>
      <c r="Y55"/>
    </row>
    <row r="56" spans="1:25" x14ac:dyDescent="0.3">
      <c r="A56" s="106">
        <v>46072</v>
      </c>
      <c r="B56" s="80" t="s">
        <v>197</v>
      </c>
      <c r="C56" s="107" t="s">
        <v>289</v>
      </c>
      <c r="D56" s="107" t="s">
        <v>86</v>
      </c>
      <c r="E56" s="37"/>
      <c r="F56" s="37"/>
      <c r="G56" s="37"/>
      <c r="H56" s="109" t="e">
        <f>_xlfn.XLOOKUP(Table1[[#This Row],[Shipment Number]], 'pivot '!A:A,'pivot '!G:G, "NF")</f>
        <v>#DIV/0!</v>
      </c>
      <c r="I56" s="112">
        <f>_xlfn.XLOOKUP(Table1[[#This Row],[Party Name]],
[1]Billing!$Q$5:$Q$40,
[1]Billing!$U$5:$U$40)</f>
        <v>0</v>
      </c>
      <c r="J56" s="112">
        <f>_xlfn.XLOOKUP(Table1[[#This Row],[Party Name]],
[1]Billing!$Q$5:$Q$40,
[1]Billing!$W$5:$W$40)</f>
        <v>0</v>
      </c>
      <c r="K56" s="107"/>
      <c r="P56"/>
      <c r="Q56"/>
      <c r="R56"/>
      <c r="S56"/>
      <c r="T56"/>
      <c r="U56"/>
      <c r="V56"/>
      <c r="W56"/>
      <c r="X56"/>
      <c r="Y56"/>
    </row>
    <row r="57" spans="1:25" x14ac:dyDescent="0.3">
      <c r="A57" s="106">
        <v>46072</v>
      </c>
      <c r="B57" s="80" t="s">
        <v>202</v>
      </c>
      <c r="C57" s="107" t="s">
        <v>289</v>
      </c>
      <c r="D57" s="111" t="s">
        <v>86</v>
      </c>
      <c r="E57" s="37"/>
      <c r="F57" s="37"/>
      <c r="G57" s="37"/>
      <c r="H57" s="109" t="e">
        <f>_xlfn.XLOOKUP(Table1[[#This Row],[Shipment Number]], 'pivot '!A:A,'pivot '!G:G, "NF")</f>
        <v>#DIV/0!</v>
      </c>
      <c r="I57" s="112">
        <f>_xlfn.XLOOKUP(Table1[[#This Row],[Party Name]],
[1]Billing!$Q$5:$Q$40,
[1]Billing!$U$5:$U$40)</f>
        <v>29626.005852231167</v>
      </c>
      <c r="J57" s="112">
        <f>_xlfn.XLOOKUP(Table1[[#This Row],[Party Name]],
[1]Billing!$Q$5:$Q$40,
[1]Billing!$W$5:$W$40)</f>
        <v>385138.07607900514</v>
      </c>
      <c r="K57" s="107"/>
      <c r="P57"/>
      <c r="Q57"/>
      <c r="R57"/>
      <c r="S57"/>
      <c r="T57"/>
      <c r="U57"/>
      <c r="V57"/>
      <c r="W57"/>
      <c r="X57"/>
      <c r="Y57"/>
    </row>
    <row r="58" spans="1:25" x14ac:dyDescent="0.3">
      <c r="A58" s="106">
        <v>46072</v>
      </c>
      <c r="B58" s="80" t="s">
        <v>204</v>
      </c>
      <c r="C58" s="107" t="s">
        <v>289</v>
      </c>
      <c r="D58" s="107" t="s">
        <v>86</v>
      </c>
      <c r="E58" s="37"/>
      <c r="F58" s="37"/>
      <c r="G58" s="37"/>
      <c r="H58" s="109" t="e">
        <f>_xlfn.XLOOKUP(Table1[[#This Row],[Shipment Number]], 'pivot '!A:A,'pivot '!G:G, "NF")</f>
        <v>#DIV/0!</v>
      </c>
      <c r="I58" s="112">
        <f>_xlfn.XLOOKUP(Table1[[#This Row],[Party Name]],
[1]Billing!$Q$5:$Q$40,
[1]Billing!$U$5:$U$40)</f>
        <v>0</v>
      </c>
      <c r="J58" s="112">
        <f>_xlfn.XLOOKUP(Table1[[#This Row],[Party Name]],
[1]Billing!$Q$5:$Q$40,
[1]Billing!$W$5:$W$40)</f>
        <v>0</v>
      </c>
      <c r="K58" s="107"/>
      <c r="P58"/>
      <c r="Q58"/>
      <c r="R58"/>
      <c r="S58"/>
      <c r="T58"/>
      <c r="U58"/>
      <c r="V58"/>
      <c r="W58"/>
    </row>
    <row r="59" spans="1:25" x14ac:dyDescent="0.3">
      <c r="A59" s="106">
        <v>46072</v>
      </c>
      <c r="B59" s="24" t="s">
        <v>25</v>
      </c>
      <c r="C59" s="107" t="s">
        <v>289</v>
      </c>
      <c r="D59" s="107" t="s">
        <v>184</v>
      </c>
      <c r="E59" s="37"/>
      <c r="F59" s="37"/>
      <c r="G59" s="37"/>
      <c r="H59" s="109" t="e">
        <f>_xlfn.XLOOKUP(Table1[[#This Row],[Shipment Number]], 'pivot '!A:A,'pivot '!G:G, "NF")</f>
        <v>#DIV/0!</v>
      </c>
      <c r="I59" s="109"/>
      <c r="J59" s="109">
        <f>_xlfn.XLOOKUP(Table1[[#This Row],[Party Name]],
[1]Billing!$Q$5:$Q$40,
[1]Billing!$X$5:$X$40)</f>
        <v>71359.729334308722</v>
      </c>
      <c r="K59" s="107"/>
      <c r="P59"/>
      <c r="Q59"/>
      <c r="R59"/>
      <c r="S59"/>
      <c r="T59"/>
      <c r="U59"/>
    </row>
    <row r="60" spans="1:25" x14ac:dyDescent="0.3">
      <c r="A60" s="106">
        <v>46072</v>
      </c>
      <c r="B60" s="24" t="s">
        <v>175</v>
      </c>
      <c r="C60" s="107" t="s">
        <v>289</v>
      </c>
      <c r="D60" s="107" t="s">
        <v>184</v>
      </c>
      <c r="E60" s="37"/>
      <c r="F60" s="37"/>
      <c r="G60" s="37"/>
      <c r="H60" s="109" t="e">
        <f>_xlfn.XLOOKUP(Table1[[#This Row],[Shipment Number]], 'pivot '!A:A,'pivot '!G:G, "NF")</f>
        <v>#DIV/0!</v>
      </c>
      <c r="I60" s="109"/>
      <c r="J60" s="109">
        <f>_xlfn.XLOOKUP(Table1[[#This Row],[Party Name]],
[1]Billing!$Q$5:$Q$40,
[1]Billing!$X$5:$X$40)</f>
        <v>44550.109729334312</v>
      </c>
      <c r="K60" s="107"/>
      <c r="M60"/>
      <c r="P60"/>
      <c r="Q60"/>
      <c r="R60"/>
      <c r="S60"/>
      <c r="T60"/>
      <c r="U60"/>
    </row>
    <row r="61" spans="1:25" x14ac:dyDescent="0.3">
      <c r="A61" s="106">
        <v>46072</v>
      </c>
      <c r="B61" s="24" t="s">
        <v>177</v>
      </c>
      <c r="C61" s="107" t="s">
        <v>289</v>
      </c>
      <c r="D61" s="107" t="s">
        <v>185</v>
      </c>
      <c r="E61" s="37"/>
      <c r="F61" s="37"/>
      <c r="G61" s="37"/>
      <c r="H61" s="109" t="e">
        <f>_xlfn.XLOOKUP(Table1[[#This Row],[Shipment Number]], 'pivot '!A:A,'pivot '!G:G, "NF")</f>
        <v>#DIV/0!</v>
      </c>
      <c r="I61" s="109"/>
      <c r="J61" s="109">
        <f>_xlfn.XLOOKUP(Table1[[#This Row],[Party Name]],
[1]Billing!$Q$5:$Q$40,
[1]Billing!$Y$5:$Y$40)</f>
        <v>94656.181419166067</v>
      </c>
      <c r="K61" s="107"/>
      <c r="M61"/>
      <c r="P61"/>
      <c r="Q61"/>
      <c r="R61"/>
      <c r="S61"/>
    </row>
    <row r="62" spans="1:25" x14ac:dyDescent="0.3">
      <c r="A62" s="106">
        <v>46072</v>
      </c>
      <c r="B62" s="107" t="s">
        <v>24</v>
      </c>
      <c r="C62" s="107" t="s">
        <v>289</v>
      </c>
      <c r="D62" s="107" t="s">
        <v>185</v>
      </c>
      <c r="E62" s="37"/>
      <c r="F62" s="37"/>
      <c r="G62" s="37"/>
      <c r="H62" s="109" t="e">
        <f>_xlfn.XLOOKUP(Table1[[#This Row],[Shipment Number]], 'pivot '!A:A,'pivot '!G:G, "NF")</f>
        <v>#DIV/0!</v>
      </c>
      <c r="I62" s="109"/>
      <c r="J62" s="109">
        <f>_xlfn.XLOOKUP(Table1[[#This Row],[Party Name]],
[1]Billing!$Q$5:$Q$40,
[1]Billing!$Y$5:$Y$40)</f>
        <v>239959.76591075349</v>
      </c>
      <c r="K62" s="107"/>
      <c r="M62"/>
      <c r="P62"/>
      <c r="Q62"/>
      <c r="R62"/>
      <c r="S62"/>
    </row>
    <row r="63" spans="1:25" x14ac:dyDescent="0.3">
      <c r="A63" s="106">
        <v>46072</v>
      </c>
      <c r="B63" s="24" t="s">
        <v>183</v>
      </c>
      <c r="C63" s="107" t="s">
        <v>289</v>
      </c>
      <c r="D63" s="107" t="s">
        <v>199</v>
      </c>
      <c r="E63" s="37"/>
      <c r="F63" s="37"/>
      <c r="G63" s="37"/>
      <c r="H63" s="109" t="e">
        <f>_xlfn.XLOOKUP(Table1[[#This Row],[Shipment Number]], 'pivot '!A:A,'pivot '!G:G, "NF")</f>
        <v>#DIV/0!</v>
      </c>
      <c r="I63" s="109"/>
      <c r="J63" s="109">
        <f>_xlfn.XLOOKUP(Table1[[#This Row],[Party Name]],
[1]Billing!$Q$5:$Q$40,
[1]Billing!$Z$5:$Z$40)</f>
        <v>161653.2553035845</v>
      </c>
      <c r="K63" s="107"/>
      <c r="S63"/>
    </row>
    <row r="64" spans="1:25" x14ac:dyDescent="0.3">
      <c r="A64" s="106">
        <v>46072</v>
      </c>
      <c r="B64" s="107" t="s">
        <v>190</v>
      </c>
      <c r="C64" s="107" t="s">
        <v>289</v>
      </c>
      <c r="D64" s="107" t="s">
        <v>199</v>
      </c>
      <c r="E64" s="37"/>
      <c r="F64" s="37"/>
      <c r="G64" s="37"/>
      <c r="H64" s="109" t="e">
        <f>_xlfn.XLOOKUP(Table1[[#This Row],[Shipment Number]], 'pivot '!A:A,'pivot '!G:G, "NF")</f>
        <v>#DIV/0!</v>
      </c>
      <c r="I64" s="109"/>
      <c r="J64" s="109">
        <f>_xlfn.XLOOKUP(Table1[[#This Row],[Party Name]],
[1]Billing!$Q$5:$Q$40,
[1]Billing!$Z$5:$Z$40)</f>
        <v>23767.373811265548</v>
      </c>
      <c r="K64" s="107"/>
      <c r="S64"/>
    </row>
    <row r="65" spans="1:19" x14ac:dyDescent="0.3">
      <c r="A65" s="106">
        <v>46072</v>
      </c>
      <c r="B65" s="120" t="s">
        <v>25</v>
      </c>
      <c r="C65" s="107" t="s">
        <v>289</v>
      </c>
      <c r="D65" s="107" t="s">
        <v>199</v>
      </c>
      <c r="E65" s="83"/>
      <c r="F65" s="83"/>
      <c r="G65" s="83"/>
      <c r="H65" s="124" t="e">
        <f>_xlfn.XLOOKUP(Table1[[#This Row],[Shipment Number]], 'pivot '!A:A,'pivot '!G:G, "NF")</f>
        <v>#DIV/0!</v>
      </c>
      <c r="I65" s="124"/>
      <c r="J65" s="109">
        <f>_xlfn.XLOOKUP(Table1[[#This Row],[Party Name]],
[1]Billing!$Q$5:$Q$40,
[1]Billing!$Z$5:$Z$40)</f>
        <v>322297.00073152891</v>
      </c>
      <c r="K65" s="123"/>
      <c r="S65"/>
    </row>
    <row r="66" spans="1:19" x14ac:dyDescent="0.3">
      <c r="A66" s="106">
        <v>46072</v>
      </c>
      <c r="B66" s="107" t="s">
        <v>183</v>
      </c>
      <c r="C66" s="107" t="s">
        <v>289</v>
      </c>
      <c r="D66" s="107" t="s">
        <v>207</v>
      </c>
      <c r="E66" s="37"/>
      <c r="F66" s="37"/>
      <c r="G66" s="37"/>
      <c r="H66" s="109" t="e">
        <f>_xlfn.XLOOKUP(Table1[[#This Row],[Shipment Number]], 'pivot '!A:A,'pivot '!G:G, "NF")</f>
        <v>#DIV/0!</v>
      </c>
      <c r="I66" s="109"/>
      <c r="J66" s="109">
        <f>_xlfn.XLOOKUP(Table1[[#This Row],[Party Name]],
[1]Billing!$Q$5:$Q$40,
[1]Billing!$AA$5:$AA$40)</f>
        <v>1970409.6561814193</v>
      </c>
      <c r="K66" s="107"/>
      <c r="S66"/>
    </row>
    <row r="67" spans="1:19" x14ac:dyDescent="0.3">
      <c r="A67" s="106">
        <v>46072</v>
      </c>
      <c r="B67" s="24" t="s">
        <v>190</v>
      </c>
      <c r="C67" s="107" t="s">
        <v>289</v>
      </c>
      <c r="D67" s="107" t="s">
        <v>207</v>
      </c>
      <c r="E67" s="37"/>
      <c r="F67" s="37"/>
      <c r="G67" s="37"/>
      <c r="H67" s="109" t="e">
        <f>_xlfn.XLOOKUP(Table1[[#This Row],[Shipment Number]], 'pivot '!A:A,'pivot '!G:G, "NF")</f>
        <v>#DIV/0!</v>
      </c>
      <c r="I67" s="109"/>
      <c r="J67" s="109">
        <f>_xlfn.XLOOKUP(Table1[[#This Row],[Party Name]],
[1]Billing!$Q$5:$Q$40,
[1]Billing!$AA$5:$AA$40)</f>
        <v>523143.74542794435</v>
      </c>
      <c r="K67" s="107"/>
      <c r="S67"/>
    </row>
    <row r="68" spans="1:19" x14ac:dyDescent="0.3">
      <c r="A68" s="106">
        <v>46072</v>
      </c>
      <c r="B68" s="120" t="s">
        <v>21</v>
      </c>
      <c r="C68" s="107" t="s">
        <v>289</v>
      </c>
      <c r="D68" s="107" t="s">
        <v>207</v>
      </c>
      <c r="E68" s="11"/>
      <c r="F68" s="11"/>
      <c r="G68" s="11"/>
      <c r="H68" s="118" t="e">
        <f>_xlfn.XLOOKUP(Table1[[#This Row],[Shipment Number]], 'pivot '!A:A,'pivot '!G:G, "NF")</f>
        <v>#DIV/0!</v>
      </c>
      <c r="I68" s="119"/>
      <c r="J68" s="109">
        <f>_xlfn.XLOOKUP(Table1[[#This Row],[Party Name]],
[1]Billing!$Q$5:$Q$40,
[1]Billing!$AA$5:$AA$40)</f>
        <v>126666.9714703731</v>
      </c>
      <c r="K68" s="117"/>
      <c r="S68"/>
    </row>
    <row r="69" spans="1:19" x14ac:dyDescent="0.3">
      <c r="A69" s="106">
        <v>46072</v>
      </c>
      <c r="B69" s="24" t="s">
        <v>204</v>
      </c>
      <c r="C69" s="107" t="s">
        <v>289</v>
      </c>
      <c r="D69" s="107" t="s">
        <v>205</v>
      </c>
      <c r="E69" s="37"/>
      <c r="F69" s="37"/>
      <c r="G69" s="37"/>
      <c r="H69" s="109" t="e">
        <f>_xlfn.XLOOKUP(Table1[[#This Row],[Shipment Number]], 'pivot '!A:A,'pivot '!G:G, "NF")</f>
        <v>#DIV/0!</v>
      </c>
      <c r="I69" s="109"/>
      <c r="J69" s="109">
        <f>_xlfn.XLOOKUP(Table1[[#This Row],[Party Name]],
[1]Billing!$Q$5:$Q$40,
[1]Billing!$AB$5:$AB$40)</f>
        <v>151504.2062911485</v>
      </c>
      <c r="K69" s="107"/>
      <c r="S69"/>
    </row>
    <row r="70" spans="1:19" x14ac:dyDescent="0.3">
      <c r="A70" s="122">
        <v>46072</v>
      </c>
      <c r="B70" s="120" t="s">
        <v>175</v>
      </c>
      <c r="C70" s="117">
        <v>1509</v>
      </c>
      <c r="D70" s="117" t="s">
        <v>86</v>
      </c>
      <c r="E70" s="11">
        <v>2100</v>
      </c>
      <c r="F70" s="11">
        <v>51893</v>
      </c>
      <c r="G70" s="11">
        <v>35712</v>
      </c>
      <c r="H70" s="118">
        <f>_xlfn.XLOOKUP(Table1[[#This Row],[Shipment Number]], 'pivot '!A:A,'pivot '!G:G, "NF")</f>
        <v>1.7818176338343648</v>
      </c>
      <c r="I70" s="119">
        <f>Table1[[#This Row],[Tiyaar/gaz]]/1.0936</f>
        <v>32655.449890270669</v>
      </c>
      <c r="J70" s="119" cm="1">
        <f t="array" ref="J7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424520.84857351868</v>
      </c>
      <c r="K70" s="117"/>
      <c r="S70"/>
    </row>
    <row r="71" spans="1:19" x14ac:dyDescent="0.3">
      <c r="A71" s="122">
        <v>46072</v>
      </c>
      <c r="B71" s="120" t="s">
        <v>175</v>
      </c>
      <c r="C71" s="117">
        <v>1510</v>
      </c>
      <c r="D71" s="117" t="s">
        <v>86</v>
      </c>
      <c r="E71" s="11">
        <v>2100</v>
      </c>
      <c r="F71" s="11">
        <v>51893</v>
      </c>
      <c r="G71" s="11">
        <v>20027</v>
      </c>
      <c r="H71" s="118">
        <f>_xlfn.XLOOKUP(Table1[[#This Row],[Shipment Number]], 'pivot '!A:A,'pivot '!G:G, "NF")</f>
        <v>1.7818176338343648</v>
      </c>
      <c r="I71" s="119">
        <f>Table1[[#This Row],[Tiyaar/gaz]]/1.0936</f>
        <v>18312.91148500366</v>
      </c>
      <c r="J71" s="119" cm="1">
        <f t="array" ref="J7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238067.8493050476</v>
      </c>
      <c r="K71" s="117"/>
      <c r="S71"/>
    </row>
    <row r="72" spans="1:19" x14ac:dyDescent="0.3">
      <c r="A72" s="122">
        <v>46073</v>
      </c>
      <c r="B72" s="120" t="s">
        <v>21</v>
      </c>
      <c r="C72" s="117">
        <v>1511</v>
      </c>
      <c r="D72" s="117" t="s">
        <v>207</v>
      </c>
      <c r="E72" s="11">
        <v>2080</v>
      </c>
      <c r="F72" s="11">
        <v>53024</v>
      </c>
      <c r="G72" s="11">
        <v>30060</v>
      </c>
      <c r="H72" s="118">
        <f>_xlfn.XLOOKUP(Table1[[#This Row],[Shipment Number]], 'pivot '!A:A,'pivot '!G:G, "NF")</f>
        <v>25.742036069628114</v>
      </c>
      <c r="I72" s="119">
        <f>Table1[[#This Row],[Tiyaar/gaz]]/1.0936</f>
        <v>27487.198244330655</v>
      </c>
      <c r="J72" s="119" cm="1">
        <f t="array" ref="J7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302359.18068763718</v>
      </c>
      <c r="K72" s="117"/>
      <c r="S72"/>
    </row>
    <row r="73" spans="1:19" x14ac:dyDescent="0.3">
      <c r="A73" s="122">
        <v>46073</v>
      </c>
      <c r="B73" s="120" t="s">
        <v>27</v>
      </c>
      <c r="C73" s="117">
        <v>1512</v>
      </c>
      <c r="D73" s="117" t="s">
        <v>85</v>
      </c>
      <c r="E73" s="11">
        <v>2058</v>
      </c>
      <c r="F73" s="11">
        <v>25007</v>
      </c>
      <c r="G73" s="11">
        <v>19622</v>
      </c>
      <c r="H73" s="118">
        <f>_xlfn.XLOOKUP(Table1[[#This Row],[Shipment Number]], 'pivot '!A:A,'pivot '!G:G, "NF")</f>
        <v>1.6332486157716346</v>
      </c>
      <c r="I73" s="119">
        <f>Table1[[#This Row],[Tiyaar/gaz]]/1.0936</f>
        <v>17942.574981711779</v>
      </c>
      <c r="J73" s="119" cm="1">
        <f t="array" ref="J7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179425.74981711779</v>
      </c>
      <c r="K73" s="117"/>
    </row>
    <row r="74" spans="1:19" x14ac:dyDescent="0.3">
      <c r="A74" s="122">
        <v>46073</v>
      </c>
      <c r="B74" s="120" t="s">
        <v>27</v>
      </c>
      <c r="C74" s="117">
        <v>1513</v>
      </c>
      <c r="D74" s="117" t="s">
        <v>85</v>
      </c>
      <c r="E74" s="11">
        <v>2058</v>
      </c>
      <c r="F74" s="11">
        <v>25007</v>
      </c>
      <c r="G74" s="11">
        <v>7279</v>
      </c>
      <c r="H74" s="118">
        <f>_xlfn.XLOOKUP(Table1[[#This Row],[Shipment Number]], 'pivot '!A:A,'pivot '!G:G, "NF")</f>
        <v>1.6332486157716346</v>
      </c>
      <c r="I74" s="119">
        <f>Table1[[#This Row],[Tiyaar/gaz]]/1.0936</f>
        <v>6655.9985369422102</v>
      </c>
      <c r="J74" s="119" cm="1">
        <f t="array" ref="J7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66559.985369422095</v>
      </c>
      <c r="K74" s="117"/>
    </row>
    <row r="75" spans="1:19" x14ac:dyDescent="0.3">
      <c r="A75" s="122">
        <v>46073</v>
      </c>
      <c r="B75" s="120" t="s">
        <v>21</v>
      </c>
      <c r="C75" s="117">
        <v>1514</v>
      </c>
      <c r="D75" s="117" t="s">
        <v>207</v>
      </c>
      <c r="E75" s="11">
        <v>2080</v>
      </c>
      <c r="F75" s="11">
        <v>53024</v>
      </c>
      <c r="G75" s="11">
        <v>10650</v>
      </c>
      <c r="H75" s="118">
        <f>_xlfn.XLOOKUP(Table1[[#This Row],[Shipment Number]], 'pivot '!A:A,'pivot '!G:G, "NF")</f>
        <v>25.742036069628114</v>
      </c>
      <c r="I75" s="119">
        <f>Table1[[#This Row],[Tiyaar/gaz]]/1.0936</f>
        <v>9738.4784198975867</v>
      </c>
      <c r="J75" s="119" cm="1">
        <f t="array" ref="J7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107123.26261887346</v>
      </c>
      <c r="K75" s="117"/>
    </row>
    <row r="76" spans="1:19" x14ac:dyDescent="0.3">
      <c r="A76" s="122">
        <v>46074</v>
      </c>
      <c r="B76" s="120" t="s">
        <v>232</v>
      </c>
      <c r="C76" s="117">
        <v>1515</v>
      </c>
      <c r="D76" s="117" t="s">
        <v>233</v>
      </c>
      <c r="E76" s="11">
        <v>2069</v>
      </c>
      <c r="F76" s="11">
        <v>3875</v>
      </c>
      <c r="G76" s="11">
        <v>3905</v>
      </c>
      <c r="H76" s="118">
        <f>_xlfn.XLOOKUP(Table1[[#This Row],[Shipment Number]], 'pivot '!A:A,'pivot '!G:G, "NF")</f>
        <v>7.8509568869905735</v>
      </c>
      <c r="I76" s="119">
        <f>Table1[[#This Row],[Tiyaar/gaz]]/1.0936</f>
        <v>3570.7754206291152</v>
      </c>
      <c r="J76" s="119" cm="1">
        <f t="array" ref="J7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39278.529626920266</v>
      </c>
      <c r="K76" s="117"/>
    </row>
    <row r="77" spans="1:19" x14ac:dyDescent="0.3">
      <c r="A77" s="122">
        <v>46074</v>
      </c>
      <c r="B77" s="120" t="s">
        <v>21</v>
      </c>
      <c r="C77" s="117">
        <v>1516</v>
      </c>
      <c r="D77" s="117" t="s">
        <v>233</v>
      </c>
      <c r="E77" s="11">
        <v>1809</v>
      </c>
      <c r="F77" s="11">
        <v>13927</v>
      </c>
      <c r="G77" s="11">
        <v>6913</v>
      </c>
      <c r="H77" s="118">
        <f>_xlfn.XLOOKUP(Table1[[#This Row],[Shipment Number]], 'pivot '!A:A,'pivot '!G:G, "NF")</f>
        <v>5.4795543005121914</v>
      </c>
      <c r="I77" s="119">
        <f>Table1[[#This Row],[Tiyaar/gaz]]/1.0936</f>
        <v>6321.3240673006585</v>
      </c>
      <c r="J77" s="119" cm="1">
        <f t="array" ref="J7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63213.240673006585</v>
      </c>
      <c r="K77" s="117"/>
    </row>
    <row r="78" spans="1:19" x14ac:dyDescent="0.3">
      <c r="A78" s="122">
        <v>46074</v>
      </c>
      <c r="B78" s="120" t="s">
        <v>27</v>
      </c>
      <c r="C78" s="117">
        <v>1517</v>
      </c>
      <c r="D78" s="117" t="s">
        <v>85</v>
      </c>
      <c r="E78" s="11">
        <v>2060</v>
      </c>
      <c r="F78" s="11">
        <v>25162</v>
      </c>
      <c r="G78" s="11">
        <v>26931</v>
      </c>
      <c r="H78" s="118">
        <f>_xlfn.XLOOKUP(Table1[[#This Row],[Shipment Number]], 'pivot '!A:A,'pivot '!G:G, "NF")</f>
        <v>2.1301730695844441</v>
      </c>
      <c r="I78" s="119">
        <f>Table1[[#This Row],[Tiyaar/gaz]]/1.0936</f>
        <v>24626.005852231167</v>
      </c>
      <c r="J78" s="119" cm="1">
        <f t="array" ref="J7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246260.05852231168</v>
      </c>
      <c r="K78" s="117"/>
    </row>
    <row r="79" spans="1:19" x14ac:dyDescent="0.3">
      <c r="A79" s="122">
        <v>46074</v>
      </c>
      <c r="B79" s="120" t="s">
        <v>9</v>
      </c>
      <c r="C79" s="117">
        <v>1518</v>
      </c>
      <c r="D79" s="117" t="s">
        <v>85</v>
      </c>
      <c r="E79" s="11">
        <v>2085</v>
      </c>
      <c r="F79" s="11">
        <v>25013</v>
      </c>
      <c r="G79" s="11">
        <v>2608</v>
      </c>
      <c r="H79" s="118">
        <f>_xlfn.XLOOKUP(Table1[[#This Row],[Shipment Number]], 'pivot '!A:A,'pivot '!G:G, "NF")</f>
        <v>90.465820977188429</v>
      </c>
      <c r="I79" s="119">
        <f>Table1[[#This Row],[Tiyaar/gaz]]/1.0936</f>
        <v>2384.7841989758599</v>
      </c>
      <c r="J79" s="119" cm="1">
        <f t="array" ref="J7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23847.841989758599</v>
      </c>
      <c r="K79" s="117"/>
    </row>
    <row r="80" spans="1:19" x14ac:dyDescent="0.3">
      <c r="A80" s="122">
        <v>46074</v>
      </c>
      <c r="B80" s="120" t="s">
        <v>9</v>
      </c>
      <c r="C80" s="117">
        <v>1519</v>
      </c>
      <c r="D80" s="117" t="s">
        <v>85</v>
      </c>
      <c r="E80" s="11">
        <v>2078</v>
      </c>
      <c r="F80" s="11">
        <v>25072</v>
      </c>
      <c r="G80" s="11">
        <v>22243</v>
      </c>
      <c r="H80" s="118">
        <f>_xlfn.XLOOKUP(Table1[[#This Row],[Shipment Number]], 'pivot '!A:A,'pivot '!G:G, "NF")</f>
        <v>18.876649149498448</v>
      </c>
      <c r="I80" s="119">
        <f>Table1[[#This Row],[Tiyaar/gaz]]/1.0936</f>
        <v>20339.246525237748</v>
      </c>
      <c r="J80" s="119" cm="1">
        <f t="array" ref="J8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203392.46525237747</v>
      </c>
      <c r="K80" s="117"/>
    </row>
    <row r="81" spans="1:17" x14ac:dyDescent="0.3">
      <c r="A81" s="122">
        <v>46074</v>
      </c>
      <c r="B81" s="120" t="s">
        <v>21</v>
      </c>
      <c r="C81" s="117">
        <v>1520</v>
      </c>
      <c r="D81" s="117" t="s">
        <v>85</v>
      </c>
      <c r="E81" s="11">
        <v>2040</v>
      </c>
      <c r="F81" s="11">
        <v>13976</v>
      </c>
      <c r="G81" s="11">
        <v>10555</v>
      </c>
      <c r="H81" s="118">
        <f>_xlfn.XLOOKUP(Table1[[#This Row],[Shipment Number]], 'pivot '!A:A,'pivot '!G:G, "NF")</f>
        <v>30.941547198269447</v>
      </c>
      <c r="I81" s="119">
        <f>Table1[[#This Row],[Tiyaar/gaz]]/1.0936</f>
        <v>9651.6093635698617</v>
      </c>
      <c r="J81" s="119" cm="1">
        <f t="array" ref="J8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96516.09363569862</v>
      </c>
      <c r="K81" s="117"/>
    </row>
    <row r="82" spans="1:17" x14ac:dyDescent="0.3">
      <c r="A82" s="122">
        <v>46074</v>
      </c>
      <c r="B82" s="120" t="s">
        <v>21</v>
      </c>
      <c r="C82" s="117">
        <v>1521</v>
      </c>
      <c r="D82" s="117" t="s">
        <v>85</v>
      </c>
      <c r="E82" s="11">
        <v>2049</v>
      </c>
      <c r="F82" s="11">
        <v>55052</v>
      </c>
      <c r="G82" s="11">
        <v>12715</v>
      </c>
      <c r="H82" s="118">
        <f>_xlfn.XLOOKUP(Table1[[#This Row],[Shipment Number]], 'pivot '!A:A,'pivot '!G:G, "NF")</f>
        <v>42.745492842811217</v>
      </c>
      <c r="I82" s="119">
        <f>Table1[[#This Row],[Tiyaar/gaz]]/1.0936</f>
        <v>11626.737381126555</v>
      </c>
      <c r="J82" s="119" cm="1">
        <f t="array" ref="J8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116267.37381126556</v>
      </c>
      <c r="K82" s="117"/>
    </row>
    <row r="83" spans="1:17" x14ac:dyDescent="0.3">
      <c r="A83" s="122">
        <v>46076</v>
      </c>
      <c r="B83" s="120" t="s">
        <v>21</v>
      </c>
      <c r="C83" s="117">
        <v>1522</v>
      </c>
      <c r="D83" s="117" t="s">
        <v>85</v>
      </c>
      <c r="E83" s="11">
        <v>2049</v>
      </c>
      <c r="F83" s="11">
        <v>55052</v>
      </c>
      <c r="G83" s="11">
        <v>21755</v>
      </c>
      <c r="H83" s="118">
        <f>_xlfn.XLOOKUP(Table1[[#This Row],[Shipment Number]], 'pivot '!A:A,'pivot '!G:G, "NF")</f>
        <v>42.745492842811217</v>
      </c>
      <c r="I83" s="119">
        <f>Table1[[#This Row],[Tiyaar/gaz]]/1.0936</f>
        <v>19893.013899049016</v>
      </c>
      <c r="J83" s="119" cm="1">
        <f t="array" ref="J8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198930.13899049017</v>
      </c>
      <c r="K83" s="117"/>
    </row>
    <row r="84" spans="1:17" x14ac:dyDescent="0.3">
      <c r="A84" s="122">
        <v>46076</v>
      </c>
      <c r="B84" s="120" t="s">
        <v>21</v>
      </c>
      <c r="C84" s="117">
        <v>1523</v>
      </c>
      <c r="D84" s="117" t="s">
        <v>85</v>
      </c>
      <c r="E84" s="11">
        <v>2095</v>
      </c>
      <c r="F84" s="11">
        <v>101030</v>
      </c>
      <c r="G84" s="11">
        <v>50792</v>
      </c>
      <c r="H84" s="118">
        <f>_xlfn.XLOOKUP(Table1[[#This Row],[Shipment Number]], 'pivot '!A:A,'pivot '!G:G, "NF")</f>
        <v>1.8467502355583747</v>
      </c>
      <c r="I84" s="119">
        <f>Table1[[#This Row],[Tiyaar/gaz]]/1.0936</f>
        <v>46444.769568397955</v>
      </c>
      <c r="J84" s="119" cm="1">
        <f t="array" ref="J8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464447.69568397955</v>
      </c>
      <c r="K84" s="117"/>
    </row>
    <row r="85" spans="1:17" x14ac:dyDescent="0.3">
      <c r="A85" s="122">
        <v>46076</v>
      </c>
      <c r="B85" s="120" t="s">
        <v>21</v>
      </c>
      <c r="C85" s="117">
        <v>1524</v>
      </c>
      <c r="D85" s="117" t="s">
        <v>207</v>
      </c>
      <c r="E85" s="11">
        <v>2082</v>
      </c>
      <c r="F85" s="11">
        <v>83635</v>
      </c>
      <c r="G85" s="11">
        <v>25471</v>
      </c>
      <c r="H85" s="118">
        <f>_xlfn.XLOOKUP(Table1[[#This Row],[Shipment Number]], 'pivot '!A:A,'pivot '!G:G, "NF")</f>
        <v>6.704591121180087</v>
      </c>
      <c r="I85" s="119">
        <f>Table1[[#This Row],[Tiyaar/gaz]]/1.0936</f>
        <v>23290.96561814192</v>
      </c>
      <c r="J85" s="119" cm="1">
        <f t="array" ref="J8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256200.62179956111</v>
      </c>
      <c r="K85" s="117"/>
    </row>
    <row r="86" spans="1:17" x14ac:dyDescent="0.3">
      <c r="A86" s="122">
        <v>46076</v>
      </c>
      <c r="B86" s="120" t="s">
        <v>21</v>
      </c>
      <c r="C86" s="117">
        <v>1525</v>
      </c>
      <c r="D86" s="117" t="s">
        <v>207</v>
      </c>
      <c r="E86" s="11">
        <v>2080</v>
      </c>
      <c r="F86" s="11">
        <v>53024</v>
      </c>
      <c r="G86" s="11">
        <v>2350</v>
      </c>
      <c r="H86" s="118">
        <f>_xlfn.XLOOKUP(Table1[[#This Row],[Shipment Number]], 'pivot '!A:A,'pivot '!G:G, "NF")</f>
        <v>25.742036069628114</v>
      </c>
      <c r="I86" s="119">
        <f>Table1[[#This Row],[Tiyaar/gaz]]/1.0936</f>
        <v>2148.8661302121436</v>
      </c>
      <c r="J86" s="119" cm="1">
        <f t="array" ref="J8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23637.52743233358</v>
      </c>
      <c r="K86" s="117"/>
    </row>
    <row r="87" spans="1:17" x14ac:dyDescent="0.3">
      <c r="A87" s="122">
        <v>46076</v>
      </c>
      <c r="B87" s="120" t="s">
        <v>21</v>
      </c>
      <c r="C87" s="117">
        <v>1526</v>
      </c>
      <c r="D87" s="117" t="s">
        <v>85</v>
      </c>
      <c r="E87" s="11">
        <v>2095</v>
      </c>
      <c r="F87" s="11">
        <v>101030</v>
      </c>
      <c r="G87" s="11">
        <v>22068</v>
      </c>
      <c r="H87" s="118">
        <f>_xlfn.XLOOKUP(Table1[[#This Row],[Shipment Number]], 'pivot '!A:A,'pivot '!G:G, "NF")</f>
        <v>1.8467502355583747</v>
      </c>
      <c r="I87" s="119">
        <f>Table1[[#This Row],[Tiyaar/gaz]]/1.0936</f>
        <v>20179.224579370886</v>
      </c>
      <c r="J87" s="119" cm="1">
        <f t="array" ref="J8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201792.24579370886</v>
      </c>
      <c r="K87" s="117"/>
    </row>
    <row r="88" spans="1:17" x14ac:dyDescent="0.3">
      <c r="A88" s="122">
        <v>46076</v>
      </c>
      <c r="B88" s="120" t="s">
        <v>21</v>
      </c>
      <c r="C88" s="117">
        <v>1527</v>
      </c>
      <c r="D88" s="117" t="s">
        <v>85</v>
      </c>
      <c r="E88" s="11">
        <v>2035</v>
      </c>
      <c r="F88" s="11"/>
      <c r="G88" s="11">
        <v>3059</v>
      </c>
      <c r="H88" s="118" t="e">
        <f>_xlfn.XLOOKUP(Table1[[#This Row],[Shipment Number]], 'pivot '!A:A,'pivot '!G:G, "NF")</f>
        <v>#DIV/0!</v>
      </c>
      <c r="I88" s="119">
        <f>Table1[[#This Row],[Tiyaar/gaz]]/1.0936</f>
        <v>2797.1836137527434</v>
      </c>
      <c r="J88" s="119" cm="1">
        <f t="array" ref="J8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27971.836137527433</v>
      </c>
      <c r="K88" s="117"/>
    </row>
    <row r="89" spans="1:17" x14ac:dyDescent="0.3">
      <c r="A89" s="122">
        <v>46076</v>
      </c>
      <c r="B89" s="120" t="s">
        <v>21</v>
      </c>
      <c r="C89" s="117">
        <v>1528</v>
      </c>
      <c r="D89" s="117" t="s">
        <v>85</v>
      </c>
      <c r="E89" s="11">
        <v>2095</v>
      </c>
      <c r="F89" s="11">
        <v>101030</v>
      </c>
      <c r="G89" s="11">
        <v>35586</v>
      </c>
      <c r="H89" s="118">
        <f>_xlfn.XLOOKUP(Table1[[#This Row],[Shipment Number]], 'pivot '!A:A,'pivot '!G:G, "NF")</f>
        <v>1.8467502355583747</v>
      </c>
      <c r="I89" s="119">
        <f>Table1[[#This Row],[Tiyaar/gaz]]/1.0936</f>
        <v>32540.234089246529</v>
      </c>
      <c r="J89" s="119" cm="1">
        <f t="array" ref="J8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325402.34089246532</v>
      </c>
      <c r="K89" s="117"/>
    </row>
    <row r="90" spans="1:17" x14ac:dyDescent="0.3">
      <c r="A90" s="122">
        <v>46076</v>
      </c>
      <c r="B90" s="120" t="s">
        <v>312</v>
      </c>
      <c r="C90" s="117">
        <v>1529</v>
      </c>
      <c r="D90" s="117" t="s">
        <v>207</v>
      </c>
      <c r="E90" s="11">
        <v>2102</v>
      </c>
      <c r="F90" s="11">
        <v>9391</v>
      </c>
      <c r="G90" s="11">
        <v>9691</v>
      </c>
      <c r="H90" s="118">
        <f>_xlfn.XLOOKUP(Table1[[#This Row],[Shipment Number]], 'pivot '!A:A,'pivot '!G:G, "NF")</f>
        <v>5.6377578900310539</v>
      </c>
      <c r="I90" s="119">
        <f>Table1[[#This Row],[Tiyaar/gaz]]/1.0936</f>
        <v>8861.5581565471839</v>
      </c>
      <c r="J90" s="119" cm="1">
        <f t="array" ref="J9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97477.139722019027</v>
      </c>
      <c r="K90" s="117"/>
    </row>
    <row r="91" spans="1:17" x14ac:dyDescent="0.3">
      <c r="A91" s="122">
        <v>46077</v>
      </c>
      <c r="B91" s="120" t="s">
        <v>21</v>
      </c>
      <c r="C91" s="117">
        <v>1530</v>
      </c>
      <c r="D91" s="117" t="s">
        <v>85</v>
      </c>
      <c r="E91" s="11">
        <v>2089</v>
      </c>
      <c r="F91" s="11">
        <v>7943</v>
      </c>
      <c r="G91" s="11">
        <v>5405</v>
      </c>
      <c r="H91" s="118">
        <f>_xlfn.XLOOKUP(Table1[[#This Row],[Shipment Number]], 'pivot '!A:A,'pivot '!G:G, "NF")</f>
        <v>37.776758158278611</v>
      </c>
      <c r="I91" s="119">
        <f>Table1[[#This Row],[Tiyaar/gaz]]/1.0936</f>
        <v>4942.39209948793</v>
      </c>
      <c r="J91" s="119" cm="1">
        <f t="array" ref="J9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49423.9209948793</v>
      </c>
      <c r="K91" s="117"/>
    </row>
    <row r="92" spans="1:17" x14ac:dyDescent="0.3">
      <c r="A92" s="122">
        <v>46077</v>
      </c>
      <c r="B92" s="120" t="s">
        <v>312</v>
      </c>
      <c r="C92" s="117">
        <v>1531</v>
      </c>
      <c r="D92" s="117" t="s">
        <v>86</v>
      </c>
      <c r="E92" s="11">
        <v>2101</v>
      </c>
      <c r="F92" s="11">
        <v>72930</v>
      </c>
      <c r="G92" s="11">
        <v>24947</v>
      </c>
      <c r="H92" s="118">
        <f>_xlfn.XLOOKUP(Table1[[#This Row],[Shipment Number]], 'pivot '!A:A,'pivot '!G:G, "NF")</f>
        <v>3.4370322936956512</v>
      </c>
      <c r="I92" s="119">
        <f>Table1[[#This Row],[Tiyaar/gaz]]/1.0936</f>
        <v>22811.814191660571</v>
      </c>
      <c r="J92" s="119" cm="1">
        <f t="array" ref="J9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296553.58449158742</v>
      </c>
      <c r="K92" s="117"/>
    </row>
    <row r="93" spans="1:17" x14ac:dyDescent="0.3">
      <c r="A93" s="122">
        <v>46077</v>
      </c>
      <c r="B93" s="120" t="s">
        <v>312</v>
      </c>
      <c r="C93" s="117">
        <v>1532</v>
      </c>
      <c r="D93" s="117" t="s">
        <v>86</v>
      </c>
      <c r="E93" s="11">
        <v>2101</v>
      </c>
      <c r="F93" s="11">
        <v>72930</v>
      </c>
      <c r="G93" s="11">
        <v>30659</v>
      </c>
      <c r="H93" s="118">
        <f>_xlfn.XLOOKUP(Table1[[#This Row],[Shipment Number]], 'pivot '!A:A,'pivot '!G:G, "NF")</f>
        <v>3.4370322936956512</v>
      </c>
      <c r="I93" s="119">
        <f>Table1[[#This Row],[Tiyaar/gaz]]/1.0936</f>
        <v>28034.930504754939</v>
      </c>
      <c r="J93" s="119" cm="1">
        <f t="array" ref="J9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364454.09656181419</v>
      </c>
      <c r="K93" s="117"/>
    </row>
    <row r="94" spans="1:17" x14ac:dyDescent="0.3">
      <c r="A94" s="122">
        <v>46077</v>
      </c>
      <c r="B94" s="120" t="s">
        <v>312</v>
      </c>
      <c r="C94" s="117">
        <v>1533</v>
      </c>
      <c r="D94" s="117" t="s">
        <v>86</v>
      </c>
      <c r="E94" s="11">
        <v>2101</v>
      </c>
      <c r="F94" s="11">
        <v>72930</v>
      </c>
      <c r="G94" s="11">
        <v>21409</v>
      </c>
      <c r="H94" s="118">
        <f>_xlfn.XLOOKUP(Table1[[#This Row],[Shipment Number]], 'pivot '!A:A,'pivot '!G:G, "NF")</f>
        <v>3.4370322936956512</v>
      </c>
      <c r="I94" s="119">
        <f>Table1[[#This Row],[Tiyaar/gaz]]/1.0936</f>
        <v>19576.627651792249</v>
      </c>
      <c r="J94" s="119" cm="1">
        <f t="array" ref="J9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254496.15947329922</v>
      </c>
      <c r="K94" s="117"/>
    </row>
    <row r="95" spans="1:17" x14ac:dyDescent="0.3">
      <c r="A95" s="122">
        <v>46078</v>
      </c>
      <c r="B95" s="120" t="s">
        <v>21</v>
      </c>
      <c r="C95" s="117">
        <v>1534</v>
      </c>
      <c r="D95" s="117" t="s">
        <v>86</v>
      </c>
      <c r="E95" s="11">
        <v>2084</v>
      </c>
      <c r="F95" s="11">
        <v>5816</v>
      </c>
      <c r="G95" s="11">
        <v>6358</v>
      </c>
      <c r="H95" s="118">
        <v>8</v>
      </c>
      <c r="I95" s="119">
        <f>Table1[[#This Row],[Tiyaar/gaz]]/1.0936</f>
        <v>5813.8258961228976</v>
      </c>
      <c r="J95" s="119" cm="1">
        <f t="array" ref="J9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75579.736649597675</v>
      </c>
      <c r="K95" s="117"/>
    </row>
    <row r="96" spans="1:17" x14ac:dyDescent="0.3">
      <c r="A96" s="122">
        <v>46078</v>
      </c>
      <c r="B96" s="120" t="s">
        <v>178</v>
      </c>
      <c r="C96" s="117">
        <v>1535</v>
      </c>
      <c r="D96" s="117" t="s">
        <v>85</v>
      </c>
      <c r="E96" s="11">
        <v>2103</v>
      </c>
      <c r="F96" s="11">
        <v>2069</v>
      </c>
      <c r="G96" s="11">
        <v>2212</v>
      </c>
      <c r="H96" s="118">
        <f>_xlfn.XLOOKUP(Table1[[#This Row],[Shipment Number]], 'pivot '!A:A,'pivot '!G:G, "NF")</f>
        <v>2.2388885569293109</v>
      </c>
      <c r="I96" s="119">
        <f>Table1[[#This Row],[Tiyaar/gaz]]/1.0936</f>
        <v>2022.6773957571327</v>
      </c>
      <c r="J96" s="119" cm="1">
        <f t="array" ref="J9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20226.773957571328</v>
      </c>
      <c r="K96" s="117"/>
      <c r="O96"/>
      <c r="P96"/>
      <c r="Q96"/>
    </row>
    <row r="97" spans="1:18" x14ac:dyDescent="0.3">
      <c r="A97" s="122">
        <v>46078</v>
      </c>
      <c r="B97" s="120" t="s">
        <v>21</v>
      </c>
      <c r="C97" s="117">
        <v>1536</v>
      </c>
      <c r="D97" s="117" t="s">
        <v>85</v>
      </c>
      <c r="E97" s="11">
        <v>2096</v>
      </c>
      <c r="F97" s="11">
        <f>100801-24845-2486</f>
        <v>73470</v>
      </c>
      <c r="G97" s="11">
        <v>11908</v>
      </c>
      <c r="H97" s="118">
        <f>_xlfn.XLOOKUP(Table1[[#This Row],[Shipment Number]], 'pivot '!A:A,'pivot '!G:G, "NF")</f>
        <v>7.5532474277255375</v>
      </c>
      <c r="I97" s="119">
        <f>Table1[[#This Row],[Tiyaar/gaz]]/1.0936</f>
        <v>10888.807607900513</v>
      </c>
      <c r="J97" s="119" cm="1">
        <f t="array" ref="J9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108888.07607900513</v>
      </c>
      <c r="K97" s="117"/>
      <c r="O97"/>
      <c r="P97"/>
      <c r="Q97"/>
    </row>
    <row r="98" spans="1:18" x14ac:dyDescent="0.3">
      <c r="A98" s="122">
        <v>46078</v>
      </c>
      <c r="B98" s="120" t="s">
        <v>22</v>
      </c>
      <c r="C98" s="117">
        <v>1537</v>
      </c>
      <c r="D98" s="117" t="s">
        <v>86</v>
      </c>
      <c r="E98" s="11">
        <v>2105</v>
      </c>
      <c r="F98" s="11">
        <v>14584</v>
      </c>
      <c r="G98" s="11">
        <v>15320</v>
      </c>
      <c r="H98" s="118">
        <f>_xlfn.XLOOKUP(Table1[[#This Row],[Shipment Number]], 'pivot '!A:A,'pivot '!G:G, "NF")</f>
        <v>3.9441967447565958</v>
      </c>
      <c r="I98" s="119">
        <f>Table1[[#This Row],[Tiyaar/gaz]]/1.0936</f>
        <v>14008.778346744697</v>
      </c>
      <c r="J98" s="119" cm="1">
        <f t="array" ref="J9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182114.11850768107</v>
      </c>
      <c r="K98" s="117"/>
      <c r="L98"/>
      <c r="M98"/>
      <c r="O98"/>
      <c r="P98"/>
      <c r="Q98"/>
    </row>
    <row r="99" spans="1:18" x14ac:dyDescent="0.3">
      <c r="A99" s="122">
        <v>46078</v>
      </c>
      <c r="B99" s="120" t="s">
        <v>9</v>
      </c>
      <c r="C99" s="117">
        <v>1538</v>
      </c>
      <c r="D99" s="117" t="s">
        <v>86</v>
      </c>
      <c r="E99" s="11">
        <v>2104</v>
      </c>
      <c r="F99" s="11">
        <v>20046</v>
      </c>
      <c r="G99" s="11">
        <v>21160</v>
      </c>
      <c r="H99" s="118">
        <f>_xlfn.XLOOKUP(Table1[[#This Row],[Shipment Number]], 'pivot '!A:A,'pivot '!G:G, "NF")</f>
        <v>3.4773057811948433</v>
      </c>
      <c r="I99" s="119">
        <f>Table1[[#This Row],[Tiyaar/gaz]]/1.0936</f>
        <v>19348.939283101685</v>
      </c>
      <c r="J99" s="119" cm="1">
        <f t="array" ref="J9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251536.21068032191</v>
      </c>
      <c r="K99" s="117"/>
      <c r="M99"/>
      <c r="P99"/>
      <c r="Q99"/>
      <c r="R99"/>
    </row>
    <row r="100" spans="1:18" x14ac:dyDescent="0.3">
      <c r="A100" s="122">
        <v>46079</v>
      </c>
      <c r="B100" s="120" t="s">
        <v>27</v>
      </c>
      <c r="C100" s="117">
        <v>1539</v>
      </c>
      <c r="D100" s="117" t="s">
        <v>85</v>
      </c>
      <c r="E100" s="11">
        <v>2088</v>
      </c>
      <c r="F100" s="11">
        <v>19717</v>
      </c>
      <c r="G100" s="11">
        <v>21223</v>
      </c>
      <c r="H100" s="118">
        <f>_xlfn.XLOOKUP(Table1[[#This Row],[Shipment Number]], 'pivot '!A:A,'pivot '!G:G, "NF")</f>
        <v>1.5745438778021281</v>
      </c>
      <c r="I100" s="119">
        <f>Table1[[#This Row],[Tiyaar/gaz]]/1.0936</f>
        <v>19406.547183613755</v>
      </c>
      <c r="J100" s="119" cm="1">
        <f t="array" ref="J10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194065.47183613756</v>
      </c>
      <c r="K100" s="117"/>
      <c r="M100"/>
      <c r="P100"/>
      <c r="Q100"/>
      <c r="R100"/>
    </row>
    <row r="101" spans="1:18" x14ac:dyDescent="0.3">
      <c r="A101" s="122">
        <v>46079</v>
      </c>
      <c r="B101" s="120" t="s">
        <v>26</v>
      </c>
      <c r="C101" s="117">
        <v>1540</v>
      </c>
      <c r="D101" s="117" t="s">
        <v>85</v>
      </c>
      <c r="E101" s="11">
        <v>1996</v>
      </c>
      <c r="F101" s="11">
        <v>24005</v>
      </c>
      <c r="G101" s="11">
        <v>8269</v>
      </c>
      <c r="H101" s="118">
        <f>_xlfn.XLOOKUP(Table1[[#This Row],[Shipment Number]], 'pivot '!A:A,'pivot '!G:G, "NF")</f>
        <v>3.0849918946720294</v>
      </c>
      <c r="I101" s="119">
        <f>Table1[[#This Row],[Tiyaar/gaz]]/1.0936</f>
        <v>7561.2655449890281</v>
      </c>
      <c r="J101" s="119" cm="1">
        <f t="array" ref="J10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75612.655449890284</v>
      </c>
      <c r="K101" s="117"/>
      <c r="M101"/>
      <c r="P101"/>
      <c r="Q101"/>
      <c r="R101"/>
    </row>
    <row r="102" spans="1:18" x14ac:dyDescent="0.3">
      <c r="A102" s="122">
        <v>46080</v>
      </c>
      <c r="B102" s="120" t="s">
        <v>21</v>
      </c>
      <c r="C102" s="117">
        <v>1541</v>
      </c>
      <c r="D102" s="117" t="s">
        <v>86</v>
      </c>
      <c r="E102" s="11">
        <v>2113</v>
      </c>
      <c r="F102" s="11">
        <v>46469</v>
      </c>
      <c r="G102" s="11">
        <v>9555</v>
      </c>
      <c r="H102" s="118">
        <f>_xlfn.XLOOKUP(Table1[[#This Row],[Shipment Number]], 'pivot '!A:A,'pivot '!G:G, "NF")</f>
        <v>3.5154490121652202</v>
      </c>
      <c r="I102" s="119">
        <f>Table1[[#This Row],[Tiyaar/gaz]]/1.0936</f>
        <v>8737.1982443306515</v>
      </c>
      <c r="J102" s="119" cm="1">
        <f t="array" ref="J10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113583.57717629847</v>
      </c>
      <c r="K102" s="117"/>
      <c r="M102"/>
      <c r="P102"/>
      <c r="Q102"/>
      <c r="R102"/>
    </row>
    <row r="103" spans="1:18" x14ac:dyDescent="0.3">
      <c r="A103" s="122">
        <v>46080</v>
      </c>
      <c r="B103" s="120" t="s">
        <v>228</v>
      </c>
      <c r="C103" s="117">
        <v>1542</v>
      </c>
      <c r="D103" s="117" t="s">
        <v>85</v>
      </c>
      <c r="E103" s="11">
        <v>2107</v>
      </c>
      <c r="F103" s="11">
        <v>50292</v>
      </c>
      <c r="G103" s="11">
        <v>43079</v>
      </c>
      <c r="H103" s="118">
        <f>_xlfn.XLOOKUP(Table1[[#This Row],[Shipment Number]], 'pivot '!A:A,'pivot '!G:G, "NF")</f>
        <v>2.6151794369455814</v>
      </c>
      <c r="I103" s="119">
        <f>Table1[[#This Row],[Tiyaar/gaz]]/1.0936</f>
        <v>39391.916605705926</v>
      </c>
      <c r="J103" s="119" cm="1">
        <f t="array" ref="J10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393919.16605705925</v>
      </c>
      <c r="K103" s="117"/>
      <c r="M103"/>
      <c r="P103"/>
      <c r="Q103"/>
      <c r="R103"/>
    </row>
    <row r="104" spans="1:18" x14ac:dyDescent="0.3">
      <c r="A104" s="122">
        <v>46080</v>
      </c>
      <c r="B104" s="120" t="s">
        <v>228</v>
      </c>
      <c r="C104" s="117">
        <v>1543</v>
      </c>
      <c r="D104" s="117" t="s">
        <v>85</v>
      </c>
      <c r="E104" s="11">
        <v>2107</v>
      </c>
      <c r="F104" s="11">
        <v>50292</v>
      </c>
      <c r="G104" s="11">
        <v>10482</v>
      </c>
      <c r="H104" s="118">
        <f>_xlfn.XLOOKUP(Table1[[#This Row],[Shipment Number]], 'pivot '!A:A,'pivot '!G:G, "NF")</f>
        <v>2.6151794369455814</v>
      </c>
      <c r="I104" s="119">
        <f>Table1[[#This Row],[Tiyaar/gaz]]/1.0936</f>
        <v>9584.8573518653993</v>
      </c>
      <c r="J104" s="119" cm="1">
        <f t="array" ref="J10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95848.573518653997</v>
      </c>
      <c r="K104" s="117"/>
      <c r="M104"/>
      <c r="P104"/>
      <c r="Q104"/>
      <c r="R104"/>
    </row>
    <row r="105" spans="1:18" x14ac:dyDescent="0.3">
      <c r="A105" s="122">
        <v>46080</v>
      </c>
      <c r="B105" s="120" t="s">
        <v>26</v>
      </c>
      <c r="C105" s="117">
        <v>1544</v>
      </c>
      <c r="D105" s="117" t="s">
        <v>85</v>
      </c>
      <c r="E105" s="11">
        <v>1996</v>
      </c>
      <c r="F105" s="11">
        <v>24005</v>
      </c>
      <c r="G105" s="11">
        <v>17173</v>
      </c>
      <c r="H105" s="118">
        <f>_xlfn.XLOOKUP(Table1[[#This Row],[Shipment Number]], 'pivot '!A:A,'pivot '!G:G, "NF")</f>
        <v>3.0849918946720294</v>
      </c>
      <c r="I105" s="119">
        <f>Table1[[#This Row],[Tiyaar/gaz]]/1.0936</f>
        <v>15703.182150694955</v>
      </c>
      <c r="J105" s="119" cm="1">
        <f t="array" ref="J10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157031.82150694955</v>
      </c>
      <c r="K105" s="117"/>
      <c r="M105"/>
      <c r="P105"/>
      <c r="Q105"/>
      <c r="R105"/>
    </row>
    <row r="106" spans="1:18" x14ac:dyDescent="0.3">
      <c r="A106" s="122">
        <v>46083</v>
      </c>
      <c r="B106" s="120" t="s">
        <v>312</v>
      </c>
      <c r="C106" s="117">
        <v>1545</v>
      </c>
      <c r="D106" s="117" t="s">
        <v>86</v>
      </c>
      <c r="E106" s="11">
        <v>2108</v>
      </c>
      <c r="F106" s="11">
        <v>46392</v>
      </c>
      <c r="G106" s="11">
        <v>33424</v>
      </c>
      <c r="H106" s="118">
        <f>_xlfn.XLOOKUP(Table1[[#This Row],[Shipment Number]], 'pivot '!A:A,'pivot '!G:G, "NF")</f>
        <v>3.5997175811534561</v>
      </c>
      <c r="I106" s="119">
        <f>Table1[[#This Row],[Tiyaar/gaz]]/1.0936</f>
        <v>30563.277249451356</v>
      </c>
      <c r="J106" s="119" cm="1">
        <f t="array" ref="J10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397322.60424286762</v>
      </c>
      <c r="K106" s="117"/>
      <c r="P106"/>
      <c r="Q106"/>
      <c r="R106"/>
    </row>
    <row r="107" spans="1:18" x14ac:dyDescent="0.3">
      <c r="A107" s="122">
        <v>46083</v>
      </c>
      <c r="B107" s="120" t="s">
        <v>312</v>
      </c>
      <c r="C107" s="117">
        <v>1546</v>
      </c>
      <c r="D107" s="117" t="s">
        <v>86</v>
      </c>
      <c r="E107" s="11">
        <v>2108</v>
      </c>
      <c r="F107" s="11">
        <v>46392</v>
      </c>
      <c r="G107" s="11">
        <v>15484</v>
      </c>
      <c r="H107" s="118">
        <f>_xlfn.XLOOKUP(Table1[[#This Row],[Shipment Number]], 'pivot '!A:A,'pivot '!G:G, "NF")</f>
        <v>3.5997175811534561</v>
      </c>
      <c r="I107" s="119">
        <f>Table1[[#This Row],[Tiyaar/gaz]]/1.0936</f>
        <v>14158.741770299928</v>
      </c>
      <c r="J107" s="119" cm="1">
        <f t="array" ref="J10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184063.64301389907</v>
      </c>
      <c r="K107" s="117"/>
      <c r="L107"/>
      <c r="P107"/>
      <c r="Q107"/>
      <c r="R107"/>
    </row>
    <row r="108" spans="1:18" x14ac:dyDescent="0.3">
      <c r="A108" s="122">
        <v>46083</v>
      </c>
      <c r="B108" s="120" t="s">
        <v>21</v>
      </c>
      <c r="C108" s="117">
        <v>1547</v>
      </c>
      <c r="D108" s="117" t="s">
        <v>86</v>
      </c>
      <c r="E108" s="11">
        <v>2113</v>
      </c>
      <c r="F108" s="11">
        <v>46469</v>
      </c>
      <c r="G108" s="11">
        <v>6890</v>
      </c>
      <c r="H108" s="118">
        <f>_xlfn.XLOOKUP(Table1[[#This Row],[Shipment Number]], 'pivot '!A:A,'pivot '!G:G, "NF")</f>
        <v>3.5154490121652202</v>
      </c>
      <c r="I108" s="119">
        <f>Table1[[#This Row],[Tiyaar/gaz]]/1.0936</f>
        <v>6300.2926115581568</v>
      </c>
      <c r="J108" s="119" cm="1">
        <f t="array" ref="J10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81903.803950256042</v>
      </c>
      <c r="K108" s="117"/>
      <c r="L108"/>
      <c r="P108"/>
      <c r="Q108"/>
      <c r="R108"/>
    </row>
    <row r="109" spans="1:18" x14ac:dyDescent="0.3">
      <c r="A109" s="122">
        <v>46083</v>
      </c>
      <c r="B109" s="120" t="s">
        <v>21</v>
      </c>
      <c r="C109" s="117">
        <v>1548</v>
      </c>
      <c r="D109" s="117" t="s">
        <v>86</v>
      </c>
      <c r="E109" s="11">
        <v>2114</v>
      </c>
      <c r="F109" s="11">
        <v>22835</v>
      </c>
      <c r="G109" s="11">
        <v>3207</v>
      </c>
      <c r="H109" s="118">
        <f>_xlfn.XLOOKUP(Table1[[#This Row],[Shipment Number]], 'pivot '!A:A,'pivot '!G:G, "NF")</f>
        <v>-6.9702834606394646</v>
      </c>
      <c r="I109" s="119">
        <f>Table1[[#This Row],[Tiyaar/gaz]]/1.0936</f>
        <v>2932.5164594001467</v>
      </c>
      <c r="J109" s="119" cm="1">
        <f t="array" ref="J10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38122.713972201906</v>
      </c>
      <c r="K109" s="117"/>
      <c r="L109"/>
      <c r="O109"/>
      <c r="P109"/>
      <c r="Q109"/>
    </row>
    <row r="110" spans="1:18" x14ac:dyDescent="0.3">
      <c r="A110" s="122">
        <v>46083</v>
      </c>
      <c r="B110" s="120" t="s">
        <v>312</v>
      </c>
      <c r="C110" s="117">
        <v>1549</v>
      </c>
      <c r="D110" s="117" t="s">
        <v>86</v>
      </c>
      <c r="E110" s="11">
        <v>2109</v>
      </c>
      <c r="F110" s="11">
        <v>45985</v>
      </c>
      <c r="G110" s="11">
        <v>46245</v>
      </c>
      <c r="H110" s="118">
        <f>_xlfn.XLOOKUP(Table1[[#This Row],[Shipment Number]], 'pivot '!A:A,'pivot '!G:G, "NF")</f>
        <v>8.0418784185772267</v>
      </c>
      <c r="I110" s="119">
        <f>Table1[[#This Row],[Tiyaar/gaz]]/1.0936</f>
        <v>42286.942209217268</v>
      </c>
      <c r="J110" s="119" cm="1">
        <f t="array" ref="J11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549730.24871982448</v>
      </c>
      <c r="K110" s="117"/>
      <c r="L110"/>
      <c r="O110"/>
      <c r="P110"/>
      <c r="Q110"/>
    </row>
    <row r="111" spans="1:18" x14ac:dyDescent="0.3">
      <c r="A111" s="122">
        <v>46083</v>
      </c>
      <c r="B111" s="120" t="s">
        <v>377</v>
      </c>
      <c r="C111" s="117">
        <v>1550</v>
      </c>
      <c r="D111" s="117" t="s">
        <v>85</v>
      </c>
      <c r="E111" s="11">
        <v>2110</v>
      </c>
      <c r="F111" s="11">
        <v>26023</v>
      </c>
      <c r="G111" s="11">
        <v>28166</v>
      </c>
      <c r="H111" s="118">
        <f>_xlfn.XLOOKUP(Table1[[#This Row],[Shipment Number]], 'pivot '!A:A,'pivot '!G:G, "NF")</f>
        <v>1.0286916016923868</v>
      </c>
      <c r="I111" s="119">
        <f>Table1[[#This Row],[Tiyaar/gaz]]/1.0936</f>
        <v>25755.30358449159</v>
      </c>
      <c r="J111" s="119" cm="1">
        <f t="array" ref="J11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257553.0358449159</v>
      </c>
      <c r="K111" s="117"/>
      <c r="L111"/>
      <c r="O111"/>
      <c r="P111"/>
      <c r="Q111"/>
    </row>
    <row r="112" spans="1:18" x14ac:dyDescent="0.3">
      <c r="A112" s="122">
        <v>46083</v>
      </c>
      <c r="B112" s="120" t="s">
        <v>248</v>
      </c>
      <c r="C112" s="117" t="s">
        <v>381</v>
      </c>
      <c r="D112" s="117" t="s">
        <v>380</v>
      </c>
      <c r="E112" s="11">
        <v>2106</v>
      </c>
      <c r="F112" s="11"/>
      <c r="G112" s="11">
        <v>1390</v>
      </c>
      <c r="H112" s="118" t="e">
        <f>_xlfn.XLOOKUP(Table1[[#This Row],[Shipment Number]], 'pivot '!A:A,'pivot '!G:G, "NF")</f>
        <v>#DIV/0!</v>
      </c>
      <c r="I112" s="119">
        <f>Table1[[#This Row],[Tiyaar/gaz]]/1.0936</f>
        <v>1271.031455742502</v>
      </c>
      <c r="J112" s="119">
        <f>Table1[[#This Row],[tiyar/meters]]*25</f>
        <v>31775.78639356255</v>
      </c>
      <c r="K112" s="117"/>
      <c r="L112"/>
      <c r="O112"/>
      <c r="P112"/>
      <c r="Q112"/>
    </row>
    <row r="113" spans="1:17" x14ac:dyDescent="0.3">
      <c r="A113" s="122">
        <v>46083</v>
      </c>
      <c r="B113" s="120" t="s">
        <v>248</v>
      </c>
      <c r="C113" s="117" t="s">
        <v>382</v>
      </c>
      <c r="D113" s="117" t="s">
        <v>380</v>
      </c>
      <c r="E113" s="11">
        <v>2106</v>
      </c>
      <c r="F113" s="11"/>
      <c r="G113" s="11">
        <v>1448</v>
      </c>
      <c r="H113" s="118" t="e">
        <f>_xlfn.XLOOKUP(Table1[[#This Row],[Shipment Number]], 'pivot '!A:A,'pivot '!G:G, "NF")</f>
        <v>#DIV/0!</v>
      </c>
      <c r="I113" s="119">
        <f>Table1[[#This Row],[Tiyaar/gaz]]/1.0936</f>
        <v>1324.0673006583761</v>
      </c>
      <c r="J113" s="119">
        <f>Table1[[#This Row],[tiyar/meters]]*15</f>
        <v>19861.009509875643</v>
      </c>
      <c r="K113" s="117"/>
      <c r="O113"/>
      <c r="P113"/>
      <c r="Q113"/>
    </row>
    <row r="114" spans="1:17" x14ac:dyDescent="0.3">
      <c r="A114" s="122">
        <v>46083</v>
      </c>
      <c r="B114" s="120" t="s">
        <v>9</v>
      </c>
      <c r="C114" s="117">
        <v>1552</v>
      </c>
      <c r="D114" s="117" t="s">
        <v>85</v>
      </c>
      <c r="E114" s="11">
        <v>2119</v>
      </c>
      <c r="F114" s="11">
        <v>25082</v>
      </c>
      <c r="G114" s="11">
        <v>13375</v>
      </c>
      <c r="H114" s="118">
        <f>_xlfn.XLOOKUP(Table1[[#This Row],[Shipment Number]], 'pivot '!A:A,'pivot '!G:G, "NF")</f>
        <v>2.9408849872199596</v>
      </c>
      <c r="I114" s="119">
        <f>Table1[[#This Row],[Tiyaar/gaz]]/1.0936</f>
        <v>12230.248719824434</v>
      </c>
      <c r="J114" s="119" cm="1">
        <f t="array" ref="J11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122302.48719824434</v>
      </c>
      <c r="K114" s="117"/>
      <c r="O114"/>
      <c r="P114"/>
      <c r="Q114"/>
    </row>
    <row r="115" spans="1:17" x14ac:dyDescent="0.3">
      <c r="A115" s="122">
        <v>46083</v>
      </c>
      <c r="B115" s="120" t="s">
        <v>9</v>
      </c>
      <c r="C115" s="117">
        <v>1553</v>
      </c>
      <c r="D115" s="117" t="s">
        <v>85</v>
      </c>
      <c r="E115" s="11">
        <v>2119</v>
      </c>
      <c r="F115" s="11">
        <v>25082</v>
      </c>
      <c r="G115" s="11">
        <v>13248</v>
      </c>
      <c r="H115" s="118">
        <f>_xlfn.XLOOKUP(Table1[[#This Row],[Shipment Number]], 'pivot '!A:A,'pivot '!G:G, "NF")</f>
        <v>2.9408849872199596</v>
      </c>
      <c r="I115" s="119">
        <f>Table1[[#This Row],[Tiyaar/gaz]]/1.0936</f>
        <v>12114.118507681054</v>
      </c>
      <c r="J115" s="119" cm="1">
        <f t="array" ref="J11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121141.18507681054</v>
      </c>
      <c r="K115" s="117"/>
      <c r="O115"/>
      <c r="P115"/>
      <c r="Q115"/>
    </row>
    <row r="116" spans="1:17" x14ac:dyDescent="0.3">
      <c r="A116" s="122">
        <v>46083</v>
      </c>
      <c r="B116" s="120" t="s">
        <v>22</v>
      </c>
      <c r="C116" s="117">
        <v>1554</v>
      </c>
      <c r="D116" s="117" t="s">
        <v>86</v>
      </c>
      <c r="E116" s="11">
        <v>2112</v>
      </c>
      <c r="F116" s="11">
        <v>13945</v>
      </c>
      <c r="G116" s="11">
        <v>14730</v>
      </c>
      <c r="H116" s="118">
        <f>_xlfn.XLOOKUP(Table1[[#This Row],[Shipment Number]], 'pivot '!A:A,'pivot '!G:G, "NF")</f>
        <v>3.411432152071967</v>
      </c>
      <c r="I116" s="119">
        <f>Table1[[#This Row],[Tiyaar/gaz]]/1.0936</f>
        <v>13469.275786393564</v>
      </c>
      <c r="J116" s="119" cm="1">
        <f t="array" ref="J11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175100.58522311633</v>
      </c>
      <c r="K116" s="117"/>
      <c r="O116"/>
      <c r="P116"/>
      <c r="Q116"/>
    </row>
    <row r="117" spans="1:17" x14ac:dyDescent="0.3">
      <c r="A117" s="122">
        <v>46083</v>
      </c>
      <c r="B117" s="120" t="s">
        <v>21</v>
      </c>
      <c r="C117" s="117">
        <v>1555</v>
      </c>
      <c r="D117" s="117" t="s">
        <v>86</v>
      </c>
      <c r="E117" s="11">
        <v>2115</v>
      </c>
      <c r="F117" s="11">
        <v>18783</v>
      </c>
      <c r="G117" s="11">
        <v>16742</v>
      </c>
      <c r="H117" s="118">
        <f>_xlfn.XLOOKUP(Table1[[#This Row],[Shipment Number]], 'pivot '!A:A,'pivot '!G:G, "NF")</f>
        <v>2.3907632393858194</v>
      </c>
      <c r="I117" s="119">
        <f>Table1[[#This Row],[Tiyaar/gaz]]/1.0936</f>
        <v>15309.070958302855</v>
      </c>
      <c r="J117" s="119" cm="1">
        <f t="array" ref="J11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199017.92245793712</v>
      </c>
      <c r="K117" s="117"/>
      <c r="O117"/>
      <c r="P117"/>
      <c r="Q117"/>
    </row>
    <row r="118" spans="1:17" x14ac:dyDescent="0.3">
      <c r="A118" s="122">
        <v>46083</v>
      </c>
      <c r="B118" s="120" t="s">
        <v>21</v>
      </c>
      <c r="C118" s="117">
        <v>1556</v>
      </c>
      <c r="D118" s="117" t="s">
        <v>86</v>
      </c>
      <c r="E118" s="11">
        <v>2114</v>
      </c>
      <c r="F118" s="11">
        <v>22835</v>
      </c>
      <c r="G118" s="11">
        <v>2504</v>
      </c>
      <c r="H118" s="118">
        <f>_xlfn.XLOOKUP(Table1[[#This Row],[Shipment Number]], 'pivot '!A:A,'pivot '!G:G, "NF")</f>
        <v>-6.9702834606394646</v>
      </c>
      <c r="I118" s="119">
        <f>Table1[[#This Row],[Tiyaar/gaz]]/1.0936</f>
        <v>2289.6854425749821</v>
      </c>
      <c r="J118" s="119" cm="1">
        <f t="array" ref="J11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29765.910753474767</v>
      </c>
      <c r="K118" s="117"/>
      <c r="O118"/>
      <c r="P118"/>
      <c r="Q118"/>
    </row>
    <row r="119" spans="1:17" x14ac:dyDescent="0.3">
      <c r="A119" s="122">
        <v>46083</v>
      </c>
      <c r="B119" s="120" t="s">
        <v>228</v>
      </c>
      <c r="C119" s="117">
        <v>1557</v>
      </c>
      <c r="D119" s="117" t="s">
        <v>85</v>
      </c>
      <c r="E119" s="11">
        <v>1980</v>
      </c>
      <c r="F119" s="11">
        <v>24845</v>
      </c>
      <c r="G119" s="11">
        <v>26443</v>
      </c>
      <c r="H119" s="118">
        <f>_xlfn.XLOOKUP(Table1[[#This Row],[Shipment Number]], 'pivot '!A:A,'pivot '!G:G, "NF")</f>
        <v>2.6775076432182345</v>
      </c>
      <c r="I119" s="119">
        <f>Table1[[#This Row],[Tiyaar/gaz]]/1.0936</f>
        <v>24179.773226042431</v>
      </c>
      <c r="J119" s="119" cm="1">
        <f t="array" ref="J11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241797.73226042429</v>
      </c>
      <c r="K119" s="117"/>
      <c r="O119"/>
      <c r="P119"/>
      <c r="Q119"/>
    </row>
    <row r="120" spans="1:17" x14ac:dyDescent="0.3">
      <c r="A120" s="122">
        <v>46084</v>
      </c>
      <c r="B120" s="120" t="s">
        <v>228</v>
      </c>
      <c r="C120" s="117">
        <v>1558</v>
      </c>
      <c r="D120" s="117" t="s">
        <v>85</v>
      </c>
      <c r="E120" s="11">
        <v>2093</v>
      </c>
      <c r="F120" s="11">
        <v>30363</v>
      </c>
      <c r="G120" s="11">
        <v>14204</v>
      </c>
      <c r="H120" s="118">
        <f>_xlfn.XLOOKUP(Table1[[#This Row],[Shipment Number]], 'pivot '!A:A,'pivot '!G:G, "NF")</f>
        <v>2.7766223284938292</v>
      </c>
      <c r="I120" s="119">
        <f>Table1[[#This Row],[Tiyaar/gaz]]/1.0936</f>
        <v>12988.295537673739</v>
      </c>
      <c r="J120" s="119" cm="1">
        <f t="array" ref="J12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129882.95537673739</v>
      </c>
      <c r="K120" s="117"/>
      <c r="P120"/>
      <c r="Q120"/>
    </row>
    <row r="121" spans="1:17" x14ac:dyDescent="0.3">
      <c r="A121" s="122">
        <v>46084</v>
      </c>
      <c r="B121" s="120" t="s">
        <v>401</v>
      </c>
      <c r="C121" s="117">
        <v>1559</v>
      </c>
      <c r="D121" s="117" t="s">
        <v>86</v>
      </c>
      <c r="E121" s="11">
        <v>2113</v>
      </c>
      <c r="F121" s="11">
        <v>46469</v>
      </c>
      <c r="G121" s="11">
        <v>11528</v>
      </c>
      <c r="H121" s="118">
        <f>_xlfn.XLOOKUP(Table1[[#This Row],[Shipment Number]], 'pivot '!A:A,'pivot '!G:G, "NF")</f>
        <v>3.5154490121652202</v>
      </c>
      <c r="I121" s="119">
        <f>Table1[[#This Row],[Tiyaar/gaz]]/1.0936</f>
        <v>10541.331382589613</v>
      </c>
      <c r="J121" s="119" cm="1">
        <f t="array" ref="J12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137037.30797366498</v>
      </c>
      <c r="K121" s="117"/>
      <c r="P121"/>
      <c r="Q121"/>
    </row>
    <row r="122" spans="1:17" x14ac:dyDescent="0.3">
      <c r="A122" s="122">
        <v>46084</v>
      </c>
      <c r="B122" s="120" t="s">
        <v>228</v>
      </c>
      <c r="C122" s="117">
        <v>1560</v>
      </c>
      <c r="D122" s="117" t="s">
        <v>85</v>
      </c>
      <c r="E122" s="11">
        <v>2093</v>
      </c>
      <c r="F122" s="11">
        <v>30363</v>
      </c>
      <c r="G122" s="11">
        <v>18079</v>
      </c>
      <c r="H122" s="118">
        <f>_xlfn.XLOOKUP(Table1[[#This Row],[Shipment Number]], 'pivot '!A:A,'pivot '!G:G, "NF")</f>
        <v>2.7766223284938292</v>
      </c>
      <c r="I122" s="119">
        <f>Table1[[#This Row],[Tiyaar/gaz]]/1.0936</f>
        <v>16531.638624725678</v>
      </c>
      <c r="J122" s="119" cm="1">
        <f t="array" ref="J12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165316.38624725677</v>
      </c>
      <c r="K122" s="117"/>
      <c r="P122"/>
      <c r="Q122"/>
    </row>
    <row r="123" spans="1:17" x14ac:dyDescent="0.3">
      <c r="A123" s="122">
        <v>46084</v>
      </c>
      <c r="B123" s="120" t="s">
        <v>27</v>
      </c>
      <c r="C123" s="117">
        <v>1561</v>
      </c>
      <c r="D123" s="117" t="s">
        <v>85</v>
      </c>
      <c r="E123" s="11">
        <v>2121</v>
      </c>
      <c r="F123" s="11">
        <v>52527</v>
      </c>
      <c r="G123" s="11">
        <v>28294</v>
      </c>
      <c r="H123" s="118">
        <f>_xlfn.XLOOKUP(Table1[[#This Row],[Shipment Number]], 'pivot '!A:A,'pivot '!G:G, "NF")</f>
        <v>3.1152808457764678</v>
      </c>
      <c r="I123" s="119">
        <f>Table1[[#This Row],[Tiyaar/gaz]]/1.0936</f>
        <v>25872.34820775421</v>
      </c>
      <c r="J123" s="119" cm="1">
        <f t="array" ref="J12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258723.48207754211</v>
      </c>
      <c r="K123" s="117"/>
      <c r="P123"/>
      <c r="Q123"/>
    </row>
    <row r="124" spans="1:17" x14ac:dyDescent="0.3">
      <c r="A124" s="122">
        <v>46084</v>
      </c>
      <c r="B124" s="120" t="s">
        <v>27</v>
      </c>
      <c r="C124" s="117">
        <v>1562</v>
      </c>
      <c r="D124" s="117" t="s">
        <v>85</v>
      </c>
      <c r="E124" s="11">
        <v>2121</v>
      </c>
      <c r="F124" s="11">
        <v>52527</v>
      </c>
      <c r="G124" s="11">
        <v>27360</v>
      </c>
      <c r="H124" s="118">
        <f>_xlfn.XLOOKUP(Table1[[#This Row],[Shipment Number]], 'pivot '!A:A,'pivot '!G:G, "NF")</f>
        <v>3.1152808457764678</v>
      </c>
      <c r="I124" s="119">
        <f>Table1[[#This Row],[Tiyaar/gaz]]/1.0936</f>
        <v>25018.288222384785</v>
      </c>
      <c r="J124" s="119" cm="1">
        <f t="array" ref="J12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250182.88222384785</v>
      </c>
      <c r="K124" s="117"/>
      <c r="P124"/>
      <c r="Q124"/>
    </row>
    <row r="125" spans="1:17" x14ac:dyDescent="0.3">
      <c r="A125" s="122">
        <v>46085</v>
      </c>
      <c r="B125" s="120" t="s">
        <v>312</v>
      </c>
      <c r="C125" s="117">
        <v>1563</v>
      </c>
      <c r="D125" s="117" t="s">
        <v>207</v>
      </c>
      <c r="E125" s="11">
        <v>2127</v>
      </c>
      <c r="F125" s="11">
        <v>40476</v>
      </c>
      <c r="G125" s="11">
        <v>41559</v>
      </c>
      <c r="H125" s="118">
        <f>_xlfn.XLOOKUP(Table1[[#This Row],[Shipment Number]], 'pivot '!A:A,'pivot '!G:G, "NF")</f>
        <v>6.112235140670208</v>
      </c>
      <c r="I125" s="119">
        <f>Table1[[#This Row],[Tiyaar/gaz]]/1.0936</f>
        <v>38002.011704462333</v>
      </c>
      <c r="J125" s="119" cm="1">
        <f t="array" ref="J12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418022.12874908565</v>
      </c>
      <c r="K125" s="117"/>
      <c r="P125"/>
      <c r="Q125"/>
    </row>
    <row r="126" spans="1:17" x14ac:dyDescent="0.3">
      <c r="A126" s="122">
        <v>46085</v>
      </c>
      <c r="B126" s="120" t="s">
        <v>312</v>
      </c>
      <c r="C126" s="117">
        <v>1564</v>
      </c>
      <c r="D126" s="117" t="s">
        <v>207</v>
      </c>
      <c r="E126" s="11">
        <v>2118</v>
      </c>
      <c r="F126" s="11">
        <v>14074</v>
      </c>
      <c r="G126" s="11">
        <v>14324</v>
      </c>
      <c r="H126" s="118">
        <f>_xlfn.XLOOKUP(Table1[[#This Row],[Shipment Number]], 'pivot '!A:A,'pivot '!G:G, "NF")</f>
        <v>6.9345966180016632</v>
      </c>
      <c r="I126" s="119">
        <f>Table1[[#This Row],[Tiyaar/gaz]]/1.0936</f>
        <v>13098.024871982445</v>
      </c>
      <c r="J126" s="119" cm="1">
        <f t="array" ref="J12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144078.27359180688</v>
      </c>
      <c r="K126" s="117"/>
      <c r="P126"/>
      <c r="Q126"/>
    </row>
    <row r="127" spans="1:17" x14ac:dyDescent="0.3">
      <c r="A127" s="122">
        <v>46085</v>
      </c>
      <c r="B127" s="120" t="s">
        <v>21</v>
      </c>
      <c r="C127" s="117">
        <v>1565</v>
      </c>
      <c r="D127" s="117" t="s">
        <v>233</v>
      </c>
      <c r="E127" s="11" t="s">
        <v>415</v>
      </c>
      <c r="F127" s="11">
        <v>24035</v>
      </c>
      <c r="G127" s="11">
        <v>13601</v>
      </c>
      <c r="H127" s="118">
        <f>_xlfn.XLOOKUP(Table1[[#This Row],[Shipment Number]], 'pivot '!A:A,'pivot '!G:G, "NF")</f>
        <v>3.1070422933879769</v>
      </c>
      <c r="I127" s="119">
        <f>Table1[[#This Row],[Tiyaar/gaz]]/1.0936</f>
        <v>12436.905632772496</v>
      </c>
      <c r="J127" s="119" cm="1">
        <f t="array" ref="J12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124369.05632772496</v>
      </c>
      <c r="K127" s="117"/>
      <c r="P127"/>
      <c r="Q127"/>
    </row>
    <row r="128" spans="1:17" x14ac:dyDescent="0.3">
      <c r="A128" s="122">
        <v>46085</v>
      </c>
      <c r="B128" s="120" t="s">
        <v>232</v>
      </c>
      <c r="C128" s="117">
        <v>1566</v>
      </c>
      <c r="D128" s="117" t="s">
        <v>233</v>
      </c>
      <c r="E128" s="11">
        <v>2111</v>
      </c>
      <c r="F128" s="11">
        <v>12102</v>
      </c>
      <c r="G128" s="11">
        <v>3559</v>
      </c>
      <c r="H128" s="118">
        <f>_xlfn.XLOOKUP(Table1[[#This Row],[Shipment Number]], 'pivot '!A:A,'pivot '!G:G, "NF")</f>
        <v>8.1584270835184327</v>
      </c>
      <c r="I128" s="119">
        <f>Table1[[#This Row],[Tiyaar/gaz]]/1.0936</f>
        <v>3254.3891733723485</v>
      </c>
      <c r="J128" s="119" cm="1">
        <f t="array" ref="J12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35798.280907095832</v>
      </c>
      <c r="K128" s="117"/>
      <c r="P128"/>
      <c r="Q128"/>
    </row>
    <row r="129" spans="1:17" x14ac:dyDescent="0.3">
      <c r="A129" s="122">
        <v>46086</v>
      </c>
      <c r="B129" s="120" t="s">
        <v>232</v>
      </c>
      <c r="C129" s="117">
        <v>1567</v>
      </c>
      <c r="D129" s="117" t="s">
        <v>233</v>
      </c>
      <c r="E129" s="11">
        <v>2111</v>
      </c>
      <c r="F129" s="11">
        <v>12102</v>
      </c>
      <c r="G129" s="11">
        <v>8596</v>
      </c>
      <c r="H129" s="118">
        <f>_xlfn.XLOOKUP(Table1[[#This Row],[Shipment Number]], 'pivot '!A:A,'pivot '!G:G, "NF")</f>
        <v>8.1584270835184327</v>
      </c>
      <c r="I129" s="119">
        <f>Table1[[#This Row],[Tiyaar/gaz]]/1.0936</f>
        <v>7860.2779809802496</v>
      </c>
      <c r="J129" s="119" cm="1">
        <f t="array" ref="J12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86463.057790782739</v>
      </c>
      <c r="K129" s="117"/>
      <c r="P129"/>
      <c r="Q129"/>
    </row>
    <row r="130" spans="1:17" x14ac:dyDescent="0.3">
      <c r="A130" s="122">
        <v>46086</v>
      </c>
      <c r="B130" s="120" t="s">
        <v>21</v>
      </c>
      <c r="C130" s="117">
        <v>1568</v>
      </c>
      <c r="D130" s="117" t="s">
        <v>233</v>
      </c>
      <c r="E130" s="11" t="s">
        <v>415</v>
      </c>
      <c r="F130" s="11">
        <v>24035</v>
      </c>
      <c r="G130" s="11">
        <v>11867</v>
      </c>
      <c r="H130" s="118">
        <f>_xlfn.XLOOKUP(Table1[[#This Row],[Shipment Number]], 'pivot '!A:A,'pivot '!G:G, "NF")</f>
        <v>3.1070422933879769</v>
      </c>
      <c r="I130" s="119">
        <f>Table1[[#This Row],[Tiyaar/gaz]]/1.0936</f>
        <v>10851.316752011706</v>
      </c>
      <c r="J130" s="119" cm="1">
        <f t="array" ref="J13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108513.16752011706</v>
      </c>
      <c r="K130" s="117"/>
      <c r="P130"/>
      <c r="Q130"/>
    </row>
    <row r="131" spans="1:17" x14ac:dyDescent="0.3">
      <c r="A131" s="122">
        <v>46086</v>
      </c>
      <c r="B131" s="120" t="s">
        <v>21</v>
      </c>
      <c r="C131" s="117">
        <v>1569</v>
      </c>
      <c r="D131" s="117" t="s">
        <v>233</v>
      </c>
      <c r="E131" s="11">
        <v>1810</v>
      </c>
      <c r="F131" s="11">
        <v>14038</v>
      </c>
      <c r="G131" s="11">
        <v>11418</v>
      </c>
      <c r="H131" s="118">
        <f>_xlfn.XLOOKUP(Table1[[#This Row],[Shipment Number]], 'pivot '!A:A,'pivot '!G:G, "NF")</f>
        <v>9.1190772501392132</v>
      </c>
      <c r="I131" s="119">
        <f>Table1[[#This Row],[Tiyaar/gaz]]/1.0936</f>
        <v>10440.746159473299</v>
      </c>
      <c r="J131" s="119" cm="1">
        <f t="array" ref="J13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104407.461594733</v>
      </c>
      <c r="K131" s="117"/>
      <c r="O131"/>
      <c r="P131"/>
      <c r="Q131"/>
    </row>
    <row r="132" spans="1:17" x14ac:dyDescent="0.3">
      <c r="A132" s="122">
        <v>46086</v>
      </c>
      <c r="B132" s="120" t="s">
        <v>21</v>
      </c>
      <c r="C132" s="117">
        <v>1570</v>
      </c>
      <c r="D132" s="117" t="s">
        <v>233</v>
      </c>
      <c r="E132" s="11">
        <v>1743</v>
      </c>
      <c r="F132" s="11">
        <v>12042</v>
      </c>
      <c r="G132" s="11">
        <v>12864</v>
      </c>
      <c r="H132" s="118">
        <f>_xlfn.XLOOKUP(Table1[[#This Row],[Shipment Number]], 'pivot '!A:A,'pivot '!G:G, "NF")</f>
        <v>2.3170184529712685</v>
      </c>
      <c r="I132" s="119">
        <f>Table1[[#This Row],[Tiyaar/gaz]]/1.0936</f>
        <v>11762.984637893198</v>
      </c>
      <c r="J132" s="119" cm="1">
        <f t="array" ref="J13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117629.84637893198</v>
      </c>
      <c r="K132" s="117"/>
      <c r="M132"/>
      <c r="N132"/>
    </row>
    <row r="133" spans="1:17" x14ac:dyDescent="0.3">
      <c r="A133" s="122">
        <v>46086</v>
      </c>
      <c r="B133" s="120" t="s">
        <v>21</v>
      </c>
      <c r="C133" s="117">
        <v>1571</v>
      </c>
      <c r="D133" s="117" t="s">
        <v>233</v>
      </c>
      <c r="E133" s="11">
        <v>1809</v>
      </c>
      <c r="F133" s="11">
        <v>13927</v>
      </c>
      <c r="G133" s="11">
        <v>1124</v>
      </c>
      <c r="H133" s="118">
        <f>_xlfn.XLOOKUP(Table1[[#This Row],[Shipment Number]], 'pivot '!A:A,'pivot '!G:G, "NF")</f>
        <v>5.4795543005121914</v>
      </c>
      <c r="I133" s="119">
        <f>Table1[[#This Row],[Tiyaar/gaz]]/1.0936</f>
        <v>1027.7980980248722</v>
      </c>
      <c r="J133" s="119" cm="1">
        <f t="array" ref="J13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10277.980980248722</v>
      </c>
      <c r="K133" s="117"/>
    </row>
    <row r="134" spans="1:17" x14ac:dyDescent="0.3">
      <c r="A134" s="122">
        <v>46087</v>
      </c>
      <c r="B134" s="120" t="s">
        <v>21</v>
      </c>
      <c r="C134" s="117">
        <v>1572</v>
      </c>
      <c r="D134" s="117" t="s">
        <v>86</v>
      </c>
      <c r="E134" s="11">
        <v>2113</v>
      </c>
      <c r="F134" s="11">
        <v>46469</v>
      </c>
      <c r="G134" s="11">
        <v>21059</v>
      </c>
      <c r="H134" s="118">
        <f>_xlfn.XLOOKUP(Table1[[#This Row],[Shipment Number]], 'pivot '!A:A,'pivot '!G:G, "NF")</f>
        <v>3.5154490121652202</v>
      </c>
      <c r="I134" s="119">
        <f>Table1[[#This Row],[Tiyaar/gaz]]/1.0936</f>
        <v>19256.583760058526</v>
      </c>
      <c r="J134" s="119" cm="1">
        <f t="array" ref="J13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250335.58888076083</v>
      </c>
      <c r="K134" s="117"/>
    </row>
    <row r="135" spans="1:17" x14ac:dyDescent="0.3">
      <c r="A135" s="122">
        <v>46087</v>
      </c>
      <c r="B135" s="120" t="s">
        <v>21</v>
      </c>
      <c r="C135" s="117">
        <v>1573</v>
      </c>
      <c r="D135" s="117" t="s">
        <v>86</v>
      </c>
      <c r="E135" s="11">
        <v>2114</v>
      </c>
      <c r="F135" s="11">
        <v>22835</v>
      </c>
      <c r="G135" s="11">
        <v>13109</v>
      </c>
      <c r="H135" s="118">
        <f>_xlfn.XLOOKUP(Table1[[#This Row],[Shipment Number]], 'pivot '!A:A,'pivot '!G:G, "NF")</f>
        <v>-6.9702834606394646</v>
      </c>
      <c r="I135" s="119">
        <f>Table1[[#This Row],[Tiyaar/gaz]]/1.0936</f>
        <v>11987.015362106804</v>
      </c>
      <c r="J135" s="119" cm="1">
        <f t="array" ref="J13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155831.19970738844</v>
      </c>
      <c r="K135" s="117"/>
    </row>
    <row r="136" spans="1:17" x14ac:dyDescent="0.3">
      <c r="A136" s="122">
        <v>46087</v>
      </c>
      <c r="B136" s="120" t="s">
        <v>192</v>
      </c>
      <c r="C136" s="117">
        <v>1574</v>
      </c>
      <c r="D136" s="117" t="s">
        <v>86</v>
      </c>
      <c r="E136" s="11">
        <v>2125</v>
      </c>
      <c r="F136" s="11">
        <v>6940</v>
      </c>
      <c r="G136" s="11">
        <v>7232</v>
      </c>
      <c r="H136" s="118">
        <f>_xlfn.XLOOKUP(Table1[[#This Row],[Shipment Number]], 'pivot '!A:A,'pivot '!G:G, "NF")</f>
        <v>4.7115098798563793</v>
      </c>
      <c r="I136" s="119">
        <f>Table1[[#This Row],[Tiyaar/gaz]]/1.0936</f>
        <v>6613.0212143379667</v>
      </c>
      <c r="J136" s="119" cm="1">
        <f t="array" ref="J13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85969.275786393569</v>
      </c>
      <c r="K136" s="117"/>
    </row>
    <row r="137" spans="1:17" x14ac:dyDescent="0.3">
      <c r="A137" s="122">
        <v>46087</v>
      </c>
      <c r="B137" s="120" t="s">
        <v>21</v>
      </c>
      <c r="C137" s="117">
        <v>1575</v>
      </c>
      <c r="D137" s="117" t="s">
        <v>233</v>
      </c>
      <c r="E137" s="11">
        <v>1702</v>
      </c>
      <c r="F137" s="11">
        <v>11866</v>
      </c>
      <c r="G137" s="11">
        <v>8122</v>
      </c>
      <c r="H137" s="118">
        <f>_xlfn.XLOOKUP(Table1[[#This Row],[Shipment Number]], 'pivot '!A:A,'pivot '!G:G, "NF")</f>
        <v>6.1237463798073719</v>
      </c>
      <c r="I137" s="119">
        <f>Table1[[#This Row],[Tiyaar/gaz]]/1.0936</f>
        <v>7426.8471104608634</v>
      </c>
      <c r="J137" s="119" cm="1">
        <f t="array" ref="J13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74268.47110460863</v>
      </c>
      <c r="K137" s="117"/>
    </row>
    <row r="138" spans="1:17" x14ac:dyDescent="0.3">
      <c r="A138" s="122">
        <v>46088</v>
      </c>
      <c r="B138" s="120" t="s">
        <v>21</v>
      </c>
      <c r="C138" s="117">
        <v>1576</v>
      </c>
      <c r="D138" s="117" t="s">
        <v>233</v>
      </c>
      <c r="E138" s="11">
        <v>1742</v>
      </c>
      <c r="F138" s="11">
        <v>12026</v>
      </c>
      <c r="G138" s="11">
        <v>11659</v>
      </c>
      <c r="H138" s="118">
        <f>_xlfn.XLOOKUP(Table1[[#This Row],[Shipment Number]], 'pivot '!A:A,'pivot '!G:G, "NF")</f>
        <v>11.349415938716533</v>
      </c>
      <c r="I138" s="119">
        <f>Table1[[#This Row],[Tiyaar/gaz]]/1.0936</f>
        <v>10661.119239209949</v>
      </c>
      <c r="J138" s="119" cm="1">
        <f t="array" ref="J13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106611.19239209949</v>
      </c>
      <c r="K138" s="117"/>
    </row>
    <row r="139" spans="1:17" x14ac:dyDescent="0.3">
      <c r="A139" s="122">
        <v>46088</v>
      </c>
      <c r="B139" s="120" t="s">
        <v>21</v>
      </c>
      <c r="C139" s="117">
        <v>1577</v>
      </c>
      <c r="D139" s="117" t="s">
        <v>233</v>
      </c>
      <c r="E139" s="11">
        <v>1775</v>
      </c>
      <c r="F139" s="11">
        <v>11886</v>
      </c>
      <c r="G139" s="11">
        <v>7064</v>
      </c>
      <c r="H139" s="118">
        <f>_xlfn.XLOOKUP(Table1[[#This Row],[Shipment Number]], 'pivot '!A:A,'pivot '!G:G, "NF")</f>
        <v>45.655391668300695</v>
      </c>
      <c r="I139" s="119">
        <f>Table1[[#This Row],[Tiyaar/gaz]]/1.0936</f>
        <v>6459.4001463057793</v>
      </c>
      <c r="J139" s="119" cm="1">
        <f t="array" ref="J13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64594.001463057793</v>
      </c>
      <c r="K139" s="117"/>
    </row>
    <row r="140" spans="1:17" x14ac:dyDescent="0.3">
      <c r="A140" s="122">
        <v>46088</v>
      </c>
      <c r="B140" s="120" t="s">
        <v>21</v>
      </c>
      <c r="C140" s="117">
        <v>1578</v>
      </c>
      <c r="D140" s="117" t="s">
        <v>233</v>
      </c>
      <c r="E140" s="11">
        <v>1702</v>
      </c>
      <c r="F140" s="11">
        <v>11866</v>
      </c>
      <c r="G140" s="11">
        <v>4060</v>
      </c>
      <c r="H140" s="118">
        <f>_xlfn.XLOOKUP(Table1[[#This Row],[Shipment Number]], 'pivot '!A:A,'pivot '!G:G, "NF")</f>
        <v>6.1237463798073719</v>
      </c>
      <c r="I140" s="119">
        <f>Table1[[#This Row],[Tiyaar/gaz]]/1.0936</f>
        <v>3712.5091441111927</v>
      </c>
      <c r="J140" s="119" cm="1">
        <f t="array" ref="J14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37125.09144111193</v>
      </c>
      <c r="K140" s="117"/>
    </row>
    <row r="141" spans="1:17" x14ac:dyDescent="0.3">
      <c r="A141" s="122">
        <v>46088</v>
      </c>
      <c r="B141" s="120" t="s">
        <v>21</v>
      </c>
      <c r="C141" s="117">
        <v>1579</v>
      </c>
      <c r="D141" s="117" t="s">
        <v>233</v>
      </c>
      <c r="E141" s="11">
        <v>1810</v>
      </c>
      <c r="F141" s="11">
        <v>14038</v>
      </c>
      <c r="G141" s="11">
        <v>2534</v>
      </c>
      <c r="H141" s="118">
        <f>_xlfn.XLOOKUP(Table1[[#This Row],[Shipment Number]], 'pivot '!A:A,'pivot '!G:G, "NF")</f>
        <v>9.1190772501392132</v>
      </c>
      <c r="I141" s="119">
        <f>Table1[[#This Row],[Tiyaar/gaz]]/1.0936</f>
        <v>2317.1177761521581</v>
      </c>
      <c r="J141" s="119" cm="1">
        <f t="array" ref="J14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23171.17776152158</v>
      </c>
      <c r="K141" s="117"/>
    </row>
    <row r="142" spans="1:17" x14ac:dyDescent="0.3">
      <c r="A142" s="122">
        <v>46088</v>
      </c>
      <c r="B142" s="120" t="s">
        <v>21</v>
      </c>
      <c r="C142" s="117">
        <v>1580</v>
      </c>
      <c r="D142" s="117" t="s">
        <v>233</v>
      </c>
      <c r="E142" s="11">
        <v>1809</v>
      </c>
      <c r="F142" s="11">
        <v>13927</v>
      </c>
      <c r="G142" s="11">
        <v>6359</v>
      </c>
      <c r="H142" s="118">
        <f>_xlfn.XLOOKUP(Table1[[#This Row],[Shipment Number]], 'pivot '!A:A,'pivot '!G:G, "NF")</f>
        <v>5.4795543005121914</v>
      </c>
      <c r="I142" s="119">
        <f>Table1[[#This Row],[Tiyaar/gaz]]/1.0936</f>
        <v>5814.7403072421366</v>
      </c>
      <c r="J142" s="119" cm="1">
        <f t="array" ref="J14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58147.403072421366</v>
      </c>
      <c r="K142" s="117"/>
    </row>
    <row r="143" spans="1:17" x14ac:dyDescent="0.3">
      <c r="A143" s="122">
        <v>46088</v>
      </c>
      <c r="B143" s="120" t="s">
        <v>192</v>
      </c>
      <c r="C143" s="117">
        <v>1581</v>
      </c>
      <c r="D143" s="117" t="s">
        <v>86</v>
      </c>
      <c r="E143" s="11">
        <v>2126</v>
      </c>
      <c r="F143" s="11">
        <v>6713</v>
      </c>
      <c r="G143" s="11">
        <v>5729</v>
      </c>
      <c r="H143" s="118">
        <f>_xlfn.XLOOKUP(Table1[[#This Row],[Shipment Number]], 'pivot '!A:A,'pivot '!G:G, "NF")</f>
        <v>1.3939804532602125</v>
      </c>
      <c r="I143" s="119">
        <f>Table1[[#This Row],[Tiyaar/gaz]]/1.0936</f>
        <v>5238.6613021214343</v>
      </c>
      <c r="J143" s="119" cm="1">
        <f t="array" ref="J14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68102.596927578648</v>
      </c>
      <c r="K143" s="117"/>
    </row>
    <row r="144" spans="1:17" x14ac:dyDescent="0.3">
      <c r="A144" s="122">
        <v>46088</v>
      </c>
      <c r="B144" s="120" t="s">
        <v>178</v>
      </c>
      <c r="C144" s="117">
        <v>1582</v>
      </c>
      <c r="D144" s="117" t="s">
        <v>86</v>
      </c>
      <c r="E144" s="11">
        <v>2120</v>
      </c>
      <c r="F144" s="11">
        <v>50958</v>
      </c>
      <c r="G144" s="11">
        <v>8527</v>
      </c>
      <c r="H144" s="118">
        <f>_xlfn.XLOOKUP(Table1[[#This Row],[Shipment Number]], 'pivot '!A:A,'pivot '!G:G, "NF")</f>
        <v>4.1535360258959741</v>
      </c>
      <c r="I144" s="119">
        <f>Table1[[#This Row],[Tiyaar/gaz]]/1.0936</f>
        <v>7797.1836137527443</v>
      </c>
      <c r="J144" s="119" cm="1">
        <f t="array" ref="J14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101363.38697878568</v>
      </c>
      <c r="K144" s="117"/>
    </row>
    <row r="145" spans="1:11" x14ac:dyDescent="0.3">
      <c r="A145" s="122">
        <v>46090</v>
      </c>
      <c r="B145" s="120" t="s">
        <v>27</v>
      </c>
      <c r="C145" s="117">
        <v>1583</v>
      </c>
      <c r="D145" s="117" t="s">
        <v>85</v>
      </c>
      <c r="E145" s="11">
        <v>2128</v>
      </c>
      <c r="F145" s="11">
        <v>50106</v>
      </c>
      <c r="G145" s="11">
        <v>37548</v>
      </c>
      <c r="H145" s="118">
        <f>_xlfn.XLOOKUP(Table1[[#This Row],[Shipment Number]], 'pivot '!A:A,'pivot '!G:G, "NF")</f>
        <v>2.8303595499705807</v>
      </c>
      <c r="I145" s="119">
        <f>Table1[[#This Row],[Tiyaar/gaz]]/1.0936</f>
        <v>34334.308705193856</v>
      </c>
      <c r="J145" s="119" cm="1">
        <f t="array" ref="J14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343343.08705193858</v>
      </c>
      <c r="K145" s="117"/>
    </row>
    <row r="146" spans="1:11" x14ac:dyDescent="0.3">
      <c r="A146" s="122">
        <v>46090</v>
      </c>
      <c r="B146" s="120" t="s">
        <v>27</v>
      </c>
      <c r="C146" s="117">
        <v>1584</v>
      </c>
      <c r="D146" s="117" t="s">
        <v>85</v>
      </c>
      <c r="E146" s="11">
        <v>2128</v>
      </c>
      <c r="F146" s="11">
        <v>50106</v>
      </c>
      <c r="G146" s="11">
        <v>15097</v>
      </c>
      <c r="H146" s="118">
        <f>_xlfn.XLOOKUP(Table1[[#This Row],[Shipment Number]], 'pivot '!A:A,'pivot '!G:G, "NF")</f>
        <v>2.8303595499705807</v>
      </c>
      <c r="I146" s="119">
        <f>Table1[[#This Row],[Tiyaar/gaz]]/1.0936</f>
        <v>13804.864667154354</v>
      </c>
      <c r="J146" s="119" cm="1">
        <f t="array" ref="J14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138048.64667154354</v>
      </c>
      <c r="K146" s="117"/>
    </row>
    <row r="147" spans="1:11" x14ac:dyDescent="0.3">
      <c r="A147" s="122">
        <v>46090</v>
      </c>
      <c r="B147" s="120" t="s">
        <v>25</v>
      </c>
      <c r="C147" s="117">
        <v>1585</v>
      </c>
      <c r="D147" s="117" t="s">
        <v>85</v>
      </c>
      <c r="E147" s="11">
        <v>2123</v>
      </c>
      <c r="F147" s="11">
        <v>28681</v>
      </c>
      <c r="G147" s="11">
        <v>30821</v>
      </c>
      <c r="H147" s="118">
        <f>_xlfn.XLOOKUP(Table1[[#This Row],[Shipment Number]], 'pivot '!A:A,'pivot '!G:G, "NF")</f>
        <v>1.7361141310564818</v>
      </c>
      <c r="I147" s="119">
        <f>Table1[[#This Row],[Tiyaar/gaz]]/1.0936</f>
        <v>28183.065106071692</v>
      </c>
      <c r="J147" s="119" cm="1">
        <f t="array" ref="J14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281830.65106071695</v>
      </c>
      <c r="K147" s="117"/>
    </row>
    <row r="148" spans="1:11" x14ac:dyDescent="0.3">
      <c r="A148" s="122">
        <v>46090</v>
      </c>
      <c r="B148" s="120" t="s">
        <v>25</v>
      </c>
      <c r="C148" s="117">
        <v>1586</v>
      </c>
      <c r="D148" s="117" t="s">
        <v>85</v>
      </c>
      <c r="E148" s="11">
        <v>2122</v>
      </c>
      <c r="F148" s="11">
        <v>35746</v>
      </c>
      <c r="G148" s="11">
        <v>23303</v>
      </c>
      <c r="H148" s="118">
        <f>_xlfn.XLOOKUP(Table1[[#This Row],[Shipment Number]], 'pivot '!A:A,'pivot '!G:G, "NF")</f>
        <v>1.9257877790184352</v>
      </c>
      <c r="I148" s="119">
        <f>Table1[[#This Row],[Tiyaar/gaz]]/1.0936</f>
        <v>21308.52231163131</v>
      </c>
      <c r="J148" s="119" cm="1">
        <f t="array" ref="J14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213085.22311631311</v>
      </c>
      <c r="K148" s="117"/>
    </row>
    <row r="149" spans="1:11" x14ac:dyDescent="0.3">
      <c r="A149" s="122">
        <v>46090</v>
      </c>
      <c r="B149" s="120" t="s">
        <v>25</v>
      </c>
      <c r="C149" s="117">
        <v>1587</v>
      </c>
      <c r="D149" s="117" t="s">
        <v>85</v>
      </c>
      <c r="E149" s="11">
        <v>2122</v>
      </c>
      <c r="F149" s="11">
        <v>35746</v>
      </c>
      <c r="G149" s="11">
        <v>15036</v>
      </c>
      <c r="H149" s="118">
        <f>_xlfn.XLOOKUP(Table1[[#This Row],[Shipment Number]], 'pivot '!A:A,'pivot '!G:G, "NF")</f>
        <v>1.9257877790184352</v>
      </c>
      <c r="I149" s="119">
        <f>Table1[[#This Row],[Tiyaar/gaz]]/1.0936</f>
        <v>13749.085588880762</v>
      </c>
      <c r="J149" s="119" cm="1">
        <f t="array" ref="J14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137490.85588880762</v>
      </c>
      <c r="K149" s="117"/>
    </row>
    <row r="150" spans="1:11" x14ac:dyDescent="0.3">
      <c r="A150" s="122">
        <v>46090</v>
      </c>
      <c r="B150" s="120" t="s">
        <v>21</v>
      </c>
      <c r="C150" s="117">
        <v>1588</v>
      </c>
      <c r="D150" s="117" t="s">
        <v>85</v>
      </c>
      <c r="E150" s="11">
        <v>2096</v>
      </c>
      <c r="F150" s="11">
        <f t="shared" ref="F150:F151" si="0">100801-24845-2486</f>
        <v>73470</v>
      </c>
      <c r="G150" s="11">
        <v>20434</v>
      </c>
      <c r="H150" s="118">
        <f>_xlfn.XLOOKUP(Table1[[#This Row],[Shipment Number]], 'pivot '!A:A,'pivot '!G:G, "NF")</f>
        <v>7.5532474277255375</v>
      </c>
      <c r="I150" s="119">
        <f>Table1[[#This Row],[Tiyaar/gaz]]/1.0936</f>
        <v>18685.076810534018</v>
      </c>
      <c r="J150" s="119" cm="1">
        <f t="array" ref="J15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186850.76810534019</v>
      </c>
      <c r="K150" s="117"/>
    </row>
    <row r="151" spans="1:11" x14ac:dyDescent="0.3">
      <c r="A151" s="122">
        <v>46090</v>
      </c>
      <c r="B151" s="120" t="s">
        <v>21</v>
      </c>
      <c r="C151" s="117">
        <v>1589</v>
      </c>
      <c r="D151" s="117" t="s">
        <v>85</v>
      </c>
      <c r="E151" s="11">
        <v>2096</v>
      </c>
      <c r="F151" s="11">
        <f t="shared" si="0"/>
        <v>73470</v>
      </c>
      <c r="G151" s="11">
        <v>41936</v>
      </c>
      <c r="H151" s="118">
        <f>_xlfn.XLOOKUP(Table1[[#This Row],[Shipment Number]], 'pivot '!A:A,'pivot '!G:G, "NF")</f>
        <v>7.5532474277255375</v>
      </c>
      <c r="I151" s="119">
        <f>Table1[[#This Row],[Tiyaar/gaz]]/1.0936</f>
        <v>38346.74469641551</v>
      </c>
      <c r="J151" s="119" cm="1">
        <f t="array" ref="J15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383467.44696415507</v>
      </c>
      <c r="K151" s="117"/>
    </row>
    <row r="152" spans="1:11" x14ac:dyDescent="0.3">
      <c r="A152" s="122">
        <v>46090</v>
      </c>
      <c r="B152" s="120" t="s">
        <v>21</v>
      </c>
      <c r="C152" s="117">
        <v>1590</v>
      </c>
      <c r="D152" s="117" t="s">
        <v>85</v>
      </c>
      <c r="E152" s="11">
        <v>2116</v>
      </c>
      <c r="F152" s="11">
        <v>16029</v>
      </c>
      <c r="G152" s="11">
        <v>6594</v>
      </c>
      <c r="H152" s="118">
        <f>_xlfn.XLOOKUP(Table1[[#This Row],[Shipment Number]], 'pivot '!A:A,'pivot '!G:G, "NF")</f>
        <v>5.2045070285235937</v>
      </c>
      <c r="I152" s="119">
        <f>Table1[[#This Row],[Tiyaar/gaz]]/1.0936</f>
        <v>6029.6269202633512</v>
      </c>
      <c r="J152" s="119" cm="1">
        <f t="array" ref="J15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60296.269202633513</v>
      </c>
      <c r="K152" s="117"/>
    </row>
    <row r="153" spans="1:11" x14ac:dyDescent="0.3">
      <c r="A153" s="122">
        <v>46091</v>
      </c>
      <c r="B153" s="120" t="s">
        <v>178</v>
      </c>
      <c r="C153" s="117">
        <v>1591</v>
      </c>
      <c r="D153" s="117" t="s">
        <v>86</v>
      </c>
      <c r="E153" s="11">
        <v>2120</v>
      </c>
      <c r="F153" s="11">
        <v>50958</v>
      </c>
      <c r="G153" s="11">
        <v>5615</v>
      </c>
      <c r="H153" s="118">
        <f>_xlfn.XLOOKUP(Table1[[#This Row],[Shipment Number]], 'pivot '!A:A,'pivot '!G:G, "NF")</f>
        <v>4.1535360258959741</v>
      </c>
      <c r="I153" s="119">
        <f>Table1[[#This Row],[Tiyaar/gaz]]/1.0936</f>
        <v>5134.4184345281647</v>
      </c>
      <c r="J153" s="119" cm="1">
        <f t="array" ref="J15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66747.439648866144</v>
      </c>
      <c r="K153" s="117"/>
    </row>
    <row r="154" spans="1:11" x14ac:dyDescent="0.3">
      <c r="A154" s="122">
        <v>46091</v>
      </c>
      <c r="B154" s="120" t="s">
        <v>22</v>
      </c>
      <c r="C154" s="117">
        <v>1592</v>
      </c>
      <c r="D154" s="117" t="s">
        <v>86</v>
      </c>
      <c r="E154" s="11">
        <v>2130</v>
      </c>
      <c r="F154" s="11">
        <v>6402</v>
      </c>
      <c r="G154" s="11">
        <v>6963</v>
      </c>
      <c r="H154" s="118">
        <f>_xlfn.XLOOKUP(Table1[[#This Row],[Shipment Number]], 'pivot '!A:A,'pivot '!G:G, "NF")</f>
        <v>0.54600713429209691</v>
      </c>
      <c r="I154" s="119">
        <f>Table1[[#This Row],[Tiyaar/gaz]]/1.0936</f>
        <v>6367.0446232626191</v>
      </c>
      <c r="J154" s="119" cm="1">
        <f t="array" ref="J15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82771.580102414053</v>
      </c>
      <c r="K154" s="117"/>
    </row>
    <row r="155" spans="1:11" x14ac:dyDescent="0.3">
      <c r="A155" s="122">
        <v>46091</v>
      </c>
      <c r="B155" s="120" t="s">
        <v>192</v>
      </c>
      <c r="C155" s="117">
        <v>1593</v>
      </c>
      <c r="D155" s="117" t="s">
        <v>86</v>
      </c>
      <c r="E155" s="11">
        <v>2126</v>
      </c>
      <c r="F155" s="11">
        <v>6713</v>
      </c>
      <c r="G155" s="11">
        <v>1510</v>
      </c>
      <c r="H155" s="118">
        <f>_xlfn.XLOOKUP(Table1[[#This Row],[Shipment Number]], 'pivot '!A:A,'pivot '!G:G, "NF")</f>
        <v>1.3939804532602125</v>
      </c>
      <c r="I155" s="119">
        <f>Table1[[#This Row],[Tiyaar/gaz]]/1.0936</f>
        <v>1380.7607900512071</v>
      </c>
      <c r="J155" s="119" cm="1">
        <f t="array" ref="J15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17949.890270665692</v>
      </c>
      <c r="K155" s="117"/>
    </row>
    <row r="156" spans="1:11" x14ac:dyDescent="0.3">
      <c r="A156" s="122">
        <v>46091</v>
      </c>
      <c r="B156" s="120" t="s">
        <v>21</v>
      </c>
      <c r="C156" s="117">
        <v>1594</v>
      </c>
      <c r="D156" s="117" t="s">
        <v>85</v>
      </c>
      <c r="E156" s="11">
        <v>2116</v>
      </c>
      <c r="F156" s="11">
        <v>16029</v>
      </c>
      <c r="G156" s="11">
        <v>5735</v>
      </c>
      <c r="H156" s="118">
        <f>_xlfn.XLOOKUP(Table1[[#This Row],[Shipment Number]], 'pivot '!A:A,'pivot '!G:G, "NF")</f>
        <v>5.2045070285235937</v>
      </c>
      <c r="I156" s="119">
        <f>Table1[[#This Row],[Tiyaar/gaz]]/1.0936</f>
        <v>5244.1477688368695</v>
      </c>
      <c r="J156" s="119" cm="1">
        <f t="array" ref="J15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52441.477688368694</v>
      </c>
      <c r="K156" s="117"/>
    </row>
    <row r="157" spans="1:11" x14ac:dyDescent="0.3">
      <c r="A157" s="122">
        <v>46091</v>
      </c>
      <c r="B157" s="120" t="s">
        <v>21</v>
      </c>
      <c r="C157" s="117">
        <v>1595</v>
      </c>
      <c r="D157" s="117" t="s">
        <v>85</v>
      </c>
      <c r="E157" s="11">
        <v>2129</v>
      </c>
      <c r="F157" s="11">
        <v>13663</v>
      </c>
      <c r="G157" s="11">
        <v>5660</v>
      </c>
      <c r="H157" s="118">
        <f>_xlfn.XLOOKUP(Table1[[#This Row],[Shipment Number]], 'pivot '!A:A,'pivot '!G:G, "NF")</f>
        <v>62.119835066281723</v>
      </c>
      <c r="I157" s="119">
        <f>Table1[[#This Row],[Tiyaar/gaz]]/1.0936</f>
        <v>5175.5669348939291</v>
      </c>
      <c r="J157" s="119" cm="1">
        <f t="array" ref="J15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51755.669348939293</v>
      </c>
      <c r="K157" s="117"/>
    </row>
    <row r="158" spans="1:11" x14ac:dyDescent="0.3">
      <c r="A158" s="122">
        <v>46091</v>
      </c>
      <c r="B158" s="120" t="s">
        <v>21</v>
      </c>
      <c r="C158" s="117">
        <v>1596</v>
      </c>
      <c r="D158" s="117" t="s">
        <v>86</v>
      </c>
      <c r="E158" s="11">
        <v>2114</v>
      </c>
      <c r="F158" s="11">
        <v>22835</v>
      </c>
      <c r="G158" s="11">
        <v>1458</v>
      </c>
      <c r="H158" s="118">
        <f>_xlfn.XLOOKUP(Table1[[#This Row],[Shipment Number]], 'pivot '!A:A,'pivot '!G:G, "NF")</f>
        <v>-6.9702834606394646</v>
      </c>
      <c r="I158" s="119">
        <f>Table1[[#This Row],[Tiyaar/gaz]]/1.0936</f>
        <v>1333.2114118507682</v>
      </c>
      <c r="J158" s="119" cm="1">
        <f t="array" ref="J15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17331.748354059986</v>
      </c>
      <c r="K158" s="117"/>
    </row>
    <row r="159" spans="1:11" x14ac:dyDescent="0.3">
      <c r="A159" s="122">
        <v>46091</v>
      </c>
      <c r="B159" s="120" t="s">
        <v>21</v>
      </c>
      <c r="C159" s="117">
        <v>1597</v>
      </c>
      <c r="D159" s="117" t="s">
        <v>207</v>
      </c>
      <c r="E159" s="11">
        <v>2082</v>
      </c>
      <c r="F159" s="11">
        <v>83635</v>
      </c>
      <c r="G159" s="11">
        <v>20744</v>
      </c>
      <c r="H159" s="118">
        <f>_xlfn.XLOOKUP(Table1[[#This Row],[Shipment Number]], 'pivot '!A:A,'pivot '!G:G, "NF")</f>
        <v>6.704591121180087</v>
      </c>
      <c r="I159" s="119">
        <f>Table1[[#This Row],[Tiyaar/gaz]]/1.0936</f>
        <v>18968.544257498172</v>
      </c>
      <c r="J159" s="119" cm="1">
        <f t="array" ref="J15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208653.98683247989</v>
      </c>
      <c r="K159" s="117"/>
    </row>
    <row r="160" spans="1:11" x14ac:dyDescent="0.3">
      <c r="A160" s="122">
        <v>46092</v>
      </c>
      <c r="B160" s="120" t="s">
        <v>178</v>
      </c>
      <c r="C160" s="117">
        <v>1598</v>
      </c>
      <c r="D160" s="117" t="s">
        <v>86</v>
      </c>
      <c r="E160" s="11">
        <v>2120</v>
      </c>
      <c r="F160" s="11">
        <v>20958</v>
      </c>
      <c r="G160" s="11">
        <v>39271</v>
      </c>
      <c r="H160" s="118">
        <f>_xlfn.XLOOKUP(Table1[[#This Row],[Shipment Number]], 'pivot '!A:A,'pivot '!G:G, "NF")</f>
        <v>4.1535360258959741</v>
      </c>
      <c r="I160" s="119">
        <f>Table1[[#This Row],[Tiyaar/gaz]]/1.0936</f>
        <v>35909.839063643019</v>
      </c>
      <c r="J160" s="119" cm="1">
        <f t="array" ref="J16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466827.90782735927</v>
      </c>
      <c r="K160" s="117"/>
    </row>
    <row r="161" spans="1:12" x14ac:dyDescent="0.3">
      <c r="A161" s="122">
        <v>46092</v>
      </c>
      <c r="B161" s="120" t="s">
        <v>21</v>
      </c>
      <c r="C161" s="117">
        <v>1599</v>
      </c>
      <c r="D161" s="117" t="s">
        <v>86</v>
      </c>
      <c r="E161" s="11">
        <v>2115</v>
      </c>
      <c r="F161" s="11">
        <v>18783</v>
      </c>
      <c r="G161" s="11">
        <v>3308</v>
      </c>
      <c r="H161" s="118">
        <f>_xlfn.XLOOKUP(Table1[[#This Row],[Shipment Number]], 'pivot '!A:A,'pivot '!G:G, "NF")</f>
        <v>2.3907632393858194</v>
      </c>
      <c r="I161" s="119">
        <f>Table1[[#This Row],[Tiyaar/gaz]]/1.0936</f>
        <v>3024.8719824433069</v>
      </c>
      <c r="J161" s="119" cm="1">
        <f t="array" ref="J16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39323.335771762991</v>
      </c>
      <c r="K161" s="117"/>
    </row>
    <row r="162" spans="1:12" x14ac:dyDescent="0.3">
      <c r="A162" s="122">
        <v>46092</v>
      </c>
      <c r="B162" s="120" t="s">
        <v>21</v>
      </c>
      <c r="C162" s="117">
        <v>1600</v>
      </c>
      <c r="D162" s="117" t="s">
        <v>86</v>
      </c>
      <c r="E162" s="11">
        <v>2114</v>
      </c>
      <c r="F162" s="11">
        <v>22835</v>
      </c>
      <c r="G162" s="11">
        <v>6435</v>
      </c>
      <c r="H162" s="118">
        <f>_xlfn.XLOOKUP(Table1[[#This Row],[Shipment Number]], 'pivot '!A:A,'pivot '!G:G, "NF")</f>
        <v>-6.9702834606394646</v>
      </c>
      <c r="I162" s="119">
        <f>Table1[[#This Row],[Tiyaar/gaz]]/1.0936</f>
        <v>5884.2355523043161</v>
      </c>
      <c r="J162" s="119" cm="1">
        <f t="array" ref="J16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76495.062179956105</v>
      </c>
      <c r="K162" s="117"/>
    </row>
    <row r="163" spans="1:12" x14ac:dyDescent="0.3">
      <c r="A163" s="122">
        <v>46092</v>
      </c>
      <c r="B163" s="120" t="s">
        <v>21</v>
      </c>
      <c r="C163" s="117">
        <v>1601</v>
      </c>
      <c r="D163" s="117" t="s">
        <v>207</v>
      </c>
      <c r="E163" s="11">
        <v>2082</v>
      </c>
      <c r="F163" s="11">
        <v>83635</v>
      </c>
      <c r="G163" s="11">
        <v>1806</v>
      </c>
      <c r="H163" s="118">
        <f>_xlfn.XLOOKUP(Table1[[#This Row],[Shipment Number]], 'pivot '!A:A,'pivot '!G:G, "NF")</f>
        <v>6.704591121180087</v>
      </c>
      <c r="I163" s="119">
        <f>Table1[[#This Row],[Tiyaar/gaz]]/1.0936</f>
        <v>1651.4264813460134</v>
      </c>
      <c r="J163" s="119" cm="1">
        <f t="array" ref="J16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18165.691294806147</v>
      </c>
      <c r="K163" s="117"/>
      <c r="L163"/>
    </row>
    <row r="164" spans="1:12" x14ac:dyDescent="0.3">
      <c r="A164" s="122">
        <v>46092</v>
      </c>
      <c r="B164" s="120" t="s">
        <v>21</v>
      </c>
      <c r="C164" s="117">
        <v>1602</v>
      </c>
      <c r="D164" s="117" t="s">
        <v>85</v>
      </c>
      <c r="E164" s="11">
        <v>2132</v>
      </c>
      <c r="F164" s="11">
        <v>12291</v>
      </c>
      <c r="G164" s="11">
        <v>12924</v>
      </c>
      <c r="H164" s="118">
        <f>_xlfn.XLOOKUP(Table1[[#This Row],[Shipment Number]], 'pivot '!A:A,'pivot '!G:G, "NF")</f>
        <v>3.849570376311533</v>
      </c>
      <c r="I164" s="119">
        <f>Table1[[#This Row],[Tiyaar/gaz]]/1.0936</f>
        <v>11817.84930504755</v>
      </c>
      <c r="J164" s="119" cm="1">
        <f t="array" ref="J16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118178.4930504755</v>
      </c>
      <c r="K164" s="117"/>
    </row>
    <row r="165" spans="1:12" x14ac:dyDescent="0.3">
      <c r="A165" s="122">
        <v>46092</v>
      </c>
      <c r="B165" s="120" t="s">
        <v>21</v>
      </c>
      <c r="C165" s="117">
        <v>1603</v>
      </c>
      <c r="D165" s="117" t="s">
        <v>85</v>
      </c>
      <c r="E165" s="11">
        <v>2097</v>
      </c>
      <c r="F165" s="11">
        <v>9338</v>
      </c>
      <c r="G165" s="11">
        <v>9739</v>
      </c>
      <c r="H165" s="118">
        <f>_xlfn.XLOOKUP(Table1[[#This Row],[Shipment Number]], 'pivot '!A:A,'pivot '!G:G, "NF")</f>
        <v>4.632149386692376</v>
      </c>
      <c r="I165" s="119">
        <f>Table1[[#This Row],[Tiyaar/gaz]]/1.0936</f>
        <v>8905.4498902706673</v>
      </c>
      <c r="J165" s="119" cm="1">
        <f t="array" ref="J16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89054.498902706677</v>
      </c>
      <c r="K165" s="117"/>
    </row>
    <row r="166" spans="1:12" x14ac:dyDescent="0.3">
      <c r="A166" s="122">
        <v>46092</v>
      </c>
      <c r="B166" s="120" t="s">
        <v>21</v>
      </c>
      <c r="C166" s="117">
        <v>1604</v>
      </c>
      <c r="D166" s="117" t="s">
        <v>85</v>
      </c>
      <c r="E166" s="11">
        <v>2139</v>
      </c>
      <c r="F166" s="11">
        <v>13663</v>
      </c>
      <c r="G166" s="11">
        <v>8959</v>
      </c>
      <c r="H166" s="118">
        <f>_xlfn.XLOOKUP(Table1[[#This Row],[Shipment Number]], 'pivot '!A:A,'pivot '!G:G, "NF")</f>
        <v>40.040919144667477</v>
      </c>
      <c r="I166" s="119">
        <f>Table1[[#This Row],[Tiyaar/gaz]]/1.0936</f>
        <v>8192.2092172640823</v>
      </c>
      <c r="J166" s="119" cm="1">
        <f t="array" ref="J16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81922.092172640827</v>
      </c>
      <c r="K166" s="117"/>
    </row>
    <row r="167" spans="1:12" x14ac:dyDescent="0.3">
      <c r="A167" s="122">
        <v>46092</v>
      </c>
      <c r="B167" s="120" t="s">
        <v>21</v>
      </c>
      <c r="C167" s="117">
        <v>1605</v>
      </c>
      <c r="D167" s="117" t="s">
        <v>85</v>
      </c>
      <c r="E167" s="11">
        <v>2116</v>
      </c>
      <c r="F167" s="11">
        <v>16029</v>
      </c>
      <c r="G167" s="11">
        <v>4288</v>
      </c>
      <c r="H167" s="118">
        <f>_xlfn.XLOOKUP(Table1[[#This Row],[Shipment Number]], 'pivot '!A:A,'pivot '!G:G, "NF")</f>
        <v>5.2045070285235937</v>
      </c>
      <c r="I167" s="119">
        <f>Table1[[#This Row],[Tiyaar/gaz]]/1.0936</f>
        <v>3920.9948792977325</v>
      </c>
      <c r="J167" s="119" cm="1">
        <f t="array" ref="J16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39209.948792977324</v>
      </c>
      <c r="K167" s="117"/>
    </row>
    <row r="168" spans="1:12" x14ac:dyDescent="0.3">
      <c r="A168" s="122">
        <v>46092</v>
      </c>
      <c r="B168" s="120" t="s">
        <v>21</v>
      </c>
      <c r="C168" s="117">
        <v>1606</v>
      </c>
      <c r="D168" s="117" t="s">
        <v>85</v>
      </c>
      <c r="E168" s="11">
        <v>2045</v>
      </c>
      <c r="F168" s="11">
        <v>5552</v>
      </c>
      <c r="G168" s="11">
        <f>1928+1995</f>
        <v>3923</v>
      </c>
      <c r="H168" s="118">
        <f>_xlfn.XLOOKUP(Table1[[#This Row],[Shipment Number]], 'pivot '!A:A,'pivot '!G:G, "NF")</f>
        <v>35.388421816004666</v>
      </c>
      <c r="I168" s="119">
        <f>Table1[[#This Row],[Tiyaar/gaz]]/1.0936</f>
        <v>3587.2348207754208</v>
      </c>
      <c r="J168" s="119" cm="1">
        <f t="array" ref="J16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35872.348207754207</v>
      </c>
      <c r="K168" s="117"/>
    </row>
    <row r="169" spans="1:12" x14ac:dyDescent="0.3">
      <c r="A169" s="122">
        <v>46092</v>
      </c>
      <c r="B169" s="120" t="s">
        <v>21</v>
      </c>
      <c r="C169" s="117">
        <v>1607</v>
      </c>
      <c r="D169" s="117" t="s">
        <v>85</v>
      </c>
      <c r="E169" s="11">
        <v>2098</v>
      </c>
      <c r="F169" s="11">
        <v>1127</v>
      </c>
      <c r="G169" s="11">
        <v>1095</v>
      </c>
      <c r="H169" s="118">
        <f>_xlfn.XLOOKUP(Table1[[#This Row],[Shipment Number]], 'pivot '!A:A,'pivot '!G:G, "NF")</f>
        <v>11.155263924850473</v>
      </c>
      <c r="I169" s="119">
        <f>Table1[[#This Row],[Tiyaar/gaz]]/1.0936</f>
        <v>1001.280175566935</v>
      </c>
      <c r="J169" s="119" cm="1">
        <f t="array" ref="J16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10012.80175566935</v>
      </c>
      <c r="K169" s="117"/>
    </row>
    <row r="170" spans="1:12" x14ac:dyDescent="0.3">
      <c r="A170" s="122">
        <v>46094</v>
      </c>
      <c r="B170" s="120" t="s">
        <v>21</v>
      </c>
      <c r="C170" s="117">
        <v>1608</v>
      </c>
      <c r="D170" s="117" t="s">
        <v>207</v>
      </c>
      <c r="E170" s="11">
        <v>2082</v>
      </c>
      <c r="F170" s="11">
        <v>83635</v>
      </c>
      <c r="G170" s="11">
        <v>9298</v>
      </c>
      <c r="H170" s="118">
        <f>_xlfn.XLOOKUP(Table1[[#This Row],[Shipment Number]], 'pivot '!A:A,'pivot '!G:G, "NF")</f>
        <v>6.704591121180087</v>
      </c>
      <c r="I170" s="119">
        <f>Table1[[#This Row],[Tiyaar/gaz]]/1.0936</f>
        <v>8502.1945866861752</v>
      </c>
      <c r="J170" s="119" cm="1">
        <f t="array" ref="J17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93524.140453547923</v>
      </c>
      <c r="K170" s="117"/>
    </row>
    <row r="171" spans="1:12" x14ac:dyDescent="0.3">
      <c r="A171" s="122">
        <v>46094</v>
      </c>
      <c r="B171" s="120" t="s">
        <v>21</v>
      </c>
      <c r="C171" s="117">
        <v>1609</v>
      </c>
      <c r="D171" s="117" t="s">
        <v>207</v>
      </c>
      <c r="E171" s="11">
        <v>2081</v>
      </c>
      <c r="F171" s="11">
        <v>68014</v>
      </c>
      <c r="G171" s="11">
        <v>37213</v>
      </c>
      <c r="H171" s="118">
        <f>_xlfn.XLOOKUP(Table1[[#This Row],[Shipment Number]], 'pivot '!A:A,'pivot '!G:G, "NF")</f>
        <v>5.2327300659666491</v>
      </c>
      <c r="I171" s="119">
        <f>Table1[[#This Row],[Tiyaar/gaz]]/1.0936</f>
        <v>34027.980980248722</v>
      </c>
      <c r="J171" s="119" cm="1">
        <f t="array" ref="J17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374307.79078273592</v>
      </c>
      <c r="K171" s="117"/>
    </row>
    <row r="172" spans="1:12" x14ac:dyDescent="0.3">
      <c r="A172" s="122">
        <v>46094</v>
      </c>
      <c r="B172" s="120" t="s">
        <v>21</v>
      </c>
      <c r="C172" s="117">
        <v>1610</v>
      </c>
      <c r="D172" s="117" t="s">
        <v>207</v>
      </c>
      <c r="E172" s="11">
        <v>2082</v>
      </c>
      <c r="F172" s="11">
        <v>83635</v>
      </c>
      <c r="G172" s="11">
        <v>28012</v>
      </c>
      <c r="H172" s="118">
        <f>_xlfn.XLOOKUP(Table1[[#This Row],[Shipment Number]], 'pivot '!A:A,'pivot '!G:G, "NF")</f>
        <v>6.704591121180087</v>
      </c>
      <c r="I172" s="119">
        <f>Table1[[#This Row],[Tiyaar/gaz]]/1.0936</f>
        <v>25614.48427212875</v>
      </c>
      <c r="J172" s="119" cm="1">
        <f t="array" ref="J17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281759.32699341624</v>
      </c>
      <c r="K172" s="117"/>
    </row>
    <row r="173" spans="1:12" x14ac:dyDescent="0.3">
      <c r="A173" s="122">
        <v>46094</v>
      </c>
      <c r="B173" s="120" t="s">
        <v>21</v>
      </c>
      <c r="C173" s="117">
        <v>1611</v>
      </c>
      <c r="D173" s="117" t="s">
        <v>207</v>
      </c>
      <c r="E173" s="11">
        <v>2081</v>
      </c>
      <c r="F173" s="11">
        <v>68014</v>
      </c>
      <c r="G173" s="11">
        <v>33275</v>
      </c>
      <c r="H173" s="118">
        <f>_xlfn.XLOOKUP(Table1[[#This Row],[Shipment Number]], 'pivot '!A:A,'pivot '!G:G, "NF")</f>
        <v>5.2327300659666491</v>
      </c>
      <c r="I173" s="119">
        <f>Table1[[#This Row],[Tiyaar/gaz]]/1.0936</f>
        <v>30427.029992684715</v>
      </c>
      <c r="J173" s="119" cm="1">
        <f t="array" ref="J17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334697.32991953188</v>
      </c>
      <c r="K173" s="117"/>
    </row>
    <row r="174" spans="1:12" x14ac:dyDescent="0.3">
      <c r="A174" s="130">
        <v>46094</v>
      </c>
      <c r="B174" s="131" t="s">
        <v>22</v>
      </c>
      <c r="C174" s="132">
        <v>1612</v>
      </c>
      <c r="D174" s="132" t="s">
        <v>86</v>
      </c>
      <c r="E174" s="133">
        <v>2133</v>
      </c>
      <c r="F174" s="133">
        <v>30295</v>
      </c>
      <c r="G174" s="133">
        <v>31787</v>
      </c>
      <c r="H174" s="134">
        <f>_xlfn.XLOOKUP(Table1[[#This Row],[Shipment Number]], 'pivot '!A:A,'pivot '!G:G, "NF")</f>
        <v>4.0555000915769313</v>
      </c>
      <c r="I174" s="135">
        <f>Table1[[#This Row],[Tiyaar/gaz]]/1.0936</f>
        <v>29066.386247256771</v>
      </c>
      <c r="J174" s="135" cm="1">
        <f t="array" ref="J17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377863.02121433802</v>
      </c>
      <c r="K174" s="117"/>
    </row>
    <row r="175" spans="1:12" x14ac:dyDescent="0.3">
      <c r="A175" s="122">
        <v>46123</v>
      </c>
      <c r="B175" s="120" t="s">
        <v>35</v>
      </c>
      <c r="C175" s="117">
        <v>1613</v>
      </c>
      <c r="D175" s="117" t="s">
        <v>86</v>
      </c>
      <c r="E175" s="11" t="s">
        <v>569</v>
      </c>
      <c r="F175" s="11">
        <v>78365</v>
      </c>
      <c r="G175" s="11">
        <v>28736</v>
      </c>
      <c r="H175" s="118">
        <f>_xlfn.XLOOKUP(Table1[[#This Row],[Shipment Number]], 'pivot '!A:A,'pivot '!G:G, "NF")</f>
        <v>1.7584184749482432</v>
      </c>
      <c r="I175" s="119">
        <f>Table1[[#This Row],[Tiyaar/gaz]]/1.0936</f>
        <v>26276.517922457941</v>
      </c>
      <c r="J175" s="119" cm="1">
        <f t="array" ref="J175">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315318.21506949526</v>
      </c>
      <c r="K175" s="117"/>
    </row>
    <row r="176" spans="1:12" x14ac:dyDescent="0.3">
      <c r="A176" s="122">
        <v>46123</v>
      </c>
      <c r="B176" s="120" t="s">
        <v>35</v>
      </c>
      <c r="C176" s="117">
        <v>1614</v>
      </c>
      <c r="D176" s="117" t="s">
        <v>86</v>
      </c>
      <c r="E176" s="11" t="s">
        <v>569</v>
      </c>
      <c r="F176" s="11">
        <v>78365</v>
      </c>
      <c r="G176" s="11">
        <v>19637</v>
      </c>
      <c r="H176" s="118">
        <f>_xlfn.XLOOKUP(Table1[[#This Row],[Shipment Number]], 'pivot '!A:A,'pivot '!G:G, "NF")</f>
        <v>1.7584184749482432</v>
      </c>
      <c r="I176" s="119">
        <f>Table1[[#This Row],[Tiyaar/gaz]]/1.0936</f>
        <v>17956.291148500368</v>
      </c>
      <c r="J176" s="119" cm="1">
        <f t="array" ref="J176">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215475.4937820044</v>
      </c>
      <c r="K176" s="117"/>
    </row>
    <row r="177" spans="1:11" x14ac:dyDescent="0.3">
      <c r="A177" s="122">
        <v>46123</v>
      </c>
      <c r="B177" s="120" t="s">
        <v>401</v>
      </c>
      <c r="C177" s="117">
        <v>1615</v>
      </c>
      <c r="D177" s="117" t="s">
        <v>86</v>
      </c>
      <c r="E177" s="11">
        <v>2151</v>
      </c>
      <c r="F177" s="11">
        <v>61027</v>
      </c>
      <c r="G177" s="11">
        <v>20336</v>
      </c>
      <c r="H177" s="118">
        <f>_xlfn.XLOOKUP(Table1[[#This Row],[Shipment Number]], 'pivot '!A:A,'pivot '!G:G, "NF")</f>
        <v>5.0916566376672563</v>
      </c>
      <c r="I177" s="119">
        <f>Table1[[#This Row],[Tiyaar/gaz]]/1.0936</f>
        <v>18595.464520848574</v>
      </c>
      <c r="J177" s="119" cm="1">
        <f t="array" ref="J177">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241741.03877103148</v>
      </c>
      <c r="K177" s="117"/>
    </row>
    <row r="178" spans="1:11" x14ac:dyDescent="0.3">
      <c r="A178" s="122">
        <v>46123</v>
      </c>
      <c r="B178" s="120" t="s">
        <v>21</v>
      </c>
      <c r="C178" s="117">
        <v>1616</v>
      </c>
      <c r="D178" s="117" t="s">
        <v>86</v>
      </c>
      <c r="E178" s="11">
        <v>2153</v>
      </c>
      <c r="F178" s="11">
        <v>20212</v>
      </c>
      <c r="G178" s="11">
        <v>21525</v>
      </c>
      <c r="H178" s="118">
        <f>_xlfn.XLOOKUP(Table1[[#This Row],[Shipment Number]], 'pivot '!A:A,'pivot '!G:G, "NF")</f>
        <v>2.6187445991292577</v>
      </c>
      <c r="I178" s="119">
        <f>Table1[[#This Row],[Tiyaar/gaz]]/1.0936</f>
        <v>19682.699341623997</v>
      </c>
      <c r="J178" s="119" cm="1">
        <f t="array" ref="J178">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255875.09144111196</v>
      </c>
      <c r="K178" s="117"/>
    </row>
    <row r="179" spans="1:11" x14ac:dyDescent="0.3">
      <c r="A179" s="122">
        <v>46123</v>
      </c>
      <c r="B179" s="120" t="s">
        <v>21</v>
      </c>
      <c r="C179" s="117">
        <v>1617</v>
      </c>
      <c r="D179" s="117" t="s">
        <v>85</v>
      </c>
      <c r="E179" s="11">
        <v>2148</v>
      </c>
      <c r="F179" s="11">
        <v>28859</v>
      </c>
      <c r="G179" s="11">
        <v>2172</v>
      </c>
      <c r="H179" s="118">
        <f>_xlfn.XLOOKUP(Table1[[#This Row],[Shipment Number]], 'pivot '!A:A,'pivot '!G:G, "NF")</f>
        <v>2.1108939402745932</v>
      </c>
      <c r="I179" s="119">
        <f>Table1[[#This Row],[Tiyaar/gaz]]/1.0936</f>
        <v>1986.1009509875641</v>
      </c>
      <c r="J179" s="119" cm="1">
        <f t="array" ref="J179">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19861.009509875643</v>
      </c>
      <c r="K179" s="117"/>
    </row>
    <row r="180" spans="1:11" x14ac:dyDescent="0.3">
      <c r="A180" s="122">
        <v>46123</v>
      </c>
      <c r="B180" s="120" t="s">
        <v>9</v>
      </c>
      <c r="C180" s="117">
        <v>1618</v>
      </c>
      <c r="D180" s="117" t="s">
        <v>85</v>
      </c>
      <c r="E180" s="11">
        <v>2136</v>
      </c>
      <c r="F180" s="11">
        <v>24072</v>
      </c>
      <c r="G180" s="11">
        <v>6820</v>
      </c>
      <c r="H180" s="118">
        <f>_xlfn.XLOOKUP(Table1[[#This Row],[Shipment Number]], 'pivot '!A:A,'pivot '!G:G, "NF")</f>
        <v>2.1581621874196912</v>
      </c>
      <c r="I180" s="119">
        <f>Table1[[#This Row],[Tiyaar/gaz]]/1.0936</f>
        <v>6236.2838332114125</v>
      </c>
      <c r="J180" s="119" cm="1">
        <f t="array" ref="J180">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62362.838332114123</v>
      </c>
      <c r="K180" s="117"/>
    </row>
    <row r="181" spans="1:11" x14ac:dyDescent="0.3">
      <c r="A181" s="122">
        <v>46123</v>
      </c>
      <c r="B181" s="120" t="s">
        <v>35</v>
      </c>
      <c r="C181" s="117">
        <v>1619</v>
      </c>
      <c r="D181" s="117" t="s">
        <v>86</v>
      </c>
      <c r="E181" s="11" t="s">
        <v>569</v>
      </c>
      <c r="F181" s="11">
        <v>78365</v>
      </c>
      <c r="G181" s="11">
        <v>35820</v>
      </c>
      <c r="H181" s="118">
        <f>_xlfn.XLOOKUP(Table1[[#This Row],[Shipment Number]], 'pivot '!A:A,'pivot '!G:G, "NF")</f>
        <v>1.7584184749482432</v>
      </c>
      <c r="I181" s="119">
        <f>Table1[[#This Row],[Tiyaar/gaz]]/1.0936</f>
        <v>32754.206291148505</v>
      </c>
      <c r="J181" s="119" cm="1">
        <f t="array" ref="J181">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393050.47549378208</v>
      </c>
      <c r="K181" s="117"/>
    </row>
    <row r="182" spans="1:11" x14ac:dyDescent="0.3">
      <c r="A182" s="122">
        <v>46123</v>
      </c>
      <c r="B182" s="120" t="s">
        <v>9</v>
      </c>
      <c r="C182" s="117">
        <v>1620</v>
      </c>
      <c r="D182" s="117" t="s">
        <v>85</v>
      </c>
      <c r="E182" s="11">
        <v>2136</v>
      </c>
      <c r="F182" s="11">
        <v>24072</v>
      </c>
      <c r="G182" s="11">
        <v>18937</v>
      </c>
      <c r="H182" s="118">
        <f>_xlfn.XLOOKUP(Table1[[#This Row],[Shipment Number]], 'pivot '!A:A,'pivot '!G:G, "NF")</f>
        <v>2.1581621874196912</v>
      </c>
      <c r="I182" s="119">
        <f>Table1[[#This Row],[Tiyaar/gaz]]/1.0936</f>
        <v>17316.203365032921</v>
      </c>
      <c r="J182" s="119" cm="1">
        <f t="array" ref="J182">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173162.03365032922</v>
      </c>
      <c r="K182" s="117"/>
    </row>
    <row r="183" spans="1:11" x14ac:dyDescent="0.3">
      <c r="A183" s="122">
        <v>46123</v>
      </c>
      <c r="B183" s="120" t="s">
        <v>312</v>
      </c>
      <c r="C183" s="117">
        <v>1621</v>
      </c>
      <c r="D183" s="117" t="s">
        <v>86</v>
      </c>
      <c r="E183" s="11">
        <v>2134</v>
      </c>
      <c r="F183" s="11">
        <v>45364</v>
      </c>
      <c r="G183" s="11">
        <v>48061</v>
      </c>
      <c r="H183" s="118">
        <f>_xlfn.XLOOKUP(Table1[[#This Row],[Shipment Number]], 'pivot '!A:A,'pivot '!G:G, "NF")</f>
        <v>3.1224918398825707</v>
      </c>
      <c r="I183" s="119">
        <f>Table1[[#This Row],[Tiyaar/gaz]]/1.0936</f>
        <v>43947.512801755671</v>
      </c>
      <c r="J183" s="119" cm="1">
        <f t="array" ref="J183">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571317.66642282368</v>
      </c>
      <c r="K183" s="117"/>
    </row>
    <row r="184" spans="1:11" x14ac:dyDescent="0.3">
      <c r="A184" s="122">
        <v>46123</v>
      </c>
      <c r="B184" s="120" t="s">
        <v>312</v>
      </c>
      <c r="C184" s="117">
        <v>1622</v>
      </c>
      <c r="D184" s="117" t="s">
        <v>86</v>
      </c>
      <c r="E184" s="11">
        <v>2117</v>
      </c>
      <c r="F184" s="11">
        <v>16284</v>
      </c>
      <c r="G184" s="11">
        <v>17178</v>
      </c>
      <c r="H184" s="118">
        <f>_xlfn.XLOOKUP(Table1[[#This Row],[Shipment Number]], 'pivot '!A:A,'pivot '!G:G, "NF")</f>
        <v>3.5387238621275401</v>
      </c>
      <c r="I184" s="119">
        <f>Table1[[#This Row],[Tiyaar/gaz]]/1.0936</f>
        <v>15707.754206291151</v>
      </c>
      <c r="J184" s="119" cm="1">
        <f t="array" ref="J184">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204200.80468178497</v>
      </c>
      <c r="K184" s="117"/>
    </row>
    <row r="185" spans="1:11" x14ac:dyDescent="0.3">
      <c r="A185" s="122">
        <v>46125</v>
      </c>
      <c r="B185" s="120" t="s">
        <v>21</v>
      </c>
      <c r="C185" s="117">
        <v>1623</v>
      </c>
      <c r="D185" s="117" t="s">
        <v>86</v>
      </c>
      <c r="E185" s="11">
        <v>2151</v>
      </c>
      <c r="F185" s="11">
        <v>61027</v>
      </c>
      <c r="G185" s="11">
        <v>36335</v>
      </c>
      <c r="H185" s="118">
        <f>_xlfn.XLOOKUP(Table1[[#This Row],[Shipment Number]], 'pivot '!A:A,'pivot '!G:G, "NF")</f>
        <v>5.0916566376672563</v>
      </c>
      <c r="I185" s="119">
        <f>Table1[[#This Row],[Tiyaar/gaz]]/1.0936</f>
        <v>33225.128017556694</v>
      </c>
      <c r="J185" s="119" cm="1">
        <f t="array" ref="J185">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431926.664228237</v>
      </c>
      <c r="K185" s="117"/>
    </row>
    <row r="186" spans="1:11" x14ac:dyDescent="0.3">
      <c r="A186" s="122">
        <v>46124</v>
      </c>
      <c r="B186" s="120" t="s">
        <v>21</v>
      </c>
      <c r="C186" s="117">
        <v>1624</v>
      </c>
      <c r="D186" s="117" t="s">
        <v>86</v>
      </c>
      <c r="E186" s="11">
        <v>2151</v>
      </c>
      <c r="F186" s="11">
        <v>61027</v>
      </c>
      <c r="G186" s="11">
        <v>6670</v>
      </c>
      <c r="H186" s="118">
        <f>_xlfn.XLOOKUP(Table1[[#This Row],[Shipment Number]], 'pivot '!A:A,'pivot '!G:G, "NF")</f>
        <v>5.0916566376672563</v>
      </c>
      <c r="I186" s="119">
        <f>Table1[[#This Row],[Tiyaar/gaz]]/1.0936</f>
        <v>6099.1221653255307</v>
      </c>
      <c r="J186" s="119" cm="1">
        <f t="array" ref="J186">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79288.588149231902</v>
      </c>
      <c r="K186" s="117"/>
    </row>
    <row r="187" spans="1:11" x14ac:dyDescent="0.3">
      <c r="A187" s="122">
        <v>46124</v>
      </c>
      <c r="B187" s="120" t="s">
        <v>21</v>
      </c>
      <c r="C187" s="117">
        <v>1625</v>
      </c>
      <c r="D187" s="117" t="s">
        <v>85</v>
      </c>
      <c r="E187" s="11">
        <v>2148</v>
      </c>
      <c r="F187" s="11">
        <v>28857</v>
      </c>
      <c r="G187" s="11">
        <v>21620</v>
      </c>
      <c r="H187" s="118">
        <f>_xlfn.XLOOKUP(Table1[[#This Row],[Shipment Number]], 'pivot '!A:A,'pivot '!G:G, "NF")</f>
        <v>2.1108939402745932</v>
      </c>
      <c r="I187" s="119">
        <f>Table1[[#This Row],[Tiyaar/gaz]]/1.0936</f>
        <v>19769.56839795172</v>
      </c>
      <c r="J187" s="119" cm="1">
        <f t="array" ref="J187">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197695.6839795172</v>
      </c>
      <c r="K187" s="117"/>
    </row>
    <row r="188" spans="1:11" x14ac:dyDescent="0.3">
      <c r="A188" s="122">
        <v>46125</v>
      </c>
      <c r="B188" s="120" t="s">
        <v>9</v>
      </c>
      <c r="C188" s="117">
        <v>1626</v>
      </c>
      <c r="D188" s="117" t="s">
        <v>85</v>
      </c>
      <c r="E188" s="11">
        <v>2131</v>
      </c>
      <c r="F188" s="11">
        <v>25617</v>
      </c>
      <c r="G188" s="11">
        <v>27435</v>
      </c>
      <c r="H188" s="118">
        <f>_xlfn.XLOOKUP(Table1[[#This Row],[Shipment Number]], 'pivot '!A:A,'pivot '!G:G, "NF")</f>
        <v>2.0694497547420525</v>
      </c>
      <c r="I188" s="119">
        <f>Table1[[#This Row],[Tiyaar/gaz]]/1.0936</f>
        <v>25086.869056327727</v>
      </c>
      <c r="J188" s="119" cm="1">
        <f t="array" ref="J188">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250868.69056327728</v>
      </c>
      <c r="K188" s="117"/>
    </row>
    <row r="189" spans="1:11" x14ac:dyDescent="0.3">
      <c r="A189" s="122">
        <v>46125</v>
      </c>
      <c r="B189" s="120" t="s">
        <v>22</v>
      </c>
      <c r="C189" s="117">
        <v>1627</v>
      </c>
      <c r="D189" s="117" t="s">
        <v>86</v>
      </c>
      <c r="E189" s="11">
        <v>2146</v>
      </c>
      <c r="F189" s="11">
        <v>20038</v>
      </c>
      <c r="G189" s="11">
        <v>4919</v>
      </c>
      <c r="H189" s="118">
        <f>_xlfn.XLOOKUP(Table1[[#This Row],[Shipment Number]], 'pivot '!A:A,'pivot '!G:G, "NF")</f>
        <v>3.1558400414486698</v>
      </c>
      <c r="I189" s="119">
        <f>Table1[[#This Row],[Tiyaar/gaz]]/1.0936</f>
        <v>4497.9882955376743</v>
      </c>
      <c r="J189" s="119" cm="1">
        <f t="array" ref="J189">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58473.847841989766</v>
      </c>
      <c r="K189" s="117"/>
    </row>
    <row r="190" spans="1:11" x14ac:dyDescent="0.3">
      <c r="A190" s="122">
        <v>46130</v>
      </c>
      <c r="B190" s="120" t="s">
        <v>21</v>
      </c>
      <c r="C190" s="117">
        <v>1628</v>
      </c>
      <c r="D190" s="117" t="s">
        <v>86</v>
      </c>
      <c r="E190" s="11">
        <v>2152</v>
      </c>
      <c r="F190" s="11">
        <v>22707</v>
      </c>
      <c r="G190" s="11">
        <v>23910</v>
      </c>
      <c r="H190" s="118">
        <f>_xlfn.XLOOKUP(Table1[[#This Row],[Shipment Number]], 'pivot '!A:A,'pivot '!G:G, "NF")</f>
        <v>3.714405861586684</v>
      </c>
      <c r="I190" s="119">
        <f>Table1[[#This Row],[Tiyaar/gaz]]/1.0936</f>
        <v>21863.569861009513</v>
      </c>
      <c r="J190" s="119" cm="1">
        <f t="array" ref="J190">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284226.40819312364</v>
      </c>
      <c r="K190" s="117"/>
    </row>
    <row r="191" spans="1:11" x14ac:dyDescent="0.3">
      <c r="A191" s="122">
        <v>46130</v>
      </c>
      <c r="B191" s="120" t="s">
        <v>22</v>
      </c>
      <c r="C191" s="117">
        <v>1629</v>
      </c>
      <c r="D191" s="117" t="s">
        <v>86</v>
      </c>
      <c r="E191" s="11">
        <v>2146</v>
      </c>
      <c r="F191" s="11">
        <v>20038</v>
      </c>
      <c r="G191" s="11">
        <v>16303</v>
      </c>
      <c r="H191" s="118">
        <f>_xlfn.XLOOKUP(Table1[[#This Row],[Shipment Number]], 'pivot '!A:A,'pivot '!G:G, "NF")</f>
        <v>3.1558400414486698</v>
      </c>
      <c r="I191" s="119">
        <f>Table1[[#This Row],[Tiyaar/gaz]]/1.0936</f>
        <v>14907.644476956841</v>
      </c>
      <c r="J191" s="119" cm="1">
        <f t="array" ref="J191">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193799.37820043892</v>
      </c>
      <c r="K191" s="117"/>
    </row>
    <row r="192" spans="1:11" x14ac:dyDescent="0.3">
      <c r="A192" s="122">
        <v>46130</v>
      </c>
      <c r="B192" s="120" t="s">
        <v>21</v>
      </c>
      <c r="C192" s="117">
        <v>1630</v>
      </c>
      <c r="D192" s="117" t="s">
        <v>86</v>
      </c>
      <c r="E192" s="11">
        <v>2162</v>
      </c>
      <c r="F192" s="11">
        <v>3017</v>
      </c>
      <c r="G192" s="11">
        <v>3252</v>
      </c>
      <c r="H192" s="118">
        <f>_xlfn.XLOOKUP(Table1[[#This Row],[Shipment Number]], 'pivot '!A:A,'pivot '!G:G, "NF")</f>
        <v>1.4363619567149186</v>
      </c>
      <c r="I192" s="119">
        <f>Table1[[#This Row],[Tiyaar/gaz]]/1.0936</f>
        <v>2973.6649597659111</v>
      </c>
      <c r="J192" s="119" cm="1">
        <f t="array" ref="J192">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38657.644476956848</v>
      </c>
      <c r="K192" s="117"/>
    </row>
    <row r="193" spans="1:11" x14ac:dyDescent="0.3">
      <c r="A193" s="122">
        <v>46130</v>
      </c>
      <c r="B193" s="120" t="s">
        <v>21</v>
      </c>
      <c r="C193" s="117">
        <v>1631</v>
      </c>
      <c r="D193" s="117" t="s">
        <v>85</v>
      </c>
      <c r="E193" s="11">
        <v>2148</v>
      </c>
      <c r="F193" s="11">
        <v>28857</v>
      </c>
      <c r="G193" s="11">
        <v>7102</v>
      </c>
      <c r="H193" s="118">
        <f>_xlfn.XLOOKUP(Table1[[#This Row],[Shipment Number]], 'pivot '!A:A,'pivot '!G:G, "NF")</f>
        <v>2.1108939402745932</v>
      </c>
      <c r="I193" s="119">
        <f>Table1[[#This Row],[Tiyaar/gaz]]/1.0936</f>
        <v>6494.1477688368695</v>
      </c>
      <c r="J193" s="119" cm="1">
        <f t="array" ref="J193">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64941.477688368694</v>
      </c>
      <c r="K193" s="117"/>
    </row>
    <row r="194" spans="1:11" x14ac:dyDescent="0.3">
      <c r="A194" s="122">
        <v>46130</v>
      </c>
      <c r="B194" s="120" t="s">
        <v>21</v>
      </c>
      <c r="C194" s="117">
        <v>1632</v>
      </c>
      <c r="D194" s="117" t="s">
        <v>85</v>
      </c>
      <c r="E194" s="11">
        <v>2135</v>
      </c>
      <c r="F194" s="11">
        <v>14433</v>
      </c>
      <c r="G194" s="11">
        <v>10979</v>
      </c>
      <c r="H194" s="118">
        <f>_xlfn.XLOOKUP(Table1[[#This Row],[Shipment Number]], 'pivot '!A:A,'pivot '!G:G, "NF")</f>
        <v>30.441906200185073</v>
      </c>
      <c r="I194" s="119">
        <f>Table1[[#This Row],[Tiyaar/gaz]]/1.0936</f>
        <v>10039.319678127287</v>
      </c>
      <c r="J194" s="119" cm="1">
        <f t="array" ref="J194">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100393.19678127287</v>
      </c>
      <c r="K194" s="117"/>
    </row>
    <row r="195" spans="1:11" x14ac:dyDescent="0.3">
      <c r="A195" s="122">
        <v>46130</v>
      </c>
      <c r="B195" s="120" t="s">
        <v>21</v>
      </c>
      <c r="C195" s="117">
        <v>1633</v>
      </c>
      <c r="D195" s="117" t="s">
        <v>85</v>
      </c>
      <c r="E195" s="11">
        <v>2154</v>
      </c>
      <c r="F195" s="11">
        <v>10364</v>
      </c>
      <c r="G195" s="11">
        <v>11077</v>
      </c>
      <c r="H195" s="118">
        <f>_xlfn.XLOOKUP(Table1[[#This Row],[Shipment Number]], 'pivot '!A:A,'pivot '!G:G, "NF")</f>
        <v>2.2681207273955124</v>
      </c>
      <c r="I195" s="119">
        <f>Table1[[#This Row],[Tiyaar/gaz]]/1.0936</f>
        <v>10128.93196781273</v>
      </c>
      <c r="J195" s="119" cm="1">
        <f t="array" ref="J19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101289.3196781273</v>
      </c>
      <c r="K195" s="117"/>
    </row>
    <row r="196" spans="1:11" x14ac:dyDescent="0.3">
      <c r="A196" s="122">
        <v>46130</v>
      </c>
      <c r="B196" s="120" t="s">
        <v>377</v>
      </c>
      <c r="C196" s="117">
        <v>1634</v>
      </c>
      <c r="D196" s="117" t="s">
        <v>85</v>
      </c>
      <c r="E196" s="11">
        <v>2158</v>
      </c>
      <c r="F196" s="11">
        <v>29532</v>
      </c>
      <c r="G196" s="11">
        <v>31473</v>
      </c>
      <c r="H196" s="118">
        <f>_xlfn.XLOOKUP(Table1[[#This Row],[Shipment Number]], 'pivot '!A:A,'pivot '!G:G, "NF")</f>
        <v>2.5488921989175992</v>
      </c>
      <c r="I196" s="119">
        <f>Table1[[#This Row],[Tiyaar/gaz]]/1.0936</f>
        <v>28779.261155815657</v>
      </c>
      <c r="J196" s="119" cm="1">
        <f t="array" ref="J19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287792.61155815655</v>
      </c>
      <c r="K196" s="117"/>
    </row>
    <row r="197" spans="1:11" x14ac:dyDescent="0.3">
      <c r="A197" s="122">
        <v>46132</v>
      </c>
      <c r="B197" s="120" t="s">
        <v>312</v>
      </c>
      <c r="C197" s="117">
        <v>1635</v>
      </c>
      <c r="D197" s="117" t="s">
        <v>207</v>
      </c>
      <c r="E197" s="11">
        <v>2155</v>
      </c>
      <c r="F197" s="11">
        <v>44910</v>
      </c>
      <c r="G197" s="11">
        <v>33115</v>
      </c>
      <c r="H197" s="118">
        <f>_xlfn.XLOOKUP(Table1[[#This Row],[Shipment Number]], 'pivot '!A:A,'pivot '!G:G, "NF")</f>
        <v>5.8936372297549582</v>
      </c>
      <c r="I197" s="119">
        <f>Table1[[#This Row],[Tiyaar/gaz]]/1.0936</f>
        <v>30280.724213606441</v>
      </c>
      <c r="J197" s="119" cm="1">
        <f t="array" ref="J19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363368.69056327728</v>
      </c>
      <c r="K197" s="117"/>
    </row>
    <row r="198" spans="1:11" x14ac:dyDescent="0.3">
      <c r="A198" s="122">
        <v>46132</v>
      </c>
      <c r="B198" s="120" t="s">
        <v>312</v>
      </c>
      <c r="C198" s="117">
        <v>1636</v>
      </c>
      <c r="D198" s="117" t="s">
        <v>207</v>
      </c>
      <c r="E198" s="11">
        <v>2155</v>
      </c>
      <c r="F198" s="11">
        <v>44910</v>
      </c>
      <c r="G198" s="11">
        <v>13104</v>
      </c>
      <c r="H198" s="118">
        <f>_xlfn.XLOOKUP(Table1[[#This Row],[Shipment Number]], 'pivot '!A:A,'pivot '!G:G, "NF")</f>
        <v>5.8936372297549582</v>
      </c>
      <c r="I198" s="119">
        <f>Table1[[#This Row],[Tiyaar/gaz]]/1.0936</f>
        <v>11982.443306510608</v>
      </c>
      <c r="J198" s="119" cm="1">
        <f t="array" ref="J19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143789.3196781273</v>
      </c>
      <c r="K198" s="117"/>
    </row>
    <row r="199" spans="1:11" x14ac:dyDescent="0.3">
      <c r="A199" s="122">
        <v>46132</v>
      </c>
      <c r="B199" s="120" t="s">
        <v>27</v>
      </c>
      <c r="C199" s="117">
        <v>1637</v>
      </c>
      <c r="D199" s="117" t="s">
        <v>85</v>
      </c>
      <c r="E199" s="11">
        <v>2128</v>
      </c>
      <c r="F199" s="11">
        <v>50106</v>
      </c>
      <c r="G199" s="11">
        <v>600</v>
      </c>
      <c r="H199" s="118">
        <f>_xlfn.XLOOKUP(Table1[[#This Row],[Shipment Number]], 'pivot '!A:A,'pivot '!G:G, "NF")</f>
        <v>2.8303595499705807</v>
      </c>
      <c r="I199" s="119">
        <f>Table1[[#This Row],[Tiyaar/gaz]]/1.0936</f>
        <v>548.64667154352605</v>
      </c>
      <c r="J199" s="119" cm="1">
        <f t="array" ref="J19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5486.466715435261</v>
      </c>
      <c r="K199" s="117"/>
    </row>
    <row r="200" spans="1:11" x14ac:dyDescent="0.3">
      <c r="A200" s="122">
        <v>46133</v>
      </c>
      <c r="B200" s="120" t="s">
        <v>656</v>
      </c>
      <c r="C200" s="117">
        <v>1638</v>
      </c>
      <c r="D200" s="117" t="s">
        <v>662</v>
      </c>
      <c r="E200" s="11">
        <v>2166</v>
      </c>
      <c r="F200" s="11">
        <v>16758</v>
      </c>
      <c r="G200" s="11">
        <v>16701</v>
      </c>
      <c r="H200" s="118">
        <f>_xlfn.XLOOKUP(Table1[[#This Row],[Shipment Number]], 'pivot '!A:A,'pivot '!G:G, "NF")</f>
        <v>8.8699122662964101</v>
      </c>
      <c r="I200" s="119">
        <f>Table1[[#This Row],[Tiyaar/gaz]]/1.0936</f>
        <v>15271.580102414047</v>
      </c>
      <c r="J200" s="119" cm="1">
        <f t="array" ref="J20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229073.70153621072</v>
      </c>
      <c r="K200" s="117"/>
    </row>
    <row r="201" spans="1:11" x14ac:dyDescent="0.3">
      <c r="A201" s="122">
        <v>46133</v>
      </c>
      <c r="B201" s="120" t="s">
        <v>656</v>
      </c>
      <c r="C201" s="117">
        <v>1639</v>
      </c>
      <c r="D201" s="117" t="s">
        <v>662</v>
      </c>
      <c r="E201" s="11">
        <v>2165</v>
      </c>
      <c r="F201" s="11">
        <v>5601</v>
      </c>
      <c r="G201" s="11">
        <v>5649</v>
      </c>
      <c r="H201" s="118">
        <f>_xlfn.XLOOKUP(Table1[[#This Row],[Shipment Number]], 'pivot '!A:A,'pivot '!G:G, "NF")</f>
        <v>7.7752470526281456</v>
      </c>
      <c r="I201" s="119">
        <f>Table1[[#This Row],[Tiyaar/gaz]]/1.0936</f>
        <v>5165.5084125822978</v>
      </c>
      <c r="J201" s="119" cm="1">
        <f t="array" ref="J20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77482.626188734459</v>
      </c>
      <c r="K201" s="117"/>
    </row>
    <row r="202" spans="1:11" x14ac:dyDescent="0.3">
      <c r="A202" s="122">
        <v>46133</v>
      </c>
      <c r="B202" s="120" t="s">
        <v>21</v>
      </c>
      <c r="C202" s="117">
        <v>1640</v>
      </c>
      <c r="D202" s="117" t="s">
        <v>85</v>
      </c>
      <c r="E202" s="11" t="s">
        <v>657</v>
      </c>
      <c r="F202" s="11">
        <v>23377</v>
      </c>
      <c r="G202" s="11">
        <v>12483</v>
      </c>
      <c r="H202" s="118">
        <f>_xlfn.XLOOKUP(Table1[[#This Row],[Shipment Number]], 'pivot '!A:A,'pivot '!G:G, "NF")</f>
        <v>51.171690116511705</v>
      </c>
      <c r="I202" s="119">
        <f>Table1[[#This Row],[Tiyaar/gaz]]/1.0936</f>
        <v>11414.59400146306</v>
      </c>
      <c r="J202" s="119" cm="1">
        <f t="array" ref="J20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114145.9400146306</v>
      </c>
      <c r="K202" s="117"/>
    </row>
    <row r="203" spans="1:11" x14ac:dyDescent="0.3">
      <c r="A203" s="122">
        <v>46133</v>
      </c>
      <c r="B203" s="120" t="s">
        <v>21</v>
      </c>
      <c r="C203" s="117">
        <v>1641</v>
      </c>
      <c r="D203" s="117" t="s">
        <v>85</v>
      </c>
      <c r="E203" s="11">
        <v>2147</v>
      </c>
      <c r="F203" s="11">
        <v>37086</v>
      </c>
      <c r="G203" s="11">
        <v>4157</v>
      </c>
      <c r="H203" s="118">
        <f>_xlfn.XLOOKUP(Table1[[#This Row],[Shipment Number]], 'pivot '!A:A,'pivot '!G:G, "NF")</f>
        <v>89.750291153865618</v>
      </c>
      <c r="I203" s="119">
        <f>Table1[[#This Row],[Tiyaar/gaz]]/1.0936</f>
        <v>3801.2070226773963</v>
      </c>
      <c r="J203" s="119" cm="1">
        <f t="array" ref="J20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38012.070226773962</v>
      </c>
      <c r="K203" s="117"/>
    </row>
    <row r="204" spans="1:11" x14ac:dyDescent="0.3">
      <c r="A204" s="122">
        <v>46134</v>
      </c>
      <c r="B204" s="120" t="s">
        <v>248</v>
      </c>
      <c r="C204" s="117">
        <v>1642</v>
      </c>
      <c r="D204" s="117" t="s">
        <v>380</v>
      </c>
      <c r="E204" s="11">
        <v>2144</v>
      </c>
      <c r="F204" s="11">
        <v>2940</v>
      </c>
      <c r="G204" s="11">
        <v>3292</v>
      </c>
      <c r="H204" s="118">
        <f>_xlfn.XLOOKUP(Table1[[#This Row],[Shipment Number]], 'pivot '!A:A,'pivot '!G:G, "NF")</f>
        <v>-2.3891634195741318</v>
      </c>
      <c r="I204" s="119">
        <f>Table1[[#This Row],[Tiyaar/gaz]]/1.0936</f>
        <v>3010.2414045354794</v>
      </c>
      <c r="J204" s="119" cm="1">
        <f t="array" ref="J20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60204.82809070959</v>
      </c>
      <c r="K204" s="117"/>
    </row>
    <row r="205" spans="1:11" x14ac:dyDescent="0.3">
      <c r="A205" s="122">
        <v>46134</v>
      </c>
      <c r="B205" s="120" t="s">
        <v>248</v>
      </c>
      <c r="C205" s="117">
        <v>1643</v>
      </c>
      <c r="D205" s="117" t="s">
        <v>380</v>
      </c>
      <c r="E205" s="11" t="s">
        <v>658</v>
      </c>
      <c r="F205" s="11">
        <v>3710</v>
      </c>
      <c r="G205" s="11">
        <v>3636</v>
      </c>
      <c r="H205" s="118">
        <f>_xlfn.XLOOKUP(Table1[[#This Row],[Shipment Number]], 'pivot '!A:A,'pivot '!G:G, "NF")</f>
        <v>10.382780874561519</v>
      </c>
      <c r="I205" s="119">
        <f>Table1[[#This Row],[Tiyaar/gaz]]/1.0936</f>
        <v>3324.7988295537675</v>
      </c>
      <c r="J205" s="119" cm="1">
        <f t="array" ref="J20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66495.976591075349</v>
      </c>
      <c r="K205" s="117"/>
    </row>
    <row r="206" spans="1:11" x14ac:dyDescent="0.3">
      <c r="A206" s="122">
        <v>46134</v>
      </c>
      <c r="B206" s="120" t="s">
        <v>248</v>
      </c>
      <c r="C206" s="117">
        <v>1644</v>
      </c>
      <c r="D206" s="117" t="s">
        <v>380</v>
      </c>
      <c r="E206" s="11">
        <v>2143</v>
      </c>
      <c r="F206" s="11">
        <v>5180</v>
      </c>
      <c r="G206" s="11">
        <v>5214</v>
      </c>
      <c r="H206" s="118">
        <f>_xlfn.XLOOKUP(Table1[[#This Row],[Shipment Number]], 'pivot '!A:A,'pivot '!G:G, "NF")</f>
        <v>7.9586954495513282</v>
      </c>
      <c r="I206" s="119">
        <f>Table1[[#This Row],[Tiyaar/gaz]]/1.0936</f>
        <v>4767.7395757132408</v>
      </c>
      <c r="J206" s="119" cm="1">
        <f t="array" ref="J20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95354.791514264813</v>
      </c>
      <c r="K206" s="117"/>
    </row>
    <row r="207" spans="1:11" x14ac:dyDescent="0.3">
      <c r="A207" s="122">
        <v>46134</v>
      </c>
      <c r="B207" s="120" t="s">
        <v>248</v>
      </c>
      <c r="C207" s="117">
        <v>1645</v>
      </c>
      <c r="D207" s="117" t="s">
        <v>380</v>
      </c>
      <c r="E207" s="11">
        <v>2142</v>
      </c>
      <c r="F207" s="11">
        <v>4200</v>
      </c>
      <c r="G207" s="11">
        <v>4467</v>
      </c>
      <c r="H207" s="118">
        <f>_xlfn.XLOOKUP(Table1[[#This Row],[Shipment Number]], 'pivot '!A:A,'pivot '!G:G, "NF")</f>
        <v>2.745845960915446</v>
      </c>
      <c r="I207" s="119">
        <f>Table1[[#This Row],[Tiyaar/gaz]]/1.0936</f>
        <v>4084.6744696415512</v>
      </c>
      <c r="J207" s="119" cm="1">
        <f t="array" ref="J20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81693.489392831019</v>
      </c>
      <c r="K207" s="117"/>
    </row>
    <row r="208" spans="1:11" x14ac:dyDescent="0.3">
      <c r="A208" s="122">
        <v>46134</v>
      </c>
      <c r="B208" s="120" t="s">
        <v>248</v>
      </c>
      <c r="C208" s="117">
        <v>1646</v>
      </c>
      <c r="D208" s="117" t="s">
        <v>380</v>
      </c>
      <c r="E208" s="11">
        <v>2140</v>
      </c>
      <c r="F208" s="11">
        <v>4200</v>
      </c>
      <c r="G208" s="11">
        <v>4253</v>
      </c>
      <c r="H208" s="118">
        <f>_xlfn.XLOOKUP(Table1[[#This Row],[Shipment Number]], 'pivot '!A:A,'pivot '!G:G, "NF")</f>
        <v>7.4049883303723902</v>
      </c>
      <c r="I208" s="119">
        <f>Table1[[#This Row],[Tiyaar/gaz]]/1.0936</f>
        <v>3888.9904901243603</v>
      </c>
      <c r="J208" s="119" cm="1">
        <f t="array" ref="J20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77779.809802487202</v>
      </c>
      <c r="K208" s="117"/>
    </row>
    <row r="209" spans="1:11" x14ac:dyDescent="0.3">
      <c r="A209" s="122">
        <v>46134</v>
      </c>
      <c r="B209" s="120" t="s">
        <v>248</v>
      </c>
      <c r="C209" s="117">
        <v>1647</v>
      </c>
      <c r="D209" s="117" t="s">
        <v>380</v>
      </c>
      <c r="E209" s="11">
        <v>2141</v>
      </c>
      <c r="F209" s="11">
        <v>2968</v>
      </c>
      <c r="G209" s="11">
        <v>3096</v>
      </c>
      <c r="H209" s="118">
        <f>_xlfn.XLOOKUP(Table1[[#This Row],[Shipment Number]], 'pivot '!A:A,'pivot '!G:G, "NF")</f>
        <v>4.6153360793600342</v>
      </c>
      <c r="I209" s="119">
        <f>Table1[[#This Row],[Tiyaar/gaz]]/1.0936</f>
        <v>2831.0168251645941</v>
      </c>
      <c r="J209" s="119" cm="1">
        <f t="array" ref="J20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56620.336503291881</v>
      </c>
      <c r="K209" s="117"/>
    </row>
    <row r="210" spans="1:11" x14ac:dyDescent="0.3">
      <c r="A210" s="122">
        <v>46134</v>
      </c>
      <c r="B210" s="120" t="s">
        <v>248</v>
      </c>
      <c r="C210" s="117">
        <v>1648</v>
      </c>
      <c r="D210" s="117" t="s">
        <v>380</v>
      </c>
      <c r="E210" s="11" t="s">
        <v>659</v>
      </c>
      <c r="F210" s="11">
        <v>5362</v>
      </c>
      <c r="G210" s="11">
        <v>5154</v>
      </c>
      <c r="H210" s="118">
        <f>_xlfn.XLOOKUP(Table1[[#This Row],[Shipment Number]], 'pivot '!A:A,'pivot '!G:G, "NF")</f>
        <v>12.106025577044221</v>
      </c>
      <c r="I210" s="119">
        <f>Table1[[#This Row],[Tiyaar/gaz]]/1.0936</f>
        <v>4712.8749085588888</v>
      </c>
      <c r="J210" s="119" cm="1">
        <f t="array" ref="J21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94257.49817117778</v>
      </c>
      <c r="K210" s="117"/>
    </row>
    <row r="211" spans="1:11" x14ac:dyDescent="0.3">
      <c r="A211" s="122">
        <v>46135</v>
      </c>
      <c r="B211" s="120" t="s">
        <v>312</v>
      </c>
      <c r="C211" s="117">
        <v>1649</v>
      </c>
      <c r="D211" s="117" t="s">
        <v>86</v>
      </c>
      <c r="E211" s="11">
        <v>2167</v>
      </c>
      <c r="F211" s="11">
        <v>47687</v>
      </c>
      <c r="G211" s="11">
        <v>35027</v>
      </c>
      <c r="H211" s="118">
        <f>_xlfn.XLOOKUP(Table1[[#This Row],[Shipment Number]], 'pivot '!A:A,'pivot '!G:G, "NF")</f>
        <v>4.562761726141872</v>
      </c>
      <c r="I211" s="119">
        <f>Table1[[#This Row],[Tiyaar/gaz]]/1.0936</f>
        <v>32029.078273591811</v>
      </c>
      <c r="J211" s="119" cm="1">
        <f t="array" ref="J21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416378.01755669352</v>
      </c>
      <c r="K211" s="117"/>
    </row>
    <row r="212" spans="1:11" x14ac:dyDescent="0.3">
      <c r="A212" s="122">
        <v>46135</v>
      </c>
      <c r="B212" s="120" t="s">
        <v>312</v>
      </c>
      <c r="C212" s="117">
        <v>1650</v>
      </c>
      <c r="D212" s="117" t="s">
        <v>86</v>
      </c>
      <c r="E212" s="11">
        <v>2167</v>
      </c>
      <c r="F212" s="11">
        <v>47687</v>
      </c>
      <c r="G212" s="11">
        <v>13248</v>
      </c>
      <c r="H212" s="118">
        <f>_xlfn.XLOOKUP(Table1[[#This Row],[Shipment Number]], 'pivot '!A:A,'pivot '!G:G, "NF")</f>
        <v>4.562761726141872</v>
      </c>
      <c r="I212" s="119">
        <f>Table1[[#This Row],[Tiyaar/gaz]]/1.0936</f>
        <v>12114.118507681054</v>
      </c>
      <c r="J212" s="119" cm="1">
        <f t="array" ref="J21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157483.5405998537</v>
      </c>
      <c r="K212" s="117"/>
    </row>
    <row r="213" spans="1:11" x14ac:dyDescent="0.3">
      <c r="A213" s="122">
        <v>46135</v>
      </c>
      <c r="B213" s="120" t="s">
        <v>22</v>
      </c>
      <c r="C213" s="117">
        <v>1651</v>
      </c>
      <c r="D213" s="117" t="s">
        <v>86</v>
      </c>
      <c r="E213" s="11">
        <v>2171</v>
      </c>
      <c r="F213" s="11">
        <v>15000</v>
      </c>
      <c r="G213" s="11">
        <v>1535</v>
      </c>
      <c r="H213" s="118">
        <f>_xlfn.XLOOKUP(Table1[[#This Row],[Shipment Number]], 'pivot '!A:A,'pivot '!G:G, "NF")</f>
        <v>90.642526213118757</v>
      </c>
      <c r="I213" s="119">
        <f>Table1[[#This Row],[Tiyaar/gaz]]/1.0936</f>
        <v>1403.6210680321874</v>
      </c>
      <c r="J213" s="119" cm="1">
        <f t="array" ref="J21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18247.073884418438</v>
      </c>
      <c r="K213" s="117"/>
    </row>
    <row r="214" spans="1:11" x14ac:dyDescent="0.3">
      <c r="A214" s="122">
        <v>46136</v>
      </c>
      <c r="B214" s="120" t="s">
        <v>21</v>
      </c>
      <c r="C214" s="117">
        <v>1652</v>
      </c>
      <c r="D214" s="117" t="s">
        <v>85</v>
      </c>
      <c r="E214" s="11">
        <v>2178</v>
      </c>
      <c r="F214" s="11">
        <v>15645</v>
      </c>
      <c r="G214" s="11">
        <v>10649</v>
      </c>
      <c r="H214" s="118">
        <f>_xlfn.XLOOKUP(Table1[[#This Row],[Shipment Number]], 'pivot '!A:A,'pivot '!G:G, "NF")</f>
        <v>37.759258492947602</v>
      </c>
      <c r="I214" s="119">
        <f>Table1[[#This Row],[Tiyaar/gaz]]/1.0936</f>
        <v>9737.5640087783468</v>
      </c>
      <c r="J214" s="119" cm="1">
        <f t="array" ref="J21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97375.640087783468</v>
      </c>
      <c r="K214" s="117"/>
    </row>
    <row r="215" spans="1:11" x14ac:dyDescent="0.3">
      <c r="A215" s="122">
        <v>46136</v>
      </c>
      <c r="B215" s="120" t="s">
        <v>21</v>
      </c>
      <c r="C215" s="117">
        <v>1653</v>
      </c>
      <c r="D215" s="117" t="s">
        <v>85</v>
      </c>
      <c r="E215" s="11">
        <v>2150</v>
      </c>
      <c r="F215" s="11">
        <v>14993</v>
      </c>
      <c r="G215" s="11">
        <v>6728</v>
      </c>
      <c r="H215" s="118">
        <f>_xlfn.XLOOKUP(Table1[[#This Row],[Shipment Number]], 'pivot '!A:A,'pivot '!G:G, "NF")</f>
        <v>24.727125767689387</v>
      </c>
      <c r="I215" s="119">
        <f>Table1[[#This Row],[Tiyaar/gaz]]/1.0936</f>
        <v>6152.1580102414055</v>
      </c>
      <c r="J215" s="119" cm="1">
        <f t="array" ref="J21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61521.580102414053</v>
      </c>
      <c r="K215" s="117"/>
    </row>
    <row r="216" spans="1:11" x14ac:dyDescent="0.3">
      <c r="A216" s="122">
        <v>46136</v>
      </c>
      <c r="B216" s="120" t="s">
        <v>190</v>
      </c>
      <c r="C216" s="117">
        <v>1654</v>
      </c>
      <c r="D216" s="117" t="s">
        <v>85</v>
      </c>
      <c r="E216" s="11">
        <v>2172</v>
      </c>
      <c r="F216" s="11">
        <v>78432</v>
      </c>
      <c r="G216" s="11">
        <v>4817</v>
      </c>
      <c r="H216" s="118">
        <f>_xlfn.XLOOKUP(Table1[[#This Row],[Shipment Number]], 'pivot '!A:A,'pivot '!G:G, "NF")</f>
        <v>2.5084090589677857</v>
      </c>
      <c r="I216" s="119">
        <f>Table1[[#This Row],[Tiyaar/gaz]]/1.0936</f>
        <v>4404.718361375275</v>
      </c>
      <c r="J216" s="119" cm="1">
        <f t="array" ref="J21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44047.18361375275</v>
      </c>
      <c r="K216" s="117"/>
    </row>
    <row r="217" spans="1:11" x14ac:dyDescent="0.3">
      <c r="A217" s="122">
        <v>46136</v>
      </c>
      <c r="B217" s="120" t="s">
        <v>656</v>
      </c>
      <c r="C217" s="117">
        <v>1655</v>
      </c>
      <c r="D217" s="117" t="s">
        <v>85</v>
      </c>
      <c r="E217" s="11">
        <v>2170</v>
      </c>
      <c r="F217" s="11">
        <v>83592</v>
      </c>
      <c r="G217" s="11">
        <v>49176</v>
      </c>
      <c r="H217" s="118">
        <f>_xlfn.XLOOKUP(Table1[[#This Row],[Shipment Number]], 'pivot '!A:A,'pivot '!G:G, "NF")</f>
        <v>3.0467366383261378</v>
      </c>
      <c r="I217" s="119">
        <f>Table1[[#This Row],[Tiyaar/gaz]]/1.0936</f>
        <v>44967.081199707391</v>
      </c>
      <c r="J217" s="119" cm="1">
        <f t="array" ref="J21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449670.81199707394</v>
      </c>
      <c r="K217" s="117"/>
    </row>
    <row r="218" spans="1:11" x14ac:dyDescent="0.3">
      <c r="A218" s="122">
        <v>46137</v>
      </c>
      <c r="B218" s="120" t="s">
        <v>656</v>
      </c>
      <c r="C218" s="117">
        <v>1656</v>
      </c>
      <c r="D218" s="117" t="s">
        <v>85</v>
      </c>
      <c r="E218" s="11">
        <v>2170</v>
      </c>
      <c r="F218" s="11">
        <v>83592</v>
      </c>
      <c r="G218" s="11">
        <v>39455</v>
      </c>
      <c r="H218" s="118">
        <f>_xlfn.XLOOKUP(Table1[[#This Row],[Shipment Number]], 'pivot '!A:A,'pivot '!G:G, "NF")</f>
        <v>3.0467366383261378</v>
      </c>
      <c r="I218" s="119">
        <f>Table1[[#This Row],[Tiyaar/gaz]]/1.0936</f>
        <v>36078.090709583033</v>
      </c>
      <c r="J218" s="119" cm="1">
        <f t="array" ref="J21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360780.90709583031</v>
      </c>
      <c r="K218" s="117"/>
    </row>
    <row r="219" spans="1:11" x14ac:dyDescent="0.3">
      <c r="A219" s="122">
        <v>46139</v>
      </c>
      <c r="B219" s="120" t="s">
        <v>27</v>
      </c>
      <c r="C219" s="117">
        <v>1657</v>
      </c>
      <c r="D219" s="117" t="s">
        <v>207</v>
      </c>
      <c r="E219" s="11">
        <v>2157</v>
      </c>
      <c r="F219" s="11">
        <v>50133</v>
      </c>
      <c r="G219" s="11">
        <v>51781</v>
      </c>
      <c r="H219" s="118">
        <f>_xlfn.XLOOKUP(Table1[[#This Row],[Shipment Number]], 'pivot '!A:A,'pivot '!G:G, "NF")</f>
        <v>5.5529847299672213</v>
      </c>
      <c r="I219" s="119">
        <f>Table1[[#This Row],[Tiyaar/gaz]]/1.0936</f>
        <v>47349.122165325534</v>
      </c>
      <c r="J219" s="119" cm="1">
        <f t="array" ref="J21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520840.34381858085</v>
      </c>
      <c r="K219" s="117"/>
    </row>
    <row r="220" spans="1:11" x14ac:dyDescent="0.3">
      <c r="A220" s="122">
        <v>46139</v>
      </c>
      <c r="B220" s="120" t="s">
        <v>312</v>
      </c>
      <c r="C220" s="117">
        <v>1658</v>
      </c>
      <c r="D220" s="117" t="s">
        <v>207</v>
      </c>
      <c r="E220" s="11">
        <v>2177</v>
      </c>
      <c r="F220" s="11">
        <v>7882</v>
      </c>
      <c r="G220" s="11">
        <v>8164</v>
      </c>
      <c r="H220" s="118">
        <f>_xlfn.XLOOKUP(Table1[[#This Row],[Shipment Number]], 'pivot '!A:A,'pivot '!G:G, "NF")</f>
        <v>5.2873334500265088</v>
      </c>
      <c r="I220" s="119">
        <f>Table1[[#This Row],[Tiyaar/gaz]]/1.0936</f>
        <v>7465.2523774689107</v>
      </c>
      <c r="J220" s="119" cm="1">
        <f t="array" ref="J22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89583.028529626929</v>
      </c>
      <c r="K220" s="117"/>
    </row>
    <row r="221" spans="1:11" x14ac:dyDescent="0.3">
      <c r="A221" s="122">
        <v>46139</v>
      </c>
      <c r="B221" s="120" t="s">
        <v>312</v>
      </c>
      <c r="C221" s="117">
        <v>1659</v>
      </c>
      <c r="D221" s="117" t="s">
        <v>207</v>
      </c>
      <c r="E221" s="11">
        <v>2180</v>
      </c>
      <c r="F221" s="11">
        <v>34252</v>
      </c>
      <c r="G221" s="11">
        <v>34786</v>
      </c>
      <c r="H221" s="118">
        <f>_xlfn.XLOOKUP(Table1[[#This Row],[Shipment Number]], 'pivot '!A:A,'pivot '!G:G, "NF")</f>
        <v>7.1332909206610964</v>
      </c>
      <c r="I221" s="119">
        <f>Table1[[#This Row],[Tiyaar/gaz]]/1.0936</f>
        <v>31808.705193855159</v>
      </c>
      <c r="J221" s="119" cm="1">
        <f t="array" ref="J22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381704.46232626191</v>
      </c>
      <c r="K221" s="117"/>
    </row>
    <row r="222" spans="1:11" x14ac:dyDescent="0.3">
      <c r="A222" s="122">
        <v>46140</v>
      </c>
      <c r="B222" s="120" t="s">
        <v>35</v>
      </c>
      <c r="C222" s="117">
        <v>1660</v>
      </c>
      <c r="D222" s="117" t="s">
        <v>86</v>
      </c>
      <c r="E222" s="11">
        <v>2156</v>
      </c>
      <c r="F222" s="11">
        <v>23596</v>
      </c>
      <c r="G222" s="11">
        <v>25362</v>
      </c>
      <c r="H222" s="118">
        <f>_xlfn.XLOOKUP(Table1[[#This Row],[Shipment Number]], 'pivot '!A:A,'pivot '!G:G, "NF")</f>
        <v>1.7151432185758466</v>
      </c>
      <c r="I222" s="119">
        <f>Table1[[#This Row],[Tiyaar/gaz]]/1.0936</f>
        <v>23191.294806144844</v>
      </c>
      <c r="J222" s="119" cm="1">
        <f t="array" ref="J22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278295.53767373814</v>
      </c>
      <c r="K222" s="117"/>
    </row>
    <row r="223" spans="1:11" x14ac:dyDescent="0.3">
      <c r="A223" s="122">
        <v>46140</v>
      </c>
      <c r="B223" s="120" t="s">
        <v>192</v>
      </c>
      <c r="C223" s="117">
        <v>1661</v>
      </c>
      <c r="D223" s="117" t="s">
        <v>86</v>
      </c>
      <c r="E223" s="11">
        <v>2168</v>
      </c>
      <c r="F223" s="11">
        <v>22019</v>
      </c>
      <c r="G223" s="11">
        <v>23463</v>
      </c>
      <c r="H223" s="118">
        <f>_xlfn.XLOOKUP(Table1[[#This Row],[Shipment Number]], 'pivot '!A:A,'pivot '!G:G, "NF")</f>
        <v>2.562204956130671</v>
      </c>
      <c r="I223" s="119">
        <f>Table1[[#This Row],[Tiyaar/gaz]]/1.0936</f>
        <v>21454.828090709583</v>
      </c>
      <c r="J223" s="119" cm="1">
        <f t="array" ref="J22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278912.7651792246</v>
      </c>
      <c r="K223" s="117"/>
    </row>
    <row r="224" spans="1:11" x14ac:dyDescent="0.3">
      <c r="A224" s="122">
        <v>46141</v>
      </c>
      <c r="B224" s="120" t="s">
        <v>190</v>
      </c>
      <c r="C224" s="117">
        <v>1662</v>
      </c>
      <c r="D224" s="117" t="s">
        <v>85</v>
      </c>
      <c r="E224" s="11">
        <v>2172</v>
      </c>
      <c r="F224" s="11">
        <v>78482</v>
      </c>
      <c r="G224" s="11">
        <v>34684</v>
      </c>
      <c r="H224" s="118">
        <f>_xlfn.XLOOKUP(Table1[[#This Row],[Shipment Number]], 'pivot '!A:A,'pivot '!G:G, "NF")</f>
        <v>2.5084090589677857</v>
      </c>
      <c r="I224" s="119">
        <f>Table1[[#This Row],[Tiyaar/gaz]]/1.0936</f>
        <v>31715.43525969276</v>
      </c>
      <c r="J224" s="119" cm="1">
        <f t="array" ref="J22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317154.35259692761</v>
      </c>
      <c r="K224" s="117"/>
    </row>
    <row r="225" spans="1:11" x14ac:dyDescent="0.3">
      <c r="A225" s="122">
        <v>46141</v>
      </c>
      <c r="B225" s="120" t="s">
        <v>21</v>
      </c>
      <c r="C225" s="117">
        <v>1663</v>
      </c>
      <c r="D225" s="117" t="s">
        <v>85</v>
      </c>
      <c r="E225" s="11">
        <v>2149</v>
      </c>
      <c r="F225" s="11">
        <v>16408</v>
      </c>
      <c r="G225" s="11">
        <v>10093</v>
      </c>
      <c r="H225" s="118">
        <f>_xlfn.XLOOKUP(Table1[[#This Row],[Shipment Number]], 'pivot '!A:A,'pivot '!G:G, "NF")</f>
        <v>43.752124411985939</v>
      </c>
      <c r="I225" s="119">
        <f>Table1[[#This Row],[Tiyaar/gaz]]/1.0936</f>
        <v>9229.1514264813468</v>
      </c>
      <c r="J225" s="119" cm="1">
        <f t="array" ref="J22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92291.514264813464</v>
      </c>
      <c r="K225" s="117"/>
    </row>
    <row r="226" spans="1:11" x14ac:dyDescent="0.3">
      <c r="A226" s="122">
        <v>46142</v>
      </c>
      <c r="B226" s="120" t="s">
        <v>190</v>
      </c>
      <c r="C226" s="117">
        <v>1664</v>
      </c>
      <c r="D226" s="117" t="s">
        <v>85</v>
      </c>
      <c r="E226" s="11">
        <v>2172</v>
      </c>
      <c r="F226" s="11">
        <v>78482</v>
      </c>
      <c r="G226" s="11">
        <v>44174</v>
      </c>
      <c r="H226" s="118">
        <f>_xlfn.XLOOKUP(Table1[[#This Row],[Shipment Number]], 'pivot '!A:A,'pivot '!G:G, "NF")</f>
        <v>2.5084090589677857</v>
      </c>
      <c r="I226" s="119">
        <f>Table1[[#This Row],[Tiyaar/gaz]]/1.0936</f>
        <v>40393.196781272862</v>
      </c>
      <c r="J226" s="119" cm="1">
        <f t="array" ref="J22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403931.9678127286</v>
      </c>
      <c r="K226" s="117"/>
    </row>
    <row r="227" spans="1:11" x14ac:dyDescent="0.3">
      <c r="A227" s="122">
        <v>46143</v>
      </c>
      <c r="B227" s="120" t="s">
        <v>21</v>
      </c>
      <c r="C227" s="117">
        <v>1665</v>
      </c>
      <c r="D227" s="117" t="s">
        <v>85</v>
      </c>
      <c r="E227" s="11">
        <v>2150</v>
      </c>
      <c r="F227" s="11">
        <v>14993</v>
      </c>
      <c r="G227" s="11">
        <v>5614</v>
      </c>
      <c r="H227" s="118">
        <f>_xlfn.XLOOKUP(Table1[[#This Row],[Shipment Number]], 'pivot '!A:A,'pivot '!G:G, "NF")</f>
        <v>24.727125767689387</v>
      </c>
      <c r="I227" s="119">
        <f>Table1[[#This Row],[Tiyaar/gaz]]/1.0936</f>
        <v>5133.5040234089247</v>
      </c>
      <c r="J227" s="119" cm="1">
        <f t="array" ref="J22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51335.040234089247</v>
      </c>
      <c r="K227" s="117"/>
    </row>
    <row r="228" spans="1:11" x14ac:dyDescent="0.3">
      <c r="A228" s="122">
        <v>46144</v>
      </c>
      <c r="B228" s="120" t="s">
        <v>312</v>
      </c>
      <c r="C228" s="117">
        <v>1666</v>
      </c>
      <c r="D228" s="117" t="s">
        <v>86</v>
      </c>
      <c r="E228" s="11">
        <v>2164</v>
      </c>
      <c r="F228" s="11">
        <v>45908</v>
      </c>
      <c r="G228" s="11">
        <v>33781</v>
      </c>
      <c r="H228" s="118">
        <f>_xlfn.XLOOKUP(Table1[[#This Row],[Shipment Number]], 'pivot '!A:A,'pivot '!G:G, "NF")</f>
        <v>3.8043804921633608</v>
      </c>
      <c r="I228" s="119">
        <f>Table1[[#This Row],[Tiyaar/gaz]]/1.0936</f>
        <v>30889.722019019755</v>
      </c>
      <c r="J228" s="119" cm="1">
        <f t="array" ref="J22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401566.38624725683</v>
      </c>
      <c r="K228" s="117"/>
    </row>
    <row r="229" spans="1:11" x14ac:dyDescent="0.3">
      <c r="A229" s="122">
        <v>46055</v>
      </c>
      <c r="B229" s="120" t="s">
        <v>312</v>
      </c>
      <c r="C229" s="117">
        <v>1667</v>
      </c>
      <c r="D229" s="117" t="s">
        <v>86</v>
      </c>
      <c r="E229" s="11">
        <v>2164</v>
      </c>
      <c r="F229" s="11">
        <v>45908</v>
      </c>
      <c r="G229" s="11">
        <v>14514</v>
      </c>
      <c r="H229" s="118">
        <f>_xlfn.XLOOKUP(Table1[[#This Row],[Shipment Number]], 'pivot '!A:A,'pivot '!G:G, "NF")</f>
        <v>3.8043804921633608</v>
      </c>
      <c r="I229" s="119">
        <f>Table1[[#This Row],[Tiyaar/gaz]]/1.0936</f>
        <v>13271.762984637895</v>
      </c>
      <c r="J229" s="119" cm="1">
        <f t="array" ref="J22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172532.91880029262</v>
      </c>
      <c r="K229" s="117"/>
    </row>
    <row r="230" spans="1:11" x14ac:dyDescent="0.3">
      <c r="A230" s="122">
        <v>46144</v>
      </c>
      <c r="B230" s="120" t="s">
        <v>312</v>
      </c>
      <c r="C230" s="117">
        <v>1668</v>
      </c>
      <c r="D230" s="117" t="s">
        <v>86</v>
      </c>
      <c r="E230" s="11">
        <v>2167</v>
      </c>
      <c r="F230" s="11">
        <v>47687</v>
      </c>
      <c r="G230" s="11">
        <v>1496</v>
      </c>
      <c r="H230" s="118">
        <f>_xlfn.XLOOKUP(Table1[[#This Row],[Shipment Number]], 'pivot '!A:A,'pivot '!G:G, "NF")</f>
        <v>4.562761726141872</v>
      </c>
      <c r="I230" s="119">
        <f>Table1[[#This Row],[Tiyaar/gaz]]/1.0936</f>
        <v>1367.9590343818581</v>
      </c>
      <c r="J230" s="119" cm="1">
        <f t="array" ref="J23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17783.467446964154</v>
      </c>
      <c r="K230" s="117"/>
    </row>
    <row r="231" spans="1:11" x14ac:dyDescent="0.3">
      <c r="A231" s="122">
        <v>46146</v>
      </c>
      <c r="B231" s="120" t="s">
        <v>717</v>
      </c>
      <c r="C231" s="117">
        <v>1669</v>
      </c>
      <c r="D231" s="117" t="s">
        <v>86</v>
      </c>
      <c r="E231" s="11">
        <v>2185</v>
      </c>
      <c r="F231" s="11">
        <v>50029</v>
      </c>
      <c r="G231" s="11">
        <v>36039</v>
      </c>
      <c r="H231" s="118">
        <f>_xlfn.XLOOKUP(Table1[[#This Row],[Shipment Number]], 'pivot '!A:A,'pivot '!G:G, "NF")</f>
        <v>4.8759473711538419</v>
      </c>
      <c r="I231" s="119">
        <f>Table1[[#This Row],[Tiyaar/gaz]]/1.0936</f>
        <v>32954.462326261892</v>
      </c>
      <c r="J231" s="119" cm="1">
        <f t="array" ref="J23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395453.54791514273</v>
      </c>
      <c r="K231" s="117"/>
    </row>
    <row r="232" spans="1:11" x14ac:dyDescent="0.3">
      <c r="A232" s="122">
        <v>46146</v>
      </c>
      <c r="B232" s="120" t="s">
        <v>717</v>
      </c>
      <c r="C232" s="117">
        <v>1670</v>
      </c>
      <c r="D232" s="117" t="s">
        <v>86</v>
      </c>
      <c r="E232" s="11">
        <v>2185</v>
      </c>
      <c r="F232" s="11">
        <v>50029</v>
      </c>
      <c r="G232" s="11">
        <v>16005</v>
      </c>
      <c r="H232" s="118">
        <f>_xlfn.XLOOKUP(Table1[[#This Row],[Shipment Number]], 'pivot '!A:A,'pivot '!G:G, "NF")</f>
        <v>4.8759473711538419</v>
      </c>
      <c r="I232" s="119">
        <f>Table1[[#This Row],[Tiyaar/gaz]]/1.0936</f>
        <v>14635.149963423557</v>
      </c>
      <c r="J232" s="119" cm="1">
        <f t="array" ref="J23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175621.79956108268</v>
      </c>
      <c r="K232" s="117"/>
    </row>
    <row r="233" spans="1:11" x14ac:dyDescent="0.3">
      <c r="A233" s="122">
        <v>46146</v>
      </c>
      <c r="B233" s="120" t="s">
        <v>717</v>
      </c>
      <c r="C233" s="117">
        <v>1671</v>
      </c>
      <c r="D233" s="117" t="s">
        <v>86</v>
      </c>
      <c r="E233" s="11">
        <v>2186</v>
      </c>
      <c r="F233" s="11">
        <v>36740</v>
      </c>
      <c r="G233" s="11">
        <v>38709</v>
      </c>
      <c r="H233" s="118">
        <f>_xlfn.XLOOKUP(Table1[[#This Row],[Shipment Number]], 'pivot '!A:A,'pivot '!G:G, "NF")</f>
        <v>3.6583015388389128</v>
      </c>
      <c r="I233" s="119">
        <f>Table1[[#This Row],[Tiyaar/gaz]]/1.0936</f>
        <v>35395.940014630578</v>
      </c>
      <c r="J233" s="119" cm="1">
        <f t="array" ref="J23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424751.28017556691</v>
      </c>
      <c r="K233" s="117"/>
    </row>
    <row r="234" spans="1:11" x14ac:dyDescent="0.3">
      <c r="A234" s="122">
        <v>46146</v>
      </c>
      <c r="B234" s="120" t="s">
        <v>717</v>
      </c>
      <c r="C234" s="117">
        <v>1672</v>
      </c>
      <c r="D234" s="117" t="s">
        <v>86</v>
      </c>
      <c r="E234" s="11">
        <v>2190</v>
      </c>
      <c r="F234" s="11">
        <v>39984</v>
      </c>
      <c r="G234" s="11">
        <v>41078</v>
      </c>
      <c r="H234" s="118">
        <f>_xlfn.XLOOKUP(Table1[[#This Row],[Shipment Number]], 'pivot '!A:A,'pivot '!G:G, "NF")</f>
        <v>6.0569728988888727</v>
      </c>
      <c r="I234" s="119">
        <f>Table1[[#This Row],[Tiyaar/gaz]]/1.0936</f>
        <v>37562.179956108266</v>
      </c>
      <c r="J234" s="119" cm="1">
        <f t="array" ref="J23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450746.15947329917</v>
      </c>
      <c r="K234" s="117"/>
    </row>
    <row r="235" spans="1:11" x14ac:dyDescent="0.3">
      <c r="A235" s="122">
        <v>46146</v>
      </c>
      <c r="B235" s="120" t="s">
        <v>717</v>
      </c>
      <c r="C235" s="117">
        <v>1673</v>
      </c>
      <c r="D235" s="117" t="s">
        <v>86</v>
      </c>
      <c r="E235" s="11">
        <v>2187</v>
      </c>
      <c r="F235" s="11">
        <v>30346</v>
      </c>
      <c r="G235" s="11">
        <v>32052</v>
      </c>
      <c r="H235" s="118">
        <f>_xlfn.XLOOKUP(Table1[[#This Row],[Shipment Number]], 'pivot '!A:A,'pivot '!G:G, "NF")</f>
        <v>3.4182258160707732</v>
      </c>
      <c r="I235" s="119">
        <f>Table1[[#This Row],[Tiyaar/gaz]]/1.0936</f>
        <v>29308.705193855159</v>
      </c>
      <c r="J235" s="119" cm="1">
        <f t="array" ref="J23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351704.46232626191</v>
      </c>
      <c r="K235" s="117"/>
    </row>
    <row r="236" spans="1:11" x14ac:dyDescent="0.3">
      <c r="A236" s="117"/>
      <c r="B236" s="120"/>
      <c r="C236" s="117"/>
      <c r="D236" s="117"/>
      <c r="E236" s="11"/>
      <c r="F236" s="11"/>
      <c r="G236" s="11"/>
      <c r="H236" s="118" t="e">
        <f>_xlfn.XLOOKUP(Table1[[#This Row],[Shipment Number]], 'pivot '!A:A,'pivot '!G:G, "NF")</f>
        <v>#DIV/0!</v>
      </c>
      <c r="I236" s="119"/>
      <c r="J236" s="119"/>
      <c r="K236" s="117"/>
    </row>
    <row r="237" spans="1:11" x14ac:dyDescent="0.3">
      <c r="A237" s="117"/>
      <c r="B237" s="120"/>
      <c r="C237" s="117"/>
      <c r="D237" s="117"/>
      <c r="E237" s="11"/>
      <c r="F237" s="11"/>
      <c r="G237" s="11"/>
      <c r="H237" s="118" t="e">
        <f>_xlfn.XLOOKUP(Table1[[#This Row],[Shipment Number]], 'pivot '!A:A,'pivot '!G:G, "NF")</f>
        <v>#DIV/0!</v>
      </c>
      <c r="I237" s="119"/>
      <c r="J237" s="119"/>
      <c r="K237" s="117"/>
    </row>
    <row r="238" spans="1:11" x14ac:dyDescent="0.3">
      <c r="A238"/>
      <c r="B238"/>
      <c r="C238"/>
      <c r="D238"/>
      <c r="E238" s="14"/>
      <c r="F238" s="14"/>
      <c r="G238" s="14"/>
      <c r="H238" s="43"/>
      <c r="I238" s="93" cm="1">
        <f t="array" aca="1" ref="I238" ca="1">SUMPRODUCT( SUBTOTAL(109, OFFSET(Table1[tiyar/meters], ROW(Table1[tiyar/meters])-MIN(ROW(Table1[tiyar/meters])), 0, 1)), --(Table1[Bill Number]&lt;&gt;"January Closing CF") )</f>
        <v>2545458.1199707408</v>
      </c>
      <c r="J238" s="43" cm="1">
        <f t="array" aca="1" ref="J238" ca="1">SUMPRODUCT( SUBTOTAL(109, OFFSET(Table1[billing], ROW(Table1[billing])-MIN(ROW(Table1[billing])), 0, 1)), --(Table1[Bill Number]&lt;&gt;"January Closing CF") )</f>
        <v>29036182.333577193</v>
      </c>
      <c r="K238" s="14">
        <f>SUMIFS(Table1[billing], Table1[Bill Number], "&lt;&gt;January Closing CF")</f>
        <v>29036182.333577193</v>
      </c>
    </row>
  </sheetData>
  <phoneticPr fontId="7" alignment="center"/>
  <conditionalFormatting sqref="H2:H238">
    <cfRule type="cellIs" dxfId="6" priority="1" operator="greaterThan">
      <formula>3.5</formula>
    </cfRule>
  </conditionalFormatting>
  <pageMargins left="0.7" right="0.7" top="0.75" bottom="0.75" header="0.3" footer="0.3"/>
  <pageSetup scale="4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952E-54B1-4FE0-8AE8-C9FCBC6D6B96}">
  <dimension ref="A1:E20"/>
  <sheetViews>
    <sheetView workbookViewId="0">
      <selection activeCell="A2" sqref="A2"/>
    </sheetView>
  </sheetViews>
  <sheetFormatPr defaultRowHeight="14.4" x14ac:dyDescent="0.3"/>
  <cols>
    <col min="1" max="1" width="10.33203125" bestFit="1" customWidth="1"/>
    <col min="2" max="3" width="12.5546875" customWidth="1"/>
    <col min="4" max="4" width="9.109375" customWidth="1"/>
  </cols>
  <sheetData>
    <row r="1" spans="1:5" x14ac:dyDescent="0.3">
      <c r="A1" t="s">
        <v>75</v>
      </c>
      <c r="B1" t="s">
        <v>2</v>
      </c>
      <c r="C1" t="s">
        <v>230</v>
      </c>
      <c r="D1" t="s">
        <v>231</v>
      </c>
      <c r="E1" t="s">
        <v>78</v>
      </c>
    </row>
    <row r="2" spans="1:5" x14ac:dyDescent="0.3">
      <c r="A2" s="1">
        <v>46046</v>
      </c>
      <c r="B2" t="s">
        <v>232</v>
      </c>
      <c r="C2">
        <v>2069</v>
      </c>
      <c r="D2">
        <v>3875</v>
      </c>
      <c r="E2" t="s">
        <v>233</v>
      </c>
    </row>
    <row r="3" spans="1:5" x14ac:dyDescent="0.3">
      <c r="A3" s="1">
        <v>46048</v>
      </c>
      <c r="B3" t="s">
        <v>234</v>
      </c>
      <c r="C3">
        <v>2070</v>
      </c>
      <c r="D3">
        <v>60945</v>
      </c>
      <c r="E3" t="s">
        <v>235</v>
      </c>
    </row>
    <row r="4" spans="1:5" x14ac:dyDescent="0.3">
      <c r="A4" s="1">
        <v>46048</v>
      </c>
      <c r="C4">
        <v>2071</v>
      </c>
    </row>
    <row r="5" spans="1:5" x14ac:dyDescent="0.3">
      <c r="A5" s="1">
        <v>46048</v>
      </c>
      <c r="B5" t="s">
        <v>234</v>
      </c>
      <c r="C5">
        <v>2072</v>
      </c>
      <c r="D5">
        <v>15104</v>
      </c>
      <c r="E5" t="s">
        <v>235</v>
      </c>
    </row>
    <row r="6" spans="1:5" x14ac:dyDescent="0.3">
      <c r="A6" s="1">
        <v>46049</v>
      </c>
      <c r="B6" t="s">
        <v>9</v>
      </c>
      <c r="C6">
        <v>2073</v>
      </c>
      <c r="D6">
        <v>20111</v>
      </c>
      <c r="E6" t="s">
        <v>235</v>
      </c>
    </row>
    <row r="7" spans="1:5" x14ac:dyDescent="0.3">
      <c r="A7" s="1">
        <v>46049</v>
      </c>
      <c r="B7" t="s">
        <v>236</v>
      </c>
      <c r="C7">
        <v>2074</v>
      </c>
      <c r="D7">
        <v>1519</v>
      </c>
      <c r="E7" t="s">
        <v>235</v>
      </c>
    </row>
    <row r="8" spans="1:5" x14ac:dyDescent="0.3">
      <c r="A8" s="1">
        <v>46049</v>
      </c>
      <c r="B8" t="s">
        <v>236</v>
      </c>
      <c r="C8">
        <v>2075</v>
      </c>
      <c r="D8">
        <v>1519</v>
      </c>
      <c r="E8" t="s">
        <v>235</v>
      </c>
    </row>
    <row r="9" spans="1:5" x14ac:dyDescent="0.3">
      <c r="A9" s="1">
        <v>46053</v>
      </c>
      <c r="B9" t="s">
        <v>237</v>
      </c>
      <c r="C9">
        <v>2076</v>
      </c>
      <c r="D9">
        <v>50784</v>
      </c>
      <c r="E9" t="s">
        <v>86</v>
      </c>
    </row>
    <row r="10" spans="1:5" x14ac:dyDescent="0.3">
      <c r="A10" s="1">
        <v>46053</v>
      </c>
      <c r="B10" t="s">
        <v>238</v>
      </c>
      <c r="C10">
        <v>2077</v>
      </c>
      <c r="D10">
        <v>62470</v>
      </c>
      <c r="E10" t="s">
        <v>86</v>
      </c>
    </row>
    <row r="11" spans="1:5" x14ac:dyDescent="0.3">
      <c r="A11" s="1">
        <v>46053</v>
      </c>
      <c r="B11" t="s">
        <v>9</v>
      </c>
      <c r="C11">
        <v>2078</v>
      </c>
      <c r="D11">
        <v>25072</v>
      </c>
      <c r="E11" t="s">
        <v>235</v>
      </c>
    </row>
    <row r="12" spans="1:5" x14ac:dyDescent="0.3">
      <c r="A12" s="1">
        <v>46053</v>
      </c>
      <c r="B12" t="s">
        <v>21</v>
      </c>
      <c r="C12">
        <v>2079</v>
      </c>
      <c r="D12">
        <v>7968</v>
      </c>
      <c r="E12" t="s">
        <v>239</v>
      </c>
    </row>
    <row r="13" spans="1:5" x14ac:dyDescent="0.3">
      <c r="A13" s="1">
        <v>46056</v>
      </c>
      <c r="B13" t="s">
        <v>21</v>
      </c>
      <c r="C13">
        <v>2080</v>
      </c>
      <c r="D13">
        <v>53024</v>
      </c>
      <c r="E13" t="s">
        <v>240</v>
      </c>
    </row>
    <row r="14" spans="1:5" x14ac:dyDescent="0.3">
      <c r="A14" s="1">
        <v>46056</v>
      </c>
      <c r="B14" t="s">
        <v>21</v>
      </c>
      <c r="C14">
        <v>2081</v>
      </c>
      <c r="D14">
        <v>68014</v>
      </c>
      <c r="E14" t="s">
        <v>240</v>
      </c>
    </row>
    <row r="15" spans="1:5" x14ac:dyDescent="0.3">
      <c r="A15" s="1">
        <v>46056</v>
      </c>
      <c r="B15" t="s">
        <v>21</v>
      </c>
      <c r="C15">
        <v>2082</v>
      </c>
      <c r="D15">
        <v>83635</v>
      </c>
      <c r="E15" t="s">
        <v>240</v>
      </c>
    </row>
    <row r="16" spans="1:5" x14ac:dyDescent="0.3">
      <c r="A16" s="1">
        <v>46056</v>
      </c>
      <c r="B16" t="s">
        <v>22</v>
      </c>
      <c r="C16">
        <v>2083</v>
      </c>
      <c r="D16">
        <v>20008</v>
      </c>
      <c r="E16" t="s">
        <v>86</v>
      </c>
    </row>
    <row r="17" spans="1:5" x14ac:dyDescent="0.3">
      <c r="A17" s="1">
        <v>46057</v>
      </c>
      <c r="B17" t="s">
        <v>175</v>
      </c>
      <c r="C17">
        <v>2084</v>
      </c>
      <c r="D17">
        <v>5816</v>
      </c>
      <c r="E17" t="s">
        <v>86</v>
      </c>
    </row>
    <row r="18" spans="1:5" x14ac:dyDescent="0.3">
      <c r="A18" s="1">
        <v>46057</v>
      </c>
      <c r="B18" t="s">
        <v>9</v>
      </c>
      <c r="C18">
        <v>2085</v>
      </c>
      <c r="D18">
        <v>25013</v>
      </c>
      <c r="E18" t="s">
        <v>235</v>
      </c>
    </row>
    <row r="19" spans="1:5" x14ac:dyDescent="0.3">
      <c r="A19" s="1">
        <v>46057</v>
      </c>
      <c r="B19" t="s">
        <v>236</v>
      </c>
      <c r="C19">
        <v>2086</v>
      </c>
      <c r="D19" t="s">
        <v>241</v>
      </c>
      <c r="E19" t="s">
        <v>86</v>
      </c>
    </row>
    <row r="20" spans="1:5" x14ac:dyDescent="0.3">
      <c r="A20" s="1">
        <v>46058</v>
      </c>
      <c r="B20" t="s">
        <v>21</v>
      </c>
      <c r="C20">
        <v>2087</v>
      </c>
      <c r="D20">
        <v>25142</v>
      </c>
      <c r="E20" t="s">
        <v>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A4BE-4176-4481-B8C4-81155CC199DF}">
  <sheetPr>
    <pageSetUpPr fitToPage="1"/>
  </sheetPr>
  <dimension ref="A1:P127"/>
  <sheetViews>
    <sheetView topLeftCell="A59" zoomScale="145" zoomScaleNormal="90" workbookViewId="0">
      <selection activeCell="E76" sqref="E76"/>
    </sheetView>
  </sheetViews>
  <sheetFormatPr defaultRowHeight="14.4" x14ac:dyDescent="0.3"/>
  <cols>
    <col min="1" max="1" width="19.6640625" bestFit="1" customWidth="1"/>
    <col min="2" max="2" width="17.33203125" bestFit="1" customWidth="1"/>
    <col min="3" max="3" width="18.6640625" customWidth="1"/>
    <col min="4" max="4" width="10.6640625" bestFit="1" customWidth="1"/>
    <col min="5" max="5" width="20" bestFit="1" customWidth="1"/>
    <col min="6" max="6" width="13" bestFit="1" customWidth="1"/>
    <col min="7" max="7" width="12.6640625" customWidth="1"/>
    <col min="8" max="8" width="13.33203125" customWidth="1"/>
    <col min="9" max="9" width="13.88671875" bestFit="1" customWidth="1"/>
    <col min="10" max="10" width="12.88671875" customWidth="1"/>
    <col min="11" max="11" width="20" bestFit="1" customWidth="1"/>
    <col min="12" max="12" width="21" bestFit="1" customWidth="1"/>
    <col min="13" max="13" width="13.33203125" bestFit="1" customWidth="1"/>
    <col min="14" max="14" width="11.77734375" bestFit="1" customWidth="1"/>
    <col min="15" max="15" width="11" bestFit="1" customWidth="1"/>
    <col min="16" max="16" width="14.109375" bestFit="1" customWidth="1"/>
  </cols>
  <sheetData>
    <row r="1" spans="1:16" x14ac:dyDescent="0.3">
      <c r="A1" s="8" t="s">
        <v>75</v>
      </c>
      <c r="B1" s="8" t="s">
        <v>2</v>
      </c>
      <c r="C1" s="8" t="s">
        <v>89</v>
      </c>
      <c r="D1" s="12" t="s">
        <v>90</v>
      </c>
      <c r="E1" s="12" t="s">
        <v>4</v>
      </c>
      <c r="F1" s="12" t="s">
        <v>91</v>
      </c>
      <c r="G1" s="12" t="s">
        <v>5</v>
      </c>
      <c r="H1" s="12" t="s">
        <v>92</v>
      </c>
      <c r="I1" s="13" t="s">
        <v>93</v>
      </c>
    </row>
    <row r="2" spans="1:16" x14ac:dyDescent="0.3">
      <c r="A2" s="84">
        <v>46073</v>
      </c>
      <c r="B2" s="4" t="s">
        <v>96</v>
      </c>
      <c r="C2" s="81" t="s">
        <v>95</v>
      </c>
      <c r="D2" s="82"/>
      <c r="E2" s="82"/>
      <c r="F2" s="82"/>
      <c r="G2" s="82">
        <f>D2*E2</f>
        <v>0</v>
      </c>
      <c r="H2" s="11"/>
      <c r="I2" s="83">
        <v>0</v>
      </c>
    </row>
    <row r="3" spans="1:16" x14ac:dyDescent="0.3">
      <c r="A3" s="84">
        <v>46073</v>
      </c>
      <c r="B3" s="4" t="s">
        <v>224</v>
      </c>
      <c r="C3" s="81" t="s">
        <v>95</v>
      </c>
      <c r="D3" s="82"/>
      <c r="E3" s="82"/>
      <c r="F3" s="82"/>
      <c r="G3" s="82">
        <f>D3*E3</f>
        <v>0</v>
      </c>
      <c r="H3" s="11">
        <v>0</v>
      </c>
      <c r="I3" s="83">
        <v>1271575</v>
      </c>
    </row>
    <row r="4" spans="1:16" x14ac:dyDescent="0.3">
      <c r="A4" s="84">
        <v>46073</v>
      </c>
      <c r="B4" s="4" t="s">
        <v>218</v>
      </c>
      <c r="C4" s="81" t="s">
        <v>95</v>
      </c>
      <c r="D4" s="11"/>
      <c r="E4" s="11"/>
      <c r="F4" s="11"/>
      <c r="G4" s="11">
        <f>D4*E4</f>
        <v>0</v>
      </c>
      <c r="H4" s="11">
        <v>0</v>
      </c>
      <c r="I4" s="83">
        <v>224850</v>
      </c>
    </row>
    <row r="5" spans="1:16" ht="15" thickBot="1" x14ac:dyDescent="0.35">
      <c r="A5" s="84">
        <v>46073</v>
      </c>
      <c r="B5" s="4" t="s">
        <v>149</v>
      </c>
      <c r="C5" s="81" t="s">
        <v>95</v>
      </c>
      <c r="D5" s="11"/>
      <c r="E5" s="11"/>
      <c r="F5" s="11"/>
      <c r="G5" s="11">
        <f t="shared" ref="G5:G6" si="0">D5*E5</f>
        <v>0</v>
      </c>
      <c r="H5" s="11"/>
      <c r="I5" s="83">
        <v>35680</v>
      </c>
    </row>
    <row r="6" spans="1:16" ht="15" thickTop="1" x14ac:dyDescent="0.3">
      <c r="A6" s="84">
        <v>46073</v>
      </c>
      <c r="B6" s="4" t="s">
        <v>169</v>
      </c>
      <c r="C6" s="81" t="s">
        <v>95</v>
      </c>
      <c r="D6" s="11"/>
      <c r="E6" s="11"/>
      <c r="F6" s="11"/>
      <c r="G6" s="11">
        <f t="shared" si="0"/>
        <v>0</v>
      </c>
      <c r="H6" s="11"/>
      <c r="I6" s="83">
        <v>1347239</v>
      </c>
      <c r="K6" s="17">
        <f>SUM(Table3[Total])</f>
        <v>11962585</v>
      </c>
      <c r="L6" s="3" t="s">
        <v>2</v>
      </c>
      <c r="M6" t="s">
        <v>87</v>
      </c>
    </row>
    <row r="7" spans="1:16" x14ac:dyDescent="0.3">
      <c r="A7" s="84">
        <v>46073</v>
      </c>
      <c r="B7" s="4" t="s">
        <v>172</v>
      </c>
      <c r="C7" s="81" t="s">
        <v>95</v>
      </c>
      <c r="D7" s="11"/>
      <c r="E7" s="11"/>
      <c r="F7" s="11"/>
      <c r="G7" s="11">
        <f>D7*E7</f>
        <v>0</v>
      </c>
      <c r="H7" s="11"/>
      <c r="I7" s="83">
        <v>97520</v>
      </c>
    </row>
    <row r="8" spans="1:16" x14ac:dyDescent="0.3">
      <c r="A8" s="84">
        <v>46073</v>
      </c>
      <c r="B8" s="4" t="s">
        <v>181</v>
      </c>
      <c r="C8" s="81" t="s">
        <v>95</v>
      </c>
      <c r="D8" s="11"/>
      <c r="E8" s="11"/>
      <c r="F8" s="11"/>
      <c r="G8" s="11">
        <f t="shared" ref="G8:G9" si="1">D8*E8</f>
        <v>0</v>
      </c>
      <c r="H8" s="11"/>
      <c r="I8" s="83">
        <v>326400</v>
      </c>
      <c r="K8" s="11"/>
      <c r="L8" s="3" t="s">
        <v>98</v>
      </c>
      <c r="M8" t="s">
        <v>99</v>
      </c>
      <c r="N8" t="s">
        <v>100</v>
      </c>
      <c r="O8" t="s">
        <v>101</v>
      </c>
      <c r="P8" t="s">
        <v>102</v>
      </c>
    </row>
    <row r="9" spans="1:16" x14ac:dyDescent="0.3">
      <c r="A9" s="84">
        <v>46073</v>
      </c>
      <c r="B9" s="4" t="s">
        <v>196</v>
      </c>
      <c r="C9" s="81" t="s">
        <v>95</v>
      </c>
      <c r="D9" s="11"/>
      <c r="E9" s="11"/>
      <c r="F9" s="11"/>
      <c r="G9" s="11">
        <f t="shared" si="1"/>
        <v>0</v>
      </c>
      <c r="H9" s="11"/>
      <c r="I9" s="83">
        <v>664986</v>
      </c>
      <c r="K9" s="11"/>
      <c r="L9" s="26" t="s">
        <v>103</v>
      </c>
      <c r="M9" s="14"/>
      <c r="N9" s="14">
        <v>0</v>
      </c>
      <c r="O9" s="14"/>
      <c r="P9" s="14">
        <v>0</v>
      </c>
    </row>
    <row r="10" spans="1:16" x14ac:dyDescent="0.3">
      <c r="A10" s="84">
        <v>46073</v>
      </c>
      <c r="B10" s="4" t="s">
        <v>198</v>
      </c>
      <c r="C10" s="81" t="s">
        <v>95</v>
      </c>
      <c r="D10" s="11"/>
      <c r="E10" s="11"/>
      <c r="F10" s="11"/>
      <c r="G10" s="11"/>
      <c r="H10" s="11"/>
      <c r="I10" s="83">
        <v>79266</v>
      </c>
      <c r="K10" s="11"/>
      <c r="L10" s="42" t="s">
        <v>103</v>
      </c>
      <c r="M10" s="14"/>
      <c r="N10" s="14">
        <v>0</v>
      </c>
      <c r="O10" s="14"/>
      <c r="P10" s="14">
        <v>0</v>
      </c>
    </row>
    <row r="11" spans="1:16" x14ac:dyDescent="0.3">
      <c r="A11" s="84">
        <v>46073</v>
      </c>
      <c r="B11" s="4" t="s">
        <v>213</v>
      </c>
      <c r="C11" s="81" t="s">
        <v>95</v>
      </c>
      <c r="D11" s="11"/>
      <c r="E11" s="11"/>
      <c r="F11" s="11"/>
      <c r="G11" s="11"/>
      <c r="H11" s="11"/>
      <c r="I11" s="83">
        <v>10</v>
      </c>
      <c r="K11" s="11"/>
      <c r="L11" s="26">
        <v>46072</v>
      </c>
      <c r="M11" s="14">
        <v>300</v>
      </c>
      <c r="N11" s="14">
        <v>174000</v>
      </c>
      <c r="O11" s="14"/>
      <c r="P11" s="14">
        <v>174000</v>
      </c>
    </row>
    <row r="12" spans="1:16" x14ac:dyDescent="0.3">
      <c r="A12" s="1"/>
      <c r="B12" s="4"/>
      <c r="D12" s="11"/>
      <c r="E12" s="11"/>
      <c r="F12" s="11"/>
      <c r="G12" s="11"/>
      <c r="H12" s="11"/>
      <c r="I12" s="11"/>
      <c r="K12" s="11"/>
      <c r="L12" s="42" t="s">
        <v>103</v>
      </c>
      <c r="M12" s="14">
        <v>300</v>
      </c>
      <c r="N12" s="14">
        <v>174000</v>
      </c>
      <c r="O12" s="14"/>
      <c r="P12" s="14">
        <v>174000</v>
      </c>
    </row>
    <row r="13" spans="1:16" x14ac:dyDescent="0.3">
      <c r="A13" s="1"/>
      <c r="D13" s="11"/>
      <c r="E13" s="11"/>
      <c r="F13" s="11"/>
      <c r="G13" s="11"/>
      <c r="H13" s="11"/>
      <c r="I13" s="11"/>
      <c r="K13" s="11"/>
      <c r="L13" s="26">
        <v>46073</v>
      </c>
      <c r="M13" s="14">
        <v>256</v>
      </c>
      <c r="N13" s="14">
        <v>209920</v>
      </c>
      <c r="O13" s="14">
        <v>0</v>
      </c>
      <c r="P13" s="14">
        <v>4257446</v>
      </c>
    </row>
    <row r="14" spans="1:16" x14ac:dyDescent="0.3">
      <c r="A14" s="1">
        <v>46073</v>
      </c>
      <c r="B14" t="s">
        <v>257</v>
      </c>
      <c r="D14" s="11">
        <v>256</v>
      </c>
      <c r="E14" s="11">
        <v>820</v>
      </c>
      <c r="F14" s="11">
        <v>64290</v>
      </c>
      <c r="G14" s="11">
        <f>D14*E14</f>
        <v>209920</v>
      </c>
      <c r="H14" s="11"/>
      <c r="I14" s="11">
        <f>(D14*E14)-Table3[[#This Row],[Paid]]</f>
        <v>209920</v>
      </c>
      <c r="K14" s="11"/>
      <c r="L14" s="42" t="s">
        <v>95</v>
      </c>
      <c r="M14" s="14"/>
      <c r="N14" s="14">
        <v>0</v>
      </c>
      <c r="O14" s="14">
        <v>0</v>
      </c>
      <c r="P14" s="14">
        <v>4047526</v>
      </c>
    </row>
    <row r="15" spans="1:16" x14ac:dyDescent="0.3">
      <c r="A15" s="1">
        <v>46074</v>
      </c>
      <c r="B15" t="s">
        <v>172</v>
      </c>
      <c r="D15" s="11">
        <v>458</v>
      </c>
      <c r="E15" s="11">
        <v>820</v>
      </c>
      <c r="F15" s="11">
        <v>100000</v>
      </c>
      <c r="G15" s="11">
        <f t="shared" ref="G15:G79" si="2">D15*E15</f>
        <v>375560</v>
      </c>
      <c r="H15" s="11"/>
      <c r="I15" s="11">
        <f>(D15*E15)-Table3[[#This Row],[Paid]]</f>
        <v>375560</v>
      </c>
      <c r="K15" s="11"/>
      <c r="L15" s="42" t="s">
        <v>103</v>
      </c>
      <c r="M15" s="14">
        <v>256</v>
      </c>
      <c r="N15" s="14">
        <v>209920</v>
      </c>
      <c r="O15" s="14"/>
      <c r="P15" s="14">
        <v>209920</v>
      </c>
    </row>
    <row r="16" spans="1:16" x14ac:dyDescent="0.3">
      <c r="A16" s="1">
        <v>46075</v>
      </c>
      <c r="B16" t="s">
        <v>169</v>
      </c>
      <c r="D16" s="11">
        <v>141</v>
      </c>
      <c r="E16" s="11">
        <v>580</v>
      </c>
      <c r="F16" s="11"/>
      <c r="G16" s="11">
        <f t="shared" si="2"/>
        <v>81780</v>
      </c>
      <c r="H16" s="11"/>
      <c r="I16" s="11">
        <f>(D16*E16)-Table3[[#This Row],[Paid]]</f>
        <v>81780</v>
      </c>
      <c r="K16" s="11"/>
      <c r="L16" s="26">
        <v>46074</v>
      </c>
      <c r="M16" s="14">
        <v>458</v>
      </c>
      <c r="N16" s="14">
        <v>375560</v>
      </c>
      <c r="O16" s="14"/>
      <c r="P16" s="14">
        <v>375560</v>
      </c>
    </row>
    <row r="17" spans="1:16" x14ac:dyDescent="0.3">
      <c r="A17" s="1">
        <v>46075</v>
      </c>
      <c r="B17" t="s">
        <v>218</v>
      </c>
      <c r="D17" s="11">
        <v>173</v>
      </c>
      <c r="E17" s="11">
        <v>820</v>
      </c>
      <c r="F17" s="11"/>
      <c r="G17" s="11">
        <f t="shared" si="2"/>
        <v>141860</v>
      </c>
      <c r="H17" s="11"/>
      <c r="I17" s="11">
        <f>(D17*E17)-Table3[[#This Row],[Paid]]</f>
        <v>141860</v>
      </c>
      <c r="K17" s="11"/>
      <c r="L17" s="42" t="s">
        <v>103</v>
      </c>
      <c r="M17" s="14">
        <v>458</v>
      </c>
      <c r="N17" s="14">
        <v>375560</v>
      </c>
      <c r="O17" s="14"/>
      <c r="P17" s="14">
        <v>375560</v>
      </c>
    </row>
    <row r="18" spans="1:16" x14ac:dyDescent="0.3">
      <c r="A18" s="1">
        <v>46075</v>
      </c>
      <c r="B18" t="s">
        <v>169</v>
      </c>
      <c r="D18" s="11">
        <v>251</v>
      </c>
      <c r="E18" s="11">
        <v>830</v>
      </c>
      <c r="F18" s="11"/>
      <c r="G18" s="11">
        <f t="shared" si="2"/>
        <v>208330</v>
      </c>
      <c r="H18" s="11"/>
      <c r="I18" s="11">
        <f>(D18*E18)-Table3[[#This Row],[Paid]]</f>
        <v>208330</v>
      </c>
      <c r="L18" s="26">
        <v>46075</v>
      </c>
      <c r="M18" s="14">
        <v>1103</v>
      </c>
      <c r="N18" s="14">
        <v>808490</v>
      </c>
      <c r="O18" s="14"/>
      <c r="P18" s="14">
        <v>808490</v>
      </c>
    </row>
    <row r="19" spans="1:16" x14ac:dyDescent="0.3">
      <c r="A19" s="1">
        <v>46075</v>
      </c>
      <c r="B19" t="s">
        <v>224</v>
      </c>
      <c r="D19" s="11">
        <v>280</v>
      </c>
      <c r="E19" s="11">
        <v>705</v>
      </c>
      <c r="F19" s="11"/>
      <c r="G19" s="11">
        <f t="shared" si="2"/>
        <v>197400</v>
      </c>
      <c r="H19" s="11"/>
      <c r="I19" s="11">
        <f>(D19*E19)-Table3[[#This Row],[Paid]]</f>
        <v>197400</v>
      </c>
      <c r="L19" s="42" t="s">
        <v>103</v>
      </c>
      <c r="M19" s="14">
        <v>1103</v>
      </c>
      <c r="N19" s="14">
        <v>808490</v>
      </c>
      <c r="O19" s="14"/>
      <c r="P19" s="14">
        <v>808490</v>
      </c>
    </row>
    <row r="20" spans="1:16" x14ac:dyDescent="0.3">
      <c r="A20" s="1">
        <v>46075</v>
      </c>
      <c r="B20" t="s">
        <v>218</v>
      </c>
      <c r="D20" s="11">
        <v>134</v>
      </c>
      <c r="E20" s="11">
        <v>800</v>
      </c>
      <c r="F20" s="11"/>
      <c r="G20" s="11">
        <f t="shared" si="2"/>
        <v>107200</v>
      </c>
      <c r="H20" s="11"/>
      <c r="I20" s="11">
        <f>(D20*E20)-Table3[[#This Row],[Paid]]</f>
        <v>107200</v>
      </c>
      <c r="L20" s="26">
        <v>46076</v>
      </c>
      <c r="M20" s="14">
        <v>228</v>
      </c>
      <c r="N20" s="14">
        <v>189240</v>
      </c>
      <c r="O20" s="14"/>
      <c r="P20" s="14">
        <v>189240</v>
      </c>
    </row>
    <row r="21" spans="1:16" x14ac:dyDescent="0.3">
      <c r="A21" s="1">
        <v>46075</v>
      </c>
      <c r="B21" t="s">
        <v>169</v>
      </c>
      <c r="D21" s="11">
        <v>124</v>
      </c>
      <c r="E21" s="11">
        <v>580</v>
      </c>
      <c r="F21" s="11"/>
      <c r="G21" s="11">
        <f t="shared" si="2"/>
        <v>71920</v>
      </c>
      <c r="H21" s="11"/>
      <c r="I21" s="11">
        <f>(D21*E21)-Table3[[#This Row],[Paid]]</f>
        <v>71920</v>
      </c>
      <c r="L21" s="42" t="s">
        <v>103</v>
      </c>
      <c r="M21" s="14">
        <v>228</v>
      </c>
      <c r="N21" s="14">
        <v>189240</v>
      </c>
      <c r="O21" s="14"/>
      <c r="P21" s="14">
        <v>189240</v>
      </c>
    </row>
    <row r="22" spans="1:16" x14ac:dyDescent="0.3">
      <c r="A22" s="1">
        <v>46072</v>
      </c>
      <c r="B22" t="s">
        <v>169</v>
      </c>
      <c r="D22" s="11">
        <v>300</v>
      </c>
      <c r="E22" s="11">
        <v>580</v>
      </c>
      <c r="F22" s="11"/>
      <c r="G22" s="11">
        <f t="shared" si="2"/>
        <v>174000</v>
      </c>
      <c r="H22" s="11"/>
      <c r="I22" s="11">
        <f>(D22*E22)-Table3[[#This Row],[Paid]]</f>
        <v>174000</v>
      </c>
      <c r="L22" s="26">
        <v>46077</v>
      </c>
      <c r="M22" s="14">
        <v>173</v>
      </c>
      <c r="N22" s="14">
        <v>141860</v>
      </c>
      <c r="O22" s="14"/>
      <c r="P22" s="14">
        <v>141860</v>
      </c>
    </row>
    <row r="23" spans="1:16" x14ac:dyDescent="0.3">
      <c r="A23" s="1">
        <v>46076</v>
      </c>
      <c r="B23" t="s">
        <v>169</v>
      </c>
      <c r="D23" s="11">
        <v>228</v>
      </c>
      <c r="E23" s="11">
        <v>830</v>
      </c>
      <c r="F23" s="11"/>
      <c r="G23" s="11">
        <f t="shared" si="2"/>
        <v>189240</v>
      </c>
      <c r="H23" s="11"/>
      <c r="I23" s="11">
        <f>(D23*E23)-Table3[[#This Row],[Paid]]</f>
        <v>189240</v>
      </c>
      <c r="L23" s="42" t="s">
        <v>103</v>
      </c>
      <c r="M23" s="14">
        <v>173</v>
      </c>
      <c r="N23" s="14">
        <v>141860</v>
      </c>
      <c r="O23" s="14"/>
      <c r="P23" s="14">
        <v>141860</v>
      </c>
    </row>
    <row r="24" spans="1:16" x14ac:dyDescent="0.3">
      <c r="A24" s="1">
        <v>46077</v>
      </c>
      <c r="B24" t="s">
        <v>218</v>
      </c>
      <c r="D24" s="11">
        <v>173</v>
      </c>
      <c r="E24" s="11">
        <v>820</v>
      </c>
      <c r="F24" s="11"/>
      <c r="G24" s="11">
        <f t="shared" si="2"/>
        <v>141860</v>
      </c>
      <c r="H24" s="11"/>
      <c r="I24" s="11">
        <f>(D24*E24)-Table3[[#This Row],[Paid]]</f>
        <v>141860</v>
      </c>
      <c r="L24" s="26">
        <v>46078</v>
      </c>
      <c r="M24" s="14">
        <v>356</v>
      </c>
      <c r="N24" s="14">
        <v>272140</v>
      </c>
      <c r="O24" s="14"/>
      <c r="P24" s="14">
        <v>278640</v>
      </c>
    </row>
    <row r="25" spans="1:16" x14ac:dyDescent="0.3">
      <c r="A25" s="1">
        <v>46078</v>
      </c>
      <c r="B25" t="s">
        <v>198</v>
      </c>
      <c r="D25" s="11">
        <v>108</v>
      </c>
      <c r="E25" s="11">
        <v>720</v>
      </c>
      <c r="F25" s="11"/>
      <c r="G25" s="11">
        <f>D25*E25-6500</f>
        <v>71260</v>
      </c>
      <c r="H25" s="11"/>
      <c r="I25" s="11">
        <f>(D25*E25)-Table3[[#This Row],[Paid]]</f>
        <v>77760</v>
      </c>
      <c r="L25" s="42" t="s">
        <v>103</v>
      </c>
      <c r="M25" s="14">
        <v>356</v>
      </c>
      <c r="N25" s="14">
        <v>272140</v>
      </c>
      <c r="O25" s="14"/>
      <c r="P25" s="14">
        <v>278640</v>
      </c>
    </row>
    <row r="26" spans="1:16" x14ac:dyDescent="0.3">
      <c r="A26" s="1">
        <v>46078</v>
      </c>
      <c r="B26" t="s">
        <v>257</v>
      </c>
      <c r="D26" s="11">
        <v>248</v>
      </c>
      <c r="E26" s="11">
        <v>810</v>
      </c>
      <c r="F26" s="11"/>
      <c r="G26" s="11">
        <f t="shared" si="2"/>
        <v>200880</v>
      </c>
      <c r="H26" s="11"/>
      <c r="I26" s="11">
        <f>(D26*E26)-Table3[[#This Row],[Paid]]</f>
        <v>200880</v>
      </c>
      <c r="L26" s="26">
        <v>46080</v>
      </c>
      <c r="M26" s="14">
        <v>137</v>
      </c>
      <c r="N26" s="14">
        <v>65760</v>
      </c>
      <c r="O26" s="14"/>
      <c r="P26" s="14">
        <v>65760</v>
      </c>
    </row>
    <row r="27" spans="1:16" x14ac:dyDescent="0.3">
      <c r="A27" s="1">
        <v>46080</v>
      </c>
      <c r="B27" t="s">
        <v>198</v>
      </c>
      <c r="D27" s="11">
        <v>137</v>
      </c>
      <c r="E27" s="11">
        <v>480</v>
      </c>
      <c r="F27" s="11"/>
      <c r="G27" s="11">
        <f t="shared" si="2"/>
        <v>65760</v>
      </c>
      <c r="H27" s="11"/>
      <c r="I27" s="11">
        <f>(D27*E27)-Table3[[#This Row],[Paid]]</f>
        <v>65760</v>
      </c>
      <c r="L27" s="42" t="s">
        <v>103</v>
      </c>
      <c r="M27" s="14">
        <v>137</v>
      </c>
      <c r="N27" s="14">
        <v>65760</v>
      </c>
      <c r="O27" s="14"/>
      <c r="P27" s="14">
        <v>65760</v>
      </c>
    </row>
    <row r="28" spans="1:16" x14ac:dyDescent="0.3">
      <c r="A28" s="1">
        <v>46083</v>
      </c>
      <c r="B28" t="s">
        <v>169</v>
      </c>
      <c r="D28" s="11">
        <v>295</v>
      </c>
      <c r="E28" s="11">
        <v>580</v>
      </c>
      <c r="F28" s="11"/>
      <c r="G28" s="11">
        <f t="shared" si="2"/>
        <v>171100</v>
      </c>
      <c r="H28" s="11"/>
      <c r="I28" s="11">
        <f>(D28*E28)-Table3[[#This Row],[Paid]]</f>
        <v>171100</v>
      </c>
      <c r="L28" s="26">
        <v>46083</v>
      </c>
      <c r="M28" s="14">
        <v>295</v>
      </c>
      <c r="N28" s="14">
        <v>171100</v>
      </c>
      <c r="O28" s="14"/>
      <c r="P28" s="14">
        <v>171100</v>
      </c>
    </row>
    <row r="29" spans="1:16" x14ac:dyDescent="0.3">
      <c r="A29" s="1">
        <v>46084</v>
      </c>
      <c r="B29" t="s">
        <v>169</v>
      </c>
      <c r="D29" s="11">
        <v>247</v>
      </c>
      <c r="E29" s="11">
        <v>580</v>
      </c>
      <c r="F29" s="11"/>
      <c r="G29" s="11">
        <f t="shared" si="2"/>
        <v>143260</v>
      </c>
      <c r="H29" s="11"/>
      <c r="I29" s="11">
        <f>(D29*E29)-Table3[[#This Row],[Paid]]</f>
        <v>143260</v>
      </c>
      <c r="K29" s="14"/>
      <c r="L29" s="42" t="s">
        <v>103</v>
      </c>
      <c r="M29" s="14">
        <v>295</v>
      </c>
      <c r="N29" s="14">
        <v>171100</v>
      </c>
      <c r="O29" s="14"/>
      <c r="P29" s="14">
        <v>171100</v>
      </c>
    </row>
    <row r="30" spans="1:16" x14ac:dyDescent="0.3">
      <c r="A30" s="1">
        <v>46085</v>
      </c>
      <c r="B30" t="s">
        <v>218</v>
      </c>
      <c r="D30" s="11">
        <v>183</v>
      </c>
      <c r="E30" s="11">
        <v>820</v>
      </c>
      <c r="F30" s="11"/>
      <c r="G30" s="11">
        <f t="shared" si="2"/>
        <v>150060</v>
      </c>
      <c r="H30" s="11"/>
      <c r="I30" s="11">
        <f>(D30*E30)-Table3[[#This Row],[Paid]]</f>
        <v>150060</v>
      </c>
      <c r="L30" s="26">
        <v>46084</v>
      </c>
      <c r="M30" s="14">
        <v>247</v>
      </c>
      <c r="N30" s="14">
        <v>143260</v>
      </c>
      <c r="O30" s="14"/>
      <c r="P30" s="14">
        <v>143260</v>
      </c>
    </row>
    <row r="31" spans="1:16" x14ac:dyDescent="0.3">
      <c r="A31" s="1">
        <v>46085</v>
      </c>
      <c r="B31" t="s">
        <v>218</v>
      </c>
      <c r="D31" s="11">
        <v>204</v>
      </c>
      <c r="E31" s="11">
        <v>820</v>
      </c>
      <c r="F31" s="11"/>
      <c r="G31" s="11">
        <f t="shared" si="2"/>
        <v>167280</v>
      </c>
      <c r="H31" s="11"/>
      <c r="I31" s="11">
        <f>(D31*E31)-Table3[[#This Row],[Paid]]</f>
        <v>167280</v>
      </c>
      <c r="L31" s="42" t="s">
        <v>103</v>
      </c>
      <c r="M31" s="14">
        <v>247</v>
      </c>
      <c r="N31" s="14">
        <v>143260</v>
      </c>
      <c r="O31" s="14"/>
      <c r="P31" s="14">
        <v>143260</v>
      </c>
    </row>
    <row r="32" spans="1:16" x14ac:dyDescent="0.3">
      <c r="A32" s="1">
        <v>46086</v>
      </c>
      <c r="B32" t="s">
        <v>169</v>
      </c>
      <c r="D32" s="11">
        <v>282</v>
      </c>
      <c r="E32" s="11">
        <v>580</v>
      </c>
      <c r="F32" s="11"/>
      <c r="G32" s="11">
        <f t="shared" si="2"/>
        <v>163560</v>
      </c>
      <c r="H32" s="11"/>
      <c r="I32" s="11">
        <f>(D32*E32)-Table3[[#This Row],[Paid]]</f>
        <v>163560</v>
      </c>
      <c r="L32" s="26">
        <v>46085</v>
      </c>
      <c r="M32" s="14">
        <v>387</v>
      </c>
      <c r="N32" s="14">
        <v>317340</v>
      </c>
      <c r="O32" s="14"/>
      <c r="P32" s="14">
        <v>317340</v>
      </c>
    </row>
    <row r="33" spans="1:16" x14ac:dyDescent="0.3">
      <c r="A33" s="1">
        <v>46086</v>
      </c>
      <c r="B33" t="s">
        <v>218</v>
      </c>
      <c r="D33" s="11">
        <v>185</v>
      </c>
      <c r="E33" s="11">
        <v>820</v>
      </c>
      <c r="F33" s="11"/>
      <c r="G33" s="11">
        <f t="shared" si="2"/>
        <v>151700</v>
      </c>
      <c r="H33" s="11"/>
      <c r="I33" s="11">
        <f>(D33*E33)-Table3[[#This Row],[Paid]]</f>
        <v>151700</v>
      </c>
      <c r="L33" s="42" t="s">
        <v>103</v>
      </c>
      <c r="M33" s="14">
        <v>387</v>
      </c>
      <c r="N33" s="14">
        <v>317340</v>
      </c>
      <c r="O33" s="14"/>
      <c r="P33" s="14">
        <v>317340</v>
      </c>
    </row>
    <row r="34" spans="1:16" x14ac:dyDescent="0.3">
      <c r="A34" s="1">
        <v>46086</v>
      </c>
      <c r="B34" t="s">
        <v>198</v>
      </c>
      <c r="D34" s="11">
        <v>129</v>
      </c>
      <c r="E34" s="11">
        <v>450</v>
      </c>
      <c r="F34" s="11"/>
      <c r="G34" s="11">
        <f t="shared" si="2"/>
        <v>58050</v>
      </c>
      <c r="H34" s="11"/>
      <c r="I34" s="11">
        <f>(D34*E34)-Table3[[#This Row],[Paid]]</f>
        <v>58050</v>
      </c>
      <c r="L34" s="26">
        <v>46086</v>
      </c>
      <c r="M34" s="14">
        <v>596</v>
      </c>
      <c r="N34" s="14">
        <v>373310</v>
      </c>
      <c r="O34" s="14"/>
      <c r="P34" s="14">
        <v>373310</v>
      </c>
    </row>
    <row r="35" spans="1:16" x14ac:dyDescent="0.3">
      <c r="A35" s="1">
        <v>46087</v>
      </c>
      <c r="B35" t="s">
        <v>218</v>
      </c>
      <c r="D35" s="11">
        <v>121</v>
      </c>
      <c r="E35" s="11">
        <v>820</v>
      </c>
      <c r="F35" s="11"/>
      <c r="G35" s="11">
        <f t="shared" si="2"/>
        <v>99220</v>
      </c>
      <c r="H35" s="11"/>
      <c r="I35" s="11">
        <f>(D35*E35)-Table3[[#This Row],[Paid]]</f>
        <v>99220</v>
      </c>
      <c r="L35" s="42" t="s">
        <v>103</v>
      </c>
      <c r="M35" s="14">
        <v>596</v>
      </c>
      <c r="N35" s="14">
        <v>373310</v>
      </c>
      <c r="O35" s="14"/>
      <c r="P35" s="14">
        <v>373310</v>
      </c>
    </row>
    <row r="36" spans="1:16" x14ac:dyDescent="0.3">
      <c r="A36" s="1">
        <v>46087</v>
      </c>
      <c r="B36" t="s">
        <v>218</v>
      </c>
      <c r="D36" s="11">
        <v>192</v>
      </c>
      <c r="E36" s="11">
        <v>820</v>
      </c>
      <c r="F36" s="11"/>
      <c r="G36" s="11">
        <f t="shared" si="2"/>
        <v>157440</v>
      </c>
      <c r="H36" s="11"/>
      <c r="I36" s="11">
        <f>(D36*E36)-Table3[[#This Row],[Paid]]</f>
        <v>157440</v>
      </c>
      <c r="L36" s="26">
        <v>46087</v>
      </c>
      <c r="M36" s="14">
        <v>770</v>
      </c>
      <c r="N36" s="14">
        <v>634150</v>
      </c>
      <c r="O36" s="14"/>
      <c r="P36" s="14">
        <v>634150</v>
      </c>
    </row>
    <row r="37" spans="1:16" x14ac:dyDescent="0.3">
      <c r="A37" s="1">
        <v>46087</v>
      </c>
      <c r="B37" t="s">
        <v>169</v>
      </c>
      <c r="D37" s="11">
        <v>275</v>
      </c>
      <c r="E37" s="11">
        <v>830</v>
      </c>
      <c r="F37" s="11"/>
      <c r="G37" s="11">
        <f t="shared" si="2"/>
        <v>228250</v>
      </c>
      <c r="H37" s="11"/>
      <c r="I37" s="11">
        <f>(D37*E37)-Table3[[#This Row],[Paid]]</f>
        <v>228250</v>
      </c>
      <c r="L37" s="42" t="s">
        <v>103</v>
      </c>
      <c r="M37" s="14">
        <v>770</v>
      </c>
      <c r="N37" s="14">
        <v>634150</v>
      </c>
      <c r="O37" s="14"/>
      <c r="P37" s="14">
        <v>634150</v>
      </c>
    </row>
    <row r="38" spans="1:16" x14ac:dyDescent="0.3">
      <c r="A38" s="1">
        <v>46087</v>
      </c>
      <c r="B38" t="s">
        <v>218</v>
      </c>
      <c r="D38" s="11">
        <v>182</v>
      </c>
      <c r="E38" s="11">
        <v>820</v>
      </c>
      <c r="F38" s="11"/>
      <c r="G38" s="11">
        <f t="shared" si="2"/>
        <v>149240</v>
      </c>
      <c r="H38" s="11"/>
      <c r="I38" s="11">
        <f>(D38*E38)-Table3[[#This Row],[Paid]]</f>
        <v>149240</v>
      </c>
      <c r="L38" s="26">
        <v>46090</v>
      </c>
      <c r="M38" s="14">
        <v>506</v>
      </c>
      <c r="N38" s="14">
        <v>358480</v>
      </c>
      <c r="O38" s="14"/>
      <c r="P38" s="14">
        <v>358480</v>
      </c>
    </row>
    <row r="39" spans="1:16" x14ac:dyDescent="0.3">
      <c r="A39" s="1">
        <v>46090</v>
      </c>
      <c r="B39" t="s">
        <v>169</v>
      </c>
      <c r="D39" s="11">
        <v>246</v>
      </c>
      <c r="E39" s="11">
        <v>580</v>
      </c>
      <c r="F39" s="11"/>
      <c r="G39" s="11">
        <f t="shared" si="2"/>
        <v>142680</v>
      </c>
      <c r="H39" s="11"/>
      <c r="I39" s="11">
        <f>(D39*E39)-Table3[[#This Row],[Paid]]</f>
        <v>142680</v>
      </c>
      <c r="L39" s="42" t="s">
        <v>103</v>
      </c>
      <c r="M39" s="14">
        <v>506</v>
      </c>
      <c r="N39" s="14">
        <v>358480</v>
      </c>
      <c r="O39" s="14"/>
      <c r="P39" s="14">
        <v>358480</v>
      </c>
    </row>
    <row r="40" spans="1:16" x14ac:dyDescent="0.3">
      <c r="A40" s="1">
        <v>46090</v>
      </c>
      <c r="B40" t="s">
        <v>169</v>
      </c>
      <c r="D40" s="11">
        <v>260</v>
      </c>
      <c r="E40" s="11">
        <v>830</v>
      </c>
      <c r="F40" s="11"/>
      <c r="G40" s="11">
        <f t="shared" si="2"/>
        <v>215800</v>
      </c>
      <c r="H40" s="11"/>
      <c r="I40" s="11">
        <f>(D40*E40)-Table3[[#This Row],[Paid]]</f>
        <v>215800</v>
      </c>
      <c r="L40" s="26">
        <v>46092</v>
      </c>
      <c r="M40" s="14">
        <v>272</v>
      </c>
      <c r="N40" s="14">
        <v>157760</v>
      </c>
      <c r="O40" s="14"/>
      <c r="P40" s="14">
        <v>157760</v>
      </c>
    </row>
    <row r="41" spans="1:16" x14ac:dyDescent="0.3">
      <c r="A41" s="1">
        <v>46092</v>
      </c>
      <c r="B41" t="s">
        <v>169</v>
      </c>
      <c r="D41" s="11">
        <v>272</v>
      </c>
      <c r="E41" s="11">
        <v>580</v>
      </c>
      <c r="F41" s="11"/>
      <c r="G41" s="11">
        <f t="shared" si="2"/>
        <v>157760</v>
      </c>
      <c r="H41" s="11"/>
      <c r="I41" s="11">
        <f>(D41*E41)-Table3[[#This Row],[Paid]]</f>
        <v>157760</v>
      </c>
      <c r="L41" s="42" t="s">
        <v>103</v>
      </c>
      <c r="M41" s="14">
        <v>272</v>
      </c>
      <c r="N41" s="14">
        <v>157760</v>
      </c>
      <c r="O41" s="14"/>
      <c r="P41" s="14">
        <v>157760</v>
      </c>
    </row>
    <row r="42" spans="1:16" x14ac:dyDescent="0.3">
      <c r="A42" s="1">
        <v>46098</v>
      </c>
      <c r="B42" t="s">
        <v>169</v>
      </c>
      <c r="D42" s="11">
        <v>262</v>
      </c>
      <c r="E42" s="11">
        <v>580</v>
      </c>
      <c r="F42" s="11"/>
      <c r="G42" s="11">
        <f t="shared" si="2"/>
        <v>151960</v>
      </c>
      <c r="H42" s="11"/>
      <c r="I42" s="11">
        <f>(D42*E42)-Table3[[#This Row],[Paid]]</f>
        <v>151960</v>
      </c>
      <c r="L42" s="26">
        <v>46098</v>
      </c>
      <c r="M42" s="14">
        <v>262</v>
      </c>
      <c r="N42" s="14">
        <v>151960</v>
      </c>
      <c r="O42" s="14"/>
      <c r="P42" s="14">
        <v>151960</v>
      </c>
    </row>
    <row r="43" spans="1:16" x14ac:dyDescent="0.3">
      <c r="A43" s="1"/>
      <c r="D43" s="11"/>
      <c r="E43" s="11"/>
      <c r="F43" s="11"/>
      <c r="G43" s="11">
        <f t="shared" si="2"/>
        <v>0</v>
      </c>
      <c r="H43" s="11"/>
      <c r="I43" s="11">
        <f>(D43*E43)-Table3[[#This Row],[Paid]]</f>
        <v>0</v>
      </c>
      <c r="L43" s="42" t="s">
        <v>103</v>
      </c>
      <c r="M43" s="14">
        <v>262</v>
      </c>
      <c r="N43" s="14">
        <v>151960</v>
      </c>
      <c r="O43" s="14"/>
      <c r="P43" s="14">
        <v>151960</v>
      </c>
    </row>
    <row r="44" spans="1:16" x14ac:dyDescent="0.3">
      <c r="A44" s="1">
        <v>46122</v>
      </c>
      <c r="B44" t="s">
        <v>627</v>
      </c>
      <c r="D44" s="11">
        <v>337</v>
      </c>
      <c r="E44" s="11">
        <v>830</v>
      </c>
      <c r="F44" s="11"/>
      <c r="G44" s="11">
        <f t="shared" si="2"/>
        <v>279710</v>
      </c>
      <c r="H44" s="11"/>
      <c r="I44" s="11">
        <f>(D44*E44)-Table3[[#This Row],[Paid]]</f>
        <v>279710</v>
      </c>
      <c r="L44" s="26">
        <v>46122</v>
      </c>
      <c r="M44" s="14">
        <v>1061</v>
      </c>
      <c r="N44" s="14">
        <v>908830</v>
      </c>
      <c r="O44" s="14"/>
      <c r="P44" s="14">
        <v>908830</v>
      </c>
    </row>
    <row r="45" spans="1:16" x14ac:dyDescent="0.3">
      <c r="A45" s="1">
        <v>46122</v>
      </c>
      <c r="B45" t="s">
        <v>627</v>
      </c>
      <c r="D45" s="11">
        <v>205</v>
      </c>
      <c r="E45" s="11">
        <v>830</v>
      </c>
      <c r="F45" s="11"/>
      <c r="G45" s="11">
        <f t="shared" si="2"/>
        <v>170150</v>
      </c>
      <c r="H45" s="11"/>
      <c r="I45" s="11">
        <f>(D45*E45)-Table3[[#This Row],[Paid]]</f>
        <v>170150</v>
      </c>
      <c r="L45" s="42" t="s">
        <v>103</v>
      </c>
      <c r="M45" s="14">
        <v>1061</v>
      </c>
      <c r="N45" s="14">
        <v>908830</v>
      </c>
      <c r="O45" s="14"/>
      <c r="P45" s="14">
        <v>908830</v>
      </c>
    </row>
    <row r="46" spans="1:16" x14ac:dyDescent="0.3">
      <c r="A46" s="1">
        <v>46122</v>
      </c>
      <c r="B46" t="s">
        <v>627</v>
      </c>
      <c r="D46" s="11">
        <v>284</v>
      </c>
      <c r="E46" s="11">
        <v>830</v>
      </c>
      <c r="F46" s="11"/>
      <c r="G46" s="11">
        <f t="shared" si="2"/>
        <v>235720</v>
      </c>
      <c r="H46" s="11"/>
      <c r="I46" s="11">
        <f>(D46*E46)-Table3[[#This Row],[Paid]]</f>
        <v>235720</v>
      </c>
      <c r="L46" s="26">
        <v>46126</v>
      </c>
      <c r="M46" s="14">
        <v>429</v>
      </c>
      <c r="N46" s="14">
        <v>407550</v>
      </c>
      <c r="O46" s="14"/>
      <c r="P46" s="14">
        <v>407550</v>
      </c>
    </row>
    <row r="47" spans="1:16" x14ac:dyDescent="0.3">
      <c r="A47" s="1">
        <v>46122</v>
      </c>
      <c r="B47" t="s">
        <v>218</v>
      </c>
      <c r="D47" s="11">
        <v>235</v>
      </c>
      <c r="E47" s="11">
        <v>950</v>
      </c>
      <c r="F47" s="11"/>
      <c r="G47" s="11">
        <f t="shared" si="2"/>
        <v>223250</v>
      </c>
      <c r="H47" s="11"/>
      <c r="I47" s="11">
        <f>(D47*E47)-Table3[[#This Row],[Paid]]</f>
        <v>223250</v>
      </c>
      <c r="L47" s="42" t="s">
        <v>103</v>
      </c>
      <c r="M47" s="14">
        <v>429</v>
      </c>
      <c r="N47" s="14">
        <v>407550</v>
      </c>
      <c r="O47" s="14"/>
      <c r="P47" s="14">
        <v>407550</v>
      </c>
    </row>
    <row r="48" spans="1:16" x14ac:dyDescent="0.3">
      <c r="A48" s="1">
        <v>46126</v>
      </c>
      <c r="B48" t="s">
        <v>218</v>
      </c>
      <c r="D48" s="11">
        <v>200</v>
      </c>
      <c r="E48" s="11">
        <v>950</v>
      </c>
      <c r="F48" s="11"/>
      <c r="G48" s="11">
        <f t="shared" si="2"/>
        <v>190000</v>
      </c>
      <c r="H48" s="11"/>
      <c r="I48" s="11">
        <f>(D48*E48)-Table3[[#This Row],[Paid]]</f>
        <v>190000</v>
      </c>
      <c r="L48" s="26">
        <v>46127</v>
      </c>
      <c r="M48" s="14">
        <v>405</v>
      </c>
      <c r="N48" s="14">
        <v>390075</v>
      </c>
      <c r="O48" s="14"/>
      <c r="P48" s="14">
        <v>390075</v>
      </c>
    </row>
    <row r="49" spans="1:16" x14ac:dyDescent="0.3">
      <c r="A49" s="1">
        <v>46126</v>
      </c>
      <c r="B49" t="s">
        <v>218</v>
      </c>
      <c r="D49" s="11">
        <v>229</v>
      </c>
      <c r="E49" s="11">
        <v>950</v>
      </c>
      <c r="F49" s="11"/>
      <c r="G49" s="11">
        <f t="shared" si="2"/>
        <v>217550</v>
      </c>
      <c r="H49" s="11"/>
      <c r="I49" s="11">
        <f>(D49*E49)-Table3[[#This Row],[Paid]]</f>
        <v>217550</v>
      </c>
      <c r="L49" s="42" t="s">
        <v>103</v>
      </c>
      <c r="M49" s="14">
        <v>405</v>
      </c>
      <c r="N49" s="14">
        <v>390075</v>
      </c>
      <c r="O49" s="14"/>
      <c r="P49" s="14">
        <v>390075</v>
      </c>
    </row>
    <row r="50" spans="1:16" x14ac:dyDescent="0.3">
      <c r="A50" s="1">
        <v>46127</v>
      </c>
      <c r="B50" t="s">
        <v>169</v>
      </c>
      <c r="D50" s="11">
        <v>213</v>
      </c>
      <c r="E50" s="11">
        <v>975</v>
      </c>
      <c r="F50" s="11"/>
      <c r="G50" s="11">
        <f t="shared" si="2"/>
        <v>207675</v>
      </c>
      <c r="H50" s="11"/>
      <c r="I50" s="11">
        <f>(D50*E50)-Table3[[#This Row],[Paid]]</f>
        <v>207675</v>
      </c>
      <c r="L50" s="26">
        <v>46131</v>
      </c>
      <c r="M50" s="14">
        <v>962</v>
      </c>
      <c r="N50" s="14">
        <v>921500</v>
      </c>
      <c r="O50" s="14"/>
      <c r="P50" s="14">
        <v>921500</v>
      </c>
    </row>
    <row r="51" spans="1:16" x14ac:dyDescent="0.3">
      <c r="A51" s="1">
        <v>46127</v>
      </c>
      <c r="B51" t="s">
        <v>218</v>
      </c>
      <c r="D51" s="11">
        <v>192</v>
      </c>
      <c r="E51" s="11">
        <v>950</v>
      </c>
      <c r="F51" s="11"/>
      <c r="G51" s="11">
        <f t="shared" ref="G51:G55" si="3">D51*E51</f>
        <v>182400</v>
      </c>
      <c r="H51" s="11"/>
      <c r="I51" s="11">
        <f>(D51*E51)-Table3[[#This Row],[Paid]]</f>
        <v>182400</v>
      </c>
      <c r="L51" s="42" t="s">
        <v>103</v>
      </c>
      <c r="M51" s="14">
        <v>962</v>
      </c>
      <c r="N51" s="14">
        <v>921500</v>
      </c>
      <c r="O51" s="14"/>
      <c r="P51" s="14">
        <v>921500</v>
      </c>
    </row>
    <row r="52" spans="1:16" x14ac:dyDescent="0.3">
      <c r="A52" s="1">
        <v>46129</v>
      </c>
      <c r="B52" t="s">
        <v>218</v>
      </c>
      <c r="D52" s="11">
        <v>191</v>
      </c>
      <c r="E52" s="11">
        <v>950</v>
      </c>
      <c r="F52" s="11"/>
      <c r="G52" s="11">
        <f t="shared" si="3"/>
        <v>181450</v>
      </c>
      <c r="H52" s="11"/>
      <c r="I52" s="11">
        <f>(D52*E52)-Table3[[#This Row],[Paid]]</f>
        <v>181450</v>
      </c>
      <c r="L52" s="26">
        <v>46130</v>
      </c>
      <c r="M52" s="14">
        <v>192</v>
      </c>
      <c r="N52" s="14">
        <v>187200</v>
      </c>
      <c r="O52" s="14"/>
      <c r="P52" s="14">
        <v>187200</v>
      </c>
    </row>
    <row r="53" spans="1:16" x14ac:dyDescent="0.3">
      <c r="A53" s="1"/>
      <c r="D53" s="11"/>
      <c r="E53" s="11"/>
      <c r="F53" s="11"/>
      <c r="G53" s="11">
        <f t="shared" si="3"/>
        <v>0</v>
      </c>
      <c r="H53" s="11"/>
      <c r="I53" s="11">
        <f>(D53*E53)-Table3[[#This Row],[Paid]]</f>
        <v>0</v>
      </c>
      <c r="L53" s="42" t="s">
        <v>103</v>
      </c>
      <c r="M53" s="14">
        <v>192</v>
      </c>
      <c r="N53" s="14">
        <v>187200</v>
      </c>
      <c r="O53" s="14"/>
      <c r="P53" s="14">
        <v>187200</v>
      </c>
    </row>
    <row r="54" spans="1:16" x14ac:dyDescent="0.3">
      <c r="A54" s="1"/>
      <c r="D54" s="11"/>
      <c r="E54" s="11"/>
      <c r="F54" s="11"/>
      <c r="G54" s="11">
        <f t="shared" si="3"/>
        <v>0</v>
      </c>
      <c r="H54" s="11"/>
      <c r="I54" s="11">
        <f>(D54*E54)-Table3[[#This Row],[Paid]]</f>
        <v>0</v>
      </c>
      <c r="L54" s="26">
        <v>46129</v>
      </c>
      <c r="M54" s="14">
        <v>191</v>
      </c>
      <c r="N54" s="14">
        <v>181450</v>
      </c>
      <c r="O54" s="14"/>
      <c r="P54" s="14">
        <v>181450</v>
      </c>
    </row>
    <row r="55" spans="1:16" x14ac:dyDescent="0.3">
      <c r="A55" s="1"/>
      <c r="D55" s="11"/>
      <c r="E55" s="11"/>
      <c r="F55" s="11"/>
      <c r="G55" s="11">
        <f t="shared" si="3"/>
        <v>0</v>
      </c>
      <c r="H55" s="11"/>
      <c r="I55" s="11">
        <f>(D55*E55)-Table3[[#This Row],[Paid]]</f>
        <v>0</v>
      </c>
      <c r="L55" s="42" t="s">
        <v>103</v>
      </c>
      <c r="M55" s="14">
        <v>191</v>
      </c>
      <c r="N55" s="14">
        <v>181450</v>
      </c>
      <c r="O55" s="14"/>
      <c r="P55" s="14">
        <v>181450</v>
      </c>
    </row>
    <row r="56" spans="1:16" x14ac:dyDescent="0.3">
      <c r="A56" s="1">
        <v>46131</v>
      </c>
      <c r="B56" t="s">
        <v>196</v>
      </c>
      <c r="D56" s="11">
        <v>210</v>
      </c>
      <c r="E56" s="11">
        <v>960</v>
      </c>
      <c r="F56" s="11"/>
      <c r="G56" s="11">
        <f t="shared" si="2"/>
        <v>201600</v>
      </c>
      <c r="H56" s="11"/>
      <c r="I56" s="11">
        <f>(D56*E56)-Table3[[#This Row],[Paid]]</f>
        <v>201600</v>
      </c>
      <c r="L56" s="26">
        <v>46133</v>
      </c>
      <c r="M56" s="14">
        <v>208</v>
      </c>
      <c r="N56" s="14">
        <v>199680</v>
      </c>
      <c r="O56" s="14"/>
      <c r="P56" s="14">
        <v>199680</v>
      </c>
    </row>
    <row r="57" spans="1:16" x14ac:dyDescent="0.3">
      <c r="A57" s="1">
        <v>46131</v>
      </c>
      <c r="B57" t="s">
        <v>218</v>
      </c>
      <c r="D57" s="11">
        <v>203</v>
      </c>
      <c r="E57" s="11">
        <v>700</v>
      </c>
      <c r="F57" s="11">
        <v>48800</v>
      </c>
      <c r="G57" s="11">
        <f t="shared" si="2"/>
        <v>142100</v>
      </c>
      <c r="H57" s="11"/>
      <c r="I57" s="11">
        <f>(D57*E57)-Table3[[#This Row],[Paid]]</f>
        <v>142100</v>
      </c>
      <c r="L57" s="42" t="s">
        <v>103</v>
      </c>
      <c r="M57" s="14">
        <v>208</v>
      </c>
      <c r="N57" s="14">
        <v>199680</v>
      </c>
      <c r="O57" s="14"/>
      <c r="P57" s="14">
        <v>199680</v>
      </c>
    </row>
    <row r="58" spans="1:16" x14ac:dyDescent="0.3">
      <c r="A58" s="1">
        <v>46131</v>
      </c>
      <c r="B58" t="s">
        <v>224</v>
      </c>
      <c r="D58" s="11">
        <v>261</v>
      </c>
      <c r="E58" s="11">
        <v>1000</v>
      </c>
      <c r="F58" s="11">
        <v>48500</v>
      </c>
      <c r="G58" s="11">
        <f t="shared" si="2"/>
        <v>261000</v>
      </c>
      <c r="H58" s="11"/>
      <c r="I58" s="11">
        <f>(D58*E58)-Table3[[#This Row],[Paid]]</f>
        <v>261000</v>
      </c>
      <c r="L58" s="26">
        <v>46135</v>
      </c>
      <c r="M58" s="14">
        <v>635</v>
      </c>
      <c r="N58" s="14">
        <v>684220</v>
      </c>
      <c r="O58" s="14"/>
      <c r="P58" s="14">
        <v>684220</v>
      </c>
    </row>
    <row r="59" spans="1:16" x14ac:dyDescent="0.3">
      <c r="A59" s="1">
        <v>46131</v>
      </c>
      <c r="B59" t="s">
        <v>640</v>
      </c>
      <c r="D59" s="11">
        <v>288</v>
      </c>
      <c r="E59" s="11">
        <v>1100</v>
      </c>
      <c r="F59" s="11">
        <v>25000</v>
      </c>
      <c r="G59" s="11">
        <f t="shared" si="2"/>
        <v>316800</v>
      </c>
      <c r="H59" s="11"/>
      <c r="I59" s="11">
        <f>(D59*E59)-Table3[[#This Row],[Paid]]</f>
        <v>316800</v>
      </c>
      <c r="L59" s="42" t="s">
        <v>103</v>
      </c>
      <c r="M59" s="14">
        <v>635</v>
      </c>
      <c r="N59" s="14">
        <v>684220</v>
      </c>
      <c r="O59" s="14"/>
      <c r="P59" s="14">
        <v>684220</v>
      </c>
    </row>
    <row r="60" spans="1:16" x14ac:dyDescent="0.3">
      <c r="A60" s="1">
        <v>46130</v>
      </c>
      <c r="B60" t="s">
        <v>169</v>
      </c>
      <c r="D60" s="11">
        <v>192</v>
      </c>
      <c r="E60" s="11">
        <v>975</v>
      </c>
      <c r="F60" s="11"/>
      <c r="G60" s="11">
        <f t="shared" si="2"/>
        <v>187200</v>
      </c>
      <c r="H60" s="11"/>
      <c r="I60" s="11">
        <f>(D60*E60)-Table3[[#This Row],[Paid]]</f>
        <v>187200</v>
      </c>
      <c r="L60" s="26">
        <v>46136</v>
      </c>
      <c r="M60" s="14">
        <v>377</v>
      </c>
      <c r="N60" s="14">
        <v>399620</v>
      </c>
      <c r="O60" s="14"/>
      <c r="P60" s="14">
        <v>399620</v>
      </c>
    </row>
    <row r="61" spans="1:16" x14ac:dyDescent="0.3">
      <c r="A61" s="1">
        <v>46133</v>
      </c>
      <c r="B61" t="s">
        <v>196</v>
      </c>
      <c r="D61" s="11">
        <v>208</v>
      </c>
      <c r="E61" s="11">
        <v>960</v>
      </c>
      <c r="F61" s="11"/>
      <c r="G61" s="11">
        <f t="shared" si="2"/>
        <v>199680</v>
      </c>
      <c r="H61" s="11"/>
      <c r="I61" s="11">
        <f>(D61*E61)-Table3[[#This Row],[Paid]]</f>
        <v>199680</v>
      </c>
      <c r="L61" s="42" t="s">
        <v>103</v>
      </c>
      <c r="M61" s="14">
        <v>377</v>
      </c>
      <c r="N61" s="14">
        <v>399620</v>
      </c>
      <c r="O61" s="14"/>
      <c r="P61" s="14">
        <v>399620</v>
      </c>
    </row>
    <row r="62" spans="1:16" x14ac:dyDescent="0.3">
      <c r="A62" s="1">
        <v>46135</v>
      </c>
      <c r="B62" t="s">
        <v>640</v>
      </c>
      <c r="D62" s="11">
        <v>278</v>
      </c>
      <c r="E62" s="11">
        <v>1100</v>
      </c>
      <c r="F62" s="11">
        <v>30000</v>
      </c>
      <c r="G62" s="11">
        <f t="shared" si="2"/>
        <v>305800</v>
      </c>
      <c r="H62" s="11"/>
      <c r="I62" s="11">
        <f>(D62*E62)-Table3[[#This Row],[Paid]]</f>
        <v>305800</v>
      </c>
      <c r="L62" s="26">
        <v>46137</v>
      </c>
      <c r="M62" s="14">
        <v>442</v>
      </c>
      <c r="N62" s="14">
        <v>424320</v>
      </c>
      <c r="O62" s="14"/>
      <c r="P62" s="14">
        <v>424320</v>
      </c>
    </row>
    <row r="63" spans="1:16" x14ac:dyDescent="0.3">
      <c r="A63" s="1">
        <v>46135</v>
      </c>
      <c r="B63" t="s">
        <v>224</v>
      </c>
      <c r="D63" s="11">
        <v>357</v>
      </c>
      <c r="E63" s="11">
        <v>1060</v>
      </c>
      <c r="F63" s="11">
        <v>70000</v>
      </c>
      <c r="G63" s="11">
        <f t="shared" si="2"/>
        <v>378420</v>
      </c>
      <c r="H63" s="11"/>
      <c r="I63" s="11">
        <f>(D63*E63)-Table3[[#This Row],[Paid]]</f>
        <v>378420</v>
      </c>
      <c r="L63" s="42" t="s">
        <v>103</v>
      </c>
      <c r="M63" s="14">
        <v>442</v>
      </c>
      <c r="N63" s="14">
        <v>424320</v>
      </c>
      <c r="O63" s="14"/>
      <c r="P63" s="14">
        <v>424320</v>
      </c>
    </row>
    <row r="64" spans="1:16" x14ac:dyDescent="0.3">
      <c r="A64" s="1">
        <v>46136</v>
      </c>
      <c r="B64" t="s">
        <v>224</v>
      </c>
      <c r="D64" s="11">
        <v>377</v>
      </c>
      <c r="E64" s="11">
        <v>1060</v>
      </c>
      <c r="F64" s="11">
        <v>100000</v>
      </c>
      <c r="G64" s="11">
        <f t="shared" si="2"/>
        <v>399620</v>
      </c>
      <c r="H64" s="11"/>
      <c r="I64" s="11">
        <f>(D64*E64)-Table3[[#This Row],[Paid]]</f>
        <v>399620</v>
      </c>
      <c r="L64" s="26">
        <v>46142</v>
      </c>
      <c r="M64" s="14">
        <v>661</v>
      </c>
      <c r="N64" s="14">
        <v>724600</v>
      </c>
      <c r="O64" s="14"/>
      <c r="P64" s="14">
        <v>724600</v>
      </c>
    </row>
    <row r="65" spans="1:16" x14ac:dyDescent="0.3">
      <c r="A65" s="1">
        <v>46137</v>
      </c>
      <c r="B65" t="s">
        <v>196</v>
      </c>
      <c r="D65" s="11">
        <v>243</v>
      </c>
      <c r="E65" s="11">
        <v>960</v>
      </c>
      <c r="F65" s="11"/>
      <c r="G65" s="11">
        <f t="shared" si="2"/>
        <v>233280</v>
      </c>
      <c r="H65" s="11"/>
      <c r="I65" s="11">
        <f>(D65*E65)-Table3[[#This Row],[Paid]]</f>
        <v>233280</v>
      </c>
      <c r="L65" s="42" t="s">
        <v>103</v>
      </c>
      <c r="M65" s="14">
        <v>661</v>
      </c>
      <c r="N65" s="14">
        <v>724600</v>
      </c>
      <c r="O65" s="14"/>
      <c r="P65" s="14">
        <v>724600</v>
      </c>
    </row>
    <row r="66" spans="1:16" x14ac:dyDescent="0.3">
      <c r="A66" s="1">
        <v>46137</v>
      </c>
      <c r="B66" t="s">
        <v>196</v>
      </c>
      <c r="D66" s="11">
        <v>199</v>
      </c>
      <c r="E66" s="11">
        <v>960</v>
      </c>
      <c r="F66" s="11"/>
      <c r="G66" s="11">
        <f t="shared" si="2"/>
        <v>191040</v>
      </c>
      <c r="H66" s="11"/>
      <c r="I66" s="11">
        <f>(D66*E66)-Table3[[#This Row],[Paid]]</f>
        <v>191040</v>
      </c>
      <c r="L66" s="26">
        <v>46144</v>
      </c>
      <c r="M66" s="14">
        <v>285</v>
      </c>
      <c r="N66" s="14">
        <v>313480</v>
      </c>
      <c r="O66" s="14"/>
      <c r="P66" s="14">
        <v>313480</v>
      </c>
    </row>
    <row r="67" spans="1:16" x14ac:dyDescent="0.3">
      <c r="A67" s="1">
        <v>46142</v>
      </c>
      <c r="B67" t="s">
        <v>224</v>
      </c>
      <c r="D67" s="11">
        <v>416</v>
      </c>
      <c r="E67" s="11">
        <v>1060</v>
      </c>
      <c r="F67" s="11">
        <v>82600</v>
      </c>
      <c r="G67" s="11">
        <f t="shared" si="2"/>
        <v>440960</v>
      </c>
      <c r="H67" s="11"/>
      <c r="I67" s="11">
        <f>(D67*E67)-Table3[[#This Row],[Paid]]</f>
        <v>440960</v>
      </c>
      <c r="L67" s="42" t="s">
        <v>103</v>
      </c>
      <c r="M67" s="14">
        <v>285</v>
      </c>
      <c r="N67" s="14">
        <v>313480</v>
      </c>
      <c r="O67" s="14"/>
      <c r="P67" s="14">
        <v>313480</v>
      </c>
    </row>
    <row r="68" spans="1:16" x14ac:dyDescent="0.3">
      <c r="A68" s="1">
        <v>46142</v>
      </c>
      <c r="B68" t="s">
        <v>181</v>
      </c>
      <c r="D68" s="11">
        <v>245</v>
      </c>
      <c r="E68" s="11">
        <v>920</v>
      </c>
      <c r="F68" s="11"/>
      <c r="G68" s="11">
        <f t="shared" si="2"/>
        <v>225400</v>
      </c>
      <c r="H68" s="11"/>
      <c r="I68" s="11">
        <f>(D68*E68)-Table3[[#This Row],[Paid]]</f>
        <v>225400</v>
      </c>
      <c r="L68" s="26" t="s">
        <v>28</v>
      </c>
      <c r="M68" s="14">
        <v>12194</v>
      </c>
      <c r="N68" s="14">
        <v>10286855</v>
      </c>
      <c r="O68" s="14">
        <v>0</v>
      </c>
      <c r="P68" s="14">
        <v>14340881</v>
      </c>
    </row>
    <row r="69" spans="1:16" x14ac:dyDescent="0.3">
      <c r="A69" s="1">
        <v>46144</v>
      </c>
      <c r="B69" t="s">
        <v>224</v>
      </c>
      <c r="D69" s="11">
        <v>239</v>
      </c>
      <c r="E69" s="11">
        <v>1060</v>
      </c>
      <c r="F69" s="11">
        <v>60900</v>
      </c>
      <c r="G69" s="11">
        <f t="shared" si="2"/>
        <v>253340</v>
      </c>
      <c r="H69" s="11"/>
      <c r="I69" s="11">
        <f>(D69*E69)-Table3[[#This Row],[Paid]]</f>
        <v>253340</v>
      </c>
    </row>
    <row r="70" spans="1:16" x14ac:dyDescent="0.3">
      <c r="A70" s="1">
        <v>46144</v>
      </c>
      <c r="B70" t="s">
        <v>224</v>
      </c>
      <c r="D70" s="11">
        <v>46</v>
      </c>
      <c r="E70" s="11">
        <v>580</v>
      </c>
      <c r="F70" s="11"/>
      <c r="G70" s="11">
        <f t="shared" si="2"/>
        <v>26680</v>
      </c>
      <c r="H70" s="11"/>
      <c r="I70" s="11">
        <f>(D70*E70)-Table3[[#This Row],[Paid]]</f>
        <v>26680</v>
      </c>
    </row>
    <row r="71" spans="1:16" x14ac:dyDescent="0.3">
      <c r="A71" s="1">
        <v>46147</v>
      </c>
      <c r="B71" t="s">
        <v>196</v>
      </c>
      <c r="D71" s="11">
        <v>276</v>
      </c>
      <c r="E71" s="11">
        <v>1030</v>
      </c>
      <c r="F71" s="11"/>
      <c r="G71" s="11">
        <f t="shared" si="2"/>
        <v>284280</v>
      </c>
      <c r="H71" s="11"/>
      <c r="I71" s="11">
        <f>(D71*E71)-Table3[[#This Row],[Paid]]</f>
        <v>284280</v>
      </c>
    </row>
    <row r="72" spans="1:16" x14ac:dyDescent="0.3">
      <c r="A72" s="1">
        <v>46147</v>
      </c>
      <c r="B72" t="s">
        <v>224</v>
      </c>
      <c r="D72" s="11">
        <v>290</v>
      </c>
      <c r="E72" s="11">
        <v>1060</v>
      </c>
      <c r="F72" s="11"/>
      <c r="G72" s="11">
        <f t="shared" si="2"/>
        <v>307400</v>
      </c>
      <c r="H72" s="11"/>
      <c r="I72" s="11">
        <f>(D72*E72)-Table3[[#This Row],[Paid]]</f>
        <v>307400</v>
      </c>
    </row>
    <row r="73" spans="1:16" x14ac:dyDescent="0.3">
      <c r="A73" s="1">
        <v>46147</v>
      </c>
      <c r="B73" t="s">
        <v>735</v>
      </c>
      <c r="D73" s="11">
        <v>262</v>
      </c>
      <c r="E73" s="11">
        <v>1050</v>
      </c>
      <c r="F73" s="11"/>
      <c r="G73" s="11">
        <f t="shared" si="2"/>
        <v>275100</v>
      </c>
      <c r="H73" s="11"/>
      <c r="I73" s="11">
        <f>(D73*E73)-Table3[[#This Row],[Paid]]</f>
        <v>275100</v>
      </c>
    </row>
    <row r="74" spans="1:16" x14ac:dyDescent="0.3">
      <c r="A74" s="1">
        <v>46147</v>
      </c>
      <c r="B74" t="s">
        <v>735</v>
      </c>
      <c r="D74" s="11">
        <v>237</v>
      </c>
      <c r="E74" s="11">
        <v>600</v>
      </c>
      <c r="F74" s="11"/>
      <c r="G74" s="11">
        <f t="shared" si="2"/>
        <v>142200</v>
      </c>
      <c r="H74" s="11"/>
      <c r="I74" s="11">
        <f>(D74*E74)-Table3[[#This Row],[Paid]]</f>
        <v>142200</v>
      </c>
    </row>
    <row r="75" spans="1:16" x14ac:dyDescent="0.3">
      <c r="A75" s="1">
        <v>46147</v>
      </c>
      <c r="B75" t="s">
        <v>224</v>
      </c>
      <c r="D75" s="11">
        <f>217-35</f>
        <v>182</v>
      </c>
      <c r="E75" s="11">
        <v>1060</v>
      </c>
      <c r="F75" s="11"/>
      <c r="G75" s="11">
        <f t="shared" si="2"/>
        <v>192920</v>
      </c>
      <c r="H75" s="11"/>
      <c r="I75" s="11">
        <f>(D75*E75)-Table3[[#This Row],[Paid]]</f>
        <v>192920</v>
      </c>
    </row>
    <row r="76" spans="1:16" x14ac:dyDescent="0.3">
      <c r="A76" s="1">
        <v>46147</v>
      </c>
      <c r="B76" t="s">
        <v>224</v>
      </c>
      <c r="D76" s="11">
        <v>35</v>
      </c>
      <c r="E76" s="11">
        <v>600</v>
      </c>
      <c r="F76" s="11"/>
      <c r="G76" s="11">
        <f t="shared" si="2"/>
        <v>21000</v>
      </c>
      <c r="H76" s="11"/>
      <c r="I76" s="11">
        <f>(D76*E76)-Table3[[#This Row],[Paid]]</f>
        <v>21000</v>
      </c>
    </row>
    <row r="77" spans="1:16" x14ac:dyDescent="0.3">
      <c r="A77" s="1">
        <v>46148</v>
      </c>
      <c r="B77" t="s">
        <v>735</v>
      </c>
      <c r="D77" s="11">
        <v>261</v>
      </c>
      <c r="E77" s="11">
        <v>1050</v>
      </c>
      <c r="F77" s="11"/>
      <c r="G77" s="11">
        <f t="shared" si="2"/>
        <v>274050</v>
      </c>
      <c r="H77" s="11"/>
      <c r="I77" s="11">
        <f>(D77*E77)-Table3[[#This Row],[Paid]]</f>
        <v>274050</v>
      </c>
    </row>
    <row r="78" spans="1:16" x14ac:dyDescent="0.3">
      <c r="A78" s="1">
        <v>46148</v>
      </c>
      <c r="B78" t="s">
        <v>181</v>
      </c>
      <c r="D78" s="11">
        <v>276</v>
      </c>
      <c r="E78" s="11">
        <v>980</v>
      </c>
      <c r="F78" s="11"/>
      <c r="G78" s="11">
        <f t="shared" si="2"/>
        <v>270480</v>
      </c>
      <c r="H78" s="11"/>
      <c r="I78" s="11">
        <f>(D78*E78)-Table3[[#This Row],[Paid]]</f>
        <v>270480</v>
      </c>
    </row>
    <row r="79" spans="1:16" x14ac:dyDescent="0.3">
      <c r="A79" s="1"/>
      <c r="D79" s="11"/>
      <c r="E79" s="11"/>
      <c r="F79" s="11"/>
      <c r="G79" s="11">
        <f t="shared" si="2"/>
        <v>0</v>
      </c>
      <c r="H79" s="11"/>
      <c r="I79" s="11">
        <f>(D79*E79)-Table3[[#This Row],[Paid]]</f>
        <v>0</v>
      </c>
    </row>
    <row r="80" spans="1:16" x14ac:dyDescent="0.3">
      <c r="A80" s="1"/>
      <c r="D80" s="11"/>
      <c r="E80" s="11"/>
      <c r="F80" s="11"/>
      <c r="G80" s="11">
        <f t="shared" ref="G80:G81" si="4">D80*E80</f>
        <v>0</v>
      </c>
      <c r="H80" s="11"/>
      <c r="I80" s="11">
        <f>(D80*E80)-Table3[[#This Row],[Paid]]</f>
        <v>0</v>
      </c>
    </row>
    <row r="81" spans="1:9" x14ac:dyDescent="0.3">
      <c r="A81" s="1"/>
      <c r="D81" s="11"/>
      <c r="E81" s="11"/>
      <c r="F81" s="11"/>
      <c r="G81" s="11">
        <f t="shared" si="4"/>
        <v>0</v>
      </c>
      <c r="H81" s="11"/>
      <c r="I81" s="11">
        <f>(D81*E81)-Table3[[#This Row],[Paid]]</f>
        <v>0</v>
      </c>
    </row>
    <row r="82" spans="1:9" x14ac:dyDescent="0.3">
      <c r="A82" s="1"/>
      <c r="D82" s="11"/>
      <c r="E82" s="11"/>
      <c r="F82" s="11"/>
      <c r="G82" s="11">
        <f t="shared" ref="G82:G86" si="5">D82*E82</f>
        <v>0</v>
      </c>
      <c r="H82" s="11"/>
      <c r="I82" s="11">
        <f>(D82*E82)-Table3[[#This Row],[Paid]]</f>
        <v>0</v>
      </c>
    </row>
    <row r="83" spans="1:9" x14ac:dyDescent="0.3">
      <c r="A83" s="1"/>
      <c r="D83" s="11"/>
      <c r="E83" s="11"/>
      <c r="F83" s="11"/>
      <c r="G83" s="11">
        <f t="shared" si="5"/>
        <v>0</v>
      </c>
      <c r="H83" s="11"/>
      <c r="I83" s="11">
        <f>(D83*E83)-Table3[[#This Row],[Paid]]</f>
        <v>0</v>
      </c>
    </row>
    <row r="84" spans="1:9" x14ac:dyDescent="0.3">
      <c r="A84" s="1"/>
      <c r="D84" s="11"/>
      <c r="E84" s="11"/>
      <c r="F84" s="11"/>
      <c r="G84" s="11">
        <f t="shared" si="5"/>
        <v>0</v>
      </c>
      <c r="H84" s="11"/>
      <c r="I84" s="11">
        <f>(D84*E84)-Table3[[#This Row],[Paid]]</f>
        <v>0</v>
      </c>
    </row>
    <row r="85" spans="1:9" x14ac:dyDescent="0.3">
      <c r="A85" s="1"/>
      <c r="D85" s="11"/>
      <c r="E85" s="11"/>
      <c r="F85" s="11"/>
      <c r="G85" s="11">
        <f t="shared" si="5"/>
        <v>0</v>
      </c>
      <c r="H85" s="11"/>
      <c r="I85" s="11">
        <f>(D85*E85)-Table3[[#This Row],[Paid]]</f>
        <v>0</v>
      </c>
    </row>
    <row r="86" spans="1:9" x14ac:dyDescent="0.3">
      <c r="A86" s="1"/>
      <c r="D86" s="11"/>
      <c r="E86" s="11"/>
      <c r="F86" s="11"/>
      <c r="G86" s="11">
        <f t="shared" si="5"/>
        <v>0</v>
      </c>
      <c r="H86" s="11"/>
      <c r="I86" s="11">
        <f>(D86*E86)-Table3[[#This Row],[Paid]]</f>
        <v>0</v>
      </c>
    </row>
    <row r="87" spans="1:9" x14ac:dyDescent="0.3">
      <c r="A87" s="1"/>
      <c r="D87" s="11"/>
      <c r="E87" s="11"/>
      <c r="F87" s="11"/>
      <c r="G87" s="11">
        <f t="shared" ref="G87:G125" si="6">D87*E87</f>
        <v>0</v>
      </c>
      <c r="H87" s="11"/>
      <c r="I87" s="11">
        <f>(D87*E87)-Table3[[#This Row],[Paid]]</f>
        <v>0</v>
      </c>
    </row>
    <row r="88" spans="1:9" x14ac:dyDescent="0.3">
      <c r="A88" s="1"/>
      <c r="D88" s="11"/>
      <c r="E88" s="11"/>
      <c r="F88" s="11"/>
      <c r="G88" s="11">
        <f t="shared" si="6"/>
        <v>0</v>
      </c>
      <c r="H88" s="11"/>
      <c r="I88" s="11">
        <f>(D88*E88)-Table3[[#This Row],[Paid]]</f>
        <v>0</v>
      </c>
    </row>
    <row r="89" spans="1:9" x14ac:dyDescent="0.3">
      <c r="A89" s="1"/>
      <c r="D89" s="11"/>
      <c r="E89" s="11"/>
      <c r="F89" s="11"/>
      <c r="G89" s="11">
        <f t="shared" si="6"/>
        <v>0</v>
      </c>
      <c r="H89" s="11"/>
      <c r="I89" s="11">
        <f>(D89*E89)-Table3[[#This Row],[Paid]]</f>
        <v>0</v>
      </c>
    </row>
    <row r="90" spans="1:9" x14ac:dyDescent="0.3">
      <c r="A90" s="1"/>
      <c r="D90" s="11"/>
      <c r="E90" s="11"/>
      <c r="F90" s="11"/>
      <c r="G90" s="11">
        <f t="shared" si="6"/>
        <v>0</v>
      </c>
      <c r="H90" s="11"/>
      <c r="I90" s="11">
        <f>(D90*E90)-Table3[[#This Row],[Paid]]</f>
        <v>0</v>
      </c>
    </row>
    <row r="91" spans="1:9" x14ac:dyDescent="0.3">
      <c r="A91" s="1"/>
      <c r="D91" s="11"/>
      <c r="E91" s="11"/>
      <c r="F91" s="11"/>
      <c r="G91" s="11">
        <f t="shared" si="6"/>
        <v>0</v>
      </c>
      <c r="H91" s="11"/>
      <c r="I91" s="11">
        <f>(D91*E91)-Table3[[#This Row],[Paid]]</f>
        <v>0</v>
      </c>
    </row>
    <row r="92" spans="1:9" x14ac:dyDescent="0.3">
      <c r="A92" s="1"/>
      <c r="D92" s="11"/>
      <c r="E92" s="11"/>
      <c r="F92" s="11"/>
      <c r="G92" s="11">
        <f t="shared" si="6"/>
        <v>0</v>
      </c>
      <c r="H92" s="11"/>
      <c r="I92" s="11">
        <f>(D92*E92)-Table3[[#This Row],[Paid]]</f>
        <v>0</v>
      </c>
    </row>
    <row r="93" spans="1:9" x14ac:dyDescent="0.3">
      <c r="A93" s="1"/>
      <c r="D93" s="11"/>
      <c r="E93" s="11"/>
      <c r="F93" s="11"/>
      <c r="G93" s="11">
        <f t="shared" si="6"/>
        <v>0</v>
      </c>
      <c r="H93" s="11"/>
      <c r="I93" s="11">
        <f>(D93*E93)-Table3[[#This Row],[Paid]]</f>
        <v>0</v>
      </c>
    </row>
    <row r="94" spans="1:9" x14ac:dyDescent="0.3">
      <c r="A94" s="1"/>
      <c r="D94" s="11"/>
      <c r="E94" s="11"/>
      <c r="F94" s="11"/>
      <c r="G94" s="11">
        <f t="shared" si="6"/>
        <v>0</v>
      </c>
      <c r="H94" s="11"/>
      <c r="I94" s="11">
        <f>(D94*E94)-Table3[[#This Row],[Paid]]</f>
        <v>0</v>
      </c>
    </row>
    <row r="95" spans="1:9" x14ac:dyDescent="0.3">
      <c r="A95" s="1"/>
      <c r="D95" s="11"/>
      <c r="E95" s="11"/>
      <c r="F95" s="11"/>
      <c r="G95" s="11">
        <f t="shared" si="6"/>
        <v>0</v>
      </c>
      <c r="H95" s="11"/>
      <c r="I95" s="11">
        <f>(D95*E95)-Table3[[#This Row],[Paid]]</f>
        <v>0</v>
      </c>
    </row>
    <row r="96" spans="1:9" x14ac:dyDescent="0.3">
      <c r="A96" s="1"/>
      <c r="D96" s="11"/>
      <c r="E96" s="11"/>
      <c r="F96" s="11"/>
      <c r="G96" s="11">
        <f t="shared" si="6"/>
        <v>0</v>
      </c>
      <c r="H96" s="11"/>
      <c r="I96" s="11">
        <f>(D96*E96)-Table3[[#This Row],[Paid]]</f>
        <v>0</v>
      </c>
    </row>
    <row r="97" spans="1:9" x14ac:dyDescent="0.3">
      <c r="A97" s="1"/>
      <c r="D97" s="11"/>
      <c r="E97" s="11"/>
      <c r="F97" s="11"/>
      <c r="G97" s="11">
        <f t="shared" si="6"/>
        <v>0</v>
      </c>
      <c r="H97" s="11"/>
      <c r="I97" s="11">
        <f>(D97*E97)-Table3[[#This Row],[Paid]]</f>
        <v>0</v>
      </c>
    </row>
    <row r="98" spans="1:9" x14ac:dyDescent="0.3">
      <c r="A98" s="1"/>
      <c r="D98" s="11"/>
      <c r="E98" s="11"/>
      <c r="F98" s="11"/>
      <c r="G98" s="11">
        <f t="shared" si="6"/>
        <v>0</v>
      </c>
      <c r="H98" s="11"/>
      <c r="I98" s="11">
        <f>(D98*E98)-Table3[[#This Row],[Paid]]</f>
        <v>0</v>
      </c>
    </row>
    <row r="99" spans="1:9" x14ac:dyDescent="0.3">
      <c r="A99" s="1"/>
      <c r="D99" s="11"/>
      <c r="E99" s="11"/>
      <c r="F99" s="11"/>
      <c r="G99" s="11">
        <f t="shared" si="6"/>
        <v>0</v>
      </c>
      <c r="H99" s="11"/>
      <c r="I99" s="11">
        <f>(D99*E99)-Table3[[#This Row],[Paid]]</f>
        <v>0</v>
      </c>
    </row>
    <row r="100" spans="1:9" x14ac:dyDescent="0.3">
      <c r="A100" s="1"/>
      <c r="D100" s="11"/>
      <c r="E100" s="11"/>
      <c r="F100" s="11"/>
      <c r="G100" s="11">
        <f t="shared" si="6"/>
        <v>0</v>
      </c>
      <c r="H100" s="11"/>
      <c r="I100" s="11">
        <f>(D100*E100)-Table3[[#This Row],[Paid]]</f>
        <v>0</v>
      </c>
    </row>
    <row r="101" spans="1:9" x14ac:dyDescent="0.3">
      <c r="A101" s="1"/>
      <c r="D101" s="11"/>
      <c r="E101" s="11"/>
      <c r="F101" s="11"/>
      <c r="G101" s="11">
        <f t="shared" si="6"/>
        <v>0</v>
      </c>
      <c r="H101" s="11"/>
      <c r="I101" s="11">
        <f>(D101*E101)-Table3[[#This Row],[Paid]]</f>
        <v>0</v>
      </c>
    </row>
    <row r="102" spans="1:9" x14ac:dyDescent="0.3">
      <c r="A102" s="1"/>
      <c r="D102" s="11"/>
      <c r="E102" s="11"/>
      <c r="F102" s="11"/>
      <c r="G102" s="11">
        <f t="shared" si="6"/>
        <v>0</v>
      </c>
      <c r="H102" s="11"/>
      <c r="I102" s="11">
        <f>(D102*E102)-Table3[[#This Row],[Paid]]</f>
        <v>0</v>
      </c>
    </row>
    <row r="103" spans="1:9" x14ac:dyDescent="0.3">
      <c r="A103" s="1"/>
      <c r="D103" s="11"/>
      <c r="E103" s="11"/>
      <c r="F103" s="11"/>
      <c r="G103" s="11">
        <f t="shared" si="6"/>
        <v>0</v>
      </c>
      <c r="H103" s="11"/>
      <c r="I103" s="11">
        <f>(D103*E103)-Table3[[#This Row],[Paid]]</f>
        <v>0</v>
      </c>
    </row>
    <row r="104" spans="1:9" x14ac:dyDescent="0.3">
      <c r="A104" s="1"/>
      <c r="D104" s="11"/>
      <c r="E104" s="11"/>
      <c r="F104" s="11"/>
      <c r="G104" s="11">
        <f t="shared" si="6"/>
        <v>0</v>
      </c>
      <c r="H104" s="11"/>
      <c r="I104" s="11">
        <f>(D104*E104)-Table3[[#This Row],[Paid]]</f>
        <v>0</v>
      </c>
    </row>
    <row r="105" spans="1:9" x14ac:dyDescent="0.3">
      <c r="A105" s="1"/>
      <c r="D105" s="11"/>
      <c r="E105" s="11"/>
      <c r="F105" s="11"/>
      <c r="G105" s="11">
        <f t="shared" si="6"/>
        <v>0</v>
      </c>
      <c r="H105" s="11"/>
      <c r="I105" s="11">
        <f>(D105*E105)-Table3[[#This Row],[Paid]]</f>
        <v>0</v>
      </c>
    </row>
    <row r="106" spans="1:9" x14ac:dyDescent="0.3">
      <c r="A106" s="1"/>
      <c r="D106" s="11"/>
      <c r="E106" s="11"/>
      <c r="F106" s="11"/>
      <c r="G106" s="11">
        <f t="shared" si="6"/>
        <v>0</v>
      </c>
      <c r="H106" s="11"/>
      <c r="I106" s="11">
        <f>(D106*E106)-Table3[[#This Row],[Paid]]</f>
        <v>0</v>
      </c>
    </row>
    <row r="107" spans="1:9" x14ac:dyDescent="0.3">
      <c r="A107" s="1"/>
      <c r="D107" s="11"/>
      <c r="E107" s="11"/>
      <c r="F107" s="11"/>
      <c r="G107" s="11">
        <f t="shared" si="6"/>
        <v>0</v>
      </c>
      <c r="H107" s="11"/>
      <c r="I107" s="11">
        <f>(D107*E107)-Table3[[#This Row],[Paid]]</f>
        <v>0</v>
      </c>
    </row>
    <row r="108" spans="1:9" x14ac:dyDescent="0.3">
      <c r="A108" s="1"/>
      <c r="D108" s="11"/>
      <c r="E108" s="11"/>
      <c r="F108" s="11"/>
      <c r="G108" s="11">
        <f t="shared" si="6"/>
        <v>0</v>
      </c>
      <c r="H108" s="11"/>
      <c r="I108" s="11">
        <f>(D108*E108)-Table3[[#This Row],[Paid]]</f>
        <v>0</v>
      </c>
    </row>
    <row r="109" spans="1:9" x14ac:dyDescent="0.3">
      <c r="A109" s="1"/>
      <c r="D109" s="11"/>
      <c r="E109" s="11"/>
      <c r="F109" s="11"/>
      <c r="G109" s="11">
        <f t="shared" si="6"/>
        <v>0</v>
      </c>
      <c r="H109" s="11"/>
      <c r="I109" s="11">
        <f>(D109*E109)-Table3[[#This Row],[Paid]]</f>
        <v>0</v>
      </c>
    </row>
    <row r="110" spans="1:9" x14ac:dyDescent="0.3">
      <c r="A110" s="1"/>
      <c r="D110" s="11"/>
      <c r="E110" s="11"/>
      <c r="F110" s="11"/>
      <c r="G110" s="11">
        <f t="shared" si="6"/>
        <v>0</v>
      </c>
      <c r="H110" s="11"/>
      <c r="I110" s="11">
        <f>(D110*E110)-Table3[[#This Row],[Paid]]</f>
        <v>0</v>
      </c>
    </row>
    <row r="111" spans="1:9" x14ac:dyDescent="0.3">
      <c r="A111" s="1"/>
      <c r="D111" s="11"/>
      <c r="E111" s="11"/>
      <c r="F111" s="11"/>
      <c r="G111" s="11">
        <f t="shared" si="6"/>
        <v>0</v>
      </c>
      <c r="H111" s="11"/>
      <c r="I111" s="11">
        <f>(D111*E111)-Table3[[#This Row],[Paid]]</f>
        <v>0</v>
      </c>
    </row>
    <row r="112" spans="1:9" x14ac:dyDescent="0.3">
      <c r="A112" s="1"/>
      <c r="D112" s="11"/>
      <c r="E112" s="11"/>
      <c r="F112" s="11"/>
      <c r="G112" s="11">
        <f t="shared" si="6"/>
        <v>0</v>
      </c>
      <c r="H112" s="11"/>
      <c r="I112" s="11">
        <f>(D112*E112)-Table3[[#This Row],[Paid]]</f>
        <v>0</v>
      </c>
    </row>
    <row r="113" spans="1:9" x14ac:dyDescent="0.3">
      <c r="A113" s="1"/>
      <c r="D113" s="11"/>
      <c r="E113" s="11"/>
      <c r="F113" s="11"/>
      <c r="G113" s="11">
        <f t="shared" si="6"/>
        <v>0</v>
      </c>
      <c r="H113" s="11"/>
      <c r="I113" s="11">
        <f>(D113*E113)-Table3[[#This Row],[Paid]]</f>
        <v>0</v>
      </c>
    </row>
    <row r="114" spans="1:9" x14ac:dyDescent="0.3">
      <c r="A114" s="1"/>
      <c r="D114" s="11"/>
      <c r="E114" s="11"/>
      <c r="F114" s="11"/>
      <c r="G114" s="11">
        <f t="shared" si="6"/>
        <v>0</v>
      </c>
      <c r="H114" s="11"/>
      <c r="I114" s="11">
        <f>(D114*E114)-Table3[[#This Row],[Paid]]</f>
        <v>0</v>
      </c>
    </row>
    <row r="115" spans="1:9" x14ac:dyDescent="0.3">
      <c r="A115" s="1"/>
      <c r="D115" s="11"/>
      <c r="E115" s="11"/>
      <c r="F115" s="11"/>
      <c r="G115" s="11">
        <f t="shared" si="6"/>
        <v>0</v>
      </c>
      <c r="H115" s="11"/>
      <c r="I115" s="11">
        <f>(D115*E115)-Table3[[#This Row],[Paid]]</f>
        <v>0</v>
      </c>
    </row>
    <row r="116" spans="1:9" x14ac:dyDescent="0.3">
      <c r="A116" s="1"/>
      <c r="D116" s="11"/>
      <c r="E116" s="11"/>
      <c r="F116" s="11"/>
      <c r="G116" s="11">
        <f t="shared" si="6"/>
        <v>0</v>
      </c>
      <c r="H116" s="11"/>
      <c r="I116" s="11">
        <f>(D116*E116)-Table3[[#This Row],[Paid]]</f>
        <v>0</v>
      </c>
    </row>
    <row r="117" spans="1:9" x14ac:dyDescent="0.3">
      <c r="A117" s="1"/>
      <c r="D117" s="11"/>
      <c r="E117" s="11"/>
      <c r="F117" s="11"/>
      <c r="G117" s="11">
        <f t="shared" si="6"/>
        <v>0</v>
      </c>
      <c r="H117" s="11"/>
      <c r="I117" s="11">
        <f>(D117*E117)-Table3[[#This Row],[Paid]]</f>
        <v>0</v>
      </c>
    </row>
    <row r="118" spans="1:9" x14ac:dyDescent="0.3">
      <c r="A118" s="1"/>
      <c r="D118" s="11"/>
      <c r="E118" s="11"/>
      <c r="F118" s="11"/>
      <c r="G118" s="11">
        <f t="shared" si="6"/>
        <v>0</v>
      </c>
      <c r="H118" s="11"/>
      <c r="I118" s="11">
        <f>(D118*E118)-Table3[[#This Row],[Paid]]</f>
        <v>0</v>
      </c>
    </row>
    <row r="119" spans="1:9" x14ac:dyDescent="0.3">
      <c r="A119" s="1"/>
      <c r="D119" s="11"/>
      <c r="E119" s="11"/>
      <c r="F119" s="11"/>
      <c r="G119" s="11">
        <f t="shared" si="6"/>
        <v>0</v>
      </c>
      <c r="H119" s="11"/>
      <c r="I119" s="11">
        <f>(D119*E119)-Table3[[#This Row],[Paid]]</f>
        <v>0</v>
      </c>
    </row>
    <row r="120" spans="1:9" x14ac:dyDescent="0.3">
      <c r="A120" s="1"/>
      <c r="D120" s="11"/>
      <c r="E120" s="11"/>
      <c r="F120" s="11"/>
      <c r="G120" s="11">
        <f t="shared" si="6"/>
        <v>0</v>
      </c>
      <c r="H120" s="11"/>
      <c r="I120" s="11">
        <f>(D120*E120)-Table3[[#This Row],[Paid]]</f>
        <v>0</v>
      </c>
    </row>
    <row r="121" spans="1:9" x14ac:dyDescent="0.3">
      <c r="A121" s="1"/>
      <c r="D121" s="11"/>
      <c r="E121" s="11"/>
      <c r="F121" s="11"/>
      <c r="G121" s="11">
        <f t="shared" si="6"/>
        <v>0</v>
      </c>
      <c r="H121" s="11"/>
      <c r="I121" s="11">
        <f>(D121*E121)-Table3[[#This Row],[Paid]]</f>
        <v>0</v>
      </c>
    </row>
    <row r="122" spans="1:9" x14ac:dyDescent="0.3">
      <c r="A122" s="1"/>
      <c r="D122" s="11"/>
      <c r="E122" s="11"/>
      <c r="F122" s="11"/>
      <c r="G122" s="11">
        <f t="shared" si="6"/>
        <v>0</v>
      </c>
      <c r="H122" s="11"/>
      <c r="I122" s="11">
        <f>(D122*E122)-Table3[[#This Row],[Paid]]</f>
        <v>0</v>
      </c>
    </row>
    <row r="123" spans="1:9" x14ac:dyDescent="0.3">
      <c r="A123" s="1"/>
      <c r="D123" s="11"/>
      <c r="E123" s="11"/>
      <c r="F123" s="11"/>
      <c r="G123" s="11">
        <f t="shared" si="6"/>
        <v>0</v>
      </c>
      <c r="H123" s="11"/>
      <c r="I123" s="11">
        <f>(D123*E123)-Table3[[#This Row],[Paid]]</f>
        <v>0</v>
      </c>
    </row>
    <row r="124" spans="1:9" x14ac:dyDescent="0.3">
      <c r="A124" s="1"/>
      <c r="D124" s="11"/>
      <c r="E124" s="11"/>
      <c r="F124" s="11"/>
      <c r="G124" s="11">
        <f t="shared" si="6"/>
        <v>0</v>
      </c>
      <c r="H124" s="11"/>
      <c r="I124" s="11">
        <f>(D124*E124)-Table3[[#This Row],[Paid]]</f>
        <v>0</v>
      </c>
    </row>
    <row r="125" spans="1:9" x14ac:dyDescent="0.3">
      <c r="A125" s="1"/>
      <c r="D125" s="11"/>
      <c r="E125" s="11"/>
      <c r="F125" s="11"/>
      <c r="G125" s="11">
        <f t="shared" si="6"/>
        <v>0</v>
      </c>
      <c r="H125" s="11"/>
      <c r="I125" s="11">
        <f>(D125*E125)-Table3[[#This Row],[Paid]]</f>
        <v>0</v>
      </c>
    </row>
    <row r="126" spans="1:9" x14ac:dyDescent="0.3">
      <c r="A126" s="1"/>
      <c r="D126" s="11"/>
      <c r="E126" s="11"/>
      <c r="F126" s="11"/>
      <c r="G126" s="11">
        <f>D126*E126</f>
        <v>0</v>
      </c>
      <c r="H126" s="11"/>
      <c r="I126" s="11">
        <f>(D126*E126)-Table3[[#This Row],[Paid]]</f>
        <v>0</v>
      </c>
    </row>
    <row r="127" spans="1:9" x14ac:dyDescent="0.3">
      <c r="A127" s="1"/>
      <c r="D127" s="14"/>
      <c r="E127" s="14"/>
      <c r="F127" s="14"/>
      <c r="G127" s="14">
        <f>SUBTOTAL(109,Table3[Total])</f>
        <v>11962585</v>
      </c>
      <c r="H127" s="14">
        <f>SUBTOTAL(109,Table3[Paid])</f>
        <v>0</v>
      </c>
      <c r="I127" s="14">
        <f>SUBTOTAL(109,Table3[balance])</f>
        <v>16016611</v>
      </c>
    </row>
  </sheetData>
  <phoneticPr fontId="4" type="noConversion"/>
  <pageMargins left="0.7" right="0.7" top="0.75" bottom="0.75" header="0.3" footer="0.3"/>
  <pageSetup scale="37" firstPageNumber="0" fitToHeight="0"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7D8-36BA-4EBA-8685-891B9162141F}">
  <sheetPr>
    <pageSetUpPr fitToPage="1"/>
  </sheetPr>
  <dimension ref="A1:P773"/>
  <sheetViews>
    <sheetView tabSelected="1" topLeftCell="A745" zoomScale="106" zoomScaleNormal="70" workbookViewId="0">
      <selection activeCell="A769" sqref="A769"/>
    </sheetView>
  </sheetViews>
  <sheetFormatPr defaultRowHeight="14.4" x14ac:dyDescent="0.3"/>
  <cols>
    <col min="1" max="1" width="12.109375" customWidth="1"/>
    <col min="2" max="2" width="19.6640625" bestFit="1" customWidth="1"/>
    <col min="3" max="3" width="13.5546875" bestFit="1" customWidth="1"/>
    <col min="4" max="4" width="12.6640625" bestFit="1" customWidth="1"/>
    <col min="5" max="5" width="14.88671875" customWidth="1"/>
    <col min="6" max="6" width="13.33203125" bestFit="1" customWidth="1"/>
    <col min="7" max="7" width="14.6640625" bestFit="1" customWidth="1"/>
    <col min="8" max="8" width="16.109375" customWidth="1"/>
    <col min="9" max="9" width="14.44140625" bestFit="1" customWidth="1"/>
    <col min="10" max="10" width="16.33203125" bestFit="1" customWidth="1"/>
    <col min="11" max="11" width="12.21875" bestFit="1" customWidth="1"/>
    <col min="12" max="12" width="11.6640625" bestFit="1" customWidth="1"/>
    <col min="13" max="13" width="11.109375" customWidth="1"/>
    <col min="14" max="14" width="10.88671875" customWidth="1"/>
    <col min="15" max="15" width="12.5546875" customWidth="1"/>
    <col min="16" max="16" width="13.6640625" customWidth="1"/>
    <col min="18" max="18" width="11.5546875" customWidth="1"/>
  </cols>
  <sheetData>
    <row r="1" spans="1:16" x14ac:dyDescent="0.3">
      <c r="A1" t="s">
        <v>75</v>
      </c>
      <c r="B1" t="s">
        <v>110</v>
      </c>
      <c r="C1" t="s">
        <v>70</v>
      </c>
      <c r="D1" t="s">
        <v>69</v>
      </c>
      <c r="E1" t="s">
        <v>36</v>
      </c>
      <c r="F1" t="s">
        <v>111</v>
      </c>
      <c r="G1" t="s">
        <v>112</v>
      </c>
    </row>
    <row r="2" spans="1:16" x14ac:dyDescent="0.3">
      <c r="A2" s="114">
        <v>46014</v>
      </c>
      <c r="B2" s="80" t="s">
        <v>212</v>
      </c>
      <c r="C2" s="11"/>
      <c r="D2" s="11">
        <v>658663</v>
      </c>
      <c r="E2" s="80" t="s">
        <v>223</v>
      </c>
      <c r="F2" s="87" t="s">
        <v>108</v>
      </c>
    </row>
    <row r="3" spans="1:16" x14ac:dyDescent="0.3">
      <c r="A3" s="85">
        <v>46042</v>
      </c>
      <c r="B3" s="80" t="s">
        <v>211</v>
      </c>
      <c r="C3" s="11"/>
      <c r="D3" s="86">
        <f>[1]Cashbook!$N$5</f>
        <v>5892642</v>
      </c>
      <c r="E3" s="80"/>
      <c r="F3" s="87" t="s">
        <v>108</v>
      </c>
      <c r="J3" s="47" t="s">
        <v>45</v>
      </c>
      <c r="K3" s="35" t="s">
        <v>46</v>
      </c>
      <c r="M3" s="47" t="s">
        <v>45</v>
      </c>
      <c r="N3" s="50" t="s">
        <v>104</v>
      </c>
      <c r="O3" s="88" t="s">
        <v>105</v>
      </c>
      <c r="P3" t="s">
        <v>106</v>
      </c>
    </row>
    <row r="4" spans="1:16" x14ac:dyDescent="0.3">
      <c r="A4" s="85">
        <v>46042</v>
      </c>
      <c r="B4" s="80" t="s">
        <v>211</v>
      </c>
      <c r="C4" s="11"/>
      <c r="D4" s="86">
        <f>[1]Cashbook!$N$6</f>
        <v>-610916</v>
      </c>
      <c r="E4" s="80"/>
      <c r="F4" s="87" t="s">
        <v>109</v>
      </c>
      <c r="J4" s="45" t="s">
        <v>70</v>
      </c>
      <c r="K4" s="46">
        <f>Table14[[#Totals],[Debit]]</f>
        <v>37308133.399999999</v>
      </c>
      <c r="M4" s="45" t="s">
        <v>107</v>
      </c>
      <c r="N4" s="51">
        <f>SUMIFS(Table14[Withdrawal],Table14[Party],"Cash",Table14[Mode],"Transfer")</f>
        <v>0</v>
      </c>
    </row>
    <row r="5" spans="1:16" x14ac:dyDescent="0.3">
      <c r="A5" s="114">
        <v>46042</v>
      </c>
      <c r="B5" s="80" t="s">
        <v>220</v>
      </c>
      <c r="C5" s="95">
        <v>6825308</v>
      </c>
      <c r="D5" s="11"/>
      <c r="E5" s="80" t="s">
        <v>223</v>
      </c>
      <c r="F5" s="87" t="s">
        <v>108</v>
      </c>
      <c r="J5" s="45" t="s">
        <v>69</v>
      </c>
      <c r="K5" s="46">
        <f>Table14[[#Totals],[Credit]]</f>
        <v>37226536.229517192</v>
      </c>
      <c r="M5" s="45" t="s">
        <v>108</v>
      </c>
      <c r="N5" s="46">
        <f>(SUMIFS(Table14[Credit],Table14[Mode],"Bank")-SUMIFS(Table14[Debit],Table14[Mode],"Bank")-SUMIFS(Table14[Withdrawal],Table14[Mode],"Transfer"))</f>
        <v>536832.82951719314</v>
      </c>
      <c r="O5">
        <v>360000</v>
      </c>
    </row>
    <row r="6" spans="1:16" x14ac:dyDescent="0.3">
      <c r="A6" s="114">
        <v>46042</v>
      </c>
      <c r="B6" s="80" t="s">
        <v>221</v>
      </c>
      <c r="C6" s="11">
        <v>783072</v>
      </c>
      <c r="D6" s="86"/>
      <c r="E6" s="80" t="s">
        <v>223</v>
      </c>
      <c r="F6" s="87" t="s">
        <v>108</v>
      </c>
      <c r="J6" s="52" t="s">
        <v>43</v>
      </c>
      <c r="K6" s="53">
        <f>(K5-K4)</f>
        <v>-81597.170482806861</v>
      </c>
      <c r="M6" s="45" t="s">
        <v>109</v>
      </c>
      <c r="N6" s="46">
        <f>((SUMIFS(Table14[Credit],Table14[Mode],"Cash")-SUMIFS(Table14[Debit],Table14[Mode],"Cash"))+SUMIFS(Table14[Withdrawal],Table14[Party],"Cash",Table14[Mode],"Transfer"))</f>
        <v>-610916</v>
      </c>
      <c r="O6">
        <v>50000</v>
      </c>
    </row>
    <row r="7" spans="1:16" x14ac:dyDescent="0.3">
      <c r="A7" s="114">
        <v>46073</v>
      </c>
      <c r="B7" t="s">
        <v>225</v>
      </c>
      <c r="C7" s="11"/>
      <c r="D7" s="11">
        <v>200000</v>
      </c>
      <c r="E7" t="s">
        <v>253</v>
      </c>
      <c r="F7" s="110" t="s">
        <v>108</v>
      </c>
      <c r="M7" s="48" t="s">
        <v>5</v>
      </c>
      <c r="N7" s="49">
        <f>SUM(N5:N6)</f>
        <v>-74083.170482806861</v>
      </c>
      <c r="O7" s="89">
        <f>SUM(O5,O6)</f>
        <v>410000</v>
      </c>
      <c r="P7" s="14">
        <f>Table18[[#Totals],[amount]]-Table18[[#Totals],[Actual]]</f>
        <v>-484083.17048280686</v>
      </c>
    </row>
    <row r="8" spans="1:16" x14ac:dyDescent="0.3">
      <c r="A8" s="38">
        <v>46073</v>
      </c>
      <c r="B8" t="s">
        <v>55</v>
      </c>
      <c r="C8" s="11">
        <v>8315</v>
      </c>
      <c r="D8" s="11"/>
      <c r="E8" t="s">
        <v>250</v>
      </c>
      <c r="F8" s="110" t="s">
        <v>108</v>
      </c>
    </row>
    <row r="9" spans="1:16" x14ac:dyDescent="0.3">
      <c r="A9" s="114">
        <v>46073</v>
      </c>
      <c r="B9" t="s">
        <v>55</v>
      </c>
      <c r="C9" s="11">
        <v>1100</v>
      </c>
      <c r="D9" s="11"/>
      <c r="E9" t="s">
        <v>254</v>
      </c>
      <c r="F9" s="110" t="s">
        <v>108</v>
      </c>
    </row>
    <row r="10" spans="1:16" x14ac:dyDescent="0.3">
      <c r="A10" s="38">
        <v>46073</v>
      </c>
      <c r="B10" t="s">
        <v>55</v>
      </c>
      <c r="C10" s="11">
        <v>240</v>
      </c>
      <c r="D10" s="11"/>
      <c r="F10" s="110" t="s">
        <v>108</v>
      </c>
    </row>
    <row r="11" spans="1:16" x14ac:dyDescent="0.3">
      <c r="A11" s="114">
        <v>46073</v>
      </c>
      <c r="B11" t="s">
        <v>55</v>
      </c>
      <c r="C11" s="11">
        <v>4550</v>
      </c>
      <c r="D11" s="11"/>
      <c r="E11" t="s">
        <v>255</v>
      </c>
      <c r="F11" s="110" t="s">
        <v>108</v>
      </c>
    </row>
    <row r="12" spans="1:16" x14ac:dyDescent="0.3">
      <c r="A12" s="38">
        <v>46073</v>
      </c>
      <c r="B12" t="s">
        <v>55</v>
      </c>
      <c r="C12" s="11">
        <v>10750</v>
      </c>
      <c r="D12" s="11"/>
      <c r="E12" t="s">
        <v>256</v>
      </c>
      <c r="F12" s="110" t="s">
        <v>108</v>
      </c>
    </row>
    <row r="13" spans="1:16" x14ac:dyDescent="0.3">
      <c r="A13" s="114">
        <v>46073</v>
      </c>
      <c r="B13" t="s">
        <v>257</v>
      </c>
      <c r="C13" s="11">
        <v>64290</v>
      </c>
      <c r="D13" s="11"/>
      <c r="E13" t="s">
        <v>242</v>
      </c>
      <c r="F13" s="110" t="s">
        <v>108</v>
      </c>
    </row>
    <row r="14" spans="1:16" x14ac:dyDescent="0.3">
      <c r="A14" s="38">
        <v>46073</v>
      </c>
      <c r="B14" t="s">
        <v>220</v>
      </c>
      <c r="C14" s="11"/>
      <c r="D14" s="11">
        <v>947000</v>
      </c>
      <c r="E14" t="s">
        <v>258</v>
      </c>
      <c r="F14" s="110" t="s">
        <v>108</v>
      </c>
    </row>
    <row r="15" spans="1:16" x14ac:dyDescent="0.3">
      <c r="A15" s="114">
        <v>46073</v>
      </c>
      <c r="B15" t="s">
        <v>175</v>
      </c>
      <c r="C15" s="11"/>
      <c r="D15" s="11">
        <v>694000</v>
      </c>
      <c r="E15" t="s">
        <v>259</v>
      </c>
      <c r="F15" s="110" t="s">
        <v>108</v>
      </c>
    </row>
    <row r="16" spans="1:16" x14ac:dyDescent="0.3">
      <c r="A16" s="38">
        <v>46073</v>
      </c>
      <c r="B16" t="s">
        <v>55</v>
      </c>
      <c r="C16" s="11">
        <v>2850</v>
      </c>
      <c r="D16" s="11"/>
      <c r="E16" t="s">
        <v>260</v>
      </c>
      <c r="F16" s="110" t="s">
        <v>108</v>
      </c>
    </row>
    <row r="17" spans="1:6" x14ac:dyDescent="0.3">
      <c r="A17" s="114">
        <v>46073</v>
      </c>
      <c r="B17" t="s">
        <v>220</v>
      </c>
      <c r="C17" s="11"/>
      <c r="D17" s="11">
        <v>450000</v>
      </c>
      <c r="E17" t="s">
        <v>261</v>
      </c>
      <c r="F17" s="110" t="s">
        <v>108</v>
      </c>
    </row>
    <row r="18" spans="1:6" x14ac:dyDescent="0.3">
      <c r="A18" s="38">
        <v>46073</v>
      </c>
      <c r="B18" t="s">
        <v>51</v>
      </c>
      <c r="C18" s="95">
        <v>2222081</v>
      </c>
      <c r="D18" s="95"/>
      <c r="E18" t="s">
        <v>216</v>
      </c>
      <c r="F18" s="110" t="s">
        <v>108</v>
      </c>
    </row>
    <row r="19" spans="1:6" x14ac:dyDescent="0.3">
      <c r="A19" s="114">
        <v>46073</v>
      </c>
      <c r="B19" t="s">
        <v>55</v>
      </c>
      <c r="C19" s="11">
        <v>1000</v>
      </c>
      <c r="D19" s="11"/>
      <c r="F19" s="110" t="s">
        <v>108</v>
      </c>
    </row>
    <row r="20" spans="1:6" x14ac:dyDescent="0.3">
      <c r="A20" s="38">
        <v>46073</v>
      </c>
      <c r="B20" t="s">
        <v>55</v>
      </c>
      <c r="C20" s="11">
        <v>26300</v>
      </c>
      <c r="D20" s="11"/>
      <c r="E20" t="s">
        <v>262</v>
      </c>
      <c r="F20" s="110" t="s">
        <v>108</v>
      </c>
    </row>
    <row r="21" spans="1:6" x14ac:dyDescent="0.3">
      <c r="A21" s="114">
        <v>46073</v>
      </c>
      <c r="B21" t="s">
        <v>220</v>
      </c>
      <c r="C21" s="11"/>
      <c r="D21" s="11">
        <v>130000</v>
      </c>
      <c r="E21" t="s">
        <v>263</v>
      </c>
      <c r="F21" s="110" t="s">
        <v>108</v>
      </c>
    </row>
    <row r="22" spans="1:6" x14ac:dyDescent="0.3">
      <c r="A22" s="38">
        <v>46073</v>
      </c>
      <c r="B22" t="s">
        <v>228</v>
      </c>
      <c r="C22" s="11"/>
      <c r="D22" s="11">
        <v>100000</v>
      </c>
      <c r="F22" s="110" t="s">
        <v>108</v>
      </c>
    </row>
    <row r="23" spans="1:6" x14ac:dyDescent="0.3">
      <c r="A23" s="114">
        <v>46073</v>
      </c>
      <c r="B23" t="s">
        <v>220</v>
      </c>
      <c r="C23" s="11">
        <v>100000</v>
      </c>
      <c r="D23" s="11"/>
      <c r="E23" t="s">
        <v>264</v>
      </c>
      <c r="F23" s="110" t="s">
        <v>108</v>
      </c>
    </row>
    <row r="24" spans="1:6" x14ac:dyDescent="0.3">
      <c r="A24" s="38">
        <v>46073</v>
      </c>
      <c r="B24" t="s">
        <v>54</v>
      </c>
      <c r="C24" s="11">
        <v>6600</v>
      </c>
      <c r="D24" s="11"/>
      <c r="F24" s="110" t="s">
        <v>108</v>
      </c>
    </row>
    <row r="25" spans="1:6" x14ac:dyDescent="0.3">
      <c r="A25" s="114">
        <v>46073</v>
      </c>
      <c r="B25" t="s">
        <v>225</v>
      </c>
      <c r="C25" s="11"/>
      <c r="D25" s="11">
        <v>100000</v>
      </c>
      <c r="E25" t="s">
        <v>265</v>
      </c>
      <c r="F25" s="110" t="s">
        <v>108</v>
      </c>
    </row>
    <row r="26" spans="1:6" x14ac:dyDescent="0.3">
      <c r="A26" s="38">
        <v>46073</v>
      </c>
      <c r="B26" t="s">
        <v>252</v>
      </c>
      <c r="C26" s="11">
        <v>100000</v>
      </c>
      <c r="D26" s="11"/>
      <c r="E26" t="s">
        <v>266</v>
      </c>
      <c r="F26" s="110" t="s">
        <v>108</v>
      </c>
    </row>
    <row r="27" spans="1:6" x14ac:dyDescent="0.3">
      <c r="A27" s="114">
        <v>46073</v>
      </c>
      <c r="B27" t="s">
        <v>212</v>
      </c>
      <c r="C27" s="11">
        <v>800</v>
      </c>
      <c r="D27" s="11"/>
      <c r="F27" s="110" t="s">
        <v>108</v>
      </c>
    </row>
    <row r="28" spans="1:6" x14ac:dyDescent="0.3">
      <c r="A28" s="38">
        <v>46073</v>
      </c>
      <c r="B28" t="s">
        <v>222</v>
      </c>
      <c r="C28" s="11">
        <v>100050</v>
      </c>
      <c r="D28" s="11"/>
      <c r="F28" s="110" t="s">
        <v>108</v>
      </c>
    </row>
    <row r="29" spans="1:6" x14ac:dyDescent="0.3">
      <c r="A29" s="114">
        <v>46073</v>
      </c>
      <c r="B29" t="s">
        <v>175</v>
      </c>
      <c r="C29" s="11"/>
      <c r="D29" s="11">
        <v>10000</v>
      </c>
      <c r="E29" t="s">
        <v>54</v>
      </c>
      <c r="F29" s="110" t="s">
        <v>108</v>
      </c>
    </row>
    <row r="30" spans="1:6" x14ac:dyDescent="0.3">
      <c r="A30" s="38">
        <v>46073</v>
      </c>
      <c r="B30" t="s">
        <v>54</v>
      </c>
      <c r="C30" s="11">
        <v>10000</v>
      </c>
      <c r="D30" s="11"/>
      <c r="E30" t="s">
        <v>267</v>
      </c>
      <c r="F30" s="110" t="s">
        <v>108</v>
      </c>
    </row>
    <row r="31" spans="1:6" x14ac:dyDescent="0.3">
      <c r="A31" s="114">
        <v>46074</v>
      </c>
      <c r="B31" t="s">
        <v>117</v>
      </c>
      <c r="C31" s="11">
        <v>78000</v>
      </c>
      <c r="D31" s="11"/>
      <c r="E31" t="s">
        <v>61</v>
      </c>
      <c r="F31" s="110" t="s">
        <v>108</v>
      </c>
    </row>
    <row r="32" spans="1:6" x14ac:dyDescent="0.3">
      <c r="A32" s="38">
        <v>46074</v>
      </c>
      <c r="B32" t="s">
        <v>55</v>
      </c>
      <c r="C32" s="11">
        <v>1300</v>
      </c>
      <c r="D32" s="11"/>
      <c r="E32" t="s">
        <v>268</v>
      </c>
      <c r="F32" s="110" t="s">
        <v>108</v>
      </c>
    </row>
    <row r="33" spans="1:6" x14ac:dyDescent="0.3">
      <c r="A33" s="114">
        <v>46074</v>
      </c>
      <c r="B33" t="s">
        <v>55</v>
      </c>
      <c r="C33" s="11">
        <v>800</v>
      </c>
      <c r="D33" s="11"/>
      <c r="F33" s="110" t="s">
        <v>108</v>
      </c>
    </row>
    <row r="34" spans="1:6" x14ac:dyDescent="0.3">
      <c r="A34" s="38">
        <v>46074</v>
      </c>
      <c r="B34" t="s">
        <v>228</v>
      </c>
      <c r="C34" s="11"/>
      <c r="D34" s="11">
        <v>100000</v>
      </c>
      <c r="E34" t="s">
        <v>269</v>
      </c>
      <c r="F34" s="110" t="s">
        <v>108</v>
      </c>
    </row>
    <row r="35" spans="1:6" x14ac:dyDescent="0.3">
      <c r="A35" s="114">
        <v>46074</v>
      </c>
      <c r="B35" t="s">
        <v>246</v>
      </c>
      <c r="C35" s="11">
        <v>820</v>
      </c>
      <c r="D35" s="11"/>
      <c r="E35" t="s">
        <v>270</v>
      </c>
      <c r="F35" s="110" t="s">
        <v>108</v>
      </c>
    </row>
    <row r="36" spans="1:6" x14ac:dyDescent="0.3">
      <c r="A36" s="38">
        <v>46074</v>
      </c>
      <c r="B36" t="s">
        <v>245</v>
      </c>
      <c r="C36" s="11"/>
      <c r="D36" s="11">
        <v>350000</v>
      </c>
      <c r="F36" s="110" t="s">
        <v>108</v>
      </c>
    </row>
    <row r="37" spans="1:6" x14ac:dyDescent="0.3">
      <c r="A37" s="114">
        <v>46074</v>
      </c>
      <c r="B37" t="s">
        <v>55</v>
      </c>
      <c r="C37" s="11">
        <v>125000</v>
      </c>
      <c r="D37" s="11"/>
      <c r="E37" t="s">
        <v>271</v>
      </c>
      <c r="F37" s="110" t="s">
        <v>108</v>
      </c>
    </row>
    <row r="38" spans="1:6" x14ac:dyDescent="0.3">
      <c r="A38" s="38">
        <v>46074</v>
      </c>
      <c r="B38" t="s">
        <v>232</v>
      </c>
      <c r="C38" s="11"/>
      <c r="D38" s="11">
        <v>39278</v>
      </c>
      <c r="E38" t="s">
        <v>233</v>
      </c>
      <c r="F38" s="110" t="s">
        <v>108</v>
      </c>
    </row>
    <row r="39" spans="1:6" x14ac:dyDescent="0.3">
      <c r="A39" s="114">
        <v>46074</v>
      </c>
      <c r="B39" t="s">
        <v>55</v>
      </c>
      <c r="C39" s="11">
        <v>950</v>
      </c>
      <c r="D39" s="11"/>
      <c r="E39" t="s">
        <v>260</v>
      </c>
      <c r="F39" s="110" t="s">
        <v>108</v>
      </c>
    </row>
    <row r="40" spans="1:6" x14ac:dyDescent="0.3">
      <c r="A40" s="38">
        <v>46074</v>
      </c>
      <c r="B40" t="s">
        <v>225</v>
      </c>
      <c r="C40" s="11"/>
      <c r="D40" s="11">
        <v>29454</v>
      </c>
      <c r="E40" t="s">
        <v>272</v>
      </c>
      <c r="F40" s="110" t="s">
        <v>108</v>
      </c>
    </row>
    <row r="41" spans="1:6" x14ac:dyDescent="0.3">
      <c r="A41" s="114">
        <v>46074</v>
      </c>
      <c r="B41" t="s">
        <v>273</v>
      </c>
      <c r="C41" s="11">
        <v>100000</v>
      </c>
      <c r="D41" s="11"/>
      <c r="E41" t="s">
        <v>274</v>
      </c>
      <c r="F41" s="110" t="s">
        <v>108</v>
      </c>
    </row>
    <row r="42" spans="1:6" x14ac:dyDescent="0.3">
      <c r="A42" s="38">
        <v>46074</v>
      </c>
      <c r="B42" t="s">
        <v>9</v>
      </c>
      <c r="C42" s="11"/>
      <c r="D42" s="11">
        <v>200000</v>
      </c>
      <c r="E42" t="s">
        <v>276</v>
      </c>
      <c r="F42" s="110" t="s">
        <v>108</v>
      </c>
    </row>
    <row r="43" spans="1:6" x14ac:dyDescent="0.3">
      <c r="A43" s="114">
        <v>46074</v>
      </c>
      <c r="B43" t="s">
        <v>277</v>
      </c>
      <c r="C43" s="11">
        <v>40000</v>
      </c>
      <c r="D43" s="11"/>
      <c r="E43" t="s">
        <v>278</v>
      </c>
      <c r="F43" s="110" t="s">
        <v>108</v>
      </c>
    </row>
    <row r="44" spans="1:6" x14ac:dyDescent="0.3">
      <c r="A44" s="38">
        <v>46074</v>
      </c>
      <c r="B44" t="s">
        <v>94</v>
      </c>
      <c r="C44" s="11">
        <v>150000</v>
      </c>
      <c r="D44" s="11"/>
      <c r="E44" t="s">
        <v>279</v>
      </c>
      <c r="F44" s="110" t="s">
        <v>108</v>
      </c>
    </row>
    <row r="45" spans="1:6" x14ac:dyDescent="0.3">
      <c r="A45" s="114">
        <v>46074</v>
      </c>
      <c r="B45" t="s">
        <v>169</v>
      </c>
      <c r="C45" s="11">
        <v>151000</v>
      </c>
      <c r="D45" s="11"/>
      <c r="E45" t="s">
        <v>280</v>
      </c>
      <c r="F45" s="110" t="s">
        <v>108</v>
      </c>
    </row>
    <row r="46" spans="1:6" x14ac:dyDescent="0.3">
      <c r="A46" s="38">
        <v>46074</v>
      </c>
      <c r="B46" t="s">
        <v>165</v>
      </c>
      <c r="C46" s="11">
        <v>2500</v>
      </c>
      <c r="D46" s="11"/>
      <c r="E46" t="s">
        <v>287</v>
      </c>
      <c r="F46" s="110" t="s">
        <v>108</v>
      </c>
    </row>
    <row r="47" spans="1:6" x14ac:dyDescent="0.3">
      <c r="A47" s="114">
        <v>46074</v>
      </c>
      <c r="B47" t="s">
        <v>212</v>
      </c>
      <c r="C47" s="11"/>
      <c r="D47" s="11">
        <v>5000</v>
      </c>
      <c r="E47" t="s">
        <v>288</v>
      </c>
      <c r="F47" s="110" t="s">
        <v>108</v>
      </c>
    </row>
    <row r="48" spans="1:6" x14ac:dyDescent="0.3">
      <c r="A48" s="38">
        <v>46074</v>
      </c>
      <c r="B48" t="s">
        <v>249</v>
      </c>
      <c r="C48" s="11">
        <v>7200</v>
      </c>
      <c r="D48" s="11"/>
      <c r="E48" t="s">
        <v>247</v>
      </c>
      <c r="F48" s="110" t="s">
        <v>108</v>
      </c>
    </row>
    <row r="49" spans="1:6" x14ac:dyDescent="0.3">
      <c r="A49" s="114">
        <v>46075</v>
      </c>
      <c r="B49" t="s">
        <v>282</v>
      </c>
      <c r="C49" s="11"/>
      <c r="D49" s="11"/>
      <c r="E49" t="s">
        <v>283</v>
      </c>
      <c r="F49" s="110" t="s">
        <v>108</v>
      </c>
    </row>
    <row r="50" spans="1:6" x14ac:dyDescent="0.3">
      <c r="A50" s="38">
        <v>46075</v>
      </c>
      <c r="B50" t="s">
        <v>55</v>
      </c>
      <c r="C50" s="11">
        <v>2000</v>
      </c>
      <c r="D50" s="11"/>
      <c r="E50" t="s">
        <v>284</v>
      </c>
      <c r="F50" s="110" t="s">
        <v>108</v>
      </c>
    </row>
    <row r="51" spans="1:6" x14ac:dyDescent="0.3">
      <c r="A51" s="114">
        <v>46075</v>
      </c>
      <c r="B51" t="s">
        <v>55</v>
      </c>
      <c r="C51" s="11">
        <v>8000</v>
      </c>
      <c r="D51" s="11"/>
      <c r="E51" t="s">
        <v>285</v>
      </c>
      <c r="F51" s="110" t="s">
        <v>108</v>
      </c>
    </row>
    <row r="52" spans="1:6" x14ac:dyDescent="0.3">
      <c r="A52" s="38">
        <v>46075</v>
      </c>
      <c r="B52" t="s">
        <v>220</v>
      </c>
      <c r="C52" s="11"/>
      <c r="D52" s="11">
        <v>6000</v>
      </c>
      <c r="E52" t="s">
        <v>285</v>
      </c>
      <c r="F52" s="110" t="s">
        <v>108</v>
      </c>
    </row>
    <row r="53" spans="1:6" x14ac:dyDescent="0.3">
      <c r="A53" s="114">
        <v>46075</v>
      </c>
      <c r="B53" t="s">
        <v>54</v>
      </c>
      <c r="C53" s="11">
        <v>6000</v>
      </c>
      <c r="D53" s="11"/>
      <c r="E53" t="s">
        <v>286</v>
      </c>
      <c r="F53" s="110" t="s">
        <v>108</v>
      </c>
    </row>
    <row r="54" spans="1:6" x14ac:dyDescent="0.3">
      <c r="A54" s="38">
        <v>46076</v>
      </c>
      <c r="B54" t="s">
        <v>212</v>
      </c>
      <c r="C54" s="95">
        <f>1280+1430+760</f>
        <v>3470</v>
      </c>
      <c r="D54" s="95"/>
      <c r="F54" s="110" t="s">
        <v>108</v>
      </c>
    </row>
    <row r="55" spans="1:6" x14ac:dyDescent="0.3">
      <c r="A55" s="114">
        <v>46076</v>
      </c>
      <c r="B55" t="s">
        <v>212</v>
      </c>
      <c r="C55" s="95"/>
      <c r="D55" s="95">
        <v>5000</v>
      </c>
      <c r="E55" t="s">
        <v>288</v>
      </c>
      <c r="F55" s="110" t="s">
        <v>108</v>
      </c>
    </row>
    <row r="56" spans="1:6" x14ac:dyDescent="0.3">
      <c r="A56" s="38">
        <v>46076</v>
      </c>
      <c r="B56" t="s">
        <v>249</v>
      </c>
      <c r="C56" s="95">
        <v>5000</v>
      </c>
      <c r="D56" s="95"/>
      <c r="E56" t="s">
        <v>247</v>
      </c>
      <c r="F56" s="110" t="s">
        <v>108</v>
      </c>
    </row>
    <row r="57" spans="1:6" x14ac:dyDescent="0.3">
      <c r="A57" s="114">
        <v>46076</v>
      </c>
      <c r="B57" t="s">
        <v>54</v>
      </c>
      <c r="C57" s="11">
        <v>5000</v>
      </c>
      <c r="D57" s="11"/>
      <c r="E57" t="s">
        <v>290</v>
      </c>
      <c r="F57" s="110" t="s">
        <v>108</v>
      </c>
    </row>
    <row r="58" spans="1:6" x14ac:dyDescent="0.3">
      <c r="A58" s="38">
        <v>46076</v>
      </c>
      <c r="B58" t="s">
        <v>220</v>
      </c>
      <c r="C58" s="11"/>
      <c r="D58" s="11"/>
      <c r="E58" t="s">
        <v>292</v>
      </c>
      <c r="F58" s="110" t="s">
        <v>108</v>
      </c>
    </row>
    <row r="59" spans="1:6" x14ac:dyDescent="0.3">
      <c r="A59" s="38">
        <v>46076</v>
      </c>
      <c r="B59" t="s">
        <v>55</v>
      </c>
      <c r="C59" s="11">
        <v>1470</v>
      </c>
      <c r="D59" s="11"/>
      <c r="E59" t="s">
        <v>291</v>
      </c>
      <c r="F59" s="110" t="s">
        <v>108</v>
      </c>
    </row>
    <row r="60" spans="1:6" x14ac:dyDescent="0.3">
      <c r="A60" s="38">
        <v>46076</v>
      </c>
      <c r="B60" t="s">
        <v>94</v>
      </c>
      <c r="C60" s="11">
        <v>28500</v>
      </c>
      <c r="D60" s="11"/>
      <c r="E60" t="s">
        <v>242</v>
      </c>
      <c r="F60" s="110" t="s">
        <v>108</v>
      </c>
    </row>
    <row r="61" spans="1:6" x14ac:dyDescent="0.3">
      <c r="A61" s="38">
        <v>46076</v>
      </c>
      <c r="B61" t="s">
        <v>212</v>
      </c>
      <c r="C61" s="11">
        <v>150</v>
      </c>
      <c r="D61" s="11"/>
      <c r="E61" t="s">
        <v>293</v>
      </c>
      <c r="F61" s="110" t="s">
        <v>108</v>
      </c>
    </row>
    <row r="62" spans="1:6" x14ac:dyDescent="0.3">
      <c r="A62" s="38">
        <v>46076</v>
      </c>
      <c r="B62" t="s">
        <v>294</v>
      </c>
      <c r="C62" s="11">
        <v>10000</v>
      </c>
      <c r="D62" s="11"/>
      <c r="E62" t="s">
        <v>295</v>
      </c>
      <c r="F62" s="110" t="s">
        <v>108</v>
      </c>
    </row>
    <row r="63" spans="1:6" x14ac:dyDescent="0.3">
      <c r="A63" s="38">
        <v>46076</v>
      </c>
      <c r="B63" t="s">
        <v>55</v>
      </c>
      <c r="C63" s="11">
        <v>27000</v>
      </c>
      <c r="D63" s="11"/>
      <c r="E63" t="s">
        <v>296</v>
      </c>
      <c r="F63" s="110" t="s">
        <v>108</v>
      </c>
    </row>
    <row r="64" spans="1:6" x14ac:dyDescent="0.3">
      <c r="A64" s="38">
        <v>46076</v>
      </c>
      <c r="B64" t="s">
        <v>176</v>
      </c>
      <c r="C64" s="11">
        <v>7800</v>
      </c>
      <c r="D64" s="11"/>
      <c r="E64" t="s">
        <v>297</v>
      </c>
      <c r="F64" s="110" t="s">
        <v>108</v>
      </c>
    </row>
    <row r="65" spans="1:6" x14ac:dyDescent="0.3">
      <c r="A65" s="38">
        <v>46076</v>
      </c>
      <c r="B65" t="s">
        <v>220</v>
      </c>
      <c r="C65" s="11"/>
      <c r="D65" s="11"/>
      <c r="F65" s="110" t="s">
        <v>108</v>
      </c>
    </row>
    <row r="66" spans="1:6" x14ac:dyDescent="0.3">
      <c r="A66" s="38">
        <v>46076</v>
      </c>
      <c r="B66" t="s">
        <v>298</v>
      </c>
      <c r="C66" s="11">
        <v>101000</v>
      </c>
      <c r="D66" s="11"/>
      <c r="E66" t="s">
        <v>299</v>
      </c>
      <c r="F66" s="110" t="s">
        <v>108</v>
      </c>
    </row>
    <row r="67" spans="1:6" x14ac:dyDescent="0.3">
      <c r="A67" s="38">
        <v>46077</v>
      </c>
      <c r="B67" t="s">
        <v>245</v>
      </c>
      <c r="C67" s="11"/>
      <c r="D67" s="11">
        <v>142180</v>
      </c>
      <c r="F67" s="110" t="s">
        <v>108</v>
      </c>
    </row>
    <row r="68" spans="1:6" x14ac:dyDescent="0.3">
      <c r="A68" s="38">
        <v>46077</v>
      </c>
      <c r="B68" t="s">
        <v>228</v>
      </c>
      <c r="C68" s="11"/>
      <c r="D68" s="11">
        <v>110000</v>
      </c>
      <c r="F68" s="110" t="s">
        <v>108</v>
      </c>
    </row>
    <row r="69" spans="1:6" x14ac:dyDescent="0.3">
      <c r="A69" s="38">
        <v>46077</v>
      </c>
      <c r="B69" t="s">
        <v>54</v>
      </c>
      <c r="C69" s="11">
        <v>1000</v>
      </c>
      <c r="D69" s="11"/>
      <c r="E69" t="s">
        <v>300</v>
      </c>
      <c r="F69" s="110" t="s">
        <v>108</v>
      </c>
    </row>
    <row r="70" spans="1:6" x14ac:dyDescent="0.3">
      <c r="A70" s="38">
        <v>46077</v>
      </c>
      <c r="B70" t="s">
        <v>249</v>
      </c>
      <c r="C70" s="11">
        <v>6175</v>
      </c>
      <c r="D70" s="11"/>
      <c r="E70" t="s">
        <v>247</v>
      </c>
      <c r="F70" s="110" t="s">
        <v>108</v>
      </c>
    </row>
    <row r="71" spans="1:6" x14ac:dyDescent="0.3">
      <c r="A71" s="38">
        <v>46077</v>
      </c>
      <c r="B71" t="s">
        <v>55</v>
      </c>
      <c r="C71" s="11">
        <v>9500</v>
      </c>
      <c r="D71" s="11"/>
      <c r="E71" t="s">
        <v>301</v>
      </c>
      <c r="F71" s="110" t="s">
        <v>108</v>
      </c>
    </row>
    <row r="72" spans="1:6" x14ac:dyDescent="0.3">
      <c r="A72" s="38">
        <v>46077</v>
      </c>
      <c r="B72" t="s">
        <v>176</v>
      </c>
      <c r="C72" s="11">
        <v>27200</v>
      </c>
      <c r="D72" s="11"/>
      <c r="E72" t="s">
        <v>302</v>
      </c>
      <c r="F72" s="110" t="s">
        <v>108</v>
      </c>
    </row>
    <row r="73" spans="1:6" x14ac:dyDescent="0.3">
      <c r="A73" s="38">
        <v>46077</v>
      </c>
      <c r="B73" t="s">
        <v>312</v>
      </c>
      <c r="C73" s="11"/>
      <c r="D73" s="11">
        <v>500000</v>
      </c>
      <c r="E73" t="s">
        <v>303</v>
      </c>
      <c r="F73" s="110" t="s">
        <v>108</v>
      </c>
    </row>
    <row r="74" spans="1:6" x14ac:dyDescent="0.3">
      <c r="A74" s="38">
        <v>46077</v>
      </c>
      <c r="B74" t="s">
        <v>54</v>
      </c>
      <c r="C74" s="11">
        <v>300</v>
      </c>
      <c r="D74" s="11"/>
      <c r="E74" t="s">
        <v>304</v>
      </c>
      <c r="F74" s="110" t="s">
        <v>108</v>
      </c>
    </row>
    <row r="75" spans="1:6" x14ac:dyDescent="0.3">
      <c r="A75" s="38">
        <v>46077</v>
      </c>
      <c r="B75" t="s">
        <v>55</v>
      </c>
      <c r="C75" s="11">
        <v>900</v>
      </c>
      <c r="D75" s="11"/>
      <c r="E75" t="s">
        <v>305</v>
      </c>
      <c r="F75" s="110" t="s">
        <v>108</v>
      </c>
    </row>
    <row r="76" spans="1:6" x14ac:dyDescent="0.3">
      <c r="A76" s="38">
        <v>46077</v>
      </c>
      <c r="B76" t="s">
        <v>222</v>
      </c>
      <c r="C76" s="11">
        <v>150000</v>
      </c>
      <c r="D76" s="11"/>
      <c r="E76" t="s">
        <v>306</v>
      </c>
      <c r="F76" s="110" t="s">
        <v>108</v>
      </c>
    </row>
    <row r="77" spans="1:6" x14ac:dyDescent="0.3">
      <c r="A77" s="38">
        <v>46077</v>
      </c>
      <c r="B77" t="s">
        <v>94</v>
      </c>
      <c r="C77" s="11">
        <v>150000</v>
      </c>
      <c r="D77" s="11"/>
      <c r="E77" t="s">
        <v>307</v>
      </c>
      <c r="F77" s="110" t="s">
        <v>108</v>
      </c>
    </row>
    <row r="78" spans="1:6" x14ac:dyDescent="0.3">
      <c r="A78" s="38">
        <v>46077</v>
      </c>
      <c r="B78" t="s">
        <v>169</v>
      </c>
      <c r="C78" s="11">
        <v>201500</v>
      </c>
      <c r="D78" s="11"/>
      <c r="E78" t="s">
        <v>308</v>
      </c>
      <c r="F78" s="110" t="s">
        <v>108</v>
      </c>
    </row>
    <row r="79" spans="1:6" x14ac:dyDescent="0.3">
      <c r="A79" s="38">
        <v>46077</v>
      </c>
      <c r="B79" t="s">
        <v>54</v>
      </c>
      <c r="C79" s="11">
        <v>2200</v>
      </c>
      <c r="D79" s="11"/>
      <c r="E79" t="s">
        <v>287</v>
      </c>
      <c r="F79" s="110" t="s">
        <v>108</v>
      </c>
    </row>
    <row r="80" spans="1:6" x14ac:dyDescent="0.3">
      <c r="A80" s="38">
        <v>46077</v>
      </c>
      <c r="B80" t="s">
        <v>55</v>
      </c>
      <c r="C80" s="11">
        <v>8315</v>
      </c>
      <c r="D80" s="11"/>
      <c r="E80" t="s">
        <v>250</v>
      </c>
      <c r="F80" s="110" t="s">
        <v>108</v>
      </c>
    </row>
    <row r="81" spans="1:6" x14ac:dyDescent="0.3">
      <c r="A81" s="38">
        <v>46077</v>
      </c>
      <c r="B81" t="s">
        <v>55</v>
      </c>
      <c r="C81" s="11">
        <v>20000</v>
      </c>
      <c r="D81" s="11"/>
      <c r="E81" t="s">
        <v>309</v>
      </c>
      <c r="F81" s="110" t="s">
        <v>108</v>
      </c>
    </row>
    <row r="82" spans="1:6" x14ac:dyDescent="0.3">
      <c r="A82" s="38">
        <v>46077</v>
      </c>
      <c r="B82" t="s">
        <v>220</v>
      </c>
      <c r="C82" s="11"/>
      <c r="D82" s="11">
        <v>45000</v>
      </c>
      <c r="E82" t="s">
        <v>310</v>
      </c>
      <c r="F82" s="110" t="s">
        <v>108</v>
      </c>
    </row>
    <row r="83" spans="1:6" x14ac:dyDescent="0.3">
      <c r="A83" s="38">
        <v>46077</v>
      </c>
      <c r="B83" t="s">
        <v>220</v>
      </c>
      <c r="C83" s="11"/>
      <c r="D83" s="11">
        <v>19700</v>
      </c>
      <c r="E83" t="s">
        <v>311</v>
      </c>
      <c r="F83" s="110" t="s">
        <v>108</v>
      </c>
    </row>
    <row r="84" spans="1:6" x14ac:dyDescent="0.3">
      <c r="A84" s="38">
        <v>46077</v>
      </c>
      <c r="B84" t="s">
        <v>312</v>
      </c>
      <c r="C84" s="11"/>
      <c r="D84" s="11">
        <f>SUM(ledger!I90,ledger!I92:I94)*0.1</f>
        <v>7928.4930504754948</v>
      </c>
      <c r="E84" t="s">
        <v>313</v>
      </c>
      <c r="F84" s="110" t="s">
        <v>108</v>
      </c>
    </row>
    <row r="85" spans="1:6" x14ac:dyDescent="0.3">
      <c r="A85" s="38">
        <v>46077</v>
      </c>
      <c r="B85" t="s">
        <v>54</v>
      </c>
      <c r="C85" s="11">
        <v>7928</v>
      </c>
      <c r="D85" s="11"/>
      <c r="E85" t="s">
        <v>267</v>
      </c>
      <c r="F85" s="110" t="s">
        <v>108</v>
      </c>
    </row>
    <row r="86" spans="1:6" x14ac:dyDescent="0.3">
      <c r="A86" s="38">
        <v>46077</v>
      </c>
      <c r="B86" t="s">
        <v>115</v>
      </c>
      <c r="C86" s="11">
        <v>100000</v>
      </c>
      <c r="D86" s="11"/>
      <c r="E86" t="s">
        <v>333</v>
      </c>
      <c r="F86" s="110" t="s">
        <v>108</v>
      </c>
    </row>
    <row r="87" spans="1:6" x14ac:dyDescent="0.3">
      <c r="A87" s="38">
        <v>46077</v>
      </c>
      <c r="B87" t="s">
        <v>220</v>
      </c>
      <c r="C87" s="11"/>
      <c r="D87" s="11">
        <v>100000</v>
      </c>
      <c r="E87" t="s">
        <v>115</v>
      </c>
      <c r="F87" s="110" t="s">
        <v>108</v>
      </c>
    </row>
    <row r="88" spans="1:6" x14ac:dyDescent="0.3">
      <c r="A88" s="38">
        <v>46078</v>
      </c>
      <c r="B88" t="s">
        <v>257</v>
      </c>
      <c r="C88" s="11">
        <v>21200</v>
      </c>
      <c r="D88" s="11"/>
      <c r="E88" t="s">
        <v>315</v>
      </c>
      <c r="F88" s="110" t="s">
        <v>108</v>
      </c>
    </row>
    <row r="89" spans="1:6" x14ac:dyDescent="0.3">
      <c r="A89" s="38">
        <v>46078</v>
      </c>
      <c r="B89" t="s">
        <v>257</v>
      </c>
      <c r="C89" s="11">
        <v>34000</v>
      </c>
      <c r="D89" s="11"/>
      <c r="E89" t="s">
        <v>109</v>
      </c>
      <c r="F89" s="110" t="s">
        <v>108</v>
      </c>
    </row>
    <row r="90" spans="1:6" x14ac:dyDescent="0.3">
      <c r="A90" s="38">
        <v>46078</v>
      </c>
      <c r="B90" t="s">
        <v>312</v>
      </c>
      <c r="C90" s="11"/>
      <c r="D90" s="11">
        <v>505052</v>
      </c>
      <c r="E90" t="s">
        <v>316</v>
      </c>
      <c r="F90" s="110" t="s">
        <v>108</v>
      </c>
    </row>
    <row r="91" spans="1:6" x14ac:dyDescent="0.3">
      <c r="A91" s="38">
        <v>46078</v>
      </c>
      <c r="B91" t="s">
        <v>298</v>
      </c>
      <c r="C91" s="11">
        <v>100000</v>
      </c>
      <c r="D91" s="11"/>
      <c r="E91" t="s">
        <v>317</v>
      </c>
      <c r="F91" s="110" t="s">
        <v>108</v>
      </c>
    </row>
    <row r="92" spans="1:6" x14ac:dyDescent="0.3">
      <c r="A92" s="38">
        <v>46078</v>
      </c>
      <c r="B92" t="s">
        <v>282</v>
      </c>
      <c r="C92" s="11"/>
      <c r="D92" s="11"/>
      <c r="E92" t="s">
        <v>318</v>
      </c>
      <c r="F92" s="110" t="s">
        <v>108</v>
      </c>
    </row>
    <row r="93" spans="1:6" x14ac:dyDescent="0.3">
      <c r="A93" s="38">
        <v>46078</v>
      </c>
      <c r="B93" t="s">
        <v>55</v>
      </c>
      <c r="C93" s="11">
        <v>2810</v>
      </c>
      <c r="D93" s="11"/>
      <c r="E93" t="s">
        <v>319</v>
      </c>
      <c r="F93" s="110" t="s">
        <v>108</v>
      </c>
    </row>
    <row r="94" spans="1:6" x14ac:dyDescent="0.3">
      <c r="A94" s="38">
        <v>46078</v>
      </c>
      <c r="B94" t="s">
        <v>277</v>
      </c>
      <c r="C94" s="11">
        <v>50000</v>
      </c>
      <c r="D94" s="11"/>
      <c r="E94" t="s">
        <v>320</v>
      </c>
      <c r="F94" s="110" t="s">
        <v>108</v>
      </c>
    </row>
    <row r="95" spans="1:6" x14ac:dyDescent="0.3">
      <c r="A95" s="38">
        <v>46078</v>
      </c>
      <c r="B95" t="s">
        <v>55</v>
      </c>
      <c r="C95" s="95">
        <v>51500</v>
      </c>
      <c r="D95" s="95"/>
      <c r="E95" t="s">
        <v>321</v>
      </c>
      <c r="F95" s="110" t="s">
        <v>108</v>
      </c>
    </row>
    <row r="96" spans="1:6" x14ac:dyDescent="0.3">
      <c r="A96" s="38">
        <v>46078</v>
      </c>
      <c r="B96" t="s">
        <v>192</v>
      </c>
      <c r="C96" s="11"/>
      <c r="D96" s="11">
        <v>30000</v>
      </c>
      <c r="E96" t="s">
        <v>322</v>
      </c>
      <c r="F96" s="110" t="s">
        <v>108</v>
      </c>
    </row>
    <row r="97" spans="1:13" x14ac:dyDescent="0.3">
      <c r="A97" s="38">
        <v>46078</v>
      </c>
      <c r="B97" t="s">
        <v>54</v>
      </c>
      <c r="C97" s="11">
        <v>1500</v>
      </c>
      <c r="D97" s="11"/>
      <c r="E97" t="s">
        <v>323</v>
      </c>
      <c r="F97" s="110" t="s">
        <v>108</v>
      </c>
    </row>
    <row r="98" spans="1:13" x14ac:dyDescent="0.3">
      <c r="A98" s="38">
        <v>46078</v>
      </c>
      <c r="B98" t="s">
        <v>54</v>
      </c>
      <c r="C98" s="11">
        <v>5000</v>
      </c>
      <c r="D98" s="11"/>
      <c r="E98" t="s">
        <v>290</v>
      </c>
      <c r="F98" s="110" t="s">
        <v>108</v>
      </c>
    </row>
    <row r="99" spans="1:13" x14ac:dyDescent="0.3">
      <c r="A99" s="38">
        <v>46078</v>
      </c>
      <c r="B99" t="s">
        <v>221</v>
      </c>
      <c r="C99" s="11">
        <v>2000</v>
      </c>
      <c r="D99" s="11"/>
      <c r="E99" t="s">
        <v>324</v>
      </c>
      <c r="F99" s="110" t="s">
        <v>108</v>
      </c>
    </row>
    <row r="100" spans="1:13" x14ac:dyDescent="0.3">
      <c r="A100" s="38">
        <v>46078</v>
      </c>
      <c r="B100" t="s">
        <v>115</v>
      </c>
      <c r="C100" s="11">
        <v>150000</v>
      </c>
      <c r="D100" s="11"/>
      <c r="E100" t="s">
        <v>334</v>
      </c>
      <c r="F100" s="110" t="s">
        <v>108</v>
      </c>
    </row>
    <row r="101" spans="1:13" x14ac:dyDescent="0.3">
      <c r="A101" s="38">
        <v>46078</v>
      </c>
      <c r="B101" t="s">
        <v>220</v>
      </c>
      <c r="C101" s="11"/>
      <c r="D101" s="11">
        <v>150000</v>
      </c>
      <c r="E101" t="s">
        <v>115</v>
      </c>
      <c r="F101" s="110" t="s">
        <v>108</v>
      </c>
    </row>
    <row r="102" spans="1:13" x14ac:dyDescent="0.3">
      <c r="A102" s="38">
        <v>46078</v>
      </c>
      <c r="B102" t="s">
        <v>55</v>
      </c>
      <c r="C102" s="11">
        <v>25000</v>
      </c>
      <c r="D102" s="11"/>
      <c r="E102" t="s">
        <v>296</v>
      </c>
      <c r="F102" s="110" t="s">
        <v>108</v>
      </c>
    </row>
    <row r="103" spans="1:13" x14ac:dyDescent="0.3">
      <c r="A103" s="38">
        <v>46078</v>
      </c>
      <c r="B103" t="s">
        <v>220</v>
      </c>
      <c r="C103" s="11"/>
      <c r="D103" s="11">
        <f>25000+19500</f>
        <v>44500</v>
      </c>
      <c r="E103" t="s">
        <v>335</v>
      </c>
      <c r="F103" s="110" t="s">
        <v>108</v>
      </c>
    </row>
    <row r="104" spans="1:13" x14ac:dyDescent="0.3">
      <c r="A104" s="38">
        <v>46078</v>
      </c>
      <c r="B104" t="s">
        <v>55</v>
      </c>
      <c r="C104" s="11">
        <v>19500</v>
      </c>
      <c r="D104" s="11"/>
      <c r="F104" s="110" t="s">
        <v>108</v>
      </c>
    </row>
    <row r="105" spans="1:13" x14ac:dyDescent="0.3">
      <c r="A105" s="38">
        <v>46078</v>
      </c>
      <c r="B105" t="s">
        <v>190</v>
      </c>
      <c r="C105" s="11"/>
      <c r="D105" s="11">
        <v>20340</v>
      </c>
      <c r="E105" t="s">
        <v>336</v>
      </c>
      <c r="F105" s="110" t="s">
        <v>108</v>
      </c>
      <c r="I105">
        <v>15400</v>
      </c>
      <c r="K105">
        <v>4300</v>
      </c>
      <c r="L105">
        <v>4300</v>
      </c>
      <c r="M105">
        <v>4300</v>
      </c>
    </row>
    <row r="106" spans="1:13" x14ac:dyDescent="0.3">
      <c r="A106" s="38">
        <v>46078</v>
      </c>
      <c r="B106" t="s">
        <v>220</v>
      </c>
      <c r="C106" s="11">
        <v>20340</v>
      </c>
      <c r="D106" s="11"/>
      <c r="E106" t="s">
        <v>337</v>
      </c>
      <c r="F106" s="110" t="s">
        <v>108</v>
      </c>
      <c r="I106">
        <v>4300</v>
      </c>
      <c r="K106">
        <v>1200</v>
      </c>
      <c r="L106">
        <v>1200</v>
      </c>
      <c r="M106">
        <v>1200</v>
      </c>
    </row>
    <row r="107" spans="1:13" x14ac:dyDescent="0.3">
      <c r="A107" s="38">
        <v>46078</v>
      </c>
      <c r="B107" t="s">
        <v>228</v>
      </c>
      <c r="C107" s="11"/>
      <c r="D107" s="11">
        <v>75000</v>
      </c>
      <c r="E107" t="s">
        <v>338</v>
      </c>
      <c r="F107" s="110" t="s">
        <v>108</v>
      </c>
      <c r="I107">
        <v>13400</v>
      </c>
      <c r="K107">
        <v>22700</v>
      </c>
      <c r="L107">
        <v>22700</v>
      </c>
      <c r="M107">
        <v>22700</v>
      </c>
    </row>
    <row r="108" spans="1:13" x14ac:dyDescent="0.3">
      <c r="A108" s="38">
        <v>46078</v>
      </c>
      <c r="B108" t="s">
        <v>220</v>
      </c>
      <c r="C108" s="11">
        <v>75000</v>
      </c>
      <c r="D108" s="11"/>
      <c r="E108" t="s">
        <v>264</v>
      </c>
      <c r="F108" s="110" t="s">
        <v>108</v>
      </c>
      <c r="I108">
        <v>14900</v>
      </c>
      <c r="K108">
        <v>15000</v>
      </c>
      <c r="L108">
        <v>15000</v>
      </c>
      <c r="M108">
        <v>15000</v>
      </c>
    </row>
    <row r="109" spans="1:13" x14ac:dyDescent="0.3">
      <c r="A109" s="38">
        <v>46079</v>
      </c>
      <c r="B109" t="s">
        <v>282</v>
      </c>
      <c r="C109" s="11"/>
      <c r="D109" s="11"/>
      <c r="E109" t="s">
        <v>275</v>
      </c>
      <c r="F109" s="110" t="s">
        <v>108</v>
      </c>
      <c r="I109">
        <v>15000</v>
      </c>
      <c r="K109">
        <v>15150</v>
      </c>
      <c r="L109">
        <v>15150</v>
      </c>
      <c r="M109">
        <v>15150</v>
      </c>
    </row>
    <row r="110" spans="1:13" x14ac:dyDescent="0.3">
      <c r="A110" s="38">
        <v>46079</v>
      </c>
      <c r="B110" t="s">
        <v>282</v>
      </c>
      <c r="C110" s="11"/>
      <c r="D110" s="11"/>
      <c r="E110" t="s">
        <v>325</v>
      </c>
      <c r="F110" s="110" t="s">
        <v>108</v>
      </c>
      <c r="I110">
        <v>11650</v>
      </c>
      <c r="K110">
        <v>22400</v>
      </c>
      <c r="L110">
        <v>22400</v>
      </c>
      <c r="M110">
        <v>22400</v>
      </c>
    </row>
    <row r="111" spans="1:13" x14ac:dyDescent="0.3">
      <c r="A111" s="38">
        <v>46079</v>
      </c>
      <c r="B111" t="s">
        <v>249</v>
      </c>
      <c r="C111" s="11">
        <v>10000</v>
      </c>
      <c r="D111" s="11"/>
      <c r="E111" t="s">
        <v>326</v>
      </c>
      <c r="F111" s="110" t="s">
        <v>108</v>
      </c>
      <c r="I111">
        <v>22700</v>
      </c>
      <c r="K111">
        <v>25000</v>
      </c>
      <c r="L111">
        <v>25000</v>
      </c>
      <c r="M111">
        <v>25000</v>
      </c>
    </row>
    <row r="112" spans="1:13" x14ac:dyDescent="0.3">
      <c r="A112" s="38">
        <v>46079</v>
      </c>
      <c r="B112" t="s">
        <v>282</v>
      </c>
      <c r="C112" s="11"/>
      <c r="D112" s="11"/>
      <c r="E112" t="s">
        <v>327</v>
      </c>
      <c r="F112" s="110" t="s">
        <v>108</v>
      </c>
      <c r="I112">
        <v>17000</v>
      </c>
      <c r="K112">
        <v>20880</v>
      </c>
      <c r="L112">
        <v>20880</v>
      </c>
      <c r="M112">
        <v>20880</v>
      </c>
    </row>
    <row r="113" spans="1:13" x14ac:dyDescent="0.3">
      <c r="A113" s="38">
        <v>46079</v>
      </c>
      <c r="B113" t="s">
        <v>9</v>
      </c>
      <c r="C113" s="11"/>
      <c r="D113" s="11">
        <v>200000</v>
      </c>
      <c r="E113" t="s">
        <v>328</v>
      </c>
      <c r="F113" s="110" t="s">
        <v>108</v>
      </c>
      <c r="I113">
        <v>15000</v>
      </c>
      <c r="K113">
        <v>20000</v>
      </c>
      <c r="L113">
        <v>20000</v>
      </c>
      <c r="M113">
        <v>20000</v>
      </c>
    </row>
    <row r="114" spans="1:13" x14ac:dyDescent="0.3">
      <c r="A114" s="38">
        <v>46079</v>
      </c>
      <c r="B114" t="s">
        <v>115</v>
      </c>
      <c r="C114" s="11">
        <v>150000</v>
      </c>
      <c r="D114" s="11"/>
      <c r="E114" t="s">
        <v>365</v>
      </c>
      <c r="F114" s="110" t="s">
        <v>108</v>
      </c>
      <c r="I114">
        <v>1200</v>
      </c>
      <c r="K114">
        <v>150000</v>
      </c>
      <c r="L114">
        <v>150000</v>
      </c>
      <c r="M114">
        <v>150000</v>
      </c>
    </row>
    <row r="115" spans="1:13" x14ac:dyDescent="0.3">
      <c r="A115" s="38">
        <v>46079</v>
      </c>
      <c r="B115" t="s">
        <v>282</v>
      </c>
      <c r="C115" s="11"/>
      <c r="D115" s="11"/>
      <c r="E115" t="s">
        <v>329</v>
      </c>
      <c r="F115" s="110" t="s">
        <v>108</v>
      </c>
      <c r="I115">
        <v>25600</v>
      </c>
      <c r="K115">
        <v>45200</v>
      </c>
      <c r="L115">
        <v>45200</v>
      </c>
      <c r="M115">
        <v>45200</v>
      </c>
    </row>
    <row r="116" spans="1:13" x14ac:dyDescent="0.3">
      <c r="A116" s="38">
        <v>46079</v>
      </c>
      <c r="B116" t="s">
        <v>277</v>
      </c>
      <c r="C116" s="11">
        <v>50000</v>
      </c>
      <c r="D116" s="11"/>
      <c r="E116" t="s">
        <v>330</v>
      </c>
      <c r="F116" s="110" t="s">
        <v>108</v>
      </c>
      <c r="I116">
        <v>15300</v>
      </c>
      <c r="K116">
        <v>44800</v>
      </c>
      <c r="L116">
        <v>44800</v>
      </c>
      <c r="M116">
        <v>44800</v>
      </c>
    </row>
    <row r="117" spans="1:13" x14ac:dyDescent="0.3">
      <c r="A117" s="38">
        <v>46079</v>
      </c>
      <c r="B117" t="s">
        <v>222</v>
      </c>
      <c r="C117" s="11">
        <v>100295</v>
      </c>
      <c r="D117" s="11"/>
      <c r="E117" t="s">
        <v>331</v>
      </c>
      <c r="F117" s="110" t="s">
        <v>108</v>
      </c>
      <c r="I117">
        <v>16650</v>
      </c>
      <c r="K117">
        <v>5200</v>
      </c>
      <c r="L117">
        <v>5200</v>
      </c>
      <c r="M117">
        <v>5200</v>
      </c>
    </row>
    <row r="118" spans="1:13" x14ac:dyDescent="0.3">
      <c r="A118" s="38">
        <v>46079</v>
      </c>
      <c r="B118" t="s">
        <v>55</v>
      </c>
      <c r="C118" s="11">
        <v>15000</v>
      </c>
      <c r="D118" s="11"/>
      <c r="E118" t="s">
        <v>332</v>
      </c>
      <c r="F118" s="110" t="s">
        <v>108</v>
      </c>
      <c r="I118">
        <v>20000</v>
      </c>
      <c r="K118">
        <v>39400</v>
      </c>
      <c r="L118">
        <v>39400</v>
      </c>
      <c r="M118">
        <v>39400</v>
      </c>
    </row>
    <row r="119" spans="1:13" x14ac:dyDescent="0.3">
      <c r="A119" s="114">
        <v>46079</v>
      </c>
      <c r="B119" t="s">
        <v>228</v>
      </c>
      <c r="C119" s="11"/>
      <c r="D119" s="11">
        <v>115000</v>
      </c>
      <c r="F119" s="110" t="s">
        <v>108</v>
      </c>
      <c r="I119">
        <v>5200</v>
      </c>
      <c r="K119">
        <v>21600</v>
      </c>
      <c r="L119">
        <v>21600</v>
      </c>
      <c r="M119">
        <v>21600</v>
      </c>
    </row>
    <row r="120" spans="1:13" x14ac:dyDescent="0.3">
      <c r="A120" s="114">
        <v>46079</v>
      </c>
      <c r="B120" t="s">
        <v>212</v>
      </c>
      <c r="C120" s="95">
        <v>860</v>
      </c>
      <c r="D120" s="95"/>
      <c r="F120" s="110" t="s">
        <v>108</v>
      </c>
      <c r="I120">
        <v>46400</v>
      </c>
      <c r="K120">
        <v>46400</v>
      </c>
      <c r="L120">
        <v>46400</v>
      </c>
      <c r="M120">
        <v>46400</v>
      </c>
    </row>
    <row r="121" spans="1:13" x14ac:dyDescent="0.3">
      <c r="A121" s="114">
        <v>46079</v>
      </c>
      <c r="B121" t="s">
        <v>212</v>
      </c>
      <c r="C121" s="11">
        <v>300</v>
      </c>
      <c r="D121" s="11"/>
      <c r="E121" t="s">
        <v>339</v>
      </c>
      <c r="F121" s="110" t="s">
        <v>108</v>
      </c>
      <c r="I121">
        <v>16300</v>
      </c>
      <c r="K121">
        <v>8400</v>
      </c>
      <c r="L121">
        <v>8400</v>
      </c>
      <c r="M121">
        <v>8400</v>
      </c>
    </row>
    <row r="122" spans="1:13" x14ac:dyDescent="0.3">
      <c r="A122" s="114">
        <v>46080</v>
      </c>
      <c r="B122" t="s">
        <v>282</v>
      </c>
      <c r="C122" s="11"/>
      <c r="D122" s="11"/>
      <c r="E122" t="s">
        <v>281</v>
      </c>
      <c r="F122" s="110" t="s">
        <v>108</v>
      </c>
      <c r="I122">
        <v>21700</v>
      </c>
      <c r="K122">
        <v>35000</v>
      </c>
      <c r="L122">
        <v>35000</v>
      </c>
      <c r="M122">
        <v>35000</v>
      </c>
    </row>
    <row r="123" spans="1:13" x14ac:dyDescent="0.3">
      <c r="A123" s="114">
        <v>46080</v>
      </c>
      <c r="B123" t="s">
        <v>94</v>
      </c>
      <c r="C123" s="11">
        <v>3000</v>
      </c>
      <c r="D123" s="11"/>
      <c r="E123" t="s">
        <v>341</v>
      </c>
      <c r="F123" s="110" t="s">
        <v>108</v>
      </c>
      <c r="I123">
        <v>6000</v>
      </c>
      <c r="K123">
        <v>80000</v>
      </c>
      <c r="L123">
        <v>80000</v>
      </c>
      <c r="M123">
        <v>80000</v>
      </c>
    </row>
    <row r="124" spans="1:13" x14ac:dyDescent="0.3">
      <c r="A124" s="114">
        <v>46080</v>
      </c>
      <c r="B124" t="s">
        <v>169</v>
      </c>
      <c r="C124" s="95">
        <v>4000</v>
      </c>
      <c r="D124" s="95"/>
      <c r="E124" t="s">
        <v>341</v>
      </c>
      <c r="F124" s="110" t="s">
        <v>108</v>
      </c>
      <c r="I124">
        <v>45000</v>
      </c>
      <c r="K124">
        <v>9500</v>
      </c>
      <c r="L124">
        <v>9500</v>
      </c>
      <c r="M124">
        <v>9500</v>
      </c>
    </row>
    <row r="125" spans="1:13" x14ac:dyDescent="0.3">
      <c r="A125" s="114">
        <v>46080</v>
      </c>
      <c r="B125" t="s">
        <v>257</v>
      </c>
      <c r="C125" s="11">
        <v>2000</v>
      </c>
      <c r="D125" s="11"/>
      <c r="E125" t="s">
        <v>341</v>
      </c>
      <c r="F125" s="110" t="s">
        <v>108</v>
      </c>
      <c r="I125">
        <v>21600</v>
      </c>
      <c r="K125">
        <v>34000</v>
      </c>
      <c r="L125">
        <v>34000</v>
      </c>
      <c r="M125">
        <v>34000</v>
      </c>
    </row>
    <row r="126" spans="1:13" x14ac:dyDescent="0.3">
      <c r="A126" s="38">
        <v>46080</v>
      </c>
      <c r="B126" t="s">
        <v>273</v>
      </c>
      <c r="C126" s="11">
        <v>1000</v>
      </c>
      <c r="D126" s="11"/>
      <c r="E126" t="s">
        <v>341</v>
      </c>
      <c r="F126" s="110" t="s">
        <v>108</v>
      </c>
      <c r="I126">
        <v>39400</v>
      </c>
      <c r="K126">
        <v>21700</v>
      </c>
      <c r="L126">
        <v>21700</v>
      </c>
      <c r="M126">
        <v>21700</v>
      </c>
    </row>
    <row r="127" spans="1:13" x14ac:dyDescent="0.3">
      <c r="A127" s="114">
        <v>46080</v>
      </c>
      <c r="B127" t="s">
        <v>222</v>
      </c>
      <c r="C127" s="11">
        <v>4000</v>
      </c>
      <c r="D127" s="11"/>
      <c r="E127" t="s">
        <v>341</v>
      </c>
      <c r="F127" s="110" t="s">
        <v>108</v>
      </c>
      <c r="I127">
        <v>8400</v>
      </c>
      <c r="K127">
        <v>17000</v>
      </c>
      <c r="L127">
        <v>17000</v>
      </c>
      <c r="M127">
        <v>17000</v>
      </c>
    </row>
    <row r="128" spans="1:13" x14ac:dyDescent="0.3">
      <c r="A128" s="114">
        <v>46080</v>
      </c>
      <c r="B128" t="s">
        <v>225</v>
      </c>
      <c r="C128" s="11"/>
      <c r="D128" s="11">
        <v>105000</v>
      </c>
      <c r="E128" t="s">
        <v>342</v>
      </c>
      <c r="F128" s="110" t="s">
        <v>108</v>
      </c>
      <c r="I128">
        <v>45200</v>
      </c>
      <c r="K128">
        <v>25600</v>
      </c>
      <c r="L128">
        <v>25600</v>
      </c>
      <c r="M128">
        <v>25600</v>
      </c>
    </row>
    <row r="129" spans="1:13" x14ac:dyDescent="0.3">
      <c r="A129" s="114">
        <v>46080</v>
      </c>
      <c r="B129" t="s">
        <v>55</v>
      </c>
      <c r="C129" s="11">
        <v>8315</v>
      </c>
      <c r="D129" s="11"/>
      <c r="E129" t="s">
        <v>343</v>
      </c>
      <c r="F129" s="110" t="s">
        <v>108</v>
      </c>
      <c r="I129">
        <v>34000</v>
      </c>
      <c r="K129">
        <v>14900</v>
      </c>
      <c r="L129">
        <v>14900</v>
      </c>
      <c r="M129">
        <v>14900</v>
      </c>
    </row>
    <row r="130" spans="1:13" x14ac:dyDescent="0.3">
      <c r="A130" s="114">
        <v>46080</v>
      </c>
      <c r="B130" t="s">
        <v>165</v>
      </c>
      <c r="C130" s="11">
        <v>60000</v>
      </c>
      <c r="D130" s="11"/>
      <c r="E130" t="s">
        <v>344</v>
      </c>
      <c r="F130" s="110" t="s">
        <v>108</v>
      </c>
      <c r="I130">
        <v>22400</v>
      </c>
      <c r="K130">
        <v>11650</v>
      </c>
      <c r="L130">
        <v>11650</v>
      </c>
      <c r="M130">
        <v>11650</v>
      </c>
    </row>
    <row r="131" spans="1:13" x14ac:dyDescent="0.3">
      <c r="A131" s="114">
        <v>46080</v>
      </c>
      <c r="B131" t="s">
        <v>55</v>
      </c>
      <c r="C131" s="11">
        <v>3000</v>
      </c>
      <c r="D131" s="11"/>
      <c r="E131" t="s">
        <v>345</v>
      </c>
      <c r="F131" s="110" t="s">
        <v>108</v>
      </c>
      <c r="I131">
        <v>5700</v>
      </c>
      <c r="K131">
        <v>15300</v>
      </c>
      <c r="L131">
        <v>15400</v>
      </c>
      <c r="M131">
        <v>15400</v>
      </c>
    </row>
    <row r="132" spans="1:13" x14ac:dyDescent="0.3">
      <c r="A132" s="38">
        <v>46080</v>
      </c>
      <c r="B132" t="s">
        <v>55</v>
      </c>
      <c r="C132" s="11">
        <v>2800</v>
      </c>
      <c r="D132" s="11"/>
      <c r="E132" t="s">
        <v>346</v>
      </c>
      <c r="F132" s="110" t="s">
        <v>108</v>
      </c>
      <c r="I132">
        <v>80000</v>
      </c>
      <c r="K132">
        <v>15000</v>
      </c>
      <c r="L132">
        <v>16300</v>
      </c>
      <c r="M132">
        <v>16300</v>
      </c>
    </row>
    <row r="133" spans="1:13" x14ac:dyDescent="0.3">
      <c r="A133" s="114">
        <v>46080</v>
      </c>
      <c r="B133" t="s">
        <v>55</v>
      </c>
      <c r="C133" s="11">
        <v>400</v>
      </c>
      <c r="D133" s="11"/>
      <c r="E133" t="s">
        <v>347</v>
      </c>
      <c r="F133" s="110" t="s">
        <v>108</v>
      </c>
      <c r="I133">
        <v>2500</v>
      </c>
      <c r="K133">
        <v>6000</v>
      </c>
      <c r="L133">
        <v>15300</v>
      </c>
      <c r="M133">
        <v>15300</v>
      </c>
    </row>
    <row r="134" spans="1:13" x14ac:dyDescent="0.3">
      <c r="A134" s="114">
        <v>46080</v>
      </c>
      <c r="B134" t="s">
        <v>246</v>
      </c>
      <c r="C134" s="95">
        <v>190</v>
      </c>
      <c r="D134" s="95"/>
      <c r="E134" t="s">
        <v>348</v>
      </c>
      <c r="F134" s="110" t="s">
        <v>108</v>
      </c>
      <c r="I134">
        <v>9500</v>
      </c>
      <c r="K134">
        <v>16550</v>
      </c>
      <c r="L134">
        <v>15000</v>
      </c>
      <c r="M134">
        <v>15000</v>
      </c>
    </row>
    <row r="135" spans="1:13" x14ac:dyDescent="0.3">
      <c r="A135" s="114">
        <v>46080</v>
      </c>
      <c r="B135" t="s">
        <v>221</v>
      </c>
      <c r="C135" s="11">
        <v>4100</v>
      </c>
      <c r="D135" s="11"/>
      <c r="E135" t="s">
        <v>349</v>
      </c>
      <c r="F135" s="110" t="s">
        <v>108</v>
      </c>
      <c r="I135">
        <v>20880</v>
      </c>
      <c r="K135">
        <v>13400</v>
      </c>
      <c r="L135">
        <v>6000</v>
      </c>
      <c r="M135">
        <v>6000</v>
      </c>
    </row>
    <row r="136" spans="1:13" x14ac:dyDescent="0.3">
      <c r="A136" s="114">
        <v>46080</v>
      </c>
      <c r="B136" t="s">
        <v>221</v>
      </c>
      <c r="C136" s="95">
        <v>500</v>
      </c>
      <c r="D136" s="95"/>
      <c r="E136" t="s">
        <v>350</v>
      </c>
      <c r="F136" s="110" t="s">
        <v>108</v>
      </c>
      <c r="I136">
        <v>150000</v>
      </c>
      <c r="K136">
        <v>11650</v>
      </c>
      <c r="L136">
        <v>16550</v>
      </c>
      <c r="M136">
        <v>16550</v>
      </c>
    </row>
    <row r="137" spans="1:13" x14ac:dyDescent="0.3">
      <c r="A137" s="114">
        <v>46080</v>
      </c>
      <c r="B137" t="s">
        <v>212</v>
      </c>
      <c r="C137" s="95">
        <f>500+810</f>
        <v>1310</v>
      </c>
      <c r="D137" s="95"/>
      <c r="F137" s="110" t="s">
        <v>108</v>
      </c>
      <c r="K137">
        <v>2500</v>
      </c>
      <c r="L137">
        <v>13400</v>
      </c>
      <c r="M137">
        <v>13400</v>
      </c>
    </row>
    <row r="138" spans="1:13" x14ac:dyDescent="0.3">
      <c r="A138" s="114">
        <v>46081</v>
      </c>
      <c r="B138" t="s">
        <v>220</v>
      </c>
      <c r="C138" s="95"/>
      <c r="D138" s="95">
        <v>379000</v>
      </c>
      <c r="F138" s="110" t="s">
        <v>108</v>
      </c>
      <c r="K138">
        <v>5700</v>
      </c>
      <c r="L138">
        <v>11650</v>
      </c>
      <c r="M138">
        <v>11650</v>
      </c>
    </row>
    <row r="139" spans="1:13" x14ac:dyDescent="0.3">
      <c r="A139" s="114">
        <v>46081</v>
      </c>
      <c r="B139" t="s">
        <v>220</v>
      </c>
      <c r="C139" s="11"/>
      <c r="D139" s="11">
        <v>221000</v>
      </c>
      <c r="F139" s="110" t="s">
        <v>108</v>
      </c>
      <c r="L139">
        <v>2500</v>
      </c>
      <c r="M139">
        <v>2500</v>
      </c>
    </row>
    <row r="140" spans="1:13" x14ac:dyDescent="0.3">
      <c r="A140" s="114">
        <v>46081</v>
      </c>
      <c r="B140" t="s">
        <v>220</v>
      </c>
      <c r="C140" s="11"/>
      <c r="D140" s="11">
        <v>320000</v>
      </c>
      <c r="F140" s="110" t="s">
        <v>108</v>
      </c>
      <c r="L140">
        <v>5700</v>
      </c>
      <c r="M140">
        <v>5700</v>
      </c>
    </row>
    <row r="141" spans="1:13" x14ac:dyDescent="0.3">
      <c r="A141" s="114">
        <v>46081</v>
      </c>
      <c r="B141" t="s">
        <v>245</v>
      </c>
      <c r="C141" s="11"/>
      <c r="D141" s="11">
        <v>192000</v>
      </c>
      <c r="F141" s="110" t="s">
        <v>108</v>
      </c>
      <c r="L141">
        <v>5000</v>
      </c>
      <c r="M141">
        <v>5000</v>
      </c>
    </row>
    <row r="142" spans="1:13" x14ac:dyDescent="0.3">
      <c r="A142" s="114">
        <v>46081</v>
      </c>
      <c r="B142" t="s">
        <v>220</v>
      </c>
      <c r="C142" s="11">
        <v>192000</v>
      </c>
      <c r="D142" s="11"/>
      <c r="E142" t="s">
        <v>245</v>
      </c>
      <c r="F142" s="110" t="s">
        <v>108</v>
      </c>
    </row>
    <row r="143" spans="1:13" x14ac:dyDescent="0.3">
      <c r="A143" s="38">
        <v>46081</v>
      </c>
      <c r="B143" t="s">
        <v>55</v>
      </c>
      <c r="C143" s="11">
        <v>18000</v>
      </c>
      <c r="D143" s="11"/>
      <c r="E143" t="s">
        <v>364</v>
      </c>
      <c r="F143" s="110" t="s">
        <v>108</v>
      </c>
    </row>
    <row r="144" spans="1:13" x14ac:dyDescent="0.3">
      <c r="A144" s="38">
        <v>46081</v>
      </c>
      <c r="B144" t="s">
        <v>220</v>
      </c>
      <c r="C144" s="11"/>
      <c r="D144" s="11">
        <v>18000</v>
      </c>
      <c r="E144" t="s">
        <v>364</v>
      </c>
      <c r="F144" s="110" t="s">
        <v>108</v>
      </c>
    </row>
    <row r="145" spans="1:6" x14ac:dyDescent="0.3">
      <c r="A145" s="38">
        <v>46081</v>
      </c>
      <c r="B145" t="s">
        <v>249</v>
      </c>
      <c r="C145" s="11">
        <v>3600</v>
      </c>
      <c r="D145" s="11"/>
      <c r="E145" t="s">
        <v>247</v>
      </c>
      <c r="F145" s="110" t="s">
        <v>108</v>
      </c>
    </row>
    <row r="146" spans="1:6" x14ac:dyDescent="0.3">
      <c r="A146" s="38">
        <v>46081</v>
      </c>
      <c r="B146" t="s">
        <v>282</v>
      </c>
      <c r="C146" s="11"/>
      <c r="D146" s="11"/>
      <c r="E146" t="s">
        <v>352</v>
      </c>
      <c r="F146" s="110" t="s">
        <v>108</v>
      </c>
    </row>
    <row r="147" spans="1:6" x14ac:dyDescent="0.3">
      <c r="A147" s="38">
        <v>46081</v>
      </c>
      <c r="B147" t="s">
        <v>282</v>
      </c>
      <c r="C147" s="11"/>
      <c r="D147" s="11"/>
      <c r="E147" t="s">
        <v>281</v>
      </c>
      <c r="F147" s="110" t="s">
        <v>108</v>
      </c>
    </row>
    <row r="148" spans="1:6" x14ac:dyDescent="0.3">
      <c r="A148" s="38">
        <v>46081</v>
      </c>
      <c r="B148" t="s">
        <v>220</v>
      </c>
      <c r="C148" s="11"/>
      <c r="D148" s="11"/>
      <c r="E148" t="s">
        <v>353</v>
      </c>
      <c r="F148" s="110" t="s">
        <v>108</v>
      </c>
    </row>
    <row r="149" spans="1:6" x14ac:dyDescent="0.3">
      <c r="A149" s="38">
        <v>46081</v>
      </c>
      <c r="B149" t="s">
        <v>220</v>
      </c>
      <c r="C149" s="11"/>
      <c r="D149" s="11">
        <v>150000</v>
      </c>
      <c r="E149" t="s">
        <v>354</v>
      </c>
      <c r="F149" s="110" t="s">
        <v>108</v>
      </c>
    </row>
    <row r="150" spans="1:6" x14ac:dyDescent="0.3">
      <c r="A150" s="114">
        <v>46081</v>
      </c>
      <c r="B150" t="s">
        <v>228</v>
      </c>
      <c r="C150" s="95"/>
      <c r="D150" s="95">
        <v>100000</v>
      </c>
      <c r="F150" s="110" t="s">
        <v>108</v>
      </c>
    </row>
    <row r="151" spans="1:6" x14ac:dyDescent="0.3">
      <c r="A151" s="114">
        <v>46081</v>
      </c>
      <c r="B151" t="s">
        <v>220</v>
      </c>
      <c r="C151" s="11">
        <v>100000</v>
      </c>
      <c r="D151" s="11"/>
      <c r="E151" t="s">
        <v>264</v>
      </c>
      <c r="F151" s="110" t="s">
        <v>108</v>
      </c>
    </row>
    <row r="152" spans="1:6" x14ac:dyDescent="0.3">
      <c r="A152" s="38">
        <v>46081</v>
      </c>
      <c r="B152" t="s">
        <v>169</v>
      </c>
      <c r="C152" s="11">
        <v>200400</v>
      </c>
      <c r="D152" s="11"/>
      <c r="E152" t="s">
        <v>355</v>
      </c>
      <c r="F152" s="110" t="s">
        <v>108</v>
      </c>
    </row>
    <row r="153" spans="1:6" x14ac:dyDescent="0.3">
      <c r="A153" s="38">
        <v>46081</v>
      </c>
      <c r="B153" t="s">
        <v>54</v>
      </c>
      <c r="C153" s="11">
        <v>1500</v>
      </c>
      <c r="D153" s="11"/>
      <c r="E153" t="s">
        <v>323</v>
      </c>
      <c r="F153" s="110" t="s">
        <v>108</v>
      </c>
    </row>
    <row r="154" spans="1:6" x14ac:dyDescent="0.3">
      <c r="A154" s="38">
        <v>46081</v>
      </c>
      <c r="B154" t="s">
        <v>54</v>
      </c>
      <c r="C154" s="11">
        <v>5000</v>
      </c>
      <c r="D154" s="11"/>
      <c r="E154" t="s">
        <v>290</v>
      </c>
      <c r="F154" s="110" t="s">
        <v>108</v>
      </c>
    </row>
    <row r="155" spans="1:6" x14ac:dyDescent="0.3">
      <c r="A155" s="38">
        <v>46081</v>
      </c>
      <c r="B155" t="s">
        <v>212</v>
      </c>
      <c r="C155" s="11">
        <f>850+760</f>
        <v>1610</v>
      </c>
      <c r="D155" s="11"/>
      <c r="F155" s="110" t="s">
        <v>108</v>
      </c>
    </row>
    <row r="156" spans="1:6" x14ac:dyDescent="0.3">
      <c r="A156" s="38">
        <v>46082</v>
      </c>
      <c r="B156" t="s">
        <v>212</v>
      </c>
      <c r="C156" s="11"/>
      <c r="D156" s="11">
        <f>[1]Profit!$F$21</f>
        <v>187051.73646671569</v>
      </c>
      <c r="E156" t="s">
        <v>478</v>
      </c>
      <c r="F156" s="110" t="s">
        <v>108</v>
      </c>
    </row>
    <row r="157" spans="1:6" x14ac:dyDescent="0.3">
      <c r="A157" s="38">
        <v>46082</v>
      </c>
      <c r="B157" t="s">
        <v>477</v>
      </c>
      <c r="C157" s="11">
        <v>187052</v>
      </c>
      <c r="D157" s="11"/>
      <c r="F157" s="110" t="s">
        <v>108</v>
      </c>
    </row>
    <row r="158" spans="1:6" x14ac:dyDescent="0.3">
      <c r="A158" s="38">
        <v>46082</v>
      </c>
      <c r="B158" t="s">
        <v>246</v>
      </c>
      <c r="C158" s="11">
        <v>2500</v>
      </c>
      <c r="D158" s="11"/>
      <c r="E158" t="s">
        <v>356</v>
      </c>
      <c r="F158" s="110" t="s">
        <v>108</v>
      </c>
    </row>
    <row r="159" spans="1:6" x14ac:dyDescent="0.3">
      <c r="A159" s="38">
        <v>46082</v>
      </c>
      <c r="B159" t="s">
        <v>221</v>
      </c>
      <c r="C159" s="95">
        <v>1000</v>
      </c>
      <c r="D159" s="95"/>
      <c r="E159" t="s">
        <v>350</v>
      </c>
      <c r="F159" s="110" t="s">
        <v>108</v>
      </c>
    </row>
    <row r="160" spans="1:6" x14ac:dyDescent="0.3">
      <c r="A160" s="38">
        <v>46082</v>
      </c>
      <c r="B160" t="s">
        <v>282</v>
      </c>
      <c r="C160" s="11"/>
      <c r="D160" s="11"/>
      <c r="E160" t="s">
        <v>363</v>
      </c>
      <c r="F160" s="110" t="s">
        <v>108</v>
      </c>
    </row>
    <row r="161" spans="1:15" x14ac:dyDescent="0.3">
      <c r="A161" s="38">
        <v>46082</v>
      </c>
      <c r="B161" t="s">
        <v>220</v>
      </c>
      <c r="C161" s="11"/>
      <c r="D161" s="11">
        <f>9700+11200</f>
        <v>20900</v>
      </c>
      <c r="E161" t="s">
        <v>366</v>
      </c>
      <c r="F161" s="110" t="s">
        <v>108</v>
      </c>
    </row>
    <row r="162" spans="1:15" x14ac:dyDescent="0.3">
      <c r="A162" s="38">
        <v>46083</v>
      </c>
      <c r="B162" t="s">
        <v>212</v>
      </c>
      <c r="C162" s="11">
        <v>2500</v>
      </c>
      <c r="D162" s="11"/>
      <c r="F162" s="110" t="s">
        <v>108</v>
      </c>
    </row>
    <row r="163" spans="1:15" x14ac:dyDescent="0.3">
      <c r="A163" s="114">
        <v>46083</v>
      </c>
      <c r="B163" t="s">
        <v>282</v>
      </c>
      <c r="C163" s="11"/>
      <c r="D163" s="11"/>
      <c r="E163" t="s">
        <v>358</v>
      </c>
      <c r="F163" s="110" t="s">
        <v>108</v>
      </c>
      <c r="J163" s="3" t="s">
        <v>6</v>
      </c>
      <c r="K163" t="s">
        <v>118</v>
      </c>
      <c r="L163" t="s">
        <v>119</v>
      </c>
      <c r="N163">
        <v>32600</v>
      </c>
      <c r="O163">
        <v>32600</v>
      </c>
    </row>
    <row r="164" spans="1:15" x14ac:dyDescent="0.3">
      <c r="A164" s="114">
        <v>46083</v>
      </c>
      <c r="B164" t="s">
        <v>220</v>
      </c>
      <c r="C164" s="11"/>
      <c r="D164" s="11">
        <v>200000</v>
      </c>
      <c r="E164" t="s">
        <v>359</v>
      </c>
      <c r="F164" s="110" t="s">
        <v>108</v>
      </c>
      <c r="J164" s="4" t="s">
        <v>357</v>
      </c>
      <c r="K164" s="14"/>
      <c r="L164" s="14">
        <v>483000</v>
      </c>
      <c r="N164">
        <v>45600</v>
      </c>
      <c r="O164">
        <v>9200</v>
      </c>
    </row>
    <row r="165" spans="1:15" x14ac:dyDescent="0.3">
      <c r="A165" s="38">
        <v>46083</v>
      </c>
      <c r="B165" t="s">
        <v>282</v>
      </c>
      <c r="C165" s="11"/>
      <c r="D165" s="11"/>
      <c r="E165" t="s">
        <v>360</v>
      </c>
      <c r="F165" s="110" t="s">
        <v>108</v>
      </c>
      <c r="J165" s="4" t="s">
        <v>9</v>
      </c>
      <c r="K165" s="14">
        <v>1283000</v>
      </c>
      <c r="L165" s="14"/>
      <c r="N165">
        <v>49400</v>
      </c>
      <c r="O165">
        <v>45600</v>
      </c>
    </row>
    <row r="166" spans="1:15" x14ac:dyDescent="0.3">
      <c r="A166" s="38">
        <v>46083</v>
      </c>
      <c r="B166" t="s">
        <v>282</v>
      </c>
      <c r="C166" s="11"/>
      <c r="D166" s="11"/>
      <c r="E166" t="s">
        <v>361</v>
      </c>
      <c r="F166" s="110" t="s">
        <v>108</v>
      </c>
      <c r="J166" s="4" t="s">
        <v>117</v>
      </c>
      <c r="K166" s="14"/>
      <c r="L166" s="14">
        <v>450800</v>
      </c>
      <c r="N166">
        <v>37200</v>
      </c>
      <c r="O166">
        <v>30000</v>
      </c>
    </row>
    <row r="167" spans="1:15" x14ac:dyDescent="0.3">
      <c r="A167" s="38">
        <v>46083</v>
      </c>
      <c r="B167" t="s">
        <v>249</v>
      </c>
      <c r="C167" s="11">
        <v>7200</v>
      </c>
      <c r="D167" s="11"/>
      <c r="E167" t="s">
        <v>247</v>
      </c>
      <c r="F167" s="110" t="s">
        <v>108</v>
      </c>
      <c r="J167" s="4" t="s">
        <v>94</v>
      </c>
      <c r="K167" s="14"/>
      <c r="L167" s="14">
        <v>1574577</v>
      </c>
      <c r="N167">
        <v>9200</v>
      </c>
      <c r="O167">
        <v>37200</v>
      </c>
    </row>
    <row r="168" spans="1:15" x14ac:dyDescent="0.3">
      <c r="A168" s="38">
        <v>46083</v>
      </c>
      <c r="B168" t="s">
        <v>169</v>
      </c>
      <c r="C168" s="11">
        <v>1000</v>
      </c>
      <c r="D168" s="11"/>
      <c r="E168" t="s">
        <v>341</v>
      </c>
      <c r="F168" s="110" t="s">
        <v>108</v>
      </c>
      <c r="J168" s="4" t="s">
        <v>246</v>
      </c>
      <c r="K168" s="14"/>
      <c r="L168" s="14">
        <v>102080</v>
      </c>
      <c r="N168">
        <v>50000</v>
      </c>
      <c r="O168">
        <v>49400</v>
      </c>
    </row>
    <row r="169" spans="1:15" x14ac:dyDescent="0.3">
      <c r="A169" s="38">
        <v>46083</v>
      </c>
      <c r="B169" t="s">
        <v>282</v>
      </c>
      <c r="C169" s="11"/>
      <c r="D169" s="11"/>
      <c r="F169" s="110" t="s">
        <v>108</v>
      </c>
      <c r="J169" s="4" t="s">
        <v>55</v>
      </c>
      <c r="K169" s="14"/>
      <c r="L169" s="14">
        <v>1279522</v>
      </c>
      <c r="N169">
        <v>60400</v>
      </c>
      <c r="O169">
        <v>60400</v>
      </c>
    </row>
    <row r="170" spans="1:15" x14ac:dyDescent="0.3">
      <c r="A170" s="38">
        <v>46083</v>
      </c>
      <c r="B170" t="s">
        <v>282</v>
      </c>
      <c r="C170" s="11"/>
      <c r="D170" s="11"/>
      <c r="E170" t="s">
        <v>362</v>
      </c>
      <c r="F170" s="110" t="s">
        <v>108</v>
      </c>
      <c r="J170" s="4" t="s">
        <v>113</v>
      </c>
      <c r="K170" s="14"/>
      <c r="L170" s="14">
        <v>263140</v>
      </c>
      <c r="N170">
        <v>30000</v>
      </c>
      <c r="O170">
        <v>50000</v>
      </c>
    </row>
    <row r="171" spans="1:15" x14ac:dyDescent="0.3">
      <c r="A171" s="38">
        <v>46083</v>
      </c>
      <c r="B171" t="s">
        <v>282</v>
      </c>
      <c r="C171" s="11"/>
      <c r="D171" s="11"/>
      <c r="E171" t="s">
        <v>363</v>
      </c>
      <c r="F171" s="110" t="s">
        <v>108</v>
      </c>
      <c r="J171" s="4" t="s">
        <v>282</v>
      </c>
      <c r="K171" s="14"/>
      <c r="L171" s="14">
        <v>4544653</v>
      </c>
      <c r="N171">
        <v>13670</v>
      </c>
      <c r="O171">
        <v>1000</v>
      </c>
    </row>
    <row r="172" spans="1:15" x14ac:dyDescent="0.3">
      <c r="A172" s="38">
        <v>46083</v>
      </c>
      <c r="B172" t="s">
        <v>357</v>
      </c>
      <c r="C172" s="11">
        <v>12000</v>
      </c>
      <c r="D172" s="11"/>
      <c r="E172" t="s">
        <v>360</v>
      </c>
      <c r="F172" s="110" t="s">
        <v>108</v>
      </c>
      <c r="J172" s="4" t="s">
        <v>54</v>
      </c>
      <c r="K172" s="14"/>
      <c r="L172" s="14">
        <v>282273.40000000002</v>
      </c>
      <c r="N172">
        <v>18120</v>
      </c>
      <c r="O172">
        <v>35000</v>
      </c>
    </row>
    <row r="173" spans="1:15" x14ac:dyDescent="0.3">
      <c r="A173" s="38">
        <v>46083</v>
      </c>
      <c r="B173" t="s">
        <v>55</v>
      </c>
      <c r="C173" s="11">
        <v>20900</v>
      </c>
      <c r="D173" s="11"/>
      <c r="E173" t="s">
        <v>366</v>
      </c>
      <c r="F173" s="110" t="s">
        <v>108</v>
      </c>
      <c r="J173" s="4" t="s">
        <v>221</v>
      </c>
      <c r="K173" s="14">
        <v>0</v>
      </c>
      <c r="L173" s="14">
        <v>1081464</v>
      </c>
      <c r="N173">
        <v>7650</v>
      </c>
      <c r="O173">
        <v>29600</v>
      </c>
    </row>
    <row r="174" spans="1:15" x14ac:dyDescent="0.3">
      <c r="A174" s="38">
        <v>46083</v>
      </c>
      <c r="B174" t="s">
        <v>297</v>
      </c>
      <c r="C174" s="11">
        <v>23000</v>
      </c>
      <c r="D174" s="11"/>
      <c r="E174" t="s">
        <v>367</v>
      </c>
      <c r="F174" s="110" t="s">
        <v>108</v>
      </c>
      <c r="J174" s="4" t="s">
        <v>212</v>
      </c>
      <c r="K174" s="14">
        <v>1025490.7364667157</v>
      </c>
      <c r="L174" s="14">
        <v>421262</v>
      </c>
      <c r="N174">
        <v>25000</v>
      </c>
      <c r="O174">
        <v>20000</v>
      </c>
    </row>
    <row r="175" spans="1:15" x14ac:dyDescent="0.3">
      <c r="A175" s="38">
        <v>46083</v>
      </c>
      <c r="B175" t="s">
        <v>220</v>
      </c>
      <c r="C175" s="11"/>
      <c r="D175" s="11">
        <v>23000</v>
      </c>
      <c r="E175" t="s">
        <v>367</v>
      </c>
      <c r="F175" s="110" t="s">
        <v>108</v>
      </c>
      <c r="J175" s="4" t="s">
        <v>225</v>
      </c>
      <c r="K175" s="14">
        <v>1147303</v>
      </c>
      <c r="L175" s="14"/>
      <c r="N175">
        <v>12000</v>
      </c>
      <c r="O175">
        <v>20800</v>
      </c>
    </row>
    <row r="176" spans="1:15" x14ac:dyDescent="0.3">
      <c r="A176" s="38">
        <v>46083</v>
      </c>
      <c r="B176" t="s">
        <v>54</v>
      </c>
      <c r="C176" s="11">
        <v>2000</v>
      </c>
      <c r="D176" s="11"/>
      <c r="E176" t="s">
        <v>368</v>
      </c>
      <c r="F176" s="110" t="s">
        <v>108</v>
      </c>
      <c r="J176" s="4" t="s">
        <v>409</v>
      </c>
      <c r="K176" s="14">
        <v>839000</v>
      </c>
      <c r="L176" s="14"/>
      <c r="N176">
        <v>22650</v>
      </c>
      <c r="O176">
        <v>19200</v>
      </c>
    </row>
    <row r="177" spans="1:15" x14ac:dyDescent="0.3">
      <c r="A177" s="38">
        <v>46083</v>
      </c>
      <c r="B177" t="s">
        <v>225</v>
      </c>
      <c r="C177" s="11"/>
      <c r="D177" s="11">
        <v>100000</v>
      </c>
      <c r="E177" t="s">
        <v>369</v>
      </c>
      <c r="F177" s="110" t="s">
        <v>108</v>
      </c>
      <c r="J177" s="4" t="s">
        <v>245</v>
      </c>
      <c r="K177" s="14">
        <v>1679674</v>
      </c>
      <c r="L177" s="14"/>
      <c r="N177">
        <v>22650</v>
      </c>
    </row>
    <row r="178" spans="1:15" x14ac:dyDescent="0.3">
      <c r="A178" s="38">
        <v>46083</v>
      </c>
      <c r="B178" t="s">
        <v>55</v>
      </c>
      <c r="C178" s="11">
        <v>1600</v>
      </c>
      <c r="D178" s="11"/>
      <c r="E178" t="s">
        <v>370</v>
      </c>
      <c r="F178" s="110" t="s">
        <v>108</v>
      </c>
      <c r="J178" s="4" t="s">
        <v>115</v>
      </c>
      <c r="K178" s="14"/>
      <c r="L178" s="14">
        <v>990000</v>
      </c>
      <c r="N178">
        <v>24400</v>
      </c>
    </row>
    <row r="179" spans="1:15" x14ac:dyDescent="0.3">
      <c r="A179" s="38">
        <v>46083</v>
      </c>
      <c r="B179" t="s">
        <v>282</v>
      </c>
      <c r="C179" s="11"/>
      <c r="D179" s="11"/>
      <c r="E179" t="s">
        <v>371</v>
      </c>
      <c r="F179" s="110" t="s">
        <v>108</v>
      </c>
      <c r="J179" s="4" t="s">
        <v>35</v>
      </c>
      <c r="K179" s="14">
        <v>1101800</v>
      </c>
      <c r="L179" s="14"/>
      <c r="N179">
        <v>15000</v>
      </c>
      <c r="O179">
        <v>20850</v>
      </c>
    </row>
    <row r="180" spans="1:15" x14ac:dyDescent="0.3">
      <c r="A180" s="38">
        <v>46083</v>
      </c>
      <c r="B180" t="s">
        <v>55</v>
      </c>
      <c r="C180" s="11">
        <v>2120</v>
      </c>
      <c r="D180" s="11"/>
      <c r="E180" t="s">
        <v>372</v>
      </c>
      <c r="F180" s="110" t="s">
        <v>108</v>
      </c>
      <c r="J180" s="4" t="s">
        <v>422</v>
      </c>
      <c r="K180" s="14">
        <v>200000</v>
      </c>
      <c r="L180" s="14"/>
      <c r="N180">
        <v>22650</v>
      </c>
      <c r="O180">
        <v>16630</v>
      </c>
    </row>
    <row r="181" spans="1:15" x14ac:dyDescent="0.3">
      <c r="A181" s="38">
        <v>46083</v>
      </c>
      <c r="B181" t="s">
        <v>357</v>
      </c>
      <c r="C181" s="11">
        <v>5000</v>
      </c>
      <c r="D181" s="11"/>
      <c r="E181" t="s">
        <v>373</v>
      </c>
      <c r="F181" s="110" t="s">
        <v>108</v>
      </c>
      <c r="J181" s="4" t="s">
        <v>297</v>
      </c>
      <c r="K181" s="14"/>
      <c r="L181" s="14">
        <v>212125</v>
      </c>
      <c r="N181">
        <v>25000</v>
      </c>
      <c r="O181">
        <v>16630</v>
      </c>
    </row>
    <row r="182" spans="1:15" x14ac:dyDescent="0.3">
      <c r="A182" s="38">
        <v>46083</v>
      </c>
      <c r="B182" t="s">
        <v>357</v>
      </c>
      <c r="C182" s="11">
        <v>10000</v>
      </c>
      <c r="D182" s="11"/>
      <c r="E182" t="s">
        <v>275</v>
      </c>
      <c r="F182" s="110" t="s">
        <v>108</v>
      </c>
      <c r="J182" s="4" t="s">
        <v>169</v>
      </c>
      <c r="K182" s="14"/>
      <c r="L182" s="14">
        <v>2530860</v>
      </c>
      <c r="N182">
        <v>20000</v>
      </c>
      <c r="O182">
        <v>7650</v>
      </c>
    </row>
    <row r="183" spans="1:15" x14ac:dyDescent="0.3">
      <c r="A183" s="38">
        <v>46083</v>
      </c>
      <c r="B183" t="s">
        <v>220</v>
      </c>
      <c r="C183" s="11"/>
      <c r="D183" s="11">
        <v>175000</v>
      </c>
      <c r="E183" t="s">
        <v>374</v>
      </c>
      <c r="F183" s="110" t="s">
        <v>108</v>
      </c>
      <c r="J183" s="4" t="s">
        <v>273</v>
      </c>
      <c r="K183" s="14"/>
      <c r="L183" s="14">
        <v>251000</v>
      </c>
      <c r="N183">
        <v>16650</v>
      </c>
      <c r="O183">
        <v>17000</v>
      </c>
    </row>
    <row r="184" spans="1:15" x14ac:dyDescent="0.3">
      <c r="A184" s="38">
        <v>46083</v>
      </c>
      <c r="B184" t="s">
        <v>222</v>
      </c>
      <c r="C184" s="95">
        <v>125000</v>
      </c>
      <c r="D184" s="95"/>
      <c r="E184" t="s">
        <v>375</v>
      </c>
      <c r="F184" s="110" t="s">
        <v>108</v>
      </c>
      <c r="J184" s="4" t="s">
        <v>220</v>
      </c>
      <c r="K184" s="14">
        <v>14893250</v>
      </c>
      <c r="L184" s="14">
        <v>10295173</v>
      </c>
      <c r="N184">
        <v>29600</v>
      </c>
      <c r="O184">
        <v>16650</v>
      </c>
    </row>
    <row r="185" spans="1:15" x14ac:dyDescent="0.3">
      <c r="A185" s="38">
        <v>46083</v>
      </c>
      <c r="B185" t="s">
        <v>246</v>
      </c>
      <c r="C185" s="11">
        <v>430</v>
      </c>
      <c r="D185" s="11"/>
      <c r="E185" t="s">
        <v>376</v>
      </c>
      <c r="F185" s="110" t="s">
        <v>108</v>
      </c>
      <c r="J185" s="4" t="s">
        <v>165</v>
      </c>
      <c r="K185" s="14"/>
      <c r="L185" s="14">
        <v>185000</v>
      </c>
      <c r="N185">
        <v>16630</v>
      </c>
      <c r="O185">
        <v>24400</v>
      </c>
    </row>
    <row r="186" spans="1:15" x14ac:dyDescent="0.3">
      <c r="A186" s="38">
        <v>46083</v>
      </c>
      <c r="B186" t="s">
        <v>221</v>
      </c>
      <c r="C186" s="95">
        <v>1000</v>
      </c>
      <c r="D186" s="95"/>
      <c r="E186" t="s">
        <v>350</v>
      </c>
      <c r="F186" s="110" t="s">
        <v>108</v>
      </c>
      <c r="J186" s="4" t="s">
        <v>175</v>
      </c>
      <c r="K186" s="14">
        <v>704000</v>
      </c>
      <c r="L186" s="14"/>
      <c r="N186">
        <v>16650</v>
      </c>
      <c r="O186">
        <v>15000</v>
      </c>
    </row>
    <row r="187" spans="1:15" x14ac:dyDescent="0.3">
      <c r="A187" s="38">
        <v>46083</v>
      </c>
      <c r="B187" t="s">
        <v>312</v>
      </c>
      <c r="C187" s="11"/>
      <c r="D187" s="11">
        <v>8701</v>
      </c>
      <c r="E187" t="s">
        <v>378</v>
      </c>
      <c r="F187" s="110" t="s">
        <v>108</v>
      </c>
      <c r="J187" s="4" t="s">
        <v>176</v>
      </c>
      <c r="K187" s="14"/>
      <c r="L187" s="14">
        <v>457705</v>
      </c>
      <c r="N187">
        <v>160000</v>
      </c>
      <c r="O187">
        <v>16650</v>
      </c>
    </row>
    <row r="188" spans="1:15" x14ac:dyDescent="0.3">
      <c r="A188" s="38">
        <v>46083</v>
      </c>
      <c r="B188" t="s">
        <v>54</v>
      </c>
      <c r="C188" s="11">
        <v>8701</v>
      </c>
      <c r="D188" s="11"/>
      <c r="E188" t="s">
        <v>267</v>
      </c>
      <c r="F188" s="110" t="s">
        <v>108</v>
      </c>
      <c r="J188" s="4" t="s">
        <v>51</v>
      </c>
      <c r="K188" s="14"/>
      <c r="L188" s="14">
        <v>5722092</v>
      </c>
      <c r="N188">
        <v>17000</v>
      </c>
      <c r="O188">
        <v>13650</v>
      </c>
    </row>
    <row r="189" spans="1:15" x14ac:dyDescent="0.3">
      <c r="A189" s="38">
        <v>46083</v>
      </c>
      <c r="B189" t="s">
        <v>228</v>
      </c>
      <c r="C189" s="11"/>
      <c r="D189" s="11">
        <v>90000</v>
      </c>
      <c r="E189" t="s">
        <v>379</v>
      </c>
      <c r="F189" s="110" t="s">
        <v>108</v>
      </c>
      <c r="J189" s="4" t="s">
        <v>530</v>
      </c>
      <c r="K189" s="14"/>
      <c r="L189" s="14">
        <v>312000</v>
      </c>
      <c r="N189">
        <v>19200</v>
      </c>
      <c r="O189">
        <v>12000</v>
      </c>
    </row>
    <row r="190" spans="1:15" x14ac:dyDescent="0.3">
      <c r="A190" s="38">
        <v>46083</v>
      </c>
      <c r="B190" t="s">
        <v>220</v>
      </c>
      <c r="C190" s="95">
        <v>90000</v>
      </c>
      <c r="D190" s="95"/>
      <c r="E190" t="s">
        <v>264</v>
      </c>
      <c r="F190" s="110" t="s">
        <v>108</v>
      </c>
      <c r="J190" s="4" t="s">
        <v>294</v>
      </c>
      <c r="K190" s="14"/>
      <c r="L190" s="14">
        <v>26000</v>
      </c>
      <c r="N190">
        <v>20000</v>
      </c>
      <c r="O190">
        <v>14000</v>
      </c>
    </row>
    <row r="191" spans="1:15" x14ac:dyDescent="0.3">
      <c r="A191" s="114">
        <v>46084</v>
      </c>
      <c r="B191" t="s">
        <v>9</v>
      </c>
      <c r="C191" s="11"/>
      <c r="D191" s="11">
        <v>60000</v>
      </c>
      <c r="E191" t="s">
        <v>385</v>
      </c>
      <c r="F191" s="110" t="s">
        <v>108</v>
      </c>
      <c r="J191" s="4" t="s">
        <v>192</v>
      </c>
      <c r="K191" s="14">
        <v>308000</v>
      </c>
      <c r="L191" s="14"/>
      <c r="N191">
        <v>20850</v>
      </c>
      <c r="O191">
        <v>25000</v>
      </c>
    </row>
    <row r="192" spans="1:15" x14ac:dyDescent="0.3">
      <c r="A192" s="38">
        <v>46084</v>
      </c>
      <c r="B192" t="s">
        <v>165</v>
      </c>
      <c r="C192" s="11">
        <v>2500</v>
      </c>
      <c r="D192" s="11"/>
      <c r="E192" t="s">
        <v>386</v>
      </c>
      <c r="F192" s="110" t="s">
        <v>108</v>
      </c>
      <c r="J192" s="4" t="s">
        <v>190</v>
      </c>
      <c r="K192" s="14">
        <v>220340</v>
      </c>
      <c r="L192" s="14"/>
      <c r="N192">
        <v>16650</v>
      </c>
      <c r="O192">
        <v>20000</v>
      </c>
    </row>
    <row r="193" spans="1:15" x14ac:dyDescent="0.3">
      <c r="A193" s="114">
        <v>46084</v>
      </c>
      <c r="B193" t="s">
        <v>257</v>
      </c>
      <c r="C193" s="11">
        <v>100000</v>
      </c>
      <c r="D193" s="11"/>
      <c r="E193" t="s">
        <v>387</v>
      </c>
      <c r="F193" s="110" t="s">
        <v>108</v>
      </c>
      <c r="J193" s="4" t="s">
        <v>298</v>
      </c>
      <c r="K193" s="14"/>
      <c r="L193" s="14">
        <v>1315684</v>
      </c>
      <c r="N193">
        <v>14000</v>
      </c>
      <c r="O193">
        <v>25000</v>
      </c>
    </row>
    <row r="194" spans="1:15" x14ac:dyDescent="0.3">
      <c r="A194" s="114">
        <v>46084</v>
      </c>
      <c r="B194" t="s">
        <v>312</v>
      </c>
      <c r="C194" s="11"/>
      <c r="D194" s="11">
        <v>500000</v>
      </c>
      <c r="E194" t="s">
        <v>388</v>
      </c>
      <c r="F194" s="110" t="s">
        <v>108</v>
      </c>
      <c r="J194" s="4" t="s">
        <v>277</v>
      </c>
      <c r="K194" s="14"/>
      <c r="L194" s="14">
        <v>274336</v>
      </c>
      <c r="N194">
        <v>3900</v>
      </c>
      <c r="O194">
        <v>3900</v>
      </c>
    </row>
    <row r="195" spans="1:15" x14ac:dyDescent="0.3">
      <c r="A195" s="114">
        <v>46084</v>
      </c>
      <c r="B195" t="s">
        <v>55</v>
      </c>
      <c r="C195" s="11">
        <v>10500</v>
      </c>
      <c r="D195" s="11"/>
      <c r="E195" t="s">
        <v>389</v>
      </c>
      <c r="F195" s="110" t="s">
        <v>108</v>
      </c>
      <c r="J195" s="4" t="s">
        <v>202</v>
      </c>
      <c r="K195" s="14">
        <v>135000</v>
      </c>
      <c r="L195" s="14"/>
      <c r="N195">
        <v>35000</v>
      </c>
      <c r="O195">
        <v>18120</v>
      </c>
    </row>
    <row r="196" spans="1:15" x14ac:dyDescent="0.3">
      <c r="A196" s="38">
        <v>46084</v>
      </c>
      <c r="B196" t="s">
        <v>273</v>
      </c>
      <c r="C196" s="11">
        <v>150000</v>
      </c>
      <c r="D196" s="11"/>
      <c r="E196" t="s">
        <v>390</v>
      </c>
      <c r="F196" s="110" t="s">
        <v>108</v>
      </c>
      <c r="J196" s="4" t="s">
        <v>211</v>
      </c>
      <c r="K196" s="14">
        <v>5281726</v>
      </c>
      <c r="L196" s="14"/>
      <c r="O196">
        <v>22650</v>
      </c>
    </row>
    <row r="197" spans="1:15" x14ac:dyDescent="0.3">
      <c r="A197" s="114">
        <v>46084</v>
      </c>
      <c r="B197" t="s">
        <v>222</v>
      </c>
      <c r="C197" s="11">
        <v>100210</v>
      </c>
      <c r="D197" s="11"/>
      <c r="E197" t="s">
        <v>391</v>
      </c>
      <c r="F197" s="110" t="s">
        <v>108</v>
      </c>
      <c r="J197" s="4" t="s">
        <v>222</v>
      </c>
      <c r="K197" s="14"/>
      <c r="L197" s="14">
        <v>2170650</v>
      </c>
      <c r="O197">
        <v>22650</v>
      </c>
    </row>
    <row r="198" spans="1:15" x14ac:dyDescent="0.3">
      <c r="A198" s="114">
        <v>46084</v>
      </c>
      <c r="B198" t="s">
        <v>312</v>
      </c>
      <c r="C198" s="11"/>
      <c r="D198" s="11">
        <v>500000</v>
      </c>
      <c r="E198" t="s">
        <v>392</v>
      </c>
      <c r="F198" s="110" t="s">
        <v>108</v>
      </c>
      <c r="J198" s="4" t="s">
        <v>228</v>
      </c>
      <c r="K198" s="14">
        <v>1816071</v>
      </c>
      <c r="L198" s="14"/>
      <c r="O198">
        <v>160000</v>
      </c>
    </row>
    <row r="199" spans="1:15" x14ac:dyDescent="0.3">
      <c r="A199" s="114">
        <v>46084</v>
      </c>
      <c r="B199" t="s">
        <v>113</v>
      </c>
      <c r="C199" s="11">
        <v>70415</v>
      </c>
      <c r="D199" s="11"/>
      <c r="E199" t="s">
        <v>216</v>
      </c>
      <c r="F199" s="110" t="s">
        <v>108</v>
      </c>
      <c r="J199" s="4" t="s">
        <v>477</v>
      </c>
      <c r="K199" s="14"/>
      <c r="L199" s="14">
        <v>187052</v>
      </c>
    </row>
    <row r="200" spans="1:15" x14ac:dyDescent="0.3">
      <c r="A200" s="114">
        <v>46084</v>
      </c>
      <c r="B200" t="s">
        <v>169</v>
      </c>
      <c r="C200" s="11">
        <v>250000</v>
      </c>
      <c r="D200" s="11"/>
      <c r="E200" t="s">
        <v>393</v>
      </c>
      <c r="F200" s="110" t="s">
        <v>108</v>
      </c>
      <c r="J200" s="4" t="s">
        <v>463</v>
      </c>
      <c r="K200" s="14">
        <v>40000</v>
      </c>
      <c r="L200" s="14"/>
    </row>
    <row r="201" spans="1:15" x14ac:dyDescent="0.3">
      <c r="A201" s="114">
        <v>46084</v>
      </c>
      <c r="B201" t="s">
        <v>298</v>
      </c>
      <c r="C201" s="11">
        <v>150000</v>
      </c>
      <c r="D201" s="11"/>
      <c r="E201" t="s">
        <v>394</v>
      </c>
      <c r="F201" s="110" t="s">
        <v>108</v>
      </c>
      <c r="J201" s="4" t="s">
        <v>249</v>
      </c>
      <c r="K201" s="14"/>
      <c r="L201" s="14">
        <v>219695</v>
      </c>
    </row>
    <row r="202" spans="1:15" x14ac:dyDescent="0.3">
      <c r="A202" s="114">
        <v>46084</v>
      </c>
      <c r="B202" t="s">
        <v>222</v>
      </c>
      <c r="C202" s="11">
        <v>31000</v>
      </c>
      <c r="D202" s="11"/>
      <c r="E202" t="s">
        <v>242</v>
      </c>
      <c r="F202" s="110" t="s">
        <v>108</v>
      </c>
      <c r="J202" s="4" t="s">
        <v>252</v>
      </c>
      <c r="K202" s="14"/>
      <c r="L202" s="14">
        <v>100000</v>
      </c>
    </row>
    <row r="203" spans="1:15" x14ac:dyDescent="0.3">
      <c r="A203" s="114">
        <v>46084</v>
      </c>
      <c r="B203" t="s">
        <v>377</v>
      </c>
      <c r="C203" s="11"/>
      <c r="D203" s="11">
        <v>257000</v>
      </c>
      <c r="E203" t="s">
        <v>395</v>
      </c>
      <c r="F203" s="110" t="s">
        <v>108</v>
      </c>
      <c r="J203" s="4" t="s">
        <v>257</v>
      </c>
      <c r="K203" s="14"/>
      <c r="L203" s="14">
        <v>221490</v>
      </c>
    </row>
    <row r="204" spans="1:15" x14ac:dyDescent="0.3">
      <c r="A204" s="114">
        <v>46084</v>
      </c>
      <c r="B204" t="s">
        <v>212</v>
      </c>
      <c r="C204" s="11">
        <f>650+760</f>
        <v>1410</v>
      </c>
      <c r="D204" s="11"/>
      <c r="F204" s="110" t="s">
        <v>108</v>
      </c>
      <c r="J204" s="4" t="s">
        <v>232</v>
      </c>
      <c r="K204" s="14">
        <v>169278</v>
      </c>
      <c r="L204" s="14"/>
    </row>
    <row r="205" spans="1:15" x14ac:dyDescent="0.3">
      <c r="A205" s="114">
        <v>46084</v>
      </c>
      <c r="B205" t="s">
        <v>222</v>
      </c>
      <c r="C205" s="11">
        <v>18500</v>
      </c>
      <c r="D205" s="11"/>
      <c r="E205" t="s">
        <v>242</v>
      </c>
      <c r="F205" s="110" t="s">
        <v>108</v>
      </c>
      <c r="J205" s="4" t="s">
        <v>312</v>
      </c>
      <c r="K205" s="14">
        <v>5245323.4930504756</v>
      </c>
      <c r="L205" s="14"/>
    </row>
    <row r="206" spans="1:15" x14ac:dyDescent="0.3">
      <c r="A206" s="114">
        <v>46084</v>
      </c>
      <c r="B206" t="s">
        <v>249</v>
      </c>
      <c r="C206" s="11">
        <v>3600</v>
      </c>
      <c r="D206" s="11"/>
      <c r="E206" t="s">
        <v>247</v>
      </c>
      <c r="F206" s="110" t="s">
        <v>108</v>
      </c>
      <c r="J206" s="4" t="s">
        <v>377</v>
      </c>
      <c r="K206" s="14">
        <v>544000</v>
      </c>
      <c r="L206" s="14"/>
    </row>
    <row r="207" spans="1:15" x14ac:dyDescent="0.3">
      <c r="A207" s="114">
        <v>46084</v>
      </c>
      <c r="B207" t="s">
        <v>54</v>
      </c>
      <c r="C207" s="11">
        <v>5000</v>
      </c>
      <c r="D207" s="11"/>
      <c r="E207" t="s">
        <v>290</v>
      </c>
      <c r="F207" s="110" t="s">
        <v>108</v>
      </c>
      <c r="J207" s="4" t="s">
        <v>226</v>
      </c>
      <c r="K207" s="14"/>
      <c r="L207" s="14">
        <v>142500</v>
      </c>
    </row>
    <row r="208" spans="1:15" x14ac:dyDescent="0.3">
      <c r="A208" s="114">
        <v>46085</v>
      </c>
      <c r="B208" t="s">
        <v>228</v>
      </c>
      <c r="C208" s="11"/>
      <c r="D208" s="11">
        <v>100000</v>
      </c>
      <c r="E208" t="s">
        <v>365</v>
      </c>
      <c r="F208" s="110" t="s">
        <v>108</v>
      </c>
      <c r="J208" s="4" t="s">
        <v>229</v>
      </c>
      <c r="K208" s="14"/>
      <c r="L208" s="14">
        <v>800000</v>
      </c>
    </row>
    <row r="209" spans="1:12" x14ac:dyDescent="0.3">
      <c r="A209" s="114">
        <v>46085</v>
      </c>
      <c r="B209" t="s">
        <v>226</v>
      </c>
      <c r="C209" s="11">
        <v>84500</v>
      </c>
      <c r="D209" s="11"/>
      <c r="E209" t="s">
        <v>396</v>
      </c>
      <c r="F209" s="110" t="s">
        <v>108</v>
      </c>
      <c r="J209" s="4" t="s">
        <v>444</v>
      </c>
      <c r="K209" s="14"/>
      <c r="L209" s="14">
        <v>10000</v>
      </c>
    </row>
    <row r="210" spans="1:12" x14ac:dyDescent="0.3">
      <c r="A210" s="114">
        <v>46085</v>
      </c>
      <c r="B210" t="s">
        <v>222</v>
      </c>
      <c r="C210" s="11">
        <v>2000</v>
      </c>
      <c r="D210" s="11"/>
      <c r="E210" t="s">
        <v>341</v>
      </c>
      <c r="F210" s="110" t="s">
        <v>108</v>
      </c>
      <c r="J210" s="4" t="s">
        <v>462</v>
      </c>
      <c r="K210" s="14">
        <v>130000</v>
      </c>
      <c r="L210" s="14"/>
    </row>
    <row r="211" spans="1:12" x14ac:dyDescent="0.3">
      <c r="A211" s="114">
        <v>46085</v>
      </c>
      <c r="B211" t="s">
        <v>169</v>
      </c>
      <c r="C211" s="11">
        <v>1000</v>
      </c>
      <c r="D211" s="11"/>
      <c r="E211" t="s">
        <v>341</v>
      </c>
      <c r="F211" s="110" t="s">
        <v>108</v>
      </c>
      <c r="J211" s="4" t="s">
        <v>500</v>
      </c>
      <c r="K211" s="14">
        <v>463280</v>
      </c>
      <c r="L211" s="14"/>
    </row>
    <row r="212" spans="1:12" x14ac:dyDescent="0.3">
      <c r="A212" s="114">
        <v>46085</v>
      </c>
      <c r="B212" t="s">
        <v>282</v>
      </c>
      <c r="C212" s="11"/>
      <c r="D212" s="11"/>
      <c r="E212" t="s">
        <v>329</v>
      </c>
      <c r="F212" s="110" t="s">
        <v>108</v>
      </c>
      <c r="J212" s="4" t="s">
        <v>546</v>
      </c>
      <c r="K212" s="14"/>
      <c r="L212" s="14">
        <v>150000</v>
      </c>
    </row>
    <row r="213" spans="1:12" x14ac:dyDescent="0.3">
      <c r="A213" s="114">
        <v>46085</v>
      </c>
      <c r="B213" t="s">
        <v>55</v>
      </c>
      <c r="C213" s="11">
        <v>200000</v>
      </c>
      <c r="D213" s="11"/>
      <c r="E213" t="s">
        <v>397</v>
      </c>
      <c r="F213" s="110" t="s">
        <v>108</v>
      </c>
      <c r="J213" s="4" t="s">
        <v>640</v>
      </c>
      <c r="K213" s="14"/>
      <c r="L213" s="14">
        <v>57000</v>
      </c>
    </row>
    <row r="214" spans="1:12" x14ac:dyDescent="0.3">
      <c r="A214" s="114">
        <v>46085</v>
      </c>
      <c r="B214" t="s">
        <v>222</v>
      </c>
      <c r="C214" s="11">
        <v>140000</v>
      </c>
      <c r="D214" s="11"/>
      <c r="E214" t="s">
        <v>398</v>
      </c>
      <c r="F214" s="110" t="s">
        <v>108</v>
      </c>
      <c r="J214" s="4" t="s">
        <v>671</v>
      </c>
      <c r="K214" s="14"/>
      <c r="L214" s="14">
        <v>3000</v>
      </c>
    </row>
    <row r="215" spans="1:12" x14ac:dyDescent="0.3">
      <c r="A215" s="114">
        <v>46085</v>
      </c>
      <c r="B215" t="s">
        <v>55</v>
      </c>
      <c r="C215" s="11">
        <v>3900</v>
      </c>
      <c r="D215" s="11"/>
      <c r="F215" s="110" t="s">
        <v>108</v>
      </c>
      <c r="J215" s="4" t="s">
        <v>692</v>
      </c>
      <c r="K215" s="14"/>
      <c r="L215" s="14">
        <v>27000</v>
      </c>
    </row>
    <row r="216" spans="1:12" x14ac:dyDescent="0.3">
      <c r="A216" s="114">
        <v>46085</v>
      </c>
      <c r="B216" t="s">
        <v>212</v>
      </c>
      <c r="C216" s="11">
        <v>3720</v>
      </c>
      <c r="D216" s="11"/>
      <c r="E216" t="s">
        <v>254</v>
      </c>
      <c r="F216" s="110" t="s">
        <v>108</v>
      </c>
      <c r="J216" s="4" t="s">
        <v>716</v>
      </c>
      <c r="K216" s="14"/>
      <c r="L216" s="14">
        <v>60000</v>
      </c>
    </row>
    <row r="217" spans="1:12" x14ac:dyDescent="0.3">
      <c r="A217" s="114">
        <v>46085</v>
      </c>
      <c r="B217" t="s">
        <v>55</v>
      </c>
      <c r="C217" s="95">
        <v>3500</v>
      </c>
      <c r="D217" s="95"/>
      <c r="E217" t="s">
        <v>400</v>
      </c>
      <c r="F217" s="110" t="s">
        <v>108</v>
      </c>
      <c r="J217" s="4" t="s">
        <v>28</v>
      </c>
      <c r="K217" s="14">
        <v>37226536.229517192</v>
      </c>
      <c r="L217" s="14">
        <v>37203133.399999999</v>
      </c>
    </row>
    <row r="218" spans="1:12" x14ac:dyDescent="0.3">
      <c r="A218" s="114">
        <v>46085</v>
      </c>
      <c r="B218" t="s">
        <v>55</v>
      </c>
      <c r="C218" s="11">
        <v>1860</v>
      </c>
      <c r="D218" s="11"/>
      <c r="E218" t="s">
        <v>399</v>
      </c>
      <c r="F218" s="110" t="s">
        <v>108</v>
      </c>
    </row>
    <row r="219" spans="1:12" x14ac:dyDescent="0.3">
      <c r="A219" s="114">
        <v>46085</v>
      </c>
      <c r="B219" t="s">
        <v>212</v>
      </c>
      <c r="C219" s="11">
        <v>650</v>
      </c>
      <c r="D219" s="11"/>
      <c r="F219" s="110" t="s">
        <v>108</v>
      </c>
    </row>
    <row r="220" spans="1:12" x14ac:dyDescent="0.3">
      <c r="A220" s="114">
        <v>46085</v>
      </c>
      <c r="B220" t="s">
        <v>249</v>
      </c>
      <c r="C220" s="11">
        <v>3600</v>
      </c>
      <c r="D220" s="11"/>
      <c r="E220" t="s">
        <v>247</v>
      </c>
      <c r="F220" s="110" t="s">
        <v>108</v>
      </c>
    </row>
    <row r="221" spans="1:12" x14ac:dyDescent="0.3">
      <c r="A221" s="114">
        <v>46085</v>
      </c>
      <c r="B221" t="s">
        <v>54</v>
      </c>
      <c r="C221" s="11">
        <v>5110</v>
      </c>
      <c r="D221" s="11"/>
      <c r="E221" t="s">
        <v>267</v>
      </c>
      <c r="F221" s="110" t="s">
        <v>108</v>
      </c>
    </row>
    <row r="222" spans="1:12" x14ac:dyDescent="0.3">
      <c r="A222" s="114">
        <v>46085</v>
      </c>
      <c r="B222" t="s">
        <v>312</v>
      </c>
      <c r="C222" s="11"/>
      <c r="D222" s="11">
        <v>5110</v>
      </c>
      <c r="E222" t="s">
        <v>402</v>
      </c>
      <c r="F222" s="110" t="s">
        <v>108</v>
      </c>
    </row>
    <row r="223" spans="1:12" x14ac:dyDescent="0.3">
      <c r="A223" s="114">
        <v>46086</v>
      </c>
      <c r="B223" t="s">
        <v>357</v>
      </c>
      <c r="C223" s="11">
        <v>25000</v>
      </c>
      <c r="D223" s="11"/>
      <c r="E223" t="s">
        <v>403</v>
      </c>
      <c r="F223" s="110" t="s">
        <v>108</v>
      </c>
    </row>
    <row r="224" spans="1:12" x14ac:dyDescent="0.3">
      <c r="A224" s="114">
        <v>46086</v>
      </c>
      <c r="B224" t="s">
        <v>282</v>
      </c>
      <c r="C224" s="11">
        <v>10000</v>
      </c>
      <c r="D224" s="11"/>
      <c r="E224" t="s">
        <v>404</v>
      </c>
      <c r="F224" s="110" t="s">
        <v>108</v>
      </c>
    </row>
    <row r="225" spans="1:6" x14ac:dyDescent="0.3">
      <c r="A225" s="114">
        <v>46086</v>
      </c>
      <c r="B225" t="s">
        <v>225</v>
      </c>
      <c r="C225" s="11"/>
      <c r="D225" s="11">
        <v>100000</v>
      </c>
      <c r="E225" t="s">
        <v>405</v>
      </c>
      <c r="F225" s="110" t="s">
        <v>108</v>
      </c>
    </row>
    <row r="226" spans="1:6" x14ac:dyDescent="0.3">
      <c r="A226" s="114">
        <v>46086</v>
      </c>
      <c r="B226" t="s">
        <v>226</v>
      </c>
      <c r="C226" s="11">
        <v>4000</v>
      </c>
      <c r="D226" s="11"/>
      <c r="E226" t="s">
        <v>407</v>
      </c>
      <c r="F226" s="110" t="s">
        <v>108</v>
      </c>
    </row>
    <row r="227" spans="1:6" x14ac:dyDescent="0.3">
      <c r="A227" s="114">
        <v>46086</v>
      </c>
      <c r="B227" t="s">
        <v>228</v>
      </c>
      <c r="C227" s="11"/>
      <c r="D227" s="11">
        <v>60000</v>
      </c>
      <c r="F227" s="110" t="s">
        <v>108</v>
      </c>
    </row>
    <row r="228" spans="1:6" x14ac:dyDescent="0.3">
      <c r="A228" s="114">
        <v>46086</v>
      </c>
      <c r="B228" t="s">
        <v>220</v>
      </c>
      <c r="C228" s="11"/>
      <c r="D228" s="11">
        <v>400000</v>
      </c>
      <c r="E228" t="s">
        <v>229</v>
      </c>
      <c r="F228" s="110" t="s">
        <v>108</v>
      </c>
    </row>
    <row r="229" spans="1:6" x14ac:dyDescent="0.3">
      <c r="A229" s="114">
        <v>46086</v>
      </c>
      <c r="B229" t="s">
        <v>229</v>
      </c>
      <c r="C229" s="11">
        <v>400000</v>
      </c>
      <c r="D229" s="11"/>
      <c r="F229" s="110" t="s">
        <v>108</v>
      </c>
    </row>
    <row r="230" spans="1:6" x14ac:dyDescent="0.3">
      <c r="A230" s="114">
        <v>46086</v>
      </c>
      <c r="B230" t="s">
        <v>94</v>
      </c>
      <c r="C230" s="11">
        <v>150077</v>
      </c>
      <c r="D230" s="11"/>
      <c r="E230" t="s">
        <v>408</v>
      </c>
      <c r="F230" s="110" t="s">
        <v>108</v>
      </c>
    </row>
    <row r="231" spans="1:6" x14ac:dyDescent="0.3">
      <c r="A231" s="114">
        <v>46087</v>
      </c>
      <c r="B231" t="s">
        <v>409</v>
      </c>
      <c r="C231" s="11"/>
      <c r="D231" s="11">
        <v>200000</v>
      </c>
      <c r="E231" t="s">
        <v>410</v>
      </c>
      <c r="F231" s="110" t="s">
        <v>108</v>
      </c>
    </row>
    <row r="232" spans="1:6" x14ac:dyDescent="0.3">
      <c r="A232" s="114">
        <v>46087</v>
      </c>
      <c r="B232" t="s">
        <v>222</v>
      </c>
      <c r="C232" s="11">
        <v>201200</v>
      </c>
      <c r="D232" s="11"/>
      <c r="E232" t="s">
        <v>411</v>
      </c>
      <c r="F232" s="110" t="s">
        <v>108</v>
      </c>
    </row>
    <row r="233" spans="1:6" x14ac:dyDescent="0.3">
      <c r="A233" s="114">
        <v>46087</v>
      </c>
      <c r="B233" t="s">
        <v>246</v>
      </c>
      <c r="C233" s="11">
        <v>1500</v>
      </c>
      <c r="D233" s="11"/>
      <c r="E233" t="s">
        <v>412</v>
      </c>
      <c r="F233" s="110" t="s">
        <v>108</v>
      </c>
    </row>
    <row r="234" spans="1:6" x14ac:dyDescent="0.3">
      <c r="A234" s="114">
        <v>46087</v>
      </c>
      <c r="B234" t="s">
        <v>246</v>
      </c>
      <c r="C234" s="11">
        <v>2600</v>
      </c>
      <c r="D234" s="11"/>
      <c r="E234" t="s">
        <v>413</v>
      </c>
      <c r="F234" s="110" t="s">
        <v>108</v>
      </c>
    </row>
    <row r="235" spans="1:6" x14ac:dyDescent="0.3">
      <c r="A235" s="114">
        <v>46087</v>
      </c>
      <c r="B235" t="s">
        <v>212</v>
      </c>
      <c r="C235" s="11">
        <v>760</v>
      </c>
      <c r="D235" s="11"/>
      <c r="F235" s="110" t="s">
        <v>108</v>
      </c>
    </row>
    <row r="236" spans="1:6" x14ac:dyDescent="0.3">
      <c r="A236" s="114">
        <v>46087</v>
      </c>
      <c r="B236" t="s">
        <v>212</v>
      </c>
      <c r="C236" s="11">
        <f>300+200</f>
        <v>500</v>
      </c>
      <c r="D236" s="11"/>
      <c r="F236" s="110" t="s">
        <v>108</v>
      </c>
    </row>
    <row r="237" spans="1:6" x14ac:dyDescent="0.3">
      <c r="A237" s="114">
        <v>46087</v>
      </c>
      <c r="B237" t="s">
        <v>54</v>
      </c>
      <c r="C237" s="11">
        <v>1200</v>
      </c>
      <c r="D237" s="11"/>
      <c r="E237" t="s">
        <v>414</v>
      </c>
      <c r="F237" s="110" t="s">
        <v>108</v>
      </c>
    </row>
    <row r="238" spans="1:6" x14ac:dyDescent="0.3">
      <c r="A238" s="114">
        <v>46088</v>
      </c>
      <c r="B238" t="s">
        <v>54</v>
      </c>
      <c r="C238" s="11">
        <f>5000+3000+3000</f>
        <v>11000</v>
      </c>
      <c r="D238" s="11"/>
      <c r="E238" t="s">
        <v>290</v>
      </c>
      <c r="F238" s="110" t="s">
        <v>108</v>
      </c>
    </row>
    <row r="239" spans="1:6" x14ac:dyDescent="0.3">
      <c r="A239" s="114">
        <v>46088</v>
      </c>
      <c r="B239" t="s">
        <v>55</v>
      </c>
      <c r="C239" s="11">
        <v>2600</v>
      </c>
      <c r="D239" s="11"/>
      <c r="E239" t="s">
        <v>416</v>
      </c>
      <c r="F239" s="110" t="s">
        <v>108</v>
      </c>
    </row>
    <row r="240" spans="1:6" x14ac:dyDescent="0.3">
      <c r="A240" s="114">
        <v>46088</v>
      </c>
      <c r="B240" t="s">
        <v>357</v>
      </c>
      <c r="C240" s="11">
        <v>3000</v>
      </c>
      <c r="D240" s="11"/>
      <c r="E240" t="s">
        <v>281</v>
      </c>
      <c r="F240" s="110" t="s">
        <v>108</v>
      </c>
    </row>
    <row r="241" spans="1:6" x14ac:dyDescent="0.3">
      <c r="A241" s="114">
        <v>46088</v>
      </c>
      <c r="B241" t="s">
        <v>249</v>
      </c>
      <c r="C241" s="11">
        <v>7200</v>
      </c>
      <c r="D241" s="11"/>
      <c r="E241" t="s">
        <v>417</v>
      </c>
      <c r="F241" s="110" t="s">
        <v>108</v>
      </c>
    </row>
    <row r="242" spans="1:6" x14ac:dyDescent="0.3">
      <c r="A242" s="114">
        <v>46088</v>
      </c>
      <c r="B242" t="s">
        <v>245</v>
      </c>
      <c r="C242" s="11"/>
      <c r="D242" s="11">
        <v>508900</v>
      </c>
      <c r="E242" t="s">
        <v>418</v>
      </c>
      <c r="F242" s="110" t="s">
        <v>108</v>
      </c>
    </row>
    <row r="243" spans="1:6" x14ac:dyDescent="0.3">
      <c r="A243" s="114">
        <v>46088</v>
      </c>
      <c r="B243" t="s">
        <v>222</v>
      </c>
      <c r="C243" s="11">
        <v>1000</v>
      </c>
      <c r="D243" s="11"/>
      <c r="E243" t="s">
        <v>341</v>
      </c>
      <c r="F243" s="110" t="s">
        <v>108</v>
      </c>
    </row>
    <row r="244" spans="1:6" x14ac:dyDescent="0.3">
      <c r="A244" s="114">
        <v>46088</v>
      </c>
      <c r="B244" t="s">
        <v>282</v>
      </c>
      <c r="C244" s="11"/>
      <c r="D244" s="11"/>
      <c r="F244" s="110" t="s">
        <v>108</v>
      </c>
    </row>
    <row r="245" spans="1:6" x14ac:dyDescent="0.3">
      <c r="A245" s="114">
        <v>46088</v>
      </c>
      <c r="B245" t="s">
        <v>55</v>
      </c>
      <c r="C245" s="11">
        <f>2880+470</f>
        <v>3350</v>
      </c>
      <c r="D245" s="11"/>
      <c r="E245" t="s">
        <v>419</v>
      </c>
      <c r="F245" s="110" t="s">
        <v>108</v>
      </c>
    </row>
    <row r="246" spans="1:6" x14ac:dyDescent="0.3">
      <c r="A246" s="114">
        <v>46088</v>
      </c>
      <c r="B246" t="s">
        <v>169</v>
      </c>
      <c r="C246" s="11">
        <v>200310</v>
      </c>
      <c r="D246" s="11"/>
      <c r="E246" t="s">
        <v>420</v>
      </c>
      <c r="F246" s="110" t="s">
        <v>108</v>
      </c>
    </row>
    <row r="247" spans="1:6" x14ac:dyDescent="0.3">
      <c r="A247" s="114">
        <v>46088</v>
      </c>
      <c r="B247" t="s">
        <v>249</v>
      </c>
      <c r="C247" s="11">
        <v>29000</v>
      </c>
      <c r="D247" s="11"/>
      <c r="E247" t="s">
        <v>421</v>
      </c>
      <c r="F247" s="110" t="s">
        <v>108</v>
      </c>
    </row>
    <row r="248" spans="1:6" x14ac:dyDescent="0.3">
      <c r="A248" s="114">
        <v>46088</v>
      </c>
      <c r="B248" t="s">
        <v>277</v>
      </c>
      <c r="C248" s="11">
        <v>50000</v>
      </c>
      <c r="D248" s="11"/>
      <c r="F248" s="110" t="s">
        <v>108</v>
      </c>
    </row>
    <row r="249" spans="1:6" x14ac:dyDescent="0.3">
      <c r="A249" s="114">
        <v>46088</v>
      </c>
      <c r="B249" t="s">
        <v>422</v>
      </c>
      <c r="C249" s="11"/>
      <c r="D249" s="11">
        <v>50000</v>
      </c>
      <c r="F249" s="110" t="s">
        <v>108</v>
      </c>
    </row>
    <row r="250" spans="1:6" x14ac:dyDescent="0.3">
      <c r="A250" s="114">
        <v>46088</v>
      </c>
      <c r="B250" t="s">
        <v>298</v>
      </c>
      <c r="C250" s="11">
        <v>100000</v>
      </c>
      <c r="D250" s="11"/>
      <c r="F250" s="110" t="s">
        <v>108</v>
      </c>
    </row>
    <row r="251" spans="1:6" x14ac:dyDescent="0.3">
      <c r="A251" s="114">
        <v>46088</v>
      </c>
      <c r="B251" t="s">
        <v>312</v>
      </c>
      <c r="C251" s="11"/>
      <c r="D251" s="11">
        <v>500000</v>
      </c>
      <c r="E251" t="s">
        <v>423</v>
      </c>
      <c r="F251" s="110" t="s">
        <v>108</v>
      </c>
    </row>
    <row r="252" spans="1:6" x14ac:dyDescent="0.3">
      <c r="A252" s="114">
        <v>46088</v>
      </c>
      <c r="B252" t="s">
        <v>282</v>
      </c>
      <c r="C252" s="11">
        <v>30000</v>
      </c>
      <c r="D252" s="11"/>
      <c r="E252" t="s">
        <v>404</v>
      </c>
      <c r="F252" s="110" t="s">
        <v>108</v>
      </c>
    </row>
    <row r="253" spans="1:6" x14ac:dyDescent="0.3">
      <c r="A253" s="114">
        <v>46088</v>
      </c>
      <c r="B253" t="s">
        <v>192</v>
      </c>
      <c r="C253" s="11"/>
      <c r="D253" s="11">
        <v>100000</v>
      </c>
      <c r="E253" t="s">
        <v>424</v>
      </c>
      <c r="F253" s="110" t="s">
        <v>108</v>
      </c>
    </row>
    <row r="254" spans="1:6" x14ac:dyDescent="0.3">
      <c r="A254" s="114">
        <v>46088</v>
      </c>
      <c r="B254" t="s">
        <v>212</v>
      </c>
      <c r="C254" s="11">
        <v>1890</v>
      </c>
      <c r="D254" s="11"/>
      <c r="F254" s="110" t="s">
        <v>108</v>
      </c>
    </row>
    <row r="255" spans="1:6" x14ac:dyDescent="0.3">
      <c r="A255" s="114">
        <v>46089</v>
      </c>
      <c r="B255" t="s">
        <v>54</v>
      </c>
      <c r="C255" s="11">
        <v>2700</v>
      </c>
      <c r="D255" s="11"/>
      <c r="E255" t="s">
        <v>425</v>
      </c>
      <c r="F255" s="110" t="s">
        <v>108</v>
      </c>
    </row>
    <row r="256" spans="1:6" x14ac:dyDescent="0.3">
      <c r="A256" s="114">
        <v>46089</v>
      </c>
      <c r="B256" t="s">
        <v>55</v>
      </c>
      <c r="C256" s="11">
        <v>10121</v>
      </c>
      <c r="D256" s="11"/>
      <c r="E256" t="s">
        <v>426</v>
      </c>
      <c r="F256" s="110" t="s">
        <v>108</v>
      </c>
    </row>
    <row r="257" spans="1:6" x14ac:dyDescent="0.3">
      <c r="A257" s="114">
        <v>46089</v>
      </c>
      <c r="B257" t="s">
        <v>357</v>
      </c>
      <c r="C257" s="11">
        <v>10000</v>
      </c>
      <c r="D257" s="11"/>
      <c r="E257" t="s">
        <v>281</v>
      </c>
      <c r="F257" s="110" t="s">
        <v>108</v>
      </c>
    </row>
    <row r="258" spans="1:6" x14ac:dyDescent="0.3">
      <c r="A258" s="114">
        <v>46089</v>
      </c>
      <c r="B258" t="s">
        <v>212</v>
      </c>
      <c r="C258" s="11">
        <v>250</v>
      </c>
      <c r="D258" s="11"/>
      <c r="F258" s="110" t="s">
        <v>108</v>
      </c>
    </row>
    <row r="259" spans="1:6" x14ac:dyDescent="0.3">
      <c r="A259" s="114">
        <v>46090</v>
      </c>
      <c r="B259" t="s">
        <v>249</v>
      </c>
      <c r="C259" s="11">
        <v>7200</v>
      </c>
      <c r="D259" s="11"/>
      <c r="E259" t="s">
        <v>428</v>
      </c>
      <c r="F259" s="110" t="s">
        <v>108</v>
      </c>
    </row>
    <row r="260" spans="1:6" x14ac:dyDescent="0.3">
      <c r="A260" s="114">
        <v>46090</v>
      </c>
      <c r="B260" t="s">
        <v>225</v>
      </c>
      <c r="C260" s="95"/>
      <c r="D260" s="95">
        <v>52214</v>
      </c>
      <c r="E260" t="s">
        <v>429</v>
      </c>
      <c r="F260" s="110" t="s">
        <v>108</v>
      </c>
    </row>
    <row r="261" spans="1:6" x14ac:dyDescent="0.3">
      <c r="A261" s="114">
        <v>46090</v>
      </c>
      <c r="B261" t="s">
        <v>55</v>
      </c>
      <c r="C261" s="11">
        <v>500</v>
      </c>
      <c r="D261" s="11"/>
      <c r="E261" t="s">
        <v>430</v>
      </c>
      <c r="F261" s="110" t="s">
        <v>108</v>
      </c>
    </row>
    <row r="262" spans="1:6" x14ac:dyDescent="0.3">
      <c r="A262" s="114">
        <v>46090</v>
      </c>
      <c r="B262" t="s">
        <v>431</v>
      </c>
      <c r="C262" s="11"/>
      <c r="D262" s="11">
        <v>75000</v>
      </c>
      <c r="E262" t="s">
        <v>432</v>
      </c>
      <c r="F262" s="110" t="s">
        <v>108</v>
      </c>
    </row>
    <row r="263" spans="1:6" x14ac:dyDescent="0.3">
      <c r="A263" s="114">
        <v>46090</v>
      </c>
      <c r="B263" t="s">
        <v>55</v>
      </c>
      <c r="C263" s="11">
        <v>8407</v>
      </c>
      <c r="D263" s="11"/>
      <c r="E263" t="s">
        <v>433</v>
      </c>
      <c r="F263" s="110" t="s">
        <v>108</v>
      </c>
    </row>
    <row r="264" spans="1:6" x14ac:dyDescent="0.3">
      <c r="A264" s="114">
        <v>46090</v>
      </c>
      <c r="B264" t="s">
        <v>222</v>
      </c>
      <c r="C264" s="11">
        <v>100000</v>
      </c>
      <c r="D264" s="11"/>
      <c r="E264" t="s">
        <v>434</v>
      </c>
      <c r="F264" s="110" t="s">
        <v>108</v>
      </c>
    </row>
    <row r="265" spans="1:6" x14ac:dyDescent="0.3">
      <c r="A265" s="114">
        <v>46090</v>
      </c>
      <c r="B265" t="s">
        <v>282</v>
      </c>
      <c r="C265" s="11"/>
      <c r="D265" s="11"/>
      <c r="E265" t="s">
        <v>329</v>
      </c>
      <c r="F265" s="110" t="s">
        <v>108</v>
      </c>
    </row>
    <row r="266" spans="1:6" x14ac:dyDescent="0.3">
      <c r="A266" s="114">
        <v>46090</v>
      </c>
      <c r="B266" t="s">
        <v>212</v>
      </c>
      <c r="C266" s="11">
        <f>1800+1100+585+500</f>
        <v>3985</v>
      </c>
      <c r="D266" s="11"/>
      <c r="F266" s="110" t="s">
        <v>108</v>
      </c>
    </row>
    <row r="267" spans="1:6" x14ac:dyDescent="0.3">
      <c r="A267" s="114">
        <v>46090</v>
      </c>
      <c r="B267" t="s">
        <v>431</v>
      </c>
      <c r="C267" s="11"/>
      <c r="D267" s="11">
        <v>55000</v>
      </c>
      <c r="E267" t="s">
        <v>365</v>
      </c>
      <c r="F267" s="110" t="s">
        <v>108</v>
      </c>
    </row>
    <row r="268" spans="1:6" x14ac:dyDescent="0.3">
      <c r="A268" s="114">
        <v>46090</v>
      </c>
      <c r="B268" t="s">
        <v>228</v>
      </c>
      <c r="C268" s="11"/>
      <c r="D268" s="11">
        <v>50000</v>
      </c>
      <c r="E268" t="s">
        <v>365</v>
      </c>
      <c r="F268" s="110" t="s">
        <v>108</v>
      </c>
    </row>
    <row r="269" spans="1:6" x14ac:dyDescent="0.3">
      <c r="A269" s="114">
        <v>46090</v>
      </c>
      <c r="B269" t="s">
        <v>220</v>
      </c>
      <c r="C269" s="11">
        <v>55000</v>
      </c>
      <c r="D269" s="95"/>
      <c r="E269" t="s">
        <v>431</v>
      </c>
      <c r="F269" s="110" t="s">
        <v>108</v>
      </c>
    </row>
    <row r="270" spans="1:6" x14ac:dyDescent="0.3">
      <c r="A270" s="114">
        <v>46090</v>
      </c>
      <c r="B270" t="s">
        <v>220</v>
      </c>
      <c r="C270" s="11">
        <v>50000</v>
      </c>
      <c r="D270" s="11"/>
      <c r="E270" t="s">
        <v>228</v>
      </c>
      <c r="F270" s="110" t="s">
        <v>108</v>
      </c>
    </row>
    <row r="271" spans="1:6" x14ac:dyDescent="0.3">
      <c r="A271" s="114">
        <v>46091</v>
      </c>
      <c r="B271" t="s">
        <v>55</v>
      </c>
      <c r="C271" s="11">
        <v>6550</v>
      </c>
      <c r="D271" s="11"/>
      <c r="E271" t="s">
        <v>435</v>
      </c>
      <c r="F271" s="110" t="s">
        <v>108</v>
      </c>
    </row>
    <row r="272" spans="1:6" x14ac:dyDescent="0.3">
      <c r="A272" s="114">
        <v>46091</v>
      </c>
      <c r="B272" t="s">
        <v>55</v>
      </c>
      <c r="C272" s="11">
        <v>3900</v>
      </c>
      <c r="D272" s="11"/>
      <c r="E272" t="s">
        <v>436</v>
      </c>
      <c r="F272" s="110" t="s">
        <v>108</v>
      </c>
    </row>
    <row r="273" spans="1:6" x14ac:dyDescent="0.3">
      <c r="A273" s="114">
        <v>46091</v>
      </c>
      <c r="B273" t="s">
        <v>64</v>
      </c>
      <c r="C273" s="11">
        <v>129125</v>
      </c>
      <c r="D273" s="11"/>
      <c r="F273" s="110" t="s">
        <v>108</v>
      </c>
    </row>
    <row r="274" spans="1:6" x14ac:dyDescent="0.3">
      <c r="A274" s="114">
        <v>46091</v>
      </c>
      <c r="B274" t="s">
        <v>249</v>
      </c>
      <c r="C274" s="11">
        <v>3600</v>
      </c>
      <c r="D274" s="11"/>
      <c r="E274" t="s">
        <v>437</v>
      </c>
      <c r="F274" s="110" t="s">
        <v>108</v>
      </c>
    </row>
    <row r="275" spans="1:6" x14ac:dyDescent="0.3">
      <c r="A275" s="114">
        <v>46091</v>
      </c>
      <c r="B275" t="s">
        <v>169</v>
      </c>
      <c r="C275" s="11">
        <v>200250</v>
      </c>
      <c r="D275" s="11"/>
      <c r="E275" t="s">
        <v>438</v>
      </c>
      <c r="F275" s="110" t="s">
        <v>108</v>
      </c>
    </row>
    <row r="276" spans="1:6" x14ac:dyDescent="0.3">
      <c r="A276" s="114">
        <v>46091</v>
      </c>
      <c r="B276" t="s">
        <v>221</v>
      </c>
      <c r="C276" s="11">
        <v>4482</v>
      </c>
      <c r="D276" s="11"/>
      <c r="E276" t="s">
        <v>439</v>
      </c>
      <c r="F276" s="110" t="s">
        <v>108</v>
      </c>
    </row>
    <row r="277" spans="1:6" x14ac:dyDescent="0.3">
      <c r="A277" s="114">
        <v>46091</v>
      </c>
      <c r="B277" t="s">
        <v>54</v>
      </c>
      <c r="C277" s="11">
        <v>5000</v>
      </c>
      <c r="D277" s="11"/>
      <c r="E277" t="s">
        <v>440</v>
      </c>
      <c r="F277" s="110" t="s">
        <v>108</v>
      </c>
    </row>
    <row r="278" spans="1:6" x14ac:dyDescent="0.3">
      <c r="A278" s="114">
        <v>46091</v>
      </c>
      <c r="B278" t="s">
        <v>228</v>
      </c>
      <c r="C278" s="11"/>
      <c r="D278" s="11">
        <v>65000</v>
      </c>
      <c r="E278" t="s">
        <v>365</v>
      </c>
      <c r="F278" s="110" t="s">
        <v>108</v>
      </c>
    </row>
    <row r="279" spans="1:6" x14ac:dyDescent="0.3">
      <c r="A279" s="114">
        <v>46091</v>
      </c>
      <c r="B279" t="s">
        <v>220</v>
      </c>
      <c r="C279" s="11">
        <v>65000</v>
      </c>
      <c r="D279" s="11"/>
      <c r="E279" t="s">
        <v>228</v>
      </c>
      <c r="F279" s="110" t="s">
        <v>108</v>
      </c>
    </row>
    <row r="280" spans="1:6" x14ac:dyDescent="0.3">
      <c r="A280" s="114">
        <v>46092</v>
      </c>
      <c r="B280" t="s">
        <v>409</v>
      </c>
      <c r="C280" s="11"/>
      <c r="D280" s="11">
        <v>175000</v>
      </c>
      <c r="E280" t="s">
        <v>441</v>
      </c>
      <c r="F280" s="110" t="s">
        <v>108</v>
      </c>
    </row>
    <row r="281" spans="1:6" x14ac:dyDescent="0.3">
      <c r="A281" s="114">
        <v>46092</v>
      </c>
      <c r="B281" t="s">
        <v>55</v>
      </c>
      <c r="C281" s="11">
        <v>9000</v>
      </c>
      <c r="D281" s="11"/>
      <c r="E281" t="s">
        <v>442</v>
      </c>
      <c r="F281" s="110" t="s">
        <v>108</v>
      </c>
    </row>
    <row r="282" spans="1:6" x14ac:dyDescent="0.3">
      <c r="A282" s="114">
        <v>46092</v>
      </c>
      <c r="B282" t="s">
        <v>444</v>
      </c>
      <c r="C282" s="11">
        <v>5000</v>
      </c>
      <c r="D282" s="11"/>
      <c r="E282" t="s">
        <v>443</v>
      </c>
      <c r="F282" s="110" t="s">
        <v>108</v>
      </c>
    </row>
    <row r="283" spans="1:6" x14ac:dyDescent="0.3">
      <c r="A283" s="114">
        <v>46093</v>
      </c>
      <c r="B283" t="s">
        <v>55</v>
      </c>
      <c r="C283" s="11">
        <v>500</v>
      </c>
      <c r="D283" s="11"/>
      <c r="E283" t="s">
        <v>445</v>
      </c>
      <c r="F283" s="110" t="s">
        <v>108</v>
      </c>
    </row>
    <row r="284" spans="1:6" x14ac:dyDescent="0.3">
      <c r="A284" s="114">
        <v>46093</v>
      </c>
      <c r="B284" t="s">
        <v>55</v>
      </c>
      <c r="C284" s="11">
        <v>2400</v>
      </c>
      <c r="D284" s="11"/>
      <c r="E284" t="s">
        <v>445</v>
      </c>
      <c r="F284" s="110" t="s">
        <v>108</v>
      </c>
    </row>
    <row r="285" spans="1:6" x14ac:dyDescent="0.3">
      <c r="A285" s="114">
        <v>46093</v>
      </c>
      <c r="B285" t="s">
        <v>55</v>
      </c>
      <c r="C285" s="11">
        <v>400</v>
      </c>
      <c r="D285" s="11"/>
      <c r="E285" t="s">
        <v>446</v>
      </c>
      <c r="F285" s="110" t="s">
        <v>108</v>
      </c>
    </row>
    <row r="286" spans="1:6" x14ac:dyDescent="0.3">
      <c r="A286" s="114">
        <v>46093</v>
      </c>
      <c r="B286" t="s">
        <v>249</v>
      </c>
      <c r="C286" s="11">
        <v>10000</v>
      </c>
      <c r="D286" s="11"/>
      <c r="E286" t="s">
        <v>447</v>
      </c>
      <c r="F286" s="110" t="s">
        <v>108</v>
      </c>
    </row>
    <row r="287" spans="1:6" x14ac:dyDescent="0.3">
      <c r="A287" s="114">
        <v>46093</v>
      </c>
      <c r="B287" t="s">
        <v>55</v>
      </c>
      <c r="C287" s="11">
        <v>11121</v>
      </c>
      <c r="D287" s="11"/>
      <c r="E287" t="s">
        <v>426</v>
      </c>
      <c r="F287" s="110" t="s">
        <v>108</v>
      </c>
    </row>
    <row r="288" spans="1:6" x14ac:dyDescent="0.3">
      <c r="A288" s="114">
        <v>46093</v>
      </c>
      <c r="B288" t="s">
        <v>282</v>
      </c>
      <c r="C288" s="11"/>
      <c r="D288" s="11"/>
      <c r="E288" t="s">
        <v>448</v>
      </c>
      <c r="F288" s="110" t="s">
        <v>108</v>
      </c>
    </row>
    <row r="289" spans="1:9" x14ac:dyDescent="0.3">
      <c r="A289" s="114">
        <v>46093</v>
      </c>
      <c r="B289" t="s">
        <v>220</v>
      </c>
      <c r="C289" s="11"/>
      <c r="D289" s="11">
        <v>200400</v>
      </c>
      <c r="E289" t="s">
        <v>449</v>
      </c>
      <c r="F289" s="110" t="s">
        <v>108</v>
      </c>
    </row>
    <row r="290" spans="1:9" x14ac:dyDescent="0.3">
      <c r="A290" s="114">
        <v>46093</v>
      </c>
      <c r="B290" t="s">
        <v>54</v>
      </c>
      <c r="C290" s="11">
        <v>7236</v>
      </c>
      <c r="D290" s="11"/>
      <c r="E290" t="s">
        <v>290</v>
      </c>
      <c r="F290" s="110" t="s">
        <v>108</v>
      </c>
    </row>
    <row r="291" spans="1:9" x14ac:dyDescent="0.3">
      <c r="A291" s="114">
        <v>46093</v>
      </c>
      <c r="B291" t="s">
        <v>212</v>
      </c>
      <c r="C291" s="11">
        <f>878+900+1000+1800</f>
        <v>4578</v>
      </c>
      <c r="D291" s="11"/>
      <c r="F291" s="110" t="s">
        <v>108</v>
      </c>
    </row>
    <row r="292" spans="1:9" x14ac:dyDescent="0.3">
      <c r="A292" s="114">
        <v>46093</v>
      </c>
      <c r="B292" t="s">
        <v>228</v>
      </c>
      <c r="C292" s="11"/>
      <c r="D292" s="11">
        <v>50000</v>
      </c>
      <c r="E292" t="s">
        <v>365</v>
      </c>
      <c r="F292" s="110" t="s">
        <v>108</v>
      </c>
    </row>
    <row r="293" spans="1:9" x14ac:dyDescent="0.3">
      <c r="A293" s="114">
        <v>46093</v>
      </c>
      <c r="B293" t="s">
        <v>220</v>
      </c>
      <c r="C293" s="11">
        <v>50000</v>
      </c>
      <c r="D293" s="11"/>
      <c r="E293" t="s">
        <v>228</v>
      </c>
      <c r="F293" s="110" t="s">
        <v>108</v>
      </c>
    </row>
    <row r="294" spans="1:9" x14ac:dyDescent="0.3">
      <c r="A294" s="114">
        <v>46094</v>
      </c>
      <c r="B294" t="s">
        <v>282</v>
      </c>
      <c r="C294" s="11">
        <v>16000</v>
      </c>
      <c r="D294" s="11"/>
      <c r="E294" t="s">
        <v>327</v>
      </c>
      <c r="F294" s="110" t="s">
        <v>108</v>
      </c>
    </row>
    <row r="295" spans="1:9" x14ac:dyDescent="0.3">
      <c r="A295" s="114">
        <v>46094</v>
      </c>
      <c r="B295" t="s">
        <v>277</v>
      </c>
      <c r="C295" s="11">
        <v>50000</v>
      </c>
      <c r="D295" s="11"/>
      <c r="E295" t="s">
        <v>450</v>
      </c>
      <c r="F295" s="110" t="s">
        <v>108</v>
      </c>
    </row>
    <row r="296" spans="1:9" x14ac:dyDescent="0.3">
      <c r="A296" s="114">
        <v>46094</v>
      </c>
      <c r="B296" t="s">
        <v>9</v>
      </c>
      <c r="C296" s="11"/>
      <c r="D296" s="11">
        <v>100000</v>
      </c>
      <c r="E296" t="s">
        <v>451</v>
      </c>
      <c r="F296" s="110" t="s">
        <v>108</v>
      </c>
    </row>
    <row r="297" spans="1:9" x14ac:dyDescent="0.3">
      <c r="A297" s="114">
        <v>46094</v>
      </c>
      <c r="B297" t="s">
        <v>357</v>
      </c>
      <c r="C297" s="11">
        <v>35000</v>
      </c>
      <c r="D297" s="11"/>
      <c r="E297" t="s">
        <v>403</v>
      </c>
      <c r="F297" s="110" t="s">
        <v>108</v>
      </c>
    </row>
    <row r="298" spans="1:9" x14ac:dyDescent="0.3">
      <c r="A298" s="114">
        <v>46094</v>
      </c>
      <c r="B298" t="s">
        <v>357</v>
      </c>
      <c r="C298" s="11">
        <v>8000</v>
      </c>
      <c r="D298" s="11"/>
      <c r="E298" t="s">
        <v>452</v>
      </c>
      <c r="F298" s="110" t="s">
        <v>108</v>
      </c>
      <c r="I298">
        <v>80000</v>
      </c>
    </row>
    <row r="299" spans="1:9" x14ac:dyDescent="0.3">
      <c r="A299" s="114">
        <v>46094</v>
      </c>
      <c r="B299" t="s">
        <v>169</v>
      </c>
      <c r="C299" s="11">
        <v>1000</v>
      </c>
      <c r="D299" s="11"/>
      <c r="E299" t="s">
        <v>341</v>
      </c>
      <c r="F299" s="110" t="s">
        <v>108</v>
      </c>
      <c r="I299">
        <v>50000</v>
      </c>
    </row>
    <row r="300" spans="1:9" x14ac:dyDescent="0.3">
      <c r="A300" s="114">
        <v>46094</v>
      </c>
      <c r="B300" t="s">
        <v>222</v>
      </c>
      <c r="C300" s="11">
        <v>1000</v>
      </c>
      <c r="D300" s="11"/>
      <c r="E300" t="s">
        <v>341</v>
      </c>
      <c r="F300" s="110" t="s">
        <v>108</v>
      </c>
      <c r="I300">
        <v>6000</v>
      </c>
    </row>
    <row r="301" spans="1:9" x14ac:dyDescent="0.3">
      <c r="A301" s="114">
        <v>46094</v>
      </c>
      <c r="B301" t="s">
        <v>220</v>
      </c>
      <c r="C301" s="11"/>
      <c r="D301" s="11">
        <v>980000</v>
      </c>
      <c r="F301" s="110" t="s">
        <v>108</v>
      </c>
      <c r="I301">
        <v>1000</v>
      </c>
    </row>
    <row r="302" spans="1:9" x14ac:dyDescent="0.3">
      <c r="A302" s="114">
        <v>46094</v>
      </c>
      <c r="B302" t="s">
        <v>282</v>
      </c>
      <c r="C302" s="11">
        <v>60000</v>
      </c>
      <c r="D302" s="11"/>
      <c r="E302" t="s">
        <v>363</v>
      </c>
      <c r="F302" s="110" t="s">
        <v>108</v>
      </c>
      <c r="I302">
        <v>42000</v>
      </c>
    </row>
    <row r="303" spans="1:9" x14ac:dyDescent="0.3">
      <c r="A303" s="114">
        <v>46094</v>
      </c>
      <c r="B303" t="s">
        <v>282</v>
      </c>
      <c r="C303" s="11">
        <v>970360</v>
      </c>
      <c r="D303" s="11"/>
      <c r="E303" t="s">
        <v>352</v>
      </c>
      <c r="F303" s="110" t="s">
        <v>108</v>
      </c>
      <c r="I303">
        <v>22800</v>
      </c>
    </row>
    <row r="304" spans="1:9" x14ac:dyDescent="0.3">
      <c r="A304" s="114">
        <v>46094</v>
      </c>
      <c r="B304" t="s">
        <v>228</v>
      </c>
      <c r="C304" s="11"/>
      <c r="D304" s="11">
        <v>50000</v>
      </c>
      <c r="E304" t="s">
        <v>365</v>
      </c>
      <c r="F304" s="110" t="s">
        <v>108</v>
      </c>
      <c r="I304">
        <v>11600</v>
      </c>
    </row>
    <row r="305" spans="1:9" x14ac:dyDescent="0.3">
      <c r="A305" s="114">
        <v>46094</v>
      </c>
      <c r="B305" t="s">
        <v>422</v>
      </c>
      <c r="C305" s="11"/>
      <c r="D305" s="11">
        <v>150000</v>
      </c>
      <c r="E305" t="s">
        <v>109</v>
      </c>
      <c r="F305" s="110" t="s">
        <v>108</v>
      </c>
      <c r="I305">
        <v>20800</v>
      </c>
    </row>
    <row r="306" spans="1:9" x14ac:dyDescent="0.3">
      <c r="A306" s="114">
        <v>46094</v>
      </c>
      <c r="B306" t="s">
        <v>220</v>
      </c>
      <c r="C306" s="11">
        <v>50000</v>
      </c>
      <c r="D306" s="11"/>
      <c r="E306" t="s">
        <v>228</v>
      </c>
      <c r="F306" s="110" t="s">
        <v>108</v>
      </c>
      <c r="I306">
        <v>37000</v>
      </c>
    </row>
    <row r="307" spans="1:9" x14ac:dyDescent="0.3">
      <c r="A307" s="114">
        <v>46094</v>
      </c>
      <c r="B307" t="s">
        <v>220</v>
      </c>
      <c r="C307" s="11">
        <v>150000</v>
      </c>
      <c r="D307" s="11"/>
      <c r="E307" t="s">
        <v>422</v>
      </c>
      <c r="F307" s="110" t="s">
        <v>108</v>
      </c>
      <c r="I307">
        <v>25200</v>
      </c>
    </row>
    <row r="308" spans="1:9" x14ac:dyDescent="0.3">
      <c r="A308" s="114">
        <v>46095</v>
      </c>
      <c r="B308" t="s">
        <v>246</v>
      </c>
      <c r="C308" s="11">
        <v>15000</v>
      </c>
      <c r="D308" s="11"/>
      <c r="E308" t="s">
        <v>453</v>
      </c>
      <c r="F308" s="110" t="s">
        <v>108</v>
      </c>
      <c r="I308">
        <v>30000</v>
      </c>
    </row>
    <row r="309" spans="1:9" x14ac:dyDescent="0.3">
      <c r="A309" s="114">
        <v>46095</v>
      </c>
      <c r="B309" t="s">
        <v>282</v>
      </c>
      <c r="C309" s="11">
        <v>50000</v>
      </c>
      <c r="D309" s="11"/>
      <c r="E309" t="s">
        <v>281</v>
      </c>
      <c r="F309" s="110" t="s">
        <v>108</v>
      </c>
      <c r="I309">
        <v>33600</v>
      </c>
    </row>
    <row r="310" spans="1:9" x14ac:dyDescent="0.3">
      <c r="A310" s="114">
        <v>46095</v>
      </c>
      <c r="B310" t="s">
        <v>357</v>
      </c>
      <c r="C310" s="11">
        <v>10000</v>
      </c>
      <c r="D310" s="11"/>
      <c r="E310" t="s">
        <v>454</v>
      </c>
      <c r="F310" s="110" t="s">
        <v>108</v>
      </c>
      <c r="I310">
        <v>13000</v>
      </c>
    </row>
    <row r="311" spans="1:9" x14ac:dyDescent="0.3">
      <c r="A311" s="114">
        <v>46095</v>
      </c>
      <c r="B311" t="s">
        <v>220</v>
      </c>
      <c r="C311" s="11"/>
      <c r="D311" s="11">
        <v>130000</v>
      </c>
      <c r="E311" t="s">
        <v>455</v>
      </c>
      <c r="F311" s="110" t="s">
        <v>108</v>
      </c>
      <c r="I311">
        <v>13650</v>
      </c>
    </row>
    <row r="312" spans="1:9" x14ac:dyDescent="0.3">
      <c r="A312" s="114">
        <v>46095</v>
      </c>
      <c r="B312" t="s">
        <v>282</v>
      </c>
      <c r="C312" s="11">
        <v>60000</v>
      </c>
      <c r="D312" s="11"/>
      <c r="E312" t="s">
        <v>455</v>
      </c>
      <c r="F312" s="110" t="s">
        <v>108</v>
      </c>
      <c r="I312">
        <v>20800</v>
      </c>
    </row>
    <row r="313" spans="1:9" x14ac:dyDescent="0.3">
      <c r="A313" s="114">
        <v>46095</v>
      </c>
      <c r="B313" t="s">
        <v>169</v>
      </c>
      <c r="C313" s="11">
        <v>4000</v>
      </c>
      <c r="D313" s="11"/>
      <c r="E313" t="s">
        <v>341</v>
      </c>
      <c r="F313" s="110" t="s">
        <v>108</v>
      </c>
      <c r="I313">
        <v>20000</v>
      </c>
    </row>
    <row r="314" spans="1:9" x14ac:dyDescent="0.3">
      <c r="A314" s="114">
        <v>46095</v>
      </c>
      <c r="B314" t="s">
        <v>222</v>
      </c>
      <c r="C314" s="11">
        <v>2000</v>
      </c>
      <c r="D314" s="11"/>
      <c r="E314" t="s">
        <v>341</v>
      </c>
      <c r="F314" s="110" t="s">
        <v>108</v>
      </c>
      <c r="I314">
        <v>13300</v>
      </c>
    </row>
    <row r="315" spans="1:9" x14ac:dyDescent="0.3">
      <c r="A315" s="114">
        <v>46095</v>
      </c>
      <c r="B315" t="s">
        <v>249</v>
      </c>
      <c r="C315" s="11">
        <v>3600</v>
      </c>
      <c r="D315" s="11"/>
      <c r="F315" s="110" t="s">
        <v>108</v>
      </c>
      <c r="I315">
        <v>13650</v>
      </c>
    </row>
    <row r="316" spans="1:9" x14ac:dyDescent="0.3">
      <c r="A316" s="114">
        <v>46095</v>
      </c>
      <c r="B316" t="s">
        <v>220</v>
      </c>
      <c r="C316" s="11"/>
      <c r="D316" s="11">
        <v>54000</v>
      </c>
      <c r="E316" t="s">
        <v>456</v>
      </c>
      <c r="F316" s="110" t="s">
        <v>108</v>
      </c>
      <c r="I316">
        <v>12000</v>
      </c>
    </row>
    <row r="317" spans="1:9" x14ac:dyDescent="0.3">
      <c r="A317" s="114">
        <v>46095</v>
      </c>
      <c r="B317" t="s">
        <v>282</v>
      </c>
      <c r="C317" s="11">
        <v>54000</v>
      </c>
      <c r="D317" s="11"/>
      <c r="E317" t="s">
        <v>456</v>
      </c>
      <c r="F317" s="110" t="s">
        <v>108</v>
      </c>
      <c r="I317">
        <v>11650</v>
      </c>
    </row>
    <row r="318" spans="1:9" x14ac:dyDescent="0.3">
      <c r="A318" s="114">
        <v>46095</v>
      </c>
      <c r="B318" t="s">
        <v>220</v>
      </c>
      <c r="C318" s="11"/>
      <c r="D318" s="11">
        <v>120000</v>
      </c>
      <c r="E318" t="s">
        <v>457</v>
      </c>
      <c r="F318" s="110" t="s">
        <v>108</v>
      </c>
      <c r="I318">
        <v>20200</v>
      </c>
    </row>
    <row r="319" spans="1:9" x14ac:dyDescent="0.3">
      <c r="A319" s="114">
        <v>46095</v>
      </c>
      <c r="B319" t="s">
        <v>165</v>
      </c>
      <c r="C319" s="11">
        <v>120000</v>
      </c>
      <c r="D319" s="11"/>
      <c r="E319" t="s">
        <v>457</v>
      </c>
      <c r="F319" s="110" t="s">
        <v>108</v>
      </c>
      <c r="I319">
        <v>22650</v>
      </c>
    </row>
    <row r="320" spans="1:9" x14ac:dyDescent="0.3">
      <c r="A320" s="114">
        <v>46095</v>
      </c>
      <c r="B320" t="s">
        <v>225</v>
      </c>
      <c r="C320" s="11"/>
      <c r="D320" s="11">
        <f>50000+150000</f>
        <v>200000</v>
      </c>
      <c r="E320" t="s">
        <v>458</v>
      </c>
      <c r="F320" s="110" t="s">
        <v>108</v>
      </c>
      <c r="I320">
        <v>14650</v>
      </c>
    </row>
    <row r="321" spans="1:9" x14ac:dyDescent="0.3">
      <c r="A321" s="114">
        <v>46095</v>
      </c>
      <c r="B321" t="s">
        <v>54</v>
      </c>
      <c r="C321" s="11">
        <v>3000</v>
      </c>
      <c r="D321" s="11"/>
      <c r="E321" t="s">
        <v>459</v>
      </c>
      <c r="F321" s="110" t="s">
        <v>108</v>
      </c>
      <c r="I321">
        <v>24800</v>
      </c>
    </row>
    <row r="322" spans="1:9" x14ac:dyDescent="0.3">
      <c r="A322" s="114">
        <v>46096</v>
      </c>
      <c r="B322" t="s">
        <v>55</v>
      </c>
      <c r="C322" s="11">
        <v>2900</v>
      </c>
      <c r="D322" s="11"/>
      <c r="E322" t="s">
        <v>460</v>
      </c>
      <c r="F322" s="110" t="s">
        <v>108</v>
      </c>
      <c r="I322">
        <v>10650</v>
      </c>
    </row>
    <row r="323" spans="1:9" x14ac:dyDescent="0.3">
      <c r="A323" s="114">
        <v>46096</v>
      </c>
      <c r="B323" t="s">
        <v>169</v>
      </c>
      <c r="C323" s="11">
        <v>150000</v>
      </c>
      <c r="D323" s="11"/>
      <c r="E323" t="s">
        <v>461</v>
      </c>
      <c r="F323" s="110" t="s">
        <v>108</v>
      </c>
      <c r="I323">
        <v>14400</v>
      </c>
    </row>
    <row r="324" spans="1:9" x14ac:dyDescent="0.3">
      <c r="A324" s="114">
        <v>46096</v>
      </c>
      <c r="B324" t="s">
        <v>444</v>
      </c>
      <c r="C324" s="11">
        <v>5000</v>
      </c>
      <c r="D324" s="11"/>
      <c r="E324" t="s">
        <v>443</v>
      </c>
      <c r="F324" s="110" t="s">
        <v>108</v>
      </c>
      <c r="I324">
        <v>14800</v>
      </c>
    </row>
    <row r="325" spans="1:9" x14ac:dyDescent="0.3">
      <c r="A325" s="114">
        <v>46096</v>
      </c>
      <c r="B325" t="s">
        <v>462</v>
      </c>
      <c r="C325" s="11"/>
      <c r="D325" s="11">
        <v>130000</v>
      </c>
      <c r="E325" t="s">
        <v>475</v>
      </c>
      <c r="F325" s="110" t="s">
        <v>108</v>
      </c>
      <c r="I325">
        <v>12800</v>
      </c>
    </row>
    <row r="326" spans="1:9" x14ac:dyDescent="0.3">
      <c r="A326" s="114">
        <v>46096</v>
      </c>
      <c r="B326" t="s">
        <v>463</v>
      </c>
      <c r="C326" s="11"/>
      <c r="D326" s="11">
        <v>40000</v>
      </c>
      <c r="E326" t="s">
        <v>476</v>
      </c>
      <c r="F326" s="110" t="s">
        <v>108</v>
      </c>
      <c r="I326">
        <v>18000</v>
      </c>
    </row>
    <row r="327" spans="1:9" x14ac:dyDescent="0.3">
      <c r="A327" s="114">
        <v>46096</v>
      </c>
      <c r="B327" t="s">
        <v>55</v>
      </c>
      <c r="C327" s="11">
        <v>1400</v>
      </c>
      <c r="D327" s="11"/>
      <c r="E327" t="s">
        <v>464</v>
      </c>
      <c r="F327" s="110" t="s">
        <v>108</v>
      </c>
      <c r="I327">
        <v>14000</v>
      </c>
    </row>
    <row r="328" spans="1:9" x14ac:dyDescent="0.3">
      <c r="A328" s="114">
        <v>46096</v>
      </c>
      <c r="B328" t="s">
        <v>220</v>
      </c>
      <c r="C328" s="11">
        <v>150000</v>
      </c>
      <c r="D328" s="11"/>
      <c r="E328" t="s">
        <v>465</v>
      </c>
      <c r="F328" s="110" t="s">
        <v>108</v>
      </c>
      <c r="I328">
        <v>14000</v>
      </c>
    </row>
    <row r="329" spans="1:9" x14ac:dyDescent="0.3">
      <c r="A329" s="114">
        <v>46097</v>
      </c>
      <c r="B329" t="s">
        <v>55</v>
      </c>
      <c r="C329" s="11">
        <v>33000</v>
      </c>
      <c r="D329" s="11"/>
      <c r="E329" t="s">
        <v>466</v>
      </c>
      <c r="F329" s="110" t="s">
        <v>108</v>
      </c>
      <c r="I329">
        <v>55000</v>
      </c>
    </row>
    <row r="330" spans="1:9" x14ac:dyDescent="0.3">
      <c r="A330" s="114">
        <v>46097</v>
      </c>
      <c r="B330" t="s">
        <v>221</v>
      </c>
      <c r="C330" s="11">
        <v>50000</v>
      </c>
      <c r="D330" s="11"/>
      <c r="E330" t="s">
        <v>467</v>
      </c>
      <c r="F330" s="110" t="s">
        <v>108</v>
      </c>
      <c r="I330">
        <v>35000</v>
      </c>
    </row>
    <row r="331" spans="1:9" x14ac:dyDescent="0.3">
      <c r="A331" s="114">
        <v>46097</v>
      </c>
      <c r="B331" t="s">
        <v>55</v>
      </c>
      <c r="C331" s="95">
        <v>7000</v>
      </c>
      <c r="D331" s="95"/>
      <c r="E331" t="s">
        <v>468</v>
      </c>
      <c r="F331" s="110" t="s">
        <v>108</v>
      </c>
      <c r="I331">
        <v>14650</v>
      </c>
    </row>
    <row r="332" spans="1:9" x14ac:dyDescent="0.3">
      <c r="A332" s="114">
        <v>46097</v>
      </c>
      <c r="B332" t="s">
        <v>282</v>
      </c>
      <c r="C332" s="11">
        <v>40000</v>
      </c>
      <c r="D332" s="11"/>
      <c r="E332" t="s">
        <v>469</v>
      </c>
      <c r="F332" s="110" t="s">
        <v>108</v>
      </c>
      <c r="I332">
        <v>23000</v>
      </c>
    </row>
    <row r="333" spans="1:9" x14ac:dyDescent="0.3">
      <c r="A333" s="114">
        <v>46097</v>
      </c>
      <c r="B333" t="s">
        <v>54</v>
      </c>
      <c r="C333" s="11">
        <v>800</v>
      </c>
      <c r="D333" s="11"/>
      <c r="E333" t="s">
        <v>470</v>
      </c>
      <c r="F333" s="110" t="s">
        <v>108</v>
      </c>
      <c r="I333">
        <v>2650</v>
      </c>
    </row>
    <row r="334" spans="1:9" x14ac:dyDescent="0.3">
      <c r="A334" s="114">
        <v>46097</v>
      </c>
      <c r="B334" t="s">
        <v>221</v>
      </c>
      <c r="C334" s="11">
        <f>5293+1282</f>
        <v>6575</v>
      </c>
      <c r="D334" s="11"/>
      <c r="E334" t="s">
        <v>474</v>
      </c>
      <c r="F334" s="110" t="s">
        <v>108</v>
      </c>
      <c r="I334">
        <v>17060</v>
      </c>
    </row>
    <row r="335" spans="1:9" x14ac:dyDescent="0.3">
      <c r="A335" s="114">
        <v>46098</v>
      </c>
      <c r="B335" t="s">
        <v>282</v>
      </c>
      <c r="C335" s="11">
        <v>165000</v>
      </c>
      <c r="D335" s="11"/>
      <c r="E335" t="s">
        <v>329</v>
      </c>
      <c r="F335" s="110" t="s">
        <v>108</v>
      </c>
      <c r="I335">
        <v>10000</v>
      </c>
    </row>
    <row r="336" spans="1:9" x14ac:dyDescent="0.3">
      <c r="A336" s="114">
        <v>46098</v>
      </c>
      <c r="B336" t="s">
        <v>282</v>
      </c>
      <c r="C336" s="11">
        <v>50000</v>
      </c>
      <c r="D336" s="11"/>
      <c r="E336" t="s">
        <v>404</v>
      </c>
      <c r="F336" s="110" t="s">
        <v>108</v>
      </c>
      <c r="I336">
        <v>154000</v>
      </c>
    </row>
    <row r="337" spans="1:6" x14ac:dyDescent="0.3">
      <c r="A337" s="114">
        <v>46098</v>
      </c>
      <c r="B337" t="s">
        <v>113</v>
      </c>
      <c r="C337" s="11">
        <v>44730</v>
      </c>
      <c r="D337" s="11"/>
      <c r="E337" t="s">
        <v>471</v>
      </c>
      <c r="F337" s="110" t="s">
        <v>108</v>
      </c>
    </row>
    <row r="338" spans="1:6" x14ac:dyDescent="0.3">
      <c r="A338" s="114">
        <v>46098</v>
      </c>
      <c r="B338" t="s">
        <v>55</v>
      </c>
      <c r="C338" s="11">
        <v>1150</v>
      </c>
      <c r="D338" s="11"/>
      <c r="F338" s="110" t="s">
        <v>108</v>
      </c>
    </row>
    <row r="339" spans="1:6" x14ac:dyDescent="0.3">
      <c r="A339" s="114">
        <v>46098</v>
      </c>
      <c r="B339" t="s">
        <v>221</v>
      </c>
      <c r="C339" s="11">
        <v>600</v>
      </c>
      <c r="D339" s="11"/>
      <c r="E339" t="s">
        <v>472</v>
      </c>
      <c r="F339" s="110" t="s">
        <v>108</v>
      </c>
    </row>
    <row r="340" spans="1:6" x14ac:dyDescent="0.3">
      <c r="A340" s="114">
        <v>46098</v>
      </c>
      <c r="B340" t="s">
        <v>212</v>
      </c>
      <c r="C340" s="95">
        <f>1500+800+400+760+1500+900+1200</f>
        <v>7060</v>
      </c>
      <c r="D340" s="95"/>
      <c r="F340" s="110" t="s">
        <v>108</v>
      </c>
    </row>
    <row r="341" spans="1:6" x14ac:dyDescent="0.3">
      <c r="A341" s="114">
        <v>46098</v>
      </c>
      <c r="B341" t="s">
        <v>221</v>
      </c>
      <c r="C341" s="11">
        <v>2640</v>
      </c>
      <c r="D341" s="11"/>
      <c r="E341" t="s">
        <v>473</v>
      </c>
      <c r="F341" s="110" t="s">
        <v>108</v>
      </c>
    </row>
    <row r="342" spans="1:6" x14ac:dyDescent="0.3">
      <c r="A342" s="114">
        <v>46098</v>
      </c>
      <c r="B342" t="s">
        <v>220</v>
      </c>
      <c r="C342" s="11">
        <v>100000</v>
      </c>
      <c r="D342" s="11"/>
      <c r="E342" t="s">
        <v>486</v>
      </c>
      <c r="F342" s="110" t="s">
        <v>108</v>
      </c>
    </row>
    <row r="343" spans="1:6" x14ac:dyDescent="0.3">
      <c r="A343" s="114">
        <v>46098</v>
      </c>
      <c r="B343" t="s">
        <v>245</v>
      </c>
      <c r="C343" s="11"/>
      <c r="D343" s="11">
        <v>200000</v>
      </c>
      <c r="F343" s="110" t="s">
        <v>108</v>
      </c>
    </row>
    <row r="344" spans="1:6" x14ac:dyDescent="0.3">
      <c r="A344" s="114">
        <v>46098</v>
      </c>
      <c r="B344" t="s">
        <v>115</v>
      </c>
      <c r="C344" s="95">
        <v>100000</v>
      </c>
      <c r="D344" s="95"/>
      <c r="F344" s="110" t="s">
        <v>108</v>
      </c>
    </row>
    <row r="345" spans="1:6" x14ac:dyDescent="0.3">
      <c r="A345" s="114">
        <v>46099</v>
      </c>
      <c r="B345" t="s">
        <v>282</v>
      </c>
      <c r="C345" s="11">
        <v>50000</v>
      </c>
      <c r="D345" s="11"/>
      <c r="E345" t="s">
        <v>329</v>
      </c>
      <c r="F345" s="110" t="s">
        <v>108</v>
      </c>
    </row>
    <row r="346" spans="1:6" x14ac:dyDescent="0.3">
      <c r="A346" s="114">
        <v>46099</v>
      </c>
      <c r="B346" t="s">
        <v>246</v>
      </c>
      <c r="C346" s="11">
        <v>2710</v>
      </c>
      <c r="D346" s="11"/>
      <c r="E346" t="s">
        <v>480</v>
      </c>
      <c r="F346" s="110" t="s">
        <v>108</v>
      </c>
    </row>
    <row r="347" spans="1:6" x14ac:dyDescent="0.3">
      <c r="A347" s="114">
        <v>46099</v>
      </c>
      <c r="B347" t="s">
        <v>282</v>
      </c>
      <c r="C347" s="11">
        <v>2666</v>
      </c>
      <c r="D347" s="11"/>
      <c r="E347" t="s">
        <v>448</v>
      </c>
      <c r="F347" s="110" t="s">
        <v>108</v>
      </c>
    </row>
    <row r="348" spans="1:6" x14ac:dyDescent="0.3">
      <c r="A348" s="114">
        <v>46099</v>
      </c>
      <c r="B348" t="s">
        <v>221</v>
      </c>
      <c r="C348" s="11">
        <v>900</v>
      </c>
      <c r="D348" s="11"/>
      <c r="E348" t="s">
        <v>481</v>
      </c>
      <c r="F348" s="110" t="s">
        <v>108</v>
      </c>
    </row>
    <row r="349" spans="1:6" x14ac:dyDescent="0.3">
      <c r="A349" s="114">
        <v>46099</v>
      </c>
      <c r="B349" t="s">
        <v>225</v>
      </c>
      <c r="C349" s="11"/>
      <c r="D349" s="11">
        <v>100000</v>
      </c>
      <c r="E349" t="s">
        <v>482</v>
      </c>
      <c r="F349" s="110" t="s">
        <v>108</v>
      </c>
    </row>
    <row r="350" spans="1:6" x14ac:dyDescent="0.3">
      <c r="A350" s="38">
        <v>46099</v>
      </c>
      <c r="B350" t="s">
        <v>246</v>
      </c>
      <c r="C350" s="11">
        <v>20000</v>
      </c>
      <c r="D350" s="11"/>
      <c r="E350" t="s">
        <v>483</v>
      </c>
      <c r="F350" s="110" t="s">
        <v>108</v>
      </c>
    </row>
    <row r="351" spans="1:6" x14ac:dyDescent="0.3">
      <c r="A351" s="114">
        <v>46099</v>
      </c>
      <c r="B351" t="s">
        <v>212</v>
      </c>
      <c r="C351" s="95">
        <f>760+581</f>
        <v>1341</v>
      </c>
      <c r="D351" s="95"/>
      <c r="F351" s="110" t="s">
        <v>108</v>
      </c>
    </row>
    <row r="352" spans="1:6" x14ac:dyDescent="0.3">
      <c r="A352" s="114">
        <v>46100</v>
      </c>
      <c r="B352" t="s">
        <v>55</v>
      </c>
      <c r="C352" s="95">
        <v>50000</v>
      </c>
      <c r="D352" s="95"/>
      <c r="E352" t="s">
        <v>484</v>
      </c>
      <c r="F352" s="110" t="s">
        <v>108</v>
      </c>
    </row>
    <row r="353" spans="1:6" x14ac:dyDescent="0.3">
      <c r="A353" s="114">
        <v>46100</v>
      </c>
      <c r="B353" t="s">
        <v>220</v>
      </c>
      <c r="C353" s="95"/>
      <c r="D353" s="95">
        <v>50000</v>
      </c>
      <c r="E353" t="s">
        <v>484</v>
      </c>
      <c r="F353" s="110" t="s">
        <v>108</v>
      </c>
    </row>
    <row r="354" spans="1:6" x14ac:dyDescent="0.3">
      <c r="A354" s="114">
        <v>46100</v>
      </c>
      <c r="B354" t="s">
        <v>220</v>
      </c>
      <c r="C354" s="95"/>
      <c r="D354" s="95">
        <v>1800000</v>
      </c>
      <c r="E354" t="s">
        <v>485</v>
      </c>
      <c r="F354" s="110" t="s">
        <v>108</v>
      </c>
    </row>
    <row r="355" spans="1:6" x14ac:dyDescent="0.3">
      <c r="A355" s="114">
        <v>46101</v>
      </c>
      <c r="B355" t="s">
        <v>221</v>
      </c>
      <c r="C355" s="95">
        <v>2500</v>
      </c>
      <c r="D355" s="95"/>
      <c r="E355" t="s">
        <v>487</v>
      </c>
      <c r="F355" s="110" t="s">
        <v>108</v>
      </c>
    </row>
    <row r="356" spans="1:6" x14ac:dyDescent="0.3">
      <c r="A356" s="114">
        <v>46101</v>
      </c>
      <c r="B356" t="s">
        <v>221</v>
      </c>
      <c r="C356" s="11">
        <v>581</v>
      </c>
      <c r="D356" s="11"/>
      <c r="E356" t="s">
        <v>497</v>
      </c>
      <c r="F356" s="110" t="s">
        <v>108</v>
      </c>
    </row>
    <row r="357" spans="1:6" x14ac:dyDescent="0.3">
      <c r="A357" s="38">
        <v>46101</v>
      </c>
      <c r="B357" t="s">
        <v>54</v>
      </c>
      <c r="C357" s="11">
        <v>5000</v>
      </c>
      <c r="D357" s="11"/>
      <c r="E357" t="s">
        <v>290</v>
      </c>
      <c r="F357" s="110" t="s">
        <v>108</v>
      </c>
    </row>
    <row r="358" spans="1:6" x14ac:dyDescent="0.3">
      <c r="A358" s="38">
        <v>46101</v>
      </c>
      <c r="B358" t="s">
        <v>212</v>
      </c>
      <c r="C358" s="11">
        <f>594+526</f>
        <v>1120</v>
      </c>
      <c r="D358" s="11"/>
      <c r="F358" s="110" t="s">
        <v>108</v>
      </c>
    </row>
    <row r="359" spans="1:6" x14ac:dyDescent="0.3">
      <c r="A359" s="38">
        <v>46101</v>
      </c>
      <c r="B359" t="s">
        <v>409</v>
      </c>
      <c r="C359" s="11"/>
      <c r="D359" s="11">
        <v>300000</v>
      </c>
      <c r="E359" t="s">
        <v>518</v>
      </c>
      <c r="F359" s="110" t="s">
        <v>108</v>
      </c>
    </row>
    <row r="360" spans="1:6" x14ac:dyDescent="0.3">
      <c r="A360" s="38">
        <v>46101</v>
      </c>
      <c r="B360" t="s">
        <v>298</v>
      </c>
      <c r="C360" s="11">
        <v>100470</v>
      </c>
      <c r="D360" s="11"/>
      <c r="E360" t="s">
        <v>519</v>
      </c>
      <c r="F360" s="110" t="s">
        <v>108</v>
      </c>
    </row>
    <row r="361" spans="1:6" x14ac:dyDescent="0.3">
      <c r="A361" s="38">
        <v>46101</v>
      </c>
      <c r="B361" t="s">
        <v>55</v>
      </c>
      <c r="C361" s="11">
        <v>20000</v>
      </c>
      <c r="D361" s="11"/>
      <c r="E361" t="s">
        <v>520</v>
      </c>
      <c r="F361" s="110" t="s">
        <v>108</v>
      </c>
    </row>
    <row r="362" spans="1:6" x14ac:dyDescent="0.3">
      <c r="A362" s="38">
        <v>46101</v>
      </c>
      <c r="B362" t="s">
        <v>222</v>
      </c>
      <c r="C362" s="11">
        <v>104470</v>
      </c>
      <c r="D362" s="11"/>
      <c r="E362" t="s">
        <v>521</v>
      </c>
      <c r="F362" s="110" t="s">
        <v>108</v>
      </c>
    </row>
    <row r="363" spans="1:6" x14ac:dyDescent="0.3">
      <c r="A363" s="38">
        <v>46101</v>
      </c>
      <c r="B363" t="s">
        <v>220</v>
      </c>
      <c r="C363" s="11">
        <f>300000-SUM(C360:C362)</f>
        <v>75060</v>
      </c>
      <c r="D363" s="11"/>
      <c r="E363" t="s">
        <v>522</v>
      </c>
      <c r="F363" s="110" t="s">
        <v>108</v>
      </c>
    </row>
    <row r="364" spans="1:6" x14ac:dyDescent="0.3">
      <c r="A364" s="38">
        <v>46101</v>
      </c>
      <c r="B364" t="s">
        <v>54</v>
      </c>
      <c r="C364" s="11">
        <v>8151</v>
      </c>
      <c r="D364" s="11"/>
      <c r="E364" t="s">
        <v>290</v>
      </c>
      <c r="F364" s="110" t="s">
        <v>108</v>
      </c>
    </row>
    <row r="365" spans="1:6" x14ac:dyDescent="0.3">
      <c r="A365" s="114">
        <v>46102</v>
      </c>
      <c r="B365" t="s">
        <v>221</v>
      </c>
      <c r="C365" s="11">
        <v>35102</v>
      </c>
      <c r="D365" s="11"/>
      <c r="E365" t="s">
        <v>498</v>
      </c>
      <c r="F365" s="110" t="s">
        <v>108</v>
      </c>
    </row>
    <row r="366" spans="1:6" x14ac:dyDescent="0.3">
      <c r="A366" s="114">
        <v>46102</v>
      </c>
      <c r="B366" t="s">
        <v>212</v>
      </c>
      <c r="C366" s="11">
        <v>1200</v>
      </c>
      <c r="D366" s="11"/>
      <c r="F366" s="110" t="s">
        <v>108</v>
      </c>
    </row>
    <row r="367" spans="1:6" x14ac:dyDescent="0.3">
      <c r="A367" s="114">
        <v>46103</v>
      </c>
      <c r="B367" t="s">
        <v>221</v>
      </c>
      <c r="C367" s="95">
        <v>50000</v>
      </c>
      <c r="D367" s="95"/>
      <c r="E367" t="s">
        <v>487</v>
      </c>
      <c r="F367" s="110" t="s">
        <v>108</v>
      </c>
    </row>
    <row r="368" spans="1:6" x14ac:dyDescent="0.3">
      <c r="A368" s="114">
        <v>46105</v>
      </c>
      <c r="B368" t="s">
        <v>220</v>
      </c>
      <c r="C368" s="95"/>
      <c r="D368" s="95">
        <v>490000</v>
      </c>
      <c r="E368" t="s">
        <v>488</v>
      </c>
      <c r="F368" s="110" t="s">
        <v>108</v>
      </c>
    </row>
    <row r="369" spans="1:6" x14ac:dyDescent="0.3">
      <c r="A369" s="114">
        <v>46105</v>
      </c>
      <c r="B369" t="s">
        <v>220</v>
      </c>
      <c r="C369" s="95"/>
      <c r="D369" s="95">
        <v>125000</v>
      </c>
      <c r="E369" t="s">
        <v>489</v>
      </c>
      <c r="F369" s="110" t="s">
        <v>108</v>
      </c>
    </row>
    <row r="370" spans="1:6" x14ac:dyDescent="0.3">
      <c r="A370" s="114">
        <v>46105</v>
      </c>
      <c r="B370" t="s">
        <v>51</v>
      </c>
      <c r="C370" s="11">
        <v>2576170</v>
      </c>
      <c r="D370" s="11"/>
      <c r="F370" s="110" t="s">
        <v>108</v>
      </c>
    </row>
    <row r="371" spans="1:6" x14ac:dyDescent="0.3">
      <c r="A371" s="114">
        <v>46105</v>
      </c>
      <c r="B371" t="s">
        <v>220</v>
      </c>
      <c r="C371" s="11"/>
      <c r="D371" s="11">
        <v>130000</v>
      </c>
      <c r="E371" t="s">
        <v>490</v>
      </c>
      <c r="F371" s="110" t="s">
        <v>108</v>
      </c>
    </row>
    <row r="372" spans="1:6" x14ac:dyDescent="0.3">
      <c r="A372" s="114">
        <v>46105</v>
      </c>
      <c r="B372" t="s">
        <v>54</v>
      </c>
      <c r="C372" s="11">
        <v>5000</v>
      </c>
      <c r="D372" s="11"/>
      <c r="E372" t="s">
        <v>496</v>
      </c>
      <c r="F372" s="110" t="s">
        <v>108</v>
      </c>
    </row>
    <row r="373" spans="1:6" x14ac:dyDescent="0.3">
      <c r="A373" s="114">
        <v>46105</v>
      </c>
      <c r="B373" t="s">
        <v>221</v>
      </c>
      <c r="C373" s="95">
        <v>730</v>
      </c>
      <c r="D373" s="95"/>
      <c r="F373" s="110" t="s">
        <v>108</v>
      </c>
    </row>
    <row r="374" spans="1:6" x14ac:dyDescent="0.3">
      <c r="A374" s="114">
        <v>46107</v>
      </c>
      <c r="B374" t="s">
        <v>192</v>
      </c>
      <c r="C374" s="11"/>
      <c r="D374" s="11">
        <v>50000</v>
      </c>
      <c r="F374" s="110" t="s">
        <v>108</v>
      </c>
    </row>
    <row r="375" spans="1:6" x14ac:dyDescent="0.3">
      <c r="A375" s="114">
        <v>46107</v>
      </c>
      <c r="B375" t="s">
        <v>55</v>
      </c>
      <c r="C375" s="11">
        <v>896</v>
      </c>
      <c r="D375" s="11"/>
      <c r="F375" s="110" t="s">
        <v>108</v>
      </c>
    </row>
    <row r="376" spans="1:6" x14ac:dyDescent="0.3">
      <c r="A376" s="114">
        <v>46107</v>
      </c>
      <c r="B376" t="s">
        <v>55</v>
      </c>
      <c r="C376" s="11">
        <v>4200</v>
      </c>
      <c r="D376" s="11"/>
      <c r="F376" s="110" t="s">
        <v>108</v>
      </c>
    </row>
    <row r="377" spans="1:6" x14ac:dyDescent="0.3">
      <c r="A377" s="114">
        <v>46108</v>
      </c>
      <c r="B377" t="s">
        <v>357</v>
      </c>
      <c r="C377" s="11">
        <v>5000</v>
      </c>
      <c r="D377" s="11"/>
      <c r="E377" t="s">
        <v>469</v>
      </c>
      <c r="F377" s="110" t="s">
        <v>108</v>
      </c>
    </row>
    <row r="378" spans="1:6" x14ac:dyDescent="0.3">
      <c r="A378" s="114">
        <v>46109</v>
      </c>
      <c r="B378" t="s">
        <v>55</v>
      </c>
      <c r="C378" s="11">
        <v>1250</v>
      </c>
      <c r="D378" s="11"/>
      <c r="E378" t="s">
        <v>491</v>
      </c>
      <c r="F378" s="110" t="s">
        <v>108</v>
      </c>
    </row>
    <row r="379" spans="1:6" x14ac:dyDescent="0.3">
      <c r="A379" s="114">
        <v>46109</v>
      </c>
      <c r="B379" t="s">
        <v>202</v>
      </c>
      <c r="C379" s="11"/>
      <c r="D379" s="11">
        <v>135000</v>
      </c>
      <c r="E379" t="s">
        <v>492</v>
      </c>
      <c r="F379" s="110" t="s">
        <v>108</v>
      </c>
    </row>
    <row r="380" spans="1:6" x14ac:dyDescent="0.3">
      <c r="A380" s="114">
        <v>46109</v>
      </c>
      <c r="B380" t="s">
        <v>228</v>
      </c>
      <c r="C380" s="11"/>
      <c r="D380" s="11">
        <v>75000</v>
      </c>
      <c r="E380" t="s">
        <v>493</v>
      </c>
      <c r="F380" s="110" t="s">
        <v>108</v>
      </c>
    </row>
    <row r="381" spans="1:6" x14ac:dyDescent="0.3">
      <c r="A381" s="114">
        <v>46109</v>
      </c>
      <c r="B381" t="s">
        <v>9</v>
      </c>
      <c r="C381" s="11"/>
      <c r="D381" s="11">
        <v>125000</v>
      </c>
      <c r="E381" t="s">
        <v>494</v>
      </c>
      <c r="F381" s="110" t="s">
        <v>108</v>
      </c>
    </row>
    <row r="382" spans="1:6" x14ac:dyDescent="0.3">
      <c r="A382" s="114">
        <v>46109</v>
      </c>
      <c r="B382" t="s">
        <v>169</v>
      </c>
      <c r="C382" s="11">
        <v>200100</v>
      </c>
      <c r="D382" s="11"/>
      <c r="E382" t="s">
        <v>495</v>
      </c>
      <c r="F382" s="110" t="s">
        <v>108</v>
      </c>
    </row>
    <row r="383" spans="1:6" x14ac:dyDescent="0.3">
      <c r="A383" s="114">
        <v>46109</v>
      </c>
      <c r="B383" t="s">
        <v>212</v>
      </c>
      <c r="C383" s="95">
        <f>760*4</f>
        <v>3040</v>
      </c>
      <c r="D383" s="95"/>
      <c r="F383" s="110" t="s">
        <v>108</v>
      </c>
    </row>
    <row r="384" spans="1:6" x14ac:dyDescent="0.3">
      <c r="A384" s="114">
        <v>46109</v>
      </c>
      <c r="B384" t="s">
        <v>221</v>
      </c>
      <c r="C384" s="11">
        <v>3500</v>
      </c>
      <c r="D384" s="11"/>
      <c r="E384" t="s">
        <v>499</v>
      </c>
      <c r="F384" s="110" t="s">
        <v>108</v>
      </c>
    </row>
    <row r="385" spans="1:6" x14ac:dyDescent="0.3">
      <c r="A385" s="114">
        <v>46110</v>
      </c>
      <c r="B385" t="s">
        <v>249</v>
      </c>
      <c r="C385" s="11">
        <v>10000</v>
      </c>
      <c r="D385" s="11"/>
      <c r="E385" t="s">
        <v>447</v>
      </c>
      <c r="F385" s="110" t="s">
        <v>108</v>
      </c>
    </row>
    <row r="386" spans="1:6" x14ac:dyDescent="0.3">
      <c r="A386" s="114">
        <v>46111</v>
      </c>
      <c r="B386" t="s">
        <v>54</v>
      </c>
      <c r="C386" s="95">
        <v>5000</v>
      </c>
      <c r="D386" s="95"/>
      <c r="E386" t="s">
        <v>290</v>
      </c>
      <c r="F386" s="110" t="s">
        <v>108</v>
      </c>
    </row>
    <row r="387" spans="1:6" x14ac:dyDescent="0.3">
      <c r="A387" s="114">
        <v>46112</v>
      </c>
      <c r="B387" t="s">
        <v>500</v>
      </c>
      <c r="C387" s="11"/>
      <c r="D387" s="11">
        <v>463280</v>
      </c>
      <c r="F387" s="110" t="s">
        <v>108</v>
      </c>
    </row>
    <row r="388" spans="1:6" x14ac:dyDescent="0.3">
      <c r="A388" s="38">
        <v>46112</v>
      </c>
      <c r="B388" t="s">
        <v>249</v>
      </c>
      <c r="C388" s="11">
        <v>52000</v>
      </c>
      <c r="D388" s="11"/>
      <c r="E388" t="s">
        <v>501</v>
      </c>
      <c r="F388" s="110" t="s">
        <v>108</v>
      </c>
    </row>
    <row r="389" spans="1:6" x14ac:dyDescent="0.3">
      <c r="A389" s="38">
        <v>46112</v>
      </c>
      <c r="B389" t="s">
        <v>357</v>
      </c>
      <c r="C389" s="11">
        <v>5000</v>
      </c>
      <c r="D389" s="11"/>
      <c r="E389" t="s">
        <v>469</v>
      </c>
      <c r="F389" s="110" t="s">
        <v>108</v>
      </c>
    </row>
    <row r="390" spans="1:6" x14ac:dyDescent="0.3">
      <c r="A390" s="114">
        <v>46112</v>
      </c>
      <c r="B390" t="s">
        <v>249</v>
      </c>
      <c r="C390" s="11">
        <v>3280</v>
      </c>
      <c r="D390" s="11"/>
      <c r="E390" t="s">
        <v>247</v>
      </c>
      <c r="F390" s="110" t="s">
        <v>108</v>
      </c>
    </row>
    <row r="391" spans="1:6" x14ac:dyDescent="0.3">
      <c r="A391" s="114">
        <v>46113</v>
      </c>
      <c r="B391" t="s">
        <v>225</v>
      </c>
      <c r="C391" s="11"/>
      <c r="D391" s="11">
        <v>100000</v>
      </c>
      <c r="E391" t="s">
        <v>502</v>
      </c>
      <c r="F391" s="110" t="s">
        <v>108</v>
      </c>
    </row>
    <row r="392" spans="1:6" x14ac:dyDescent="0.3">
      <c r="A392" s="114">
        <v>46113</v>
      </c>
      <c r="B392" t="s">
        <v>55</v>
      </c>
      <c r="C392" s="95">
        <v>30000</v>
      </c>
      <c r="D392" s="95"/>
      <c r="E392" t="s">
        <v>503</v>
      </c>
      <c r="F392" s="110" t="s">
        <v>108</v>
      </c>
    </row>
    <row r="393" spans="1:6" x14ac:dyDescent="0.3">
      <c r="A393" s="114">
        <v>46113</v>
      </c>
      <c r="B393" t="s">
        <v>357</v>
      </c>
      <c r="C393" s="95">
        <v>40000</v>
      </c>
      <c r="D393" s="95"/>
      <c r="E393" t="s">
        <v>281</v>
      </c>
      <c r="F393" s="110" t="s">
        <v>108</v>
      </c>
    </row>
    <row r="394" spans="1:6" x14ac:dyDescent="0.3">
      <c r="A394" s="114">
        <v>46113</v>
      </c>
      <c r="B394" t="s">
        <v>246</v>
      </c>
      <c r="C394" s="95">
        <v>2000</v>
      </c>
      <c r="D394" s="95"/>
      <c r="E394" t="s">
        <v>504</v>
      </c>
      <c r="F394" s="110" t="s">
        <v>108</v>
      </c>
    </row>
    <row r="395" spans="1:6" x14ac:dyDescent="0.3">
      <c r="A395" s="114">
        <v>46113</v>
      </c>
      <c r="B395" t="s">
        <v>55</v>
      </c>
      <c r="C395" s="95">
        <v>2625</v>
      </c>
      <c r="D395" s="95"/>
      <c r="F395" s="110" t="s">
        <v>108</v>
      </c>
    </row>
    <row r="396" spans="1:6" x14ac:dyDescent="0.3">
      <c r="A396" s="114">
        <v>46113</v>
      </c>
      <c r="B396" t="s">
        <v>94</v>
      </c>
      <c r="C396" s="95">
        <v>150000</v>
      </c>
      <c r="D396" s="11"/>
      <c r="E396" t="s">
        <v>505</v>
      </c>
      <c r="F396" s="110" t="s">
        <v>108</v>
      </c>
    </row>
    <row r="397" spans="1:6" x14ac:dyDescent="0.3">
      <c r="A397" s="38">
        <v>46113</v>
      </c>
      <c r="B397" t="s">
        <v>212</v>
      </c>
      <c r="C397" s="95">
        <v>250000</v>
      </c>
      <c r="D397" s="95"/>
      <c r="E397" t="s">
        <v>506</v>
      </c>
      <c r="F397" s="110" t="s">
        <v>108</v>
      </c>
    </row>
    <row r="398" spans="1:6" x14ac:dyDescent="0.3">
      <c r="A398" s="38">
        <v>46113</v>
      </c>
      <c r="B398" t="s">
        <v>212</v>
      </c>
      <c r="C398" s="95"/>
      <c r="D398" s="95">
        <v>5000</v>
      </c>
      <c r="E398" t="s">
        <v>507</v>
      </c>
      <c r="F398" s="110" t="s">
        <v>108</v>
      </c>
    </row>
    <row r="399" spans="1:6" x14ac:dyDescent="0.3">
      <c r="A399" s="38">
        <v>46113</v>
      </c>
      <c r="B399" t="s">
        <v>508</v>
      </c>
      <c r="C399" s="95">
        <v>5000</v>
      </c>
      <c r="D399" s="95"/>
      <c r="F399" s="110" t="s">
        <v>108</v>
      </c>
    </row>
    <row r="400" spans="1:6" x14ac:dyDescent="0.3">
      <c r="A400" s="38">
        <v>46113</v>
      </c>
      <c r="B400" t="s">
        <v>249</v>
      </c>
      <c r="C400" s="95"/>
      <c r="D400" s="95"/>
      <c r="F400" s="110" t="s">
        <v>108</v>
      </c>
    </row>
    <row r="401" spans="1:15" x14ac:dyDescent="0.3">
      <c r="A401" s="38">
        <v>46113</v>
      </c>
      <c r="B401" t="s">
        <v>282</v>
      </c>
      <c r="C401" s="95"/>
      <c r="D401" s="95"/>
      <c r="E401" t="s">
        <v>509</v>
      </c>
      <c r="F401" s="110" t="s">
        <v>108</v>
      </c>
    </row>
    <row r="402" spans="1:15" x14ac:dyDescent="0.3">
      <c r="A402" s="38">
        <v>46113</v>
      </c>
      <c r="B402" t="s">
        <v>55</v>
      </c>
      <c r="C402" s="95">
        <v>3400</v>
      </c>
      <c r="D402" s="95"/>
      <c r="E402" t="s">
        <v>510</v>
      </c>
      <c r="F402" s="110" t="s">
        <v>108</v>
      </c>
    </row>
    <row r="403" spans="1:15" x14ac:dyDescent="0.3">
      <c r="A403" s="38">
        <v>46114</v>
      </c>
      <c r="B403" t="s">
        <v>212</v>
      </c>
      <c r="C403" s="95">
        <v>100000</v>
      </c>
      <c r="D403" s="95"/>
      <c r="E403" t="s">
        <v>511</v>
      </c>
      <c r="F403" s="110" t="s">
        <v>108</v>
      </c>
    </row>
    <row r="404" spans="1:15" x14ac:dyDescent="0.3">
      <c r="A404" s="38">
        <v>46114</v>
      </c>
      <c r="B404" t="s">
        <v>249</v>
      </c>
      <c r="C404" s="95"/>
      <c r="D404" s="95"/>
      <c r="E404" t="s">
        <v>437</v>
      </c>
      <c r="F404" s="110" t="s">
        <v>108</v>
      </c>
    </row>
    <row r="405" spans="1:15" x14ac:dyDescent="0.3">
      <c r="A405" s="38">
        <v>46114</v>
      </c>
      <c r="B405" t="s">
        <v>225</v>
      </c>
      <c r="C405" s="95"/>
      <c r="D405" s="95">
        <v>60635</v>
      </c>
      <c r="E405" t="s">
        <v>512</v>
      </c>
      <c r="F405" s="110" t="s">
        <v>108</v>
      </c>
    </row>
    <row r="406" spans="1:15" x14ac:dyDescent="0.3">
      <c r="A406" s="38">
        <v>46114</v>
      </c>
      <c r="B406" t="s">
        <v>282</v>
      </c>
      <c r="C406" s="95">
        <v>15150</v>
      </c>
      <c r="D406" s="95"/>
      <c r="E406" t="s">
        <v>327</v>
      </c>
      <c r="F406" s="110" t="s">
        <v>108</v>
      </c>
    </row>
    <row r="407" spans="1:15" x14ac:dyDescent="0.3">
      <c r="A407" s="38">
        <v>46114</v>
      </c>
      <c r="B407" t="s">
        <v>9</v>
      </c>
      <c r="C407" s="95"/>
      <c r="D407" s="95">
        <v>100000</v>
      </c>
      <c r="E407" t="s">
        <v>513</v>
      </c>
      <c r="F407" s="110" t="s">
        <v>108</v>
      </c>
    </row>
    <row r="408" spans="1:15" x14ac:dyDescent="0.3">
      <c r="A408" s="38">
        <v>46114</v>
      </c>
      <c r="B408" t="s">
        <v>169</v>
      </c>
      <c r="C408" s="95">
        <v>150100</v>
      </c>
      <c r="D408" s="95"/>
      <c r="E408" t="s">
        <v>514</v>
      </c>
      <c r="F408" s="110" t="s">
        <v>108</v>
      </c>
    </row>
    <row r="409" spans="1:15" x14ac:dyDescent="0.3">
      <c r="A409" s="38">
        <v>46114</v>
      </c>
      <c r="B409" t="s">
        <v>54</v>
      </c>
      <c r="C409" s="95">
        <v>12038</v>
      </c>
      <c r="D409" s="95"/>
      <c r="F409" s="110" t="s">
        <v>108</v>
      </c>
    </row>
    <row r="410" spans="1:15" x14ac:dyDescent="0.3">
      <c r="A410" s="38">
        <v>46114</v>
      </c>
      <c r="B410" t="s">
        <v>212</v>
      </c>
      <c r="C410" s="95">
        <f>620+1470+1470+481+2711+760</f>
        <v>7512</v>
      </c>
      <c r="D410" s="95"/>
      <c r="F410" s="110" t="s">
        <v>108</v>
      </c>
    </row>
    <row r="411" spans="1:15" x14ac:dyDescent="0.3">
      <c r="A411" s="38">
        <v>46114</v>
      </c>
      <c r="B411" t="s">
        <v>221</v>
      </c>
      <c r="C411" s="95">
        <f>9714-5500</f>
        <v>4214</v>
      </c>
      <c r="D411" s="95"/>
      <c r="E411" t="s">
        <v>515</v>
      </c>
      <c r="F411" s="110" t="s">
        <v>108</v>
      </c>
    </row>
    <row r="412" spans="1:15" x14ac:dyDescent="0.3">
      <c r="A412" s="114">
        <v>46115</v>
      </c>
      <c r="B412" t="s">
        <v>221</v>
      </c>
      <c r="C412" s="11">
        <v>5615</v>
      </c>
      <c r="D412" s="11"/>
      <c r="E412" t="s">
        <v>516</v>
      </c>
      <c r="F412" s="110" t="s">
        <v>108</v>
      </c>
    </row>
    <row r="413" spans="1:15" x14ac:dyDescent="0.3">
      <c r="A413" s="38">
        <v>46115</v>
      </c>
      <c r="B413" t="s">
        <v>220</v>
      </c>
      <c r="C413" s="11"/>
      <c r="D413" s="11">
        <f>71000+50000</f>
        <v>121000</v>
      </c>
      <c r="E413" t="s">
        <v>449</v>
      </c>
      <c r="F413" s="110" t="s">
        <v>108</v>
      </c>
    </row>
    <row r="414" spans="1:15" x14ac:dyDescent="0.3">
      <c r="A414" s="38">
        <v>46115</v>
      </c>
      <c r="B414" t="s">
        <v>298</v>
      </c>
      <c r="C414" s="95">
        <v>60214</v>
      </c>
      <c r="D414" s="95"/>
      <c r="E414" t="s">
        <v>517</v>
      </c>
      <c r="F414" s="110" t="s">
        <v>108</v>
      </c>
    </row>
    <row r="415" spans="1:15" x14ac:dyDescent="0.3">
      <c r="A415" s="38">
        <v>46116</v>
      </c>
      <c r="B415" t="s">
        <v>115</v>
      </c>
      <c r="C415" s="95">
        <v>100000</v>
      </c>
      <c r="D415" s="95"/>
      <c r="F415" s="110" t="s">
        <v>108</v>
      </c>
      <c r="J415">
        <v>30000</v>
      </c>
      <c r="L415">
        <v>10000</v>
      </c>
      <c r="M415">
        <v>16300</v>
      </c>
      <c r="O415">
        <v>5100</v>
      </c>
    </row>
    <row r="416" spans="1:15" x14ac:dyDescent="0.3">
      <c r="A416" s="38">
        <v>46116</v>
      </c>
      <c r="B416" t="s">
        <v>220</v>
      </c>
      <c r="C416" s="11"/>
      <c r="D416" s="11">
        <v>100000</v>
      </c>
      <c r="E416" t="s">
        <v>523</v>
      </c>
      <c r="F416" s="110" t="s">
        <v>108</v>
      </c>
      <c r="J416">
        <v>119760</v>
      </c>
      <c r="L416">
        <v>3200</v>
      </c>
      <c r="M416">
        <v>12800</v>
      </c>
      <c r="O416">
        <v>12300</v>
      </c>
    </row>
    <row r="417" spans="1:15" x14ac:dyDescent="0.3">
      <c r="A417" s="38">
        <v>46116</v>
      </c>
      <c r="B417" t="s">
        <v>221</v>
      </c>
      <c r="C417" s="11">
        <v>8000</v>
      </c>
      <c r="D417" s="11"/>
      <c r="E417" t="s">
        <v>524</v>
      </c>
      <c r="F417" s="110" t="s">
        <v>108</v>
      </c>
      <c r="J417">
        <v>35000</v>
      </c>
      <c r="L417">
        <v>22800</v>
      </c>
      <c r="M417">
        <v>22650</v>
      </c>
      <c r="O417">
        <v>10810</v>
      </c>
    </row>
    <row r="418" spans="1:15" x14ac:dyDescent="0.3">
      <c r="A418" s="114">
        <v>46116</v>
      </c>
      <c r="B418" t="s">
        <v>246</v>
      </c>
      <c r="C418" s="11">
        <v>5000</v>
      </c>
      <c r="D418" s="11"/>
      <c r="E418" t="s">
        <v>525</v>
      </c>
      <c r="F418" s="110" t="s">
        <v>108</v>
      </c>
      <c r="J418">
        <v>29600</v>
      </c>
      <c r="L418">
        <v>29600</v>
      </c>
      <c r="M418">
        <v>22800</v>
      </c>
      <c r="O418">
        <v>12000</v>
      </c>
    </row>
    <row r="419" spans="1:15" x14ac:dyDescent="0.3">
      <c r="A419" s="114">
        <v>46116</v>
      </c>
      <c r="B419" t="s">
        <v>282</v>
      </c>
      <c r="C419" s="11">
        <v>25000</v>
      </c>
      <c r="D419" s="11"/>
      <c r="E419" t="s">
        <v>509</v>
      </c>
      <c r="F419" s="110" t="s">
        <v>108</v>
      </c>
      <c r="J419">
        <v>46600</v>
      </c>
      <c r="L419">
        <v>46600</v>
      </c>
      <c r="M419">
        <v>15000</v>
      </c>
      <c r="O419">
        <v>11650</v>
      </c>
    </row>
    <row r="420" spans="1:15" x14ac:dyDescent="0.3">
      <c r="A420" s="38">
        <v>46116</v>
      </c>
      <c r="B420" t="s">
        <v>246</v>
      </c>
      <c r="C420" s="11">
        <v>15000</v>
      </c>
      <c r="D420" s="11"/>
      <c r="E420" t="s">
        <v>561</v>
      </c>
      <c r="F420" s="110" t="s">
        <v>108</v>
      </c>
      <c r="J420">
        <v>22800</v>
      </c>
      <c r="L420">
        <v>20800</v>
      </c>
      <c r="M420">
        <v>18450</v>
      </c>
      <c r="O420">
        <v>16300</v>
      </c>
    </row>
    <row r="421" spans="1:15" x14ac:dyDescent="0.3">
      <c r="A421" s="38">
        <v>46116</v>
      </c>
      <c r="B421" t="s">
        <v>508</v>
      </c>
      <c r="C421" s="11">
        <v>6000</v>
      </c>
      <c r="D421" s="11"/>
      <c r="E421" t="s">
        <v>562</v>
      </c>
      <c r="F421" s="110" t="s">
        <v>108</v>
      </c>
      <c r="J421">
        <v>3200</v>
      </c>
      <c r="L421">
        <v>20000</v>
      </c>
      <c r="M421">
        <v>24600</v>
      </c>
      <c r="O421">
        <v>17300</v>
      </c>
    </row>
    <row r="422" spans="1:15" x14ac:dyDescent="0.3">
      <c r="A422" s="114">
        <v>46116</v>
      </c>
      <c r="B422" t="s">
        <v>54</v>
      </c>
      <c r="C422" s="11">
        <v>400</v>
      </c>
      <c r="D422" s="11"/>
      <c r="F422" s="110" t="s">
        <v>108</v>
      </c>
      <c r="J422">
        <v>11640</v>
      </c>
      <c r="L422">
        <v>80000</v>
      </c>
      <c r="M422">
        <v>15000</v>
      </c>
      <c r="O422">
        <v>17460</v>
      </c>
    </row>
    <row r="423" spans="1:15" x14ac:dyDescent="0.3">
      <c r="A423" s="114">
        <v>46116</v>
      </c>
      <c r="B423" t="s">
        <v>249</v>
      </c>
      <c r="C423" s="11">
        <v>17200</v>
      </c>
      <c r="D423" s="11"/>
      <c r="E423" t="s">
        <v>563</v>
      </c>
      <c r="F423" s="110" t="s">
        <v>108</v>
      </c>
      <c r="J423">
        <v>17500</v>
      </c>
      <c r="L423">
        <v>30000</v>
      </c>
      <c r="M423">
        <v>12000</v>
      </c>
      <c r="O423">
        <v>18450</v>
      </c>
    </row>
    <row r="424" spans="1:15" x14ac:dyDescent="0.3">
      <c r="A424" s="114">
        <v>46116</v>
      </c>
      <c r="B424" t="s">
        <v>246</v>
      </c>
      <c r="C424" s="95">
        <f>780+700</f>
        <v>1480</v>
      </c>
      <c r="D424" s="95"/>
      <c r="E424" t="s">
        <v>564</v>
      </c>
      <c r="F424" s="110" t="s">
        <v>108</v>
      </c>
      <c r="J424">
        <v>20800</v>
      </c>
      <c r="L424">
        <v>15600</v>
      </c>
      <c r="M424">
        <v>18300</v>
      </c>
      <c r="O424">
        <v>12800</v>
      </c>
    </row>
    <row r="425" spans="1:15" x14ac:dyDescent="0.3">
      <c r="A425" s="114">
        <v>46116</v>
      </c>
      <c r="B425" t="s">
        <v>246</v>
      </c>
      <c r="C425" s="95">
        <f>1500+10600</f>
        <v>12100</v>
      </c>
      <c r="D425" s="95"/>
      <c r="E425" t="s">
        <v>565</v>
      </c>
      <c r="F425" s="110" t="s">
        <v>108</v>
      </c>
      <c r="J425">
        <v>15600</v>
      </c>
      <c r="L425">
        <v>15000</v>
      </c>
      <c r="M425">
        <v>20000</v>
      </c>
      <c r="O425">
        <v>24600</v>
      </c>
    </row>
    <row r="426" spans="1:15" x14ac:dyDescent="0.3">
      <c r="A426" s="114">
        <v>46118</v>
      </c>
      <c r="B426" s="121" t="s">
        <v>54</v>
      </c>
      <c r="C426" s="11">
        <v>4400</v>
      </c>
      <c r="D426" s="11"/>
      <c r="E426" t="s">
        <v>459</v>
      </c>
      <c r="F426" s="110" t="s">
        <v>108</v>
      </c>
      <c r="J426">
        <v>11000</v>
      </c>
      <c r="L426">
        <v>14300</v>
      </c>
      <c r="M426">
        <v>20000</v>
      </c>
      <c r="O426">
        <v>22800</v>
      </c>
    </row>
    <row r="427" spans="1:15" x14ac:dyDescent="0.3">
      <c r="A427" s="114">
        <v>46118</v>
      </c>
      <c r="B427" t="s">
        <v>245</v>
      </c>
      <c r="C427" s="11"/>
      <c r="D427" s="11">
        <v>100000</v>
      </c>
      <c r="E427" t="s">
        <v>526</v>
      </c>
      <c r="F427" s="110" t="s">
        <v>108</v>
      </c>
      <c r="J427">
        <v>17000</v>
      </c>
      <c r="L427">
        <v>16500</v>
      </c>
      <c r="M427">
        <v>38400</v>
      </c>
      <c r="O427">
        <v>20000</v>
      </c>
    </row>
    <row r="428" spans="1:15" x14ac:dyDescent="0.3">
      <c r="A428" s="114">
        <v>46118</v>
      </c>
      <c r="B428" t="s">
        <v>249</v>
      </c>
      <c r="C428" s="11">
        <v>11340</v>
      </c>
      <c r="D428" s="11"/>
      <c r="E428" t="s">
        <v>527</v>
      </c>
      <c r="F428" s="110" t="s">
        <v>108</v>
      </c>
      <c r="J428">
        <v>10000</v>
      </c>
      <c r="L428">
        <v>17500</v>
      </c>
      <c r="M428">
        <v>12300</v>
      </c>
      <c r="O428">
        <v>18300</v>
      </c>
    </row>
    <row r="429" spans="1:15" x14ac:dyDescent="0.3">
      <c r="A429" s="114">
        <v>46118</v>
      </c>
      <c r="B429" t="s">
        <v>169</v>
      </c>
      <c r="C429" s="11">
        <v>100000</v>
      </c>
      <c r="D429" s="11"/>
      <c r="E429" t="s">
        <v>529</v>
      </c>
      <c r="F429" s="110" t="s">
        <v>108</v>
      </c>
      <c r="J429">
        <v>80000</v>
      </c>
      <c r="L429">
        <v>17500</v>
      </c>
      <c r="M429">
        <v>17300</v>
      </c>
      <c r="O429">
        <v>15000</v>
      </c>
    </row>
    <row r="430" spans="1:15" x14ac:dyDescent="0.3">
      <c r="A430" s="114">
        <v>46118</v>
      </c>
      <c r="B430" t="s">
        <v>282</v>
      </c>
      <c r="C430" s="11">
        <v>20000</v>
      </c>
      <c r="D430" s="11"/>
      <c r="E430" t="s">
        <v>452</v>
      </c>
      <c r="F430" s="110" t="s">
        <v>108</v>
      </c>
      <c r="J430">
        <v>20000</v>
      </c>
      <c r="L430">
        <v>17500</v>
      </c>
      <c r="M430">
        <v>5100</v>
      </c>
      <c r="O430">
        <v>11000</v>
      </c>
    </row>
    <row r="431" spans="1:15" x14ac:dyDescent="0.3">
      <c r="A431" s="114">
        <v>46118</v>
      </c>
      <c r="B431" t="s">
        <v>212</v>
      </c>
      <c r="C431" s="11"/>
      <c r="D431" s="11">
        <v>20000</v>
      </c>
      <c r="E431" t="s">
        <v>560</v>
      </c>
      <c r="F431" s="110" t="s">
        <v>108</v>
      </c>
      <c r="L431">
        <v>3300</v>
      </c>
      <c r="M431">
        <v>8350</v>
      </c>
      <c r="O431">
        <v>35000</v>
      </c>
    </row>
    <row r="432" spans="1:15" x14ac:dyDescent="0.3">
      <c r="A432" s="114">
        <v>46118</v>
      </c>
      <c r="B432" t="s">
        <v>212</v>
      </c>
      <c r="C432" s="95"/>
      <c r="D432" s="95">
        <v>2000</v>
      </c>
      <c r="E432" t="s">
        <v>281</v>
      </c>
      <c r="F432" s="110" t="s">
        <v>108</v>
      </c>
      <c r="L432">
        <v>5830</v>
      </c>
      <c r="M432">
        <v>9850</v>
      </c>
      <c r="O432">
        <v>7000</v>
      </c>
    </row>
    <row r="433" spans="1:15" x14ac:dyDescent="0.3">
      <c r="A433" s="114">
        <v>46118</v>
      </c>
      <c r="B433" t="s">
        <v>357</v>
      </c>
      <c r="C433" s="95">
        <v>2000</v>
      </c>
      <c r="D433" s="95"/>
      <c r="E433" t="s">
        <v>281</v>
      </c>
      <c r="F433" s="110" t="s">
        <v>108</v>
      </c>
      <c r="L433">
        <v>7000</v>
      </c>
      <c r="M433">
        <v>20000</v>
      </c>
      <c r="O433">
        <v>5850</v>
      </c>
    </row>
    <row r="434" spans="1:15" x14ac:dyDescent="0.3">
      <c r="A434" s="114">
        <v>46119</v>
      </c>
      <c r="B434" t="s">
        <v>212</v>
      </c>
      <c r="C434" s="11"/>
      <c r="D434" s="11">
        <v>12000</v>
      </c>
      <c r="E434" t="s">
        <v>528</v>
      </c>
      <c r="F434" s="110" t="s">
        <v>108</v>
      </c>
      <c r="L434">
        <v>5332</v>
      </c>
      <c r="O434">
        <v>3300</v>
      </c>
    </row>
    <row r="435" spans="1:15" x14ac:dyDescent="0.3">
      <c r="A435" s="38">
        <v>46119</v>
      </c>
      <c r="B435" t="s">
        <v>530</v>
      </c>
      <c r="C435" s="11">
        <v>312000</v>
      </c>
      <c r="D435" s="11"/>
      <c r="E435" t="s">
        <v>531</v>
      </c>
      <c r="F435" s="110" t="s">
        <v>108</v>
      </c>
      <c r="L435">
        <v>35000</v>
      </c>
      <c r="O435">
        <v>17500</v>
      </c>
    </row>
    <row r="436" spans="1:15" x14ac:dyDescent="0.3">
      <c r="A436" s="38">
        <v>46119</v>
      </c>
      <c r="B436" t="s">
        <v>212</v>
      </c>
      <c r="C436" s="11"/>
      <c r="D436" s="11">
        <v>12000</v>
      </c>
      <c r="E436" t="s">
        <v>558</v>
      </c>
      <c r="F436" s="110" t="s">
        <v>108</v>
      </c>
      <c r="L436">
        <v>11000</v>
      </c>
      <c r="M436">
        <v>17000</v>
      </c>
      <c r="O436">
        <v>17500</v>
      </c>
    </row>
    <row r="437" spans="1:15" x14ac:dyDescent="0.3">
      <c r="A437" s="38">
        <v>46119</v>
      </c>
      <c r="B437" t="s">
        <v>220</v>
      </c>
      <c r="C437" s="11"/>
      <c r="D437" s="11">
        <v>300000</v>
      </c>
      <c r="E437" t="s">
        <v>532</v>
      </c>
      <c r="F437" s="110" t="s">
        <v>108</v>
      </c>
      <c r="L437">
        <v>17460</v>
      </c>
      <c r="M437">
        <v>22000</v>
      </c>
      <c r="O437">
        <v>17500</v>
      </c>
    </row>
    <row r="438" spans="1:15" x14ac:dyDescent="0.3">
      <c r="A438" s="38">
        <v>46119</v>
      </c>
      <c r="B438" t="s">
        <v>220</v>
      </c>
      <c r="C438" s="95"/>
      <c r="D438" s="95">
        <v>20000</v>
      </c>
      <c r="E438" t="s">
        <v>533</v>
      </c>
      <c r="F438" s="110" t="s">
        <v>108</v>
      </c>
      <c r="L438">
        <v>11640</v>
      </c>
      <c r="O438">
        <v>16500</v>
      </c>
    </row>
    <row r="439" spans="1:15" x14ac:dyDescent="0.3">
      <c r="A439" s="38">
        <v>46119</v>
      </c>
      <c r="B439" t="s">
        <v>282</v>
      </c>
      <c r="C439" s="95">
        <v>10000</v>
      </c>
      <c r="D439" s="95"/>
      <c r="E439" t="s">
        <v>469</v>
      </c>
      <c r="F439" s="110" t="s">
        <v>108</v>
      </c>
      <c r="L439">
        <v>10800</v>
      </c>
      <c r="O439">
        <v>14300</v>
      </c>
    </row>
    <row r="440" spans="1:15" x14ac:dyDescent="0.3">
      <c r="A440" s="38">
        <v>46119</v>
      </c>
      <c r="B440" t="s">
        <v>282</v>
      </c>
      <c r="C440" s="95">
        <v>10000</v>
      </c>
      <c r="D440" s="95"/>
      <c r="E440" t="s">
        <v>404</v>
      </c>
      <c r="F440" s="110" t="s">
        <v>108</v>
      </c>
      <c r="L440">
        <v>17000</v>
      </c>
      <c r="O440">
        <v>15000</v>
      </c>
    </row>
    <row r="441" spans="1:15" x14ac:dyDescent="0.3">
      <c r="A441" s="38">
        <v>46120</v>
      </c>
      <c r="B441" t="s">
        <v>220</v>
      </c>
      <c r="C441" s="95"/>
      <c r="D441" s="95">
        <v>150000</v>
      </c>
      <c r="E441" t="s">
        <v>534</v>
      </c>
      <c r="F441" s="110" t="s">
        <v>108</v>
      </c>
      <c r="O441">
        <v>22650</v>
      </c>
    </row>
    <row r="442" spans="1:15" x14ac:dyDescent="0.3">
      <c r="A442" s="38">
        <v>46120</v>
      </c>
      <c r="B442" t="s">
        <v>222</v>
      </c>
      <c r="C442" s="95">
        <v>150000</v>
      </c>
      <c r="D442" s="95"/>
      <c r="E442" t="s">
        <v>534</v>
      </c>
      <c r="F442" s="110" t="s">
        <v>108</v>
      </c>
      <c r="O442">
        <v>20000</v>
      </c>
    </row>
    <row r="443" spans="1:15" x14ac:dyDescent="0.3">
      <c r="A443" s="38">
        <v>46120</v>
      </c>
      <c r="B443" t="s">
        <v>220</v>
      </c>
      <c r="C443" s="95"/>
      <c r="D443" s="95">
        <v>30000</v>
      </c>
      <c r="E443" t="s">
        <v>535</v>
      </c>
      <c r="F443" s="110" t="s">
        <v>108</v>
      </c>
      <c r="O443">
        <v>15600</v>
      </c>
    </row>
    <row r="444" spans="1:15" x14ac:dyDescent="0.3">
      <c r="A444" s="38">
        <v>46120</v>
      </c>
      <c r="B444" t="s">
        <v>55</v>
      </c>
      <c r="C444" s="95">
        <v>1600</v>
      </c>
      <c r="D444" s="95"/>
      <c r="F444" s="110" t="s">
        <v>108</v>
      </c>
      <c r="O444">
        <v>15000</v>
      </c>
    </row>
    <row r="445" spans="1:15" x14ac:dyDescent="0.3">
      <c r="A445" s="38">
        <v>46120</v>
      </c>
      <c r="B445" t="s">
        <v>54</v>
      </c>
      <c r="C445" s="95">
        <v>5305</v>
      </c>
      <c r="D445" s="95"/>
      <c r="E445" t="s">
        <v>536</v>
      </c>
      <c r="F445" s="110" t="s">
        <v>108</v>
      </c>
      <c r="O445">
        <v>400</v>
      </c>
    </row>
    <row r="446" spans="1:15" x14ac:dyDescent="0.3">
      <c r="A446" s="38">
        <v>46120</v>
      </c>
      <c r="B446" t="s">
        <v>55</v>
      </c>
      <c r="C446" s="95">
        <v>15673</v>
      </c>
      <c r="D446" s="95"/>
      <c r="E446" t="s">
        <v>537</v>
      </c>
      <c r="F446" s="110" t="s">
        <v>108</v>
      </c>
      <c r="O446">
        <v>20000</v>
      </c>
    </row>
    <row r="447" spans="1:15" x14ac:dyDescent="0.3">
      <c r="A447" s="38">
        <v>46120</v>
      </c>
      <c r="B447" t="s">
        <v>55</v>
      </c>
      <c r="C447" s="95">
        <v>400</v>
      </c>
      <c r="D447" s="95"/>
      <c r="F447" s="110" t="s">
        <v>108</v>
      </c>
      <c r="O447">
        <v>30000</v>
      </c>
    </row>
    <row r="448" spans="1:15" x14ac:dyDescent="0.3">
      <c r="A448" s="38">
        <v>46120</v>
      </c>
      <c r="B448" t="s">
        <v>220</v>
      </c>
      <c r="C448" s="95"/>
      <c r="D448" s="95">
        <v>74380</v>
      </c>
      <c r="E448" t="s">
        <v>176</v>
      </c>
      <c r="F448" s="110" t="s">
        <v>108</v>
      </c>
      <c r="O448">
        <v>8350</v>
      </c>
    </row>
    <row r="449" spans="1:16" x14ac:dyDescent="0.3">
      <c r="A449" s="38">
        <v>46120</v>
      </c>
      <c r="B449" t="s">
        <v>176</v>
      </c>
      <c r="C449" s="11">
        <v>74380</v>
      </c>
      <c r="D449" s="11"/>
      <c r="E449" t="s">
        <v>297</v>
      </c>
      <c r="F449" s="110" t="s">
        <v>108</v>
      </c>
      <c r="O449">
        <v>9850</v>
      </c>
      <c r="P449">
        <v>17000</v>
      </c>
    </row>
    <row r="450" spans="1:16" x14ac:dyDescent="0.3">
      <c r="A450" s="38">
        <v>46120</v>
      </c>
      <c r="B450" t="s">
        <v>54</v>
      </c>
      <c r="C450" s="11">
        <v>2800</v>
      </c>
      <c r="D450" s="11"/>
      <c r="E450" t="s">
        <v>538</v>
      </c>
      <c r="F450" s="110" t="s">
        <v>108</v>
      </c>
      <c r="O450">
        <v>80000</v>
      </c>
    </row>
    <row r="451" spans="1:16" x14ac:dyDescent="0.3">
      <c r="A451" s="38">
        <v>46120</v>
      </c>
      <c r="B451" t="s">
        <v>55</v>
      </c>
      <c r="C451" s="11">
        <v>6800</v>
      </c>
      <c r="D451" s="11"/>
      <c r="E451" t="s">
        <v>540</v>
      </c>
      <c r="F451" s="110" t="s">
        <v>108</v>
      </c>
      <c r="O451">
        <v>20000</v>
      </c>
    </row>
    <row r="452" spans="1:16" x14ac:dyDescent="0.3">
      <c r="A452" s="38">
        <v>46120</v>
      </c>
      <c r="B452" t="s">
        <v>249</v>
      </c>
      <c r="C452" s="11">
        <v>15000</v>
      </c>
      <c r="D452" s="11"/>
      <c r="E452" t="s">
        <v>541</v>
      </c>
      <c r="F452" s="110" t="s">
        <v>108</v>
      </c>
      <c r="O452">
        <v>20800</v>
      </c>
    </row>
    <row r="453" spans="1:16" x14ac:dyDescent="0.3">
      <c r="A453" s="38">
        <v>46120</v>
      </c>
      <c r="B453" t="s">
        <v>222</v>
      </c>
      <c r="C453" s="11">
        <v>50000</v>
      </c>
      <c r="D453" s="11"/>
      <c r="E453" t="s">
        <v>543</v>
      </c>
      <c r="F453" s="110" t="s">
        <v>108</v>
      </c>
      <c r="O453">
        <v>46600</v>
      </c>
    </row>
    <row r="454" spans="1:16" x14ac:dyDescent="0.3">
      <c r="A454" s="38">
        <v>46120</v>
      </c>
      <c r="B454" t="s">
        <v>220</v>
      </c>
      <c r="C454" s="11"/>
      <c r="D454" s="11">
        <v>50000</v>
      </c>
      <c r="E454" t="s">
        <v>543</v>
      </c>
      <c r="F454" s="110" t="s">
        <v>108</v>
      </c>
      <c r="L454" s="19">
        <v>48600</v>
      </c>
      <c r="N454" s="19">
        <v>27400</v>
      </c>
      <c r="O454">
        <v>29600</v>
      </c>
    </row>
    <row r="455" spans="1:16" x14ac:dyDescent="0.3">
      <c r="A455" s="38">
        <v>46121</v>
      </c>
      <c r="B455" t="s">
        <v>55</v>
      </c>
      <c r="C455" s="11">
        <v>1300</v>
      </c>
      <c r="D455" s="11"/>
      <c r="F455" s="110" t="s">
        <v>108</v>
      </c>
      <c r="L455">
        <v>49200</v>
      </c>
      <c r="N455">
        <v>3400</v>
      </c>
      <c r="O455">
        <v>22800</v>
      </c>
    </row>
    <row r="456" spans="1:16" x14ac:dyDescent="0.3">
      <c r="A456" s="38">
        <v>46121</v>
      </c>
      <c r="B456" t="s">
        <v>277</v>
      </c>
      <c r="C456" s="11">
        <v>34336</v>
      </c>
      <c r="D456" s="11"/>
      <c r="E456" t="s">
        <v>539</v>
      </c>
      <c r="F456" s="110" t="s">
        <v>108</v>
      </c>
      <c r="L456">
        <v>52000</v>
      </c>
      <c r="N456" s="19">
        <v>6200</v>
      </c>
      <c r="O456">
        <v>3200</v>
      </c>
    </row>
    <row r="457" spans="1:16" x14ac:dyDescent="0.3">
      <c r="A457" s="114">
        <v>46121</v>
      </c>
      <c r="B457" t="s">
        <v>212</v>
      </c>
      <c r="C457" s="11"/>
      <c r="D457" s="11">
        <v>34336</v>
      </c>
      <c r="E457" t="s">
        <v>277</v>
      </c>
      <c r="F457" s="110" t="s">
        <v>108</v>
      </c>
      <c r="L457">
        <v>42800</v>
      </c>
      <c r="N457">
        <v>3400</v>
      </c>
      <c r="O457">
        <v>48400</v>
      </c>
    </row>
    <row r="458" spans="1:16" x14ac:dyDescent="0.3">
      <c r="A458" s="114">
        <v>46121</v>
      </c>
      <c r="B458" t="s">
        <v>176</v>
      </c>
      <c r="C458" s="11">
        <v>27000</v>
      </c>
      <c r="D458" s="11"/>
      <c r="E458" t="s">
        <v>542</v>
      </c>
      <c r="F458" s="110" t="s">
        <v>108</v>
      </c>
      <c r="L458">
        <v>25200</v>
      </c>
      <c r="N458" s="19">
        <v>25200</v>
      </c>
      <c r="O458">
        <v>5330</v>
      </c>
    </row>
    <row r="459" spans="1:16" x14ac:dyDescent="0.3">
      <c r="A459" s="114">
        <v>46121</v>
      </c>
      <c r="B459" t="s">
        <v>220</v>
      </c>
      <c r="C459" s="11"/>
      <c r="D459" s="11">
        <v>27000</v>
      </c>
      <c r="E459" t="s">
        <v>176</v>
      </c>
      <c r="F459" s="110" t="s">
        <v>108</v>
      </c>
      <c r="L459">
        <v>37600</v>
      </c>
      <c r="N459" s="19">
        <v>19500</v>
      </c>
      <c r="O459">
        <v>17000</v>
      </c>
    </row>
    <row r="460" spans="1:16" x14ac:dyDescent="0.3">
      <c r="A460" s="114">
        <v>46121</v>
      </c>
      <c r="B460" t="s">
        <v>220</v>
      </c>
      <c r="C460" s="11"/>
      <c r="D460" s="11">
        <v>1000000</v>
      </c>
      <c r="E460" t="s">
        <v>365</v>
      </c>
      <c r="F460" s="110" t="s">
        <v>108</v>
      </c>
      <c r="L460">
        <v>23000</v>
      </c>
      <c r="N460" s="19">
        <v>20300</v>
      </c>
    </row>
    <row r="461" spans="1:16" x14ac:dyDescent="0.3">
      <c r="A461" s="114">
        <v>46121</v>
      </c>
      <c r="B461" t="s">
        <v>220</v>
      </c>
      <c r="C461" s="11"/>
      <c r="D461" s="11">
        <v>45000</v>
      </c>
      <c r="E461" t="s">
        <v>365</v>
      </c>
      <c r="F461" s="110" t="s">
        <v>108</v>
      </c>
      <c r="L461">
        <v>6200</v>
      </c>
      <c r="N461" s="19">
        <v>21000</v>
      </c>
    </row>
    <row r="462" spans="1:16" x14ac:dyDescent="0.3">
      <c r="A462" s="114">
        <v>46121</v>
      </c>
      <c r="B462" t="s">
        <v>282</v>
      </c>
      <c r="C462" s="11">
        <v>841267</v>
      </c>
      <c r="D462" s="11"/>
      <c r="E462" t="s">
        <v>568</v>
      </c>
      <c r="F462" s="110" t="s">
        <v>108</v>
      </c>
      <c r="L462">
        <v>3400</v>
      </c>
      <c r="N462" s="19">
        <v>40000</v>
      </c>
    </row>
    <row r="463" spans="1:16" x14ac:dyDescent="0.3">
      <c r="A463" s="114">
        <v>46121</v>
      </c>
      <c r="B463" t="s">
        <v>282</v>
      </c>
      <c r="C463" s="11">
        <v>165000</v>
      </c>
      <c r="D463" s="11"/>
      <c r="E463" t="s">
        <v>329</v>
      </c>
      <c r="F463" s="110" t="s">
        <v>108</v>
      </c>
      <c r="L463">
        <v>19800</v>
      </c>
      <c r="N463" s="19">
        <v>3000</v>
      </c>
    </row>
    <row r="464" spans="1:16" x14ac:dyDescent="0.3">
      <c r="A464" s="114">
        <v>46121</v>
      </c>
      <c r="B464" t="s">
        <v>282</v>
      </c>
      <c r="C464" s="11">
        <v>50000</v>
      </c>
      <c r="D464" s="11"/>
      <c r="E464" t="s">
        <v>469</v>
      </c>
      <c r="F464" s="110" t="s">
        <v>108</v>
      </c>
      <c r="L464">
        <v>3400</v>
      </c>
      <c r="N464" s="19">
        <v>20600</v>
      </c>
    </row>
    <row r="465" spans="1:14" x14ac:dyDescent="0.3">
      <c r="A465" s="114">
        <v>46122</v>
      </c>
      <c r="B465" t="s">
        <v>220</v>
      </c>
      <c r="C465" s="11"/>
      <c r="D465" s="11">
        <v>62000</v>
      </c>
      <c r="E465" t="s">
        <v>544</v>
      </c>
      <c r="F465" s="110" t="s">
        <v>108</v>
      </c>
      <c r="L465">
        <v>31150</v>
      </c>
      <c r="N465" s="19">
        <v>12750</v>
      </c>
    </row>
    <row r="466" spans="1:14" x14ac:dyDescent="0.3">
      <c r="A466" s="114">
        <v>46122</v>
      </c>
      <c r="B466" t="s">
        <v>55</v>
      </c>
      <c r="C466" s="11">
        <v>2200</v>
      </c>
      <c r="D466" s="11"/>
      <c r="F466" s="110" t="s">
        <v>108</v>
      </c>
      <c r="L466">
        <v>12750</v>
      </c>
      <c r="N466" s="19">
        <v>14400</v>
      </c>
    </row>
    <row r="467" spans="1:14" x14ac:dyDescent="0.3">
      <c r="A467" s="114">
        <v>46122</v>
      </c>
      <c r="B467" t="s">
        <v>55</v>
      </c>
      <c r="C467" s="11">
        <v>30000</v>
      </c>
      <c r="D467" s="11"/>
      <c r="E467" t="s">
        <v>545</v>
      </c>
      <c r="F467" s="110" t="s">
        <v>108</v>
      </c>
      <c r="L467">
        <v>27400</v>
      </c>
      <c r="N467" s="19">
        <v>9000</v>
      </c>
    </row>
    <row r="468" spans="1:14" x14ac:dyDescent="0.3">
      <c r="A468" s="114">
        <v>46122</v>
      </c>
      <c r="B468" t="s">
        <v>546</v>
      </c>
      <c r="C468" s="11">
        <v>50000</v>
      </c>
      <c r="D468" s="11"/>
      <c r="E468" t="s">
        <v>547</v>
      </c>
      <c r="F468" s="110" t="s">
        <v>108</v>
      </c>
      <c r="L468">
        <v>15700</v>
      </c>
      <c r="N468" s="19">
        <v>17400</v>
      </c>
    </row>
    <row r="469" spans="1:14" x14ac:dyDescent="0.3">
      <c r="A469" s="114">
        <v>46122</v>
      </c>
      <c r="B469" t="s">
        <v>220</v>
      </c>
      <c r="C469" s="11"/>
      <c r="D469" s="11">
        <v>77000</v>
      </c>
      <c r="E469" t="s">
        <v>535</v>
      </c>
      <c r="F469" s="110" t="s">
        <v>108</v>
      </c>
      <c r="L469">
        <v>12550</v>
      </c>
      <c r="N469" s="19">
        <v>19782</v>
      </c>
    </row>
    <row r="470" spans="1:14" x14ac:dyDescent="0.3">
      <c r="A470" s="114">
        <v>46122</v>
      </c>
      <c r="B470" t="s">
        <v>54</v>
      </c>
      <c r="C470" s="11">
        <v>3044</v>
      </c>
      <c r="D470" s="11"/>
      <c r="E470" t="s">
        <v>548</v>
      </c>
      <c r="F470" s="110" t="s">
        <v>108</v>
      </c>
      <c r="L470">
        <v>14800</v>
      </c>
      <c r="N470" s="19">
        <v>23000</v>
      </c>
    </row>
    <row r="471" spans="1:14" x14ac:dyDescent="0.3">
      <c r="A471" s="114">
        <v>46122</v>
      </c>
      <c r="B471" t="s">
        <v>282</v>
      </c>
      <c r="C471" s="11">
        <v>40000</v>
      </c>
      <c r="D471" s="11"/>
      <c r="E471" t="s">
        <v>549</v>
      </c>
      <c r="F471" s="110" t="s">
        <v>108</v>
      </c>
      <c r="L471">
        <v>14350</v>
      </c>
      <c r="N471" s="19">
        <v>15700</v>
      </c>
    </row>
    <row r="472" spans="1:14" x14ac:dyDescent="0.3">
      <c r="A472" s="114">
        <v>46122</v>
      </c>
      <c r="B472" t="s">
        <v>55</v>
      </c>
      <c r="C472" s="11">
        <v>1200</v>
      </c>
      <c r="D472" s="11"/>
      <c r="F472" s="110" t="s">
        <v>108</v>
      </c>
      <c r="L472">
        <v>40000</v>
      </c>
      <c r="N472" s="19">
        <v>14800</v>
      </c>
    </row>
    <row r="473" spans="1:14" x14ac:dyDescent="0.3">
      <c r="A473" s="114">
        <v>46122</v>
      </c>
      <c r="B473" t="s">
        <v>246</v>
      </c>
      <c r="C473" s="11">
        <v>600</v>
      </c>
      <c r="D473" s="11"/>
      <c r="F473" s="110" t="s">
        <v>108</v>
      </c>
      <c r="L473">
        <v>17400</v>
      </c>
      <c r="N473" s="19">
        <v>12550</v>
      </c>
    </row>
    <row r="474" spans="1:14" x14ac:dyDescent="0.3">
      <c r="A474" s="114">
        <v>46122</v>
      </c>
      <c r="B474" t="s">
        <v>54</v>
      </c>
      <c r="C474" s="95">
        <v>7636.4</v>
      </c>
      <c r="D474" s="95"/>
      <c r="E474" t="s">
        <v>290</v>
      </c>
      <c r="F474" s="110" t="s">
        <v>108</v>
      </c>
      <c r="L474">
        <v>19500</v>
      </c>
      <c r="N474" s="19">
        <v>31150</v>
      </c>
    </row>
    <row r="475" spans="1:14" x14ac:dyDescent="0.3">
      <c r="A475" s="114">
        <v>46122</v>
      </c>
      <c r="B475" t="s">
        <v>220</v>
      </c>
      <c r="C475" s="95"/>
      <c r="D475" s="95">
        <v>50000</v>
      </c>
      <c r="E475" t="s">
        <v>449</v>
      </c>
      <c r="F475" s="110" t="s">
        <v>108</v>
      </c>
      <c r="L475">
        <v>3000</v>
      </c>
      <c r="N475" s="19">
        <v>27500</v>
      </c>
    </row>
    <row r="476" spans="1:14" x14ac:dyDescent="0.3">
      <c r="A476" s="114">
        <v>46122</v>
      </c>
      <c r="B476" t="s">
        <v>282</v>
      </c>
      <c r="C476" s="95">
        <v>14000</v>
      </c>
      <c r="D476" s="95"/>
      <c r="E476" t="s">
        <v>361</v>
      </c>
      <c r="F476" s="110" t="s">
        <v>108</v>
      </c>
      <c r="L476">
        <v>1000</v>
      </c>
      <c r="N476" s="19">
        <v>20000</v>
      </c>
    </row>
    <row r="477" spans="1:14" x14ac:dyDescent="0.3">
      <c r="A477" s="114">
        <v>46122</v>
      </c>
      <c r="B477" t="s">
        <v>282</v>
      </c>
      <c r="C477" s="95">
        <v>22400</v>
      </c>
      <c r="D477" s="95"/>
      <c r="E477" t="s">
        <v>566</v>
      </c>
      <c r="F477" s="110" t="s">
        <v>108</v>
      </c>
      <c r="L477">
        <v>9000</v>
      </c>
      <c r="N477" s="19">
        <v>52000</v>
      </c>
    </row>
    <row r="478" spans="1:14" x14ac:dyDescent="0.3">
      <c r="A478" s="114">
        <v>46123</v>
      </c>
      <c r="B478" t="s">
        <v>582</v>
      </c>
      <c r="C478" s="95"/>
      <c r="D478" s="95">
        <v>5965</v>
      </c>
      <c r="E478" t="s">
        <v>54</v>
      </c>
      <c r="F478" s="110" t="s">
        <v>108</v>
      </c>
      <c r="L478">
        <v>21000</v>
      </c>
      <c r="N478" s="19">
        <v>49200</v>
      </c>
    </row>
    <row r="479" spans="1:14" x14ac:dyDescent="0.3">
      <c r="A479" s="114">
        <v>46123</v>
      </c>
      <c r="B479" t="s">
        <v>54</v>
      </c>
      <c r="C479" s="95">
        <v>5965</v>
      </c>
      <c r="D479" s="95"/>
      <c r="E479" t="s">
        <v>175</v>
      </c>
      <c r="F479" s="110" t="s">
        <v>108</v>
      </c>
      <c r="L479">
        <v>20300</v>
      </c>
      <c r="N479" s="19">
        <v>37600</v>
      </c>
    </row>
    <row r="480" spans="1:14" x14ac:dyDescent="0.3">
      <c r="A480" s="114">
        <v>46123</v>
      </c>
      <c r="B480" t="s">
        <v>221</v>
      </c>
      <c r="C480" s="11">
        <v>4471</v>
      </c>
      <c r="D480" s="11"/>
      <c r="E480" t="s">
        <v>439</v>
      </c>
      <c r="F480" s="110" t="s">
        <v>108</v>
      </c>
      <c r="L480">
        <v>27500</v>
      </c>
      <c r="N480" s="19">
        <v>48600</v>
      </c>
    </row>
    <row r="481" spans="1:14" x14ac:dyDescent="0.3">
      <c r="A481" s="114">
        <v>46123</v>
      </c>
      <c r="B481" t="s">
        <v>54</v>
      </c>
      <c r="C481" s="11">
        <v>1500</v>
      </c>
      <c r="D481" s="11"/>
      <c r="E481" t="s">
        <v>538</v>
      </c>
      <c r="F481" s="110" t="s">
        <v>108</v>
      </c>
      <c r="L481">
        <v>20000</v>
      </c>
      <c r="N481" s="19">
        <v>42800</v>
      </c>
    </row>
    <row r="482" spans="1:14" x14ac:dyDescent="0.3">
      <c r="A482" s="114">
        <v>46123</v>
      </c>
      <c r="B482" t="s">
        <v>35</v>
      </c>
      <c r="C482" s="11"/>
      <c r="D482" s="11">
        <v>400000</v>
      </c>
      <c r="E482" t="s">
        <v>550</v>
      </c>
      <c r="F482" s="110" t="s">
        <v>108</v>
      </c>
      <c r="L482">
        <v>20600</v>
      </c>
    </row>
    <row r="483" spans="1:14" x14ac:dyDescent="0.3">
      <c r="A483" s="114">
        <v>46123</v>
      </c>
      <c r="B483" t="s">
        <v>169</v>
      </c>
      <c r="C483" s="11">
        <v>200200</v>
      </c>
      <c r="D483" s="11"/>
      <c r="E483" t="s">
        <v>551</v>
      </c>
      <c r="F483" s="110" t="s">
        <v>108</v>
      </c>
      <c r="L483">
        <v>3400</v>
      </c>
    </row>
    <row r="484" spans="1:14" x14ac:dyDescent="0.3">
      <c r="A484" s="38">
        <v>46123</v>
      </c>
      <c r="B484" t="s">
        <v>282</v>
      </c>
      <c r="C484" s="11">
        <v>29000</v>
      </c>
      <c r="D484" s="11"/>
      <c r="E484" t="s">
        <v>281</v>
      </c>
      <c r="F484" s="110" t="s">
        <v>108</v>
      </c>
    </row>
    <row r="485" spans="1:14" x14ac:dyDescent="0.3">
      <c r="A485" s="38">
        <v>46123</v>
      </c>
      <c r="B485" t="s">
        <v>54</v>
      </c>
      <c r="C485" s="11">
        <v>6000</v>
      </c>
      <c r="D485" s="11"/>
      <c r="E485" t="s">
        <v>552</v>
      </c>
      <c r="F485" s="110" t="s">
        <v>108</v>
      </c>
    </row>
    <row r="486" spans="1:14" x14ac:dyDescent="0.3">
      <c r="A486" s="114">
        <v>46123</v>
      </c>
      <c r="B486" t="s">
        <v>212</v>
      </c>
      <c r="C486" s="11">
        <v>1490</v>
      </c>
      <c r="D486" s="11"/>
      <c r="F486" s="110" t="s">
        <v>108</v>
      </c>
    </row>
    <row r="487" spans="1:14" x14ac:dyDescent="0.3">
      <c r="A487" s="114">
        <v>46124</v>
      </c>
      <c r="B487" t="s">
        <v>55</v>
      </c>
      <c r="C487" s="11">
        <v>4500</v>
      </c>
      <c r="D487" s="11"/>
      <c r="F487" s="110" t="s">
        <v>108</v>
      </c>
    </row>
    <row r="488" spans="1:14" x14ac:dyDescent="0.3">
      <c r="A488" s="114">
        <v>46124</v>
      </c>
      <c r="B488" t="s">
        <v>546</v>
      </c>
      <c r="C488" s="11">
        <v>100000</v>
      </c>
      <c r="D488" s="11"/>
      <c r="E488" t="s">
        <v>553</v>
      </c>
      <c r="F488" s="110" t="s">
        <v>108</v>
      </c>
    </row>
    <row r="489" spans="1:14" x14ac:dyDescent="0.3">
      <c r="A489" s="114">
        <v>46124</v>
      </c>
      <c r="B489" t="s">
        <v>220</v>
      </c>
      <c r="C489" s="11"/>
      <c r="D489" s="11">
        <v>40000</v>
      </c>
      <c r="E489" t="s">
        <v>554</v>
      </c>
      <c r="F489" s="110" t="s">
        <v>108</v>
      </c>
    </row>
    <row r="490" spans="1:14" x14ac:dyDescent="0.3">
      <c r="A490" s="114">
        <v>46124</v>
      </c>
      <c r="B490" t="s">
        <v>222</v>
      </c>
      <c r="C490" s="11">
        <v>100000</v>
      </c>
      <c r="D490" s="11"/>
      <c r="E490" t="s">
        <v>555</v>
      </c>
      <c r="F490" s="110" t="s">
        <v>108</v>
      </c>
    </row>
    <row r="491" spans="1:14" x14ac:dyDescent="0.3">
      <c r="A491" s="38">
        <v>46124</v>
      </c>
      <c r="B491" t="s">
        <v>55</v>
      </c>
      <c r="C491" s="11">
        <v>1600</v>
      </c>
      <c r="D491" s="11"/>
      <c r="F491" s="110" t="s">
        <v>108</v>
      </c>
    </row>
    <row r="492" spans="1:14" x14ac:dyDescent="0.3">
      <c r="A492" s="38">
        <v>46124</v>
      </c>
      <c r="B492" t="s">
        <v>55</v>
      </c>
      <c r="C492" s="11">
        <v>5040</v>
      </c>
      <c r="D492" s="11"/>
      <c r="F492" s="110" t="s">
        <v>108</v>
      </c>
    </row>
    <row r="493" spans="1:14" x14ac:dyDescent="0.3">
      <c r="A493" s="38">
        <v>46124</v>
      </c>
      <c r="B493" t="s">
        <v>212</v>
      </c>
      <c r="C493" s="11"/>
      <c r="D493" s="11">
        <v>5040</v>
      </c>
      <c r="E493" t="s">
        <v>559</v>
      </c>
      <c r="F493" s="110" t="s">
        <v>108</v>
      </c>
    </row>
    <row r="494" spans="1:14" x14ac:dyDescent="0.3">
      <c r="A494" s="38">
        <v>46124</v>
      </c>
      <c r="B494" t="s">
        <v>220</v>
      </c>
      <c r="C494" s="11"/>
      <c r="D494" s="11">
        <v>10000</v>
      </c>
      <c r="E494" t="s">
        <v>556</v>
      </c>
      <c r="F494" s="110" t="s">
        <v>108</v>
      </c>
    </row>
    <row r="495" spans="1:14" x14ac:dyDescent="0.3">
      <c r="A495" s="38">
        <v>46124</v>
      </c>
      <c r="B495" t="s">
        <v>54</v>
      </c>
      <c r="C495" s="11">
        <v>7392</v>
      </c>
      <c r="D495" s="11"/>
      <c r="E495" t="s">
        <v>557</v>
      </c>
      <c r="F495" s="110" t="s">
        <v>108</v>
      </c>
    </row>
    <row r="496" spans="1:14" x14ac:dyDescent="0.3">
      <c r="A496" s="38">
        <v>46125</v>
      </c>
      <c r="B496" t="s">
        <v>9</v>
      </c>
      <c r="C496" s="11"/>
      <c r="D496" s="11">
        <v>100000</v>
      </c>
      <c r="E496" t="s">
        <v>571</v>
      </c>
      <c r="F496" s="110" t="s">
        <v>108</v>
      </c>
    </row>
    <row r="497" spans="1:10" x14ac:dyDescent="0.3">
      <c r="A497" s="38">
        <v>46125</v>
      </c>
      <c r="B497" t="s">
        <v>55</v>
      </c>
      <c r="C497" s="11">
        <v>1000</v>
      </c>
      <c r="D497" s="11"/>
      <c r="F497" s="110" t="s">
        <v>108</v>
      </c>
    </row>
    <row r="498" spans="1:10" x14ac:dyDescent="0.3">
      <c r="A498" s="38">
        <v>46125</v>
      </c>
      <c r="B498" t="s">
        <v>572</v>
      </c>
      <c r="C498" s="95">
        <v>65310</v>
      </c>
      <c r="D498" s="95"/>
      <c r="E498" t="s">
        <v>573</v>
      </c>
      <c r="F498" s="110" t="s">
        <v>108</v>
      </c>
    </row>
    <row r="499" spans="1:10" x14ac:dyDescent="0.3">
      <c r="A499" s="38">
        <v>46125</v>
      </c>
      <c r="B499" t="s">
        <v>212</v>
      </c>
      <c r="C499" s="95"/>
      <c r="D499" s="95">
        <v>70000</v>
      </c>
      <c r="E499" t="s">
        <v>574</v>
      </c>
      <c r="F499" s="110" t="s">
        <v>108</v>
      </c>
    </row>
    <row r="500" spans="1:10" x14ac:dyDescent="0.3">
      <c r="A500" s="114">
        <v>46125</v>
      </c>
      <c r="B500" t="s">
        <v>222</v>
      </c>
      <c r="C500" s="95">
        <v>100000</v>
      </c>
      <c r="D500" s="95"/>
      <c r="E500" t="s">
        <v>575</v>
      </c>
      <c r="F500" s="110" t="s">
        <v>108</v>
      </c>
      <c r="I500">
        <v>150000</v>
      </c>
      <c r="J500">
        <v>32800</v>
      </c>
    </row>
    <row r="501" spans="1:10" x14ac:dyDescent="0.3">
      <c r="A501" s="114">
        <v>46125</v>
      </c>
      <c r="B501" t="s">
        <v>54</v>
      </c>
      <c r="C501" s="95">
        <v>3920</v>
      </c>
      <c r="D501" s="95"/>
      <c r="F501" s="110" t="s">
        <v>108</v>
      </c>
      <c r="I501">
        <v>17334</v>
      </c>
      <c r="J501">
        <v>22400</v>
      </c>
    </row>
    <row r="502" spans="1:10" x14ac:dyDescent="0.3">
      <c r="A502" s="114">
        <v>46125</v>
      </c>
      <c r="B502" t="s">
        <v>169</v>
      </c>
      <c r="C502" s="95">
        <v>1000</v>
      </c>
      <c r="D502" s="95"/>
      <c r="E502" t="s">
        <v>341</v>
      </c>
      <c r="F502" s="110" t="s">
        <v>108</v>
      </c>
      <c r="I502">
        <v>40000</v>
      </c>
      <c r="J502">
        <v>26800</v>
      </c>
    </row>
    <row r="503" spans="1:10" x14ac:dyDescent="0.3">
      <c r="A503" s="114">
        <v>46125</v>
      </c>
      <c r="B503" t="s">
        <v>169</v>
      </c>
      <c r="C503" s="95">
        <v>10000</v>
      </c>
      <c r="D503" s="95"/>
      <c r="E503" t="s">
        <v>576</v>
      </c>
      <c r="F503" s="110" t="s">
        <v>108</v>
      </c>
      <c r="I503">
        <v>55000</v>
      </c>
      <c r="J503">
        <v>24800</v>
      </c>
    </row>
    <row r="504" spans="1:10" x14ac:dyDescent="0.3">
      <c r="A504" s="114">
        <v>46125</v>
      </c>
      <c r="B504" t="s">
        <v>192</v>
      </c>
      <c r="C504" s="95"/>
      <c r="D504" s="95">
        <v>28000</v>
      </c>
      <c r="E504" t="s">
        <v>595</v>
      </c>
      <c r="F504" s="110" t="s">
        <v>108</v>
      </c>
      <c r="I504">
        <v>20000</v>
      </c>
      <c r="J504">
        <v>23600</v>
      </c>
    </row>
    <row r="505" spans="1:10" x14ac:dyDescent="0.3">
      <c r="A505" s="114">
        <v>46125</v>
      </c>
      <c r="B505" t="s">
        <v>54</v>
      </c>
      <c r="C505" s="95">
        <v>1700</v>
      </c>
      <c r="D505" s="95"/>
      <c r="E505" t="s">
        <v>577</v>
      </c>
      <c r="F505" s="110" t="s">
        <v>108</v>
      </c>
      <c r="I505">
        <v>22650</v>
      </c>
      <c r="J505">
        <v>12400</v>
      </c>
    </row>
    <row r="506" spans="1:10" x14ac:dyDescent="0.3">
      <c r="A506" s="114">
        <v>46125</v>
      </c>
      <c r="B506" t="s">
        <v>176</v>
      </c>
      <c r="C506" s="95">
        <v>98950</v>
      </c>
      <c r="D506" s="95"/>
      <c r="E506" t="s">
        <v>578</v>
      </c>
      <c r="F506" s="110" t="s">
        <v>108</v>
      </c>
      <c r="I506">
        <v>20550</v>
      </c>
      <c r="J506">
        <v>21600</v>
      </c>
    </row>
    <row r="507" spans="1:10" x14ac:dyDescent="0.3">
      <c r="A507" s="114">
        <v>46125</v>
      </c>
      <c r="B507" t="s">
        <v>220</v>
      </c>
      <c r="C507" s="95"/>
      <c r="D507" s="95">
        <v>100000</v>
      </c>
      <c r="E507" t="s">
        <v>176</v>
      </c>
      <c r="F507" s="110" t="s">
        <v>108</v>
      </c>
      <c r="I507">
        <v>4000</v>
      </c>
      <c r="J507">
        <v>80000</v>
      </c>
    </row>
    <row r="508" spans="1:10" x14ac:dyDescent="0.3">
      <c r="A508" s="114">
        <v>46126</v>
      </c>
      <c r="B508" t="s">
        <v>55</v>
      </c>
      <c r="C508" s="11">
        <v>2600</v>
      </c>
      <c r="D508" s="11"/>
      <c r="F508" s="110" t="s">
        <v>108</v>
      </c>
      <c r="I508">
        <v>14000</v>
      </c>
      <c r="J508">
        <v>50000</v>
      </c>
    </row>
    <row r="509" spans="1:10" x14ac:dyDescent="0.3">
      <c r="A509" s="38">
        <v>46126</v>
      </c>
      <c r="B509" t="s">
        <v>246</v>
      </c>
      <c r="C509" s="11">
        <v>500</v>
      </c>
      <c r="D509" s="11"/>
      <c r="F509" s="110"/>
      <c r="I509">
        <v>12220</v>
      </c>
      <c r="J509">
        <v>60000</v>
      </c>
    </row>
    <row r="510" spans="1:10" x14ac:dyDescent="0.3">
      <c r="A510" s="114">
        <v>46126</v>
      </c>
      <c r="B510" t="s">
        <v>35</v>
      </c>
      <c r="C510" s="95"/>
      <c r="D510" s="95">
        <v>200000</v>
      </c>
      <c r="E510" t="s">
        <v>570</v>
      </c>
      <c r="F510" s="110" t="s">
        <v>108</v>
      </c>
      <c r="I510">
        <v>14213</v>
      </c>
      <c r="J510">
        <v>35000</v>
      </c>
    </row>
    <row r="511" spans="1:10" x14ac:dyDescent="0.3">
      <c r="A511" s="38">
        <v>46126</v>
      </c>
      <c r="B511" t="s">
        <v>222</v>
      </c>
      <c r="C511" s="95">
        <v>85000</v>
      </c>
      <c r="D511" s="95"/>
      <c r="E511" t="s">
        <v>579</v>
      </c>
      <c r="F511" s="110" t="s">
        <v>108</v>
      </c>
      <c r="I511">
        <v>17500</v>
      </c>
      <c r="J511">
        <v>19600</v>
      </c>
    </row>
    <row r="512" spans="1:10" x14ac:dyDescent="0.3">
      <c r="A512" s="38">
        <v>46126</v>
      </c>
      <c r="B512" t="s">
        <v>220</v>
      </c>
      <c r="C512" s="95"/>
      <c r="D512" s="95">
        <v>85000</v>
      </c>
      <c r="E512" t="s">
        <v>580</v>
      </c>
      <c r="F512" s="110" t="s">
        <v>108</v>
      </c>
      <c r="I512">
        <v>20800</v>
      </c>
      <c r="J512">
        <v>15600</v>
      </c>
    </row>
    <row r="513" spans="1:10" x14ac:dyDescent="0.3">
      <c r="A513" s="38">
        <v>46126</v>
      </c>
      <c r="B513" t="s">
        <v>246</v>
      </c>
      <c r="C513" s="95">
        <v>2020</v>
      </c>
      <c r="D513" s="95"/>
      <c r="E513" t="s">
        <v>581</v>
      </c>
      <c r="F513" s="110" t="s">
        <v>108</v>
      </c>
      <c r="I513">
        <v>15600</v>
      </c>
      <c r="J513">
        <v>20800</v>
      </c>
    </row>
    <row r="514" spans="1:10" x14ac:dyDescent="0.3">
      <c r="A514" s="38">
        <v>46126</v>
      </c>
      <c r="B514" t="s">
        <v>582</v>
      </c>
      <c r="C514" s="95"/>
      <c r="D514" s="95">
        <v>500000</v>
      </c>
      <c r="E514" t="s">
        <v>583</v>
      </c>
      <c r="F514" s="110" t="s">
        <v>108</v>
      </c>
      <c r="I514">
        <v>19600</v>
      </c>
      <c r="J514">
        <v>17500</v>
      </c>
    </row>
    <row r="515" spans="1:10" x14ac:dyDescent="0.3">
      <c r="A515" s="114">
        <v>46126</v>
      </c>
      <c r="B515" t="s">
        <v>220</v>
      </c>
      <c r="C515" s="95">
        <v>200000</v>
      </c>
      <c r="D515" s="95"/>
      <c r="E515" t="s">
        <v>584</v>
      </c>
      <c r="F515" s="110" t="s">
        <v>108</v>
      </c>
      <c r="I515">
        <v>35000</v>
      </c>
      <c r="J515">
        <v>14220</v>
      </c>
    </row>
    <row r="516" spans="1:10" x14ac:dyDescent="0.3">
      <c r="A516" s="38">
        <v>46126</v>
      </c>
      <c r="B516" t="s">
        <v>587</v>
      </c>
      <c r="C516" s="95">
        <v>4000</v>
      </c>
      <c r="D516" s="95"/>
      <c r="E516" t="s">
        <v>470</v>
      </c>
      <c r="F516" s="110" t="s">
        <v>108</v>
      </c>
      <c r="I516">
        <v>60000</v>
      </c>
      <c r="J516">
        <v>12220</v>
      </c>
    </row>
    <row r="517" spans="1:10" x14ac:dyDescent="0.3">
      <c r="A517" s="114">
        <v>46126</v>
      </c>
      <c r="B517" t="s">
        <v>249</v>
      </c>
      <c r="C517" s="95">
        <v>3900</v>
      </c>
      <c r="D517" s="95"/>
      <c r="F517" s="110" t="s">
        <v>108</v>
      </c>
      <c r="I517">
        <v>50000</v>
      </c>
      <c r="J517">
        <v>14000</v>
      </c>
    </row>
    <row r="518" spans="1:10" x14ac:dyDescent="0.3">
      <c r="A518" s="38">
        <v>46126</v>
      </c>
      <c r="B518" t="s">
        <v>282</v>
      </c>
      <c r="C518" s="95">
        <v>6670</v>
      </c>
      <c r="D518" s="95"/>
      <c r="E518" t="s">
        <v>594</v>
      </c>
      <c r="F518" s="110" t="s">
        <v>108</v>
      </c>
      <c r="I518">
        <v>80000</v>
      </c>
      <c r="J518">
        <v>150000</v>
      </c>
    </row>
    <row r="519" spans="1:10" x14ac:dyDescent="0.3">
      <c r="A519" s="38">
        <v>46127</v>
      </c>
      <c r="B519" t="s">
        <v>409</v>
      </c>
      <c r="C519" s="95"/>
      <c r="D519" s="95">
        <v>164000</v>
      </c>
      <c r="F519" s="110" t="s">
        <v>108</v>
      </c>
      <c r="I519">
        <v>21600</v>
      </c>
      <c r="J519">
        <v>17350</v>
      </c>
    </row>
    <row r="520" spans="1:10" x14ac:dyDescent="0.3">
      <c r="A520" s="38">
        <v>46127</v>
      </c>
      <c r="B520" t="s">
        <v>220</v>
      </c>
      <c r="C520" s="95">
        <v>164000</v>
      </c>
      <c r="D520" s="95"/>
      <c r="E520" t="s">
        <v>593</v>
      </c>
      <c r="F520" s="110" t="s">
        <v>108</v>
      </c>
      <c r="I520">
        <v>12400</v>
      </c>
      <c r="J520">
        <v>40000</v>
      </c>
    </row>
    <row r="521" spans="1:10" x14ac:dyDescent="0.3">
      <c r="A521" s="38">
        <v>46127</v>
      </c>
      <c r="B521" t="s">
        <v>229</v>
      </c>
      <c r="C521" s="95">
        <v>400000</v>
      </c>
      <c r="D521" s="95"/>
      <c r="E521" t="s">
        <v>585</v>
      </c>
      <c r="F521" s="110" t="s">
        <v>108</v>
      </c>
      <c r="I521">
        <v>23600</v>
      </c>
      <c r="J521">
        <v>55000</v>
      </c>
    </row>
    <row r="522" spans="1:10" x14ac:dyDescent="0.3">
      <c r="A522" s="38">
        <v>46127</v>
      </c>
      <c r="B522" t="s">
        <v>55</v>
      </c>
      <c r="C522" s="11">
        <v>3210</v>
      </c>
      <c r="D522" s="11"/>
      <c r="E522" t="s">
        <v>588</v>
      </c>
      <c r="F522" s="110" t="s">
        <v>108</v>
      </c>
      <c r="I522">
        <v>24800</v>
      </c>
      <c r="J522">
        <v>20000</v>
      </c>
    </row>
    <row r="523" spans="1:10" x14ac:dyDescent="0.3">
      <c r="A523" s="38">
        <v>46127</v>
      </c>
      <c r="B523" t="s">
        <v>222</v>
      </c>
      <c r="C523" s="11">
        <v>50000</v>
      </c>
      <c r="D523" s="11"/>
      <c r="E523" t="s">
        <v>589</v>
      </c>
      <c r="F523" s="110" t="s">
        <v>108</v>
      </c>
      <c r="I523">
        <v>26800</v>
      </c>
      <c r="J523">
        <v>22650</v>
      </c>
    </row>
    <row r="524" spans="1:10" x14ac:dyDescent="0.3">
      <c r="A524" s="38">
        <v>46127</v>
      </c>
      <c r="B524" t="s">
        <v>212</v>
      </c>
      <c r="C524" s="11">
        <v>2490</v>
      </c>
      <c r="D524" s="11"/>
      <c r="F524" s="110" t="s">
        <v>108</v>
      </c>
      <c r="I524">
        <v>22400</v>
      </c>
      <c r="J524">
        <v>20550</v>
      </c>
    </row>
    <row r="525" spans="1:10" x14ac:dyDescent="0.3">
      <c r="A525" s="38">
        <v>46127</v>
      </c>
      <c r="B525" t="s">
        <v>228</v>
      </c>
      <c r="C525" s="95"/>
      <c r="D525" s="95">
        <v>676071</v>
      </c>
      <c r="E525" t="s">
        <v>660</v>
      </c>
      <c r="F525" s="110" t="s">
        <v>108</v>
      </c>
      <c r="I525">
        <v>32800</v>
      </c>
      <c r="J525">
        <v>4000</v>
      </c>
    </row>
    <row r="526" spans="1:10" x14ac:dyDescent="0.3">
      <c r="A526" s="38">
        <v>46127</v>
      </c>
      <c r="B526" t="s">
        <v>220</v>
      </c>
      <c r="C526" s="95">
        <v>676071</v>
      </c>
      <c r="D526" s="95"/>
      <c r="E526" t="s">
        <v>661</v>
      </c>
      <c r="F526" s="110" t="s">
        <v>108</v>
      </c>
      <c r="I526">
        <v>8400</v>
      </c>
      <c r="J526">
        <v>8400</v>
      </c>
    </row>
    <row r="527" spans="1:10" x14ac:dyDescent="0.3">
      <c r="A527" s="38">
        <v>46128</v>
      </c>
      <c r="B527" t="s">
        <v>55</v>
      </c>
      <c r="C527" s="11">
        <v>27000</v>
      </c>
      <c r="D527" s="11"/>
      <c r="F527" s="110" t="s">
        <v>108</v>
      </c>
    </row>
    <row r="528" spans="1:10" x14ac:dyDescent="0.3">
      <c r="A528" s="38">
        <v>46128</v>
      </c>
      <c r="B528" t="s">
        <v>220</v>
      </c>
      <c r="C528" s="11"/>
      <c r="D528" s="11">
        <v>27000</v>
      </c>
      <c r="E528" t="s">
        <v>55</v>
      </c>
      <c r="F528" s="110" t="s">
        <v>108</v>
      </c>
    </row>
    <row r="529" spans="1:7" x14ac:dyDescent="0.3">
      <c r="A529" s="38">
        <v>46128</v>
      </c>
      <c r="B529" t="s">
        <v>55</v>
      </c>
      <c r="C529" s="95">
        <v>600</v>
      </c>
      <c r="D529" s="95"/>
      <c r="F529" s="110" t="s">
        <v>108</v>
      </c>
    </row>
    <row r="530" spans="1:7" x14ac:dyDescent="0.3">
      <c r="A530" s="114">
        <v>46128</v>
      </c>
      <c r="B530" t="s">
        <v>220</v>
      </c>
      <c r="C530" s="95"/>
      <c r="D530" s="95">
        <v>600</v>
      </c>
      <c r="F530" s="110" t="s">
        <v>108</v>
      </c>
    </row>
    <row r="531" spans="1:7" x14ac:dyDescent="0.3">
      <c r="A531" s="114">
        <v>46128</v>
      </c>
      <c r="B531" t="s">
        <v>55</v>
      </c>
      <c r="C531" s="95">
        <v>3800</v>
      </c>
      <c r="D531" s="95"/>
      <c r="F531" s="110" t="s">
        <v>108</v>
      </c>
    </row>
    <row r="532" spans="1:7" x14ac:dyDescent="0.3">
      <c r="A532" s="114">
        <v>46128</v>
      </c>
      <c r="B532" t="s">
        <v>220</v>
      </c>
      <c r="C532" s="95"/>
      <c r="D532" s="95">
        <v>3800</v>
      </c>
      <c r="F532" s="110" t="s">
        <v>108</v>
      </c>
    </row>
    <row r="533" spans="1:7" x14ac:dyDescent="0.3">
      <c r="A533" s="114">
        <v>46128</v>
      </c>
      <c r="B533" t="s">
        <v>55</v>
      </c>
      <c r="C533" s="95">
        <v>2635</v>
      </c>
      <c r="D533" s="95"/>
      <c r="F533" s="110" t="s">
        <v>108</v>
      </c>
    </row>
    <row r="534" spans="1:7" x14ac:dyDescent="0.3">
      <c r="A534" s="114">
        <v>46128</v>
      </c>
      <c r="B534" t="s">
        <v>582</v>
      </c>
      <c r="C534" s="95"/>
      <c r="D534" s="95">
        <v>400000</v>
      </c>
      <c r="E534" t="s">
        <v>590</v>
      </c>
      <c r="F534" s="110" t="s">
        <v>108</v>
      </c>
    </row>
    <row r="535" spans="1:7" x14ac:dyDescent="0.3">
      <c r="A535" s="38">
        <v>46128</v>
      </c>
      <c r="B535" t="s">
        <v>222</v>
      </c>
      <c r="C535" s="95">
        <v>200125</v>
      </c>
      <c r="D535" s="95"/>
      <c r="E535" t="s">
        <v>591</v>
      </c>
      <c r="F535" s="110" t="s">
        <v>108</v>
      </c>
    </row>
    <row r="536" spans="1:7" x14ac:dyDescent="0.3">
      <c r="A536" s="38">
        <v>46128</v>
      </c>
      <c r="B536" t="s">
        <v>169</v>
      </c>
      <c r="C536" s="95">
        <v>203000</v>
      </c>
      <c r="D536" s="95"/>
      <c r="E536" t="s">
        <v>592</v>
      </c>
      <c r="F536" s="110" t="s">
        <v>108</v>
      </c>
    </row>
    <row r="537" spans="1:7" x14ac:dyDescent="0.3">
      <c r="A537" s="38">
        <v>46128</v>
      </c>
      <c r="B537" t="s">
        <v>9</v>
      </c>
      <c r="C537" s="95"/>
      <c r="D537" s="95">
        <v>100000</v>
      </c>
      <c r="E537" t="s">
        <v>109</v>
      </c>
      <c r="F537" s="110" t="s">
        <v>108</v>
      </c>
    </row>
    <row r="538" spans="1:7" x14ac:dyDescent="0.3">
      <c r="A538" s="38">
        <v>46128</v>
      </c>
      <c r="B538" t="s">
        <v>115</v>
      </c>
      <c r="C538" s="11">
        <v>90000</v>
      </c>
      <c r="D538" s="11"/>
      <c r="F538" s="110" t="s">
        <v>108</v>
      </c>
    </row>
    <row r="539" spans="1:7" x14ac:dyDescent="0.3">
      <c r="A539" s="38">
        <v>46128</v>
      </c>
      <c r="B539" t="s">
        <v>220</v>
      </c>
      <c r="C539" s="11">
        <v>10000</v>
      </c>
      <c r="D539" s="11"/>
      <c r="E539" t="s">
        <v>596</v>
      </c>
      <c r="F539" s="110" t="s">
        <v>108</v>
      </c>
    </row>
    <row r="540" spans="1:7" x14ac:dyDescent="0.3">
      <c r="A540" s="38">
        <v>46128</v>
      </c>
      <c r="B540" t="s">
        <v>54</v>
      </c>
      <c r="C540" s="95">
        <v>7763</v>
      </c>
      <c r="D540" s="95"/>
      <c r="E540" t="s">
        <v>290</v>
      </c>
      <c r="F540" s="110" t="s">
        <v>108</v>
      </c>
    </row>
    <row r="541" spans="1:7" x14ac:dyDescent="0.3">
      <c r="A541" s="38">
        <v>46128</v>
      </c>
      <c r="B541" t="s">
        <v>117</v>
      </c>
      <c r="C541" s="11">
        <v>38800</v>
      </c>
      <c r="D541" s="11"/>
      <c r="E541" t="s">
        <v>597</v>
      </c>
      <c r="F541" s="110" t="s">
        <v>108</v>
      </c>
    </row>
    <row r="542" spans="1:7" x14ac:dyDescent="0.3">
      <c r="A542" s="38">
        <v>46128</v>
      </c>
      <c r="B542" t="s">
        <v>35</v>
      </c>
      <c r="C542" s="11"/>
      <c r="D542" s="11">
        <v>200000</v>
      </c>
      <c r="E542" t="s">
        <v>598</v>
      </c>
      <c r="F542" s="110" t="s">
        <v>108</v>
      </c>
    </row>
    <row r="543" spans="1:7" x14ac:dyDescent="0.3">
      <c r="A543" s="38">
        <v>46128</v>
      </c>
      <c r="B543" t="s">
        <v>282</v>
      </c>
      <c r="C543" s="11">
        <v>50000</v>
      </c>
      <c r="D543" s="11"/>
      <c r="E543" t="s">
        <v>329</v>
      </c>
      <c r="F543" s="110" t="s">
        <v>108</v>
      </c>
      <c r="G543" s="127"/>
    </row>
    <row r="544" spans="1:7" x14ac:dyDescent="0.3">
      <c r="A544" s="38">
        <v>46128</v>
      </c>
      <c r="B544" t="s">
        <v>54</v>
      </c>
      <c r="C544" s="11">
        <v>3943</v>
      </c>
      <c r="D544" s="11"/>
      <c r="E544" t="s">
        <v>599</v>
      </c>
      <c r="F544" s="110" t="s">
        <v>108</v>
      </c>
      <c r="G544" s="127"/>
    </row>
    <row r="545" spans="1:7" x14ac:dyDescent="0.3">
      <c r="A545" s="38">
        <v>46128</v>
      </c>
      <c r="B545" t="s">
        <v>54</v>
      </c>
      <c r="C545" s="11">
        <v>1500</v>
      </c>
      <c r="D545" s="11"/>
      <c r="E545" t="s">
        <v>600</v>
      </c>
      <c r="F545" s="110" t="s">
        <v>108</v>
      </c>
      <c r="G545" s="127"/>
    </row>
    <row r="546" spans="1:7" x14ac:dyDescent="0.3">
      <c r="A546" s="38">
        <v>46129</v>
      </c>
      <c r="B546" t="s">
        <v>601</v>
      </c>
      <c r="C546" s="11">
        <v>1437</v>
      </c>
      <c r="D546" s="11"/>
      <c r="E546" t="s">
        <v>602</v>
      </c>
      <c r="F546" s="110" t="s">
        <v>108</v>
      </c>
    </row>
    <row r="547" spans="1:7" x14ac:dyDescent="0.3">
      <c r="A547" s="38">
        <v>46129</v>
      </c>
      <c r="B547" t="s">
        <v>212</v>
      </c>
      <c r="C547" s="11">
        <v>2880</v>
      </c>
      <c r="D547" s="11"/>
      <c r="F547" s="110" t="s">
        <v>108</v>
      </c>
    </row>
    <row r="548" spans="1:7" x14ac:dyDescent="0.3">
      <c r="A548" s="114">
        <v>46129</v>
      </c>
      <c r="B548" t="s">
        <v>55</v>
      </c>
      <c r="C548" s="11">
        <v>6000</v>
      </c>
      <c r="D548" s="11"/>
      <c r="E548" t="s">
        <v>603</v>
      </c>
      <c r="F548" s="110" t="s">
        <v>108</v>
      </c>
    </row>
    <row r="549" spans="1:7" x14ac:dyDescent="0.3">
      <c r="A549" s="38">
        <v>46129</v>
      </c>
      <c r="B549" t="s">
        <v>222</v>
      </c>
      <c r="C549" s="11">
        <v>50000</v>
      </c>
      <c r="D549" s="11"/>
      <c r="E549" t="s">
        <v>604</v>
      </c>
      <c r="F549" s="110" t="s">
        <v>108</v>
      </c>
    </row>
    <row r="550" spans="1:7" x14ac:dyDescent="0.3">
      <c r="A550" s="38">
        <v>46129</v>
      </c>
      <c r="B550" t="s">
        <v>54</v>
      </c>
      <c r="C550" s="11">
        <v>2010</v>
      </c>
      <c r="D550" s="11"/>
      <c r="E550" t="s">
        <v>605</v>
      </c>
      <c r="F550" s="110" t="s">
        <v>108</v>
      </c>
    </row>
    <row r="551" spans="1:7" x14ac:dyDescent="0.3">
      <c r="A551" s="38">
        <v>46129</v>
      </c>
      <c r="B551" t="s">
        <v>55</v>
      </c>
      <c r="C551" s="11">
        <v>1320</v>
      </c>
      <c r="D551" s="11"/>
      <c r="F551" s="110" t="s">
        <v>108</v>
      </c>
    </row>
    <row r="552" spans="1:7" x14ac:dyDescent="0.3">
      <c r="A552" s="38">
        <v>46129</v>
      </c>
      <c r="B552" t="s">
        <v>54</v>
      </c>
      <c r="C552" s="11">
        <v>1000</v>
      </c>
      <c r="D552" s="11"/>
      <c r="F552" s="110" t="s">
        <v>108</v>
      </c>
    </row>
    <row r="553" spans="1:7" x14ac:dyDescent="0.3">
      <c r="A553" s="38">
        <v>46130</v>
      </c>
      <c r="B553" t="s">
        <v>55</v>
      </c>
      <c r="C553" s="11">
        <v>1370</v>
      </c>
      <c r="D553" s="11"/>
      <c r="E553" t="s">
        <v>445</v>
      </c>
      <c r="F553" s="110" t="s">
        <v>108</v>
      </c>
    </row>
    <row r="554" spans="1:7" x14ac:dyDescent="0.3">
      <c r="A554" s="114">
        <v>46130</v>
      </c>
      <c r="B554" t="s">
        <v>220</v>
      </c>
      <c r="C554" s="11"/>
      <c r="D554" s="11">
        <v>1370</v>
      </c>
      <c r="E554" t="s">
        <v>445</v>
      </c>
      <c r="F554" s="110" t="s">
        <v>108</v>
      </c>
    </row>
    <row r="555" spans="1:7" x14ac:dyDescent="0.3">
      <c r="A555" s="38">
        <v>46130</v>
      </c>
      <c r="B555" t="s">
        <v>357</v>
      </c>
      <c r="C555" s="11">
        <v>5000</v>
      </c>
      <c r="D555" s="11"/>
      <c r="E555" t="s">
        <v>606</v>
      </c>
      <c r="F555" s="110" t="s">
        <v>108</v>
      </c>
    </row>
    <row r="556" spans="1:7" x14ac:dyDescent="0.3">
      <c r="A556" s="38">
        <v>46130</v>
      </c>
      <c r="B556" t="s">
        <v>572</v>
      </c>
      <c r="C556" s="11">
        <v>10000</v>
      </c>
      <c r="D556" s="11"/>
      <c r="E556" t="s">
        <v>541</v>
      </c>
      <c r="F556" s="110" t="s">
        <v>108</v>
      </c>
    </row>
    <row r="557" spans="1:7" x14ac:dyDescent="0.3">
      <c r="A557" s="38">
        <v>46130</v>
      </c>
      <c r="B557" t="s">
        <v>9</v>
      </c>
      <c r="C557" s="11"/>
      <c r="D557" s="11">
        <v>100000</v>
      </c>
      <c r="E557" t="s">
        <v>109</v>
      </c>
      <c r="F557" s="110" t="s">
        <v>108</v>
      </c>
    </row>
    <row r="558" spans="1:7" x14ac:dyDescent="0.3">
      <c r="A558" s="38">
        <v>46130</v>
      </c>
      <c r="B558" t="s">
        <v>115</v>
      </c>
      <c r="C558" s="11">
        <v>100000</v>
      </c>
      <c r="D558" s="11"/>
      <c r="E558" t="s">
        <v>109</v>
      </c>
      <c r="F558" s="110" t="s">
        <v>108</v>
      </c>
    </row>
    <row r="559" spans="1:7" x14ac:dyDescent="0.3">
      <c r="A559" s="38">
        <v>46130</v>
      </c>
      <c r="B559" t="s">
        <v>55</v>
      </c>
      <c r="C559" s="11">
        <v>1100</v>
      </c>
      <c r="D559" s="11"/>
      <c r="F559" s="110" t="s">
        <v>108</v>
      </c>
    </row>
    <row r="560" spans="1:7" x14ac:dyDescent="0.3">
      <c r="A560" s="38">
        <v>46130</v>
      </c>
      <c r="B560" t="s">
        <v>572</v>
      </c>
      <c r="C560" s="11">
        <v>30000</v>
      </c>
      <c r="D560" s="11"/>
      <c r="E560" t="s">
        <v>607</v>
      </c>
      <c r="F560" s="110" t="s">
        <v>108</v>
      </c>
    </row>
    <row r="561" spans="1:6" x14ac:dyDescent="0.3">
      <c r="A561" s="38">
        <v>46130</v>
      </c>
      <c r="B561" t="s">
        <v>55</v>
      </c>
      <c r="C561" s="11">
        <v>1800</v>
      </c>
      <c r="D561" s="11"/>
      <c r="F561" s="110" t="s">
        <v>108</v>
      </c>
    </row>
    <row r="562" spans="1:6" x14ac:dyDescent="0.3">
      <c r="A562" s="38">
        <v>46130</v>
      </c>
      <c r="B562" t="s">
        <v>55</v>
      </c>
      <c r="C562" s="11">
        <v>550</v>
      </c>
      <c r="D562" s="11"/>
      <c r="F562" s="110" t="s">
        <v>108</v>
      </c>
    </row>
    <row r="563" spans="1:6" x14ac:dyDescent="0.3">
      <c r="A563" s="38">
        <v>46130</v>
      </c>
      <c r="B563" t="s">
        <v>54</v>
      </c>
      <c r="C563" s="11">
        <v>950</v>
      </c>
      <c r="D563" s="11"/>
      <c r="F563" s="110" t="s">
        <v>108</v>
      </c>
    </row>
    <row r="564" spans="1:6" x14ac:dyDescent="0.3">
      <c r="A564" s="38">
        <v>46130</v>
      </c>
      <c r="B564" t="s">
        <v>222</v>
      </c>
      <c r="C564" s="11">
        <v>48800</v>
      </c>
      <c r="D564" s="11"/>
      <c r="E564" t="s">
        <v>608</v>
      </c>
      <c r="F564" s="110" t="s">
        <v>108</v>
      </c>
    </row>
    <row r="565" spans="1:6" x14ac:dyDescent="0.3">
      <c r="A565" s="38">
        <v>46130</v>
      </c>
      <c r="B565" t="s">
        <v>35</v>
      </c>
      <c r="C565" s="11"/>
      <c r="D565" s="11">
        <v>123800</v>
      </c>
      <c r="F565" s="110" t="s">
        <v>108</v>
      </c>
    </row>
    <row r="566" spans="1:6" x14ac:dyDescent="0.3">
      <c r="A566" s="38">
        <v>46130</v>
      </c>
      <c r="B566" t="s">
        <v>220</v>
      </c>
      <c r="C566" s="11"/>
      <c r="D566" s="11">
        <v>48800</v>
      </c>
      <c r="E566" t="s">
        <v>609</v>
      </c>
      <c r="F566" s="110" t="s">
        <v>108</v>
      </c>
    </row>
    <row r="567" spans="1:6" x14ac:dyDescent="0.3">
      <c r="A567" s="38">
        <v>46130</v>
      </c>
      <c r="B567" t="s">
        <v>220</v>
      </c>
      <c r="C567" s="11">
        <v>123800</v>
      </c>
      <c r="D567" s="11"/>
      <c r="E567" t="s">
        <v>610</v>
      </c>
      <c r="F567" s="110" t="s">
        <v>108</v>
      </c>
    </row>
    <row r="568" spans="1:6" x14ac:dyDescent="0.3">
      <c r="A568" s="38">
        <v>46131</v>
      </c>
      <c r="B568" t="s">
        <v>357</v>
      </c>
      <c r="C568" s="11">
        <v>75000</v>
      </c>
      <c r="D568" s="11"/>
      <c r="E568" t="s">
        <v>611</v>
      </c>
      <c r="F568" s="110" t="s">
        <v>108</v>
      </c>
    </row>
    <row r="569" spans="1:6" x14ac:dyDescent="0.3">
      <c r="A569" s="38">
        <v>46131</v>
      </c>
      <c r="B569" t="s">
        <v>220</v>
      </c>
      <c r="C569" s="11"/>
      <c r="D569" s="11">
        <v>75000</v>
      </c>
      <c r="E569" t="s">
        <v>612</v>
      </c>
      <c r="F569" s="110" t="s">
        <v>108</v>
      </c>
    </row>
    <row r="570" spans="1:6" x14ac:dyDescent="0.3">
      <c r="A570" s="38">
        <v>46131</v>
      </c>
      <c r="B570" t="s">
        <v>117</v>
      </c>
      <c r="C570" s="11">
        <v>31000</v>
      </c>
      <c r="D570" s="11"/>
      <c r="E570" t="s">
        <v>61</v>
      </c>
      <c r="F570" s="110" t="s">
        <v>108</v>
      </c>
    </row>
    <row r="571" spans="1:6" x14ac:dyDescent="0.3">
      <c r="A571" s="38">
        <v>46131</v>
      </c>
      <c r="B571" t="s">
        <v>220</v>
      </c>
      <c r="C571" s="11"/>
      <c r="D571" s="11">
        <v>31000</v>
      </c>
      <c r="E571" t="s">
        <v>531</v>
      </c>
      <c r="F571" s="110" t="s">
        <v>108</v>
      </c>
    </row>
    <row r="572" spans="1:6" x14ac:dyDescent="0.3">
      <c r="A572" s="38">
        <v>46131</v>
      </c>
      <c r="B572" t="s">
        <v>220</v>
      </c>
      <c r="C572" s="11"/>
      <c r="D572" s="11">
        <v>48500</v>
      </c>
      <c r="E572" t="s">
        <v>613</v>
      </c>
      <c r="F572" s="110" t="s">
        <v>108</v>
      </c>
    </row>
    <row r="573" spans="1:6" x14ac:dyDescent="0.3">
      <c r="A573" s="38">
        <v>46131</v>
      </c>
      <c r="B573" t="s">
        <v>224</v>
      </c>
      <c r="C573" s="11">
        <v>48500</v>
      </c>
      <c r="D573" s="11"/>
      <c r="E573" t="s">
        <v>242</v>
      </c>
      <c r="F573" s="110" t="s">
        <v>108</v>
      </c>
    </row>
    <row r="574" spans="1:6" x14ac:dyDescent="0.3">
      <c r="A574" s="38">
        <v>46131</v>
      </c>
      <c r="B574" t="s">
        <v>601</v>
      </c>
      <c r="C574" s="11">
        <v>3000</v>
      </c>
      <c r="D574" s="11"/>
      <c r="E574" t="s">
        <v>350</v>
      </c>
      <c r="F574" s="110" t="s">
        <v>108</v>
      </c>
    </row>
    <row r="575" spans="1:6" x14ac:dyDescent="0.3">
      <c r="A575" s="38">
        <v>46131</v>
      </c>
      <c r="B575" t="s">
        <v>640</v>
      </c>
      <c r="C575" s="11">
        <v>25000</v>
      </c>
      <c r="D575" s="11"/>
      <c r="E575" t="s">
        <v>242</v>
      </c>
      <c r="F575" s="110" t="s">
        <v>108</v>
      </c>
    </row>
    <row r="576" spans="1:6" x14ac:dyDescent="0.3">
      <c r="A576" s="38">
        <v>46131</v>
      </c>
      <c r="B576" t="s">
        <v>246</v>
      </c>
      <c r="C576" s="11">
        <v>480</v>
      </c>
      <c r="D576" s="11"/>
      <c r="E576" t="s">
        <v>614</v>
      </c>
      <c r="F576" s="110" t="s">
        <v>108</v>
      </c>
    </row>
    <row r="577" spans="1:6" x14ac:dyDescent="0.3">
      <c r="A577" s="38">
        <v>46131</v>
      </c>
      <c r="B577" t="s">
        <v>601</v>
      </c>
      <c r="C577" s="11">
        <v>4000</v>
      </c>
      <c r="D577" s="11" t="s">
        <v>615</v>
      </c>
      <c r="E577" t="s">
        <v>616</v>
      </c>
      <c r="F577" s="110" t="s">
        <v>108</v>
      </c>
    </row>
    <row r="578" spans="1:6" x14ac:dyDescent="0.3">
      <c r="A578" s="38">
        <v>46131</v>
      </c>
      <c r="B578" t="s">
        <v>55</v>
      </c>
      <c r="C578" s="11">
        <v>5400</v>
      </c>
      <c r="D578" s="11"/>
      <c r="E578" t="s">
        <v>617</v>
      </c>
      <c r="F578" s="110" t="s">
        <v>108</v>
      </c>
    </row>
    <row r="579" spans="1:6" x14ac:dyDescent="0.3">
      <c r="A579" s="38">
        <v>46132</v>
      </c>
      <c r="B579" t="s">
        <v>54</v>
      </c>
      <c r="C579" s="11">
        <v>7014</v>
      </c>
      <c r="D579" s="11"/>
      <c r="E579" t="s">
        <v>290</v>
      </c>
      <c r="F579" s="110"/>
    </row>
    <row r="580" spans="1:6" x14ac:dyDescent="0.3">
      <c r="A580" s="38">
        <v>46132</v>
      </c>
      <c r="B580" t="s">
        <v>220</v>
      </c>
      <c r="C580" s="11"/>
      <c r="D580" s="11">
        <v>15000</v>
      </c>
      <c r="E580" t="s">
        <v>618</v>
      </c>
      <c r="F580" s="110" t="s">
        <v>108</v>
      </c>
    </row>
    <row r="581" spans="1:6" x14ac:dyDescent="0.3">
      <c r="A581" s="38">
        <v>46132</v>
      </c>
      <c r="B581" t="s">
        <v>212</v>
      </c>
      <c r="C581" s="11"/>
      <c r="D581" s="11">
        <v>8800</v>
      </c>
      <c r="E581" t="s">
        <v>619</v>
      </c>
      <c r="F581" s="110" t="s">
        <v>108</v>
      </c>
    </row>
    <row r="582" spans="1:6" x14ac:dyDescent="0.3">
      <c r="A582" s="38">
        <v>46132</v>
      </c>
      <c r="B582" t="s">
        <v>601</v>
      </c>
      <c r="C582" s="11">
        <v>8800</v>
      </c>
      <c r="D582" s="11"/>
      <c r="E582" t="s">
        <v>619</v>
      </c>
      <c r="F582" s="110" t="s">
        <v>108</v>
      </c>
    </row>
    <row r="583" spans="1:6" x14ac:dyDescent="0.3">
      <c r="A583" s="38">
        <v>46132</v>
      </c>
      <c r="B583" t="s">
        <v>220</v>
      </c>
      <c r="C583" s="11"/>
      <c r="D583" s="11">
        <v>50000</v>
      </c>
      <c r="E583" t="s">
        <v>620</v>
      </c>
      <c r="F583" s="110" t="s">
        <v>108</v>
      </c>
    </row>
    <row r="584" spans="1:6" x14ac:dyDescent="0.3">
      <c r="A584" s="38">
        <v>46132</v>
      </c>
      <c r="B584" t="s">
        <v>357</v>
      </c>
      <c r="C584" s="11">
        <v>50000</v>
      </c>
      <c r="D584" s="11"/>
      <c r="E584" t="s">
        <v>621</v>
      </c>
      <c r="F584" s="110" t="s">
        <v>108</v>
      </c>
    </row>
    <row r="585" spans="1:6" x14ac:dyDescent="0.3">
      <c r="A585" s="38">
        <v>46132</v>
      </c>
      <c r="B585" t="s">
        <v>55</v>
      </c>
      <c r="C585" s="11">
        <v>4000</v>
      </c>
      <c r="D585" s="11"/>
      <c r="F585" s="110" t="s">
        <v>108</v>
      </c>
    </row>
    <row r="586" spans="1:6" x14ac:dyDescent="0.3">
      <c r="A586" s="38">
        <v>46132</v>
      </c>
      <c r="B586" t="s">
        <v>220</v>
      </c>
      <c r="C586" s="11"/>
      <c r="D586" s="11">
        <v>50000</v>
      </c>
      <c r="E586" t="s">
        <v>622</v>
      </c>
      <c r="F586" s="110" t="s">
        <v>108</v>
      </c>
    </row>
    <row r="587" spans="1:6" x14ac:dyDescent="0.3">
      <c r="A587" s="114">
        <v>46132</v>
      </c>
      <c r="B587" t="s">
        <v>117</v>
      </c>
      <c r="C587" s="11">
        <v>31200</v>
      </c>
      <c r="D587" s="11"/>
      <c r="E587" t="s">
        <v>61</v>
      </c>
      <c r="F587" s="110" t="s">
        <v>108</v>
      </c>
    </row>
    <row r="588" spans="1:6" x14ac:dyDescent="0.3">
      <c r="A588" s="38">
        <v>46132</v>
      </c>
      <c r="B588" t="s">
        <v>572</v>
      </c>
      <c r="C588" s="11">
        <v>19685</v>
      </c>
      <c r="D588" s="11"/>
      <c r="F588" s="110" t="s">
        <v>108</v>
      </c>
    </row>
    <row r="589" spans="1:6" x14ac:dyDescent="0.3">
      <c r="A589" s="38">
        <v>46132</v>
      </c>
      <c r="B589" t="s">
        <v>54</v>
      </c>
      <c r="C589" s="95">
        <v>600</v>
      </c>
      <c r="D589" s="95"/>
      <c r="E589" t="s">
        <v>470</v>
      </c>
      <c r="F589" s="110" t="s">
        <v>108</v>
      </c>
    </row>
    <row r="590" spans="1:6" x14ac:dyDescent="0.3">
      <c r="A590" s="38">
        <v>46132</v>
      </c>
      <c r="B590" t="s">
        <v>220</v>
      </c>
      <c r="C590" s="11"/>
      <c r="D590" s="11">
        <v>280000</v>
      </c>
      <c r="E590" t="s">
        <v>623</v>
      </c>
      <c r="F590" s="110" t="s">
        <v>108</v>
      </c>
    </row>
    <row r="591" spans="1:6" x14ac:dyDescent="0.3">
      <c r="A591" s="38">
        <v>46132</v>
      </c>
      <c r="B591" t="s">
        <v>169</v>
      </c>
      <c r="C591" s="11">
        <v>150000</v>
      </c>
      <c r="D591" s="11"/>
      <c r="E591" t="s">
        <v>624</v>
      </c>
      <c r="F591" s="110" t="s">
        <v>108</v>
      </c>
    </row>
    <row r="592" spans="1:6" x14ac:dyDescent="0.3">
      <c r="A592" s="38">
        <v>46132</v>
      </c>
      <c r="B592" t="s">
        <v>298</v>
      </c>
      <c r="C592" s="95">
        <v>100000</v>
      </c>
      <c r="D592" s="95"/>
      <c r="E592" t="s">
        <v>625</v>
      </c>
      <c r="F592" s="110" t="s">
        <v>108</v>
      </c>
    </row>
    <row r="593" spans="1:6" x14ac:dyDescent="0.3">
      <c r="A593" s="38">
        <v>46132</v>
      </c>
      <c r="B593" t="s">
        <v>601</v>
      </c>
      <c r="C593" s="95">
        <v>20000</v>
      </c>
      <c r="D593" s="95"/>
      <c r="E593" t="s">
        <v>626</v>
      </c>
      <c r="F593" s="110" t="s">
        <v>108</v>
      </c>
    </row>
    <row r="594" spans="1:6" x14ac:dyDescent="0.3">
      <c r="A594" s="38">
        <v>46132</v>
      </c>
      <c r="B594" t="s">
        <v>357</v>
      </c>
      <c r="C594" s="95">
        <v>10000</v>
      </c>
      <c r="D594" s="95"/>
      <c r="E594" t="s">
        <v>281</v>
      </c>
      <c r="F594" s="110" t="s">
        <v>108</v>
      </c>
    </row>
    <row r="595" spans="1:6" x14ac:dyDescent="0.3">
      <c r="A595" s="114">
        <v>46132</v>
      </c>
      <c r="B595" t="s">
        <v>54</v>
      </c>
      <c r="C595" s="95">
        <v>4226</v>
      </c>
      <c r="D595" s="95"/>
      <c r="E595" t="s">
        <v>175</v>
      </c>
      <c r="F595" s="110" t="s">
        <v>108</v>
      </c>
    </row>
    <row r="596" spans="1:6" x14ac:dyDescent="0.3">
      <c r="A596" s="114">
        <v>46132</v>
      </c>
      <c r="B596" t="s">
        <v>582</v>
      </c>
      <c r="C596" s="11"/>
      <c r="D596" s="11">
        <v>4226</v>
      </c>
      <c r="E596" t="s">
        <v>54</v>
      </c>
      <c r="F596" s="110" t="s">
        <v>108</v>
      </c>
    </row>
    <row r="597" spans="1:6" x14ac:dyDescent="0.3">
      <c r="A597" s="38">
        <v>46133</v>
      </c>
      <c r="B597" t="s">
        <v>582</v>
      </c>
      <c r="C597" s="11"/>
      <c r="D597" s="11">
        <v>1000000</v>
      </c>
      <c r="E597" t="s">
        <v>628</v>
      </c>
      <c r="F597" s="110" t="s">
        <v>108</v>
      </c>
    </row>
    <row r="598" spans="1:6" x14ac:dyDescent="0.3">
      <c r="A598" s="114">
        <v>46133</v>
      </c>
      <c r="B598" t="s">
        <v>55</v>
      </c>
      <c r="C598" s="11">
        <v>4000</v>
      </c>
      <c r="D598" s="11"/>
      <c r="F598" s="110" t="s">
        <v>108</v>
      </c>
    </row>
    <row r="599" spans="1:6" x14ac:dyDescent="0.3">
      <c r="A599" s="114">
        <v>46133</v>
      </c>
      <c r="B599" t="s">
        <v>51</v>
      </c>
      <c r="C599" s="11">
        <v>923841</v>
      </c>
      <c r="D599" s="11"/>
      <c r="E599" t="s">
        <v>629</v>
      </c>
      <c r="F599" s="110" t="s">
        <v>108</v>
      </c>
    </row>
    <row r="600" spans="1:6" x14ac:dyDescent="0.3">
      <c r="A600" s="114">
        <v>46133</v>
      </c>
      <c r="B600" t="s">
        <v>55</v>
      </c>
      <c r="C600" s="11">
        <v>1560</v>
      </c>
      <c r="D600" s="11"/>
      <c r="E600" t="s">
        <v>430</v>
      </c>
      <c r="F600" s="110" t="s">
        <v>108</v>
      </c>
    </row>
    <row r="601" spans="1:6" x14ac:dyDescent="0.3">
      <c r="A601" s="114">
        <v>46133</v>
      </c>
      <c r="B601" t="s">
        <v>55</v>
      </c>
      <c r="C601" s="11">
        <v>3700</v>
      </c>
      <c r="D601" s="11"/>
      <c r="E601" t="s">
        <v>430</v>
      </c>
      <c r="F601" s="110" t="s">
        <v>108</v>
      </c>
    </row>
    <row r="602" spans="1:6" x14ac:dyDescent="0.3">
      <c r="A602" s="114">
        <v>46133</v>
      </c>
      <c r="B602" t="s">
        <v>55</v>
      </c>
      <c r="C602" s="11">
        <v>2350</v>
      </c>
      <c r="D602" s="11"/>
      <c r="E602" t="s">
        <v>630</v>
      </c>
      <c r="F602" s="110" t="s">
        <v>108</v>
      </c>
    </row>
    <row r="603" spans="1:6" x14ac:dyDescent="0.3">
      <c r="A603" s="114">
        <v>46133</v>
      </c>
      <c r="B603" t="s">
        <v>587</v>
      </c>
      <c r="C603" s="11">
        <v>50000</v>
      </c>
      <c r="D603" s="11"/>
      <c r="E603" t="s">
        <v>631</v>
      </c>
      <c r="F603" s="110" t="s">
        <v>108</v>
      </c>
    </row>
    <row r="604" spans="1:6" x14ac:dyDescent="0.3">
      <c r="A604" s="114">
        <v>46133</v>
      </c>
      <c r="B604" t="s">
        <v>220</v>
      </c>
      <c r="C604" s="11"/>
      <c r="D604" s="11">
        <v>50000</v>
      </c>
      <c r="E604" t="s">
        <v>226</v>
      </c>
      <c r="F604" s="110" t="s">
        <v>108</v>
      </c>
    </row>
    <row r="605" spans="1:6" x14ac:dyDescent="0.3">
      <c r="A605" s="114">
        <v>46133</v>
      </c>
      <c r="B605" t="s">
        <v>357</v>
      </c>
      <c r="C605" s="11">
        <v>25000</v>
      </c>
      <c r="D605" s="11"/>
      <c r="E605" s="136" t="s">
        <v>469</v>
      </c>
      <c r="F605" s="110" t="s">
        <v>108</v>
      </c>
    </row>
    <row r="606" spans="1:6" x14ac:dyDescent="0.3">
      <c r="A606" s="114">
        <v>46133</v>
      </c>
      <c r="B606" t="s">
        <v>220</v>
      </c>
      <c r="C606" s="95"/>
      <c r="D606" s="95">
        <v>800000</v>
      </c>
      <c r="E606" t="s">
        <v>109</v>
      </c>
      <c r="F606" s="110" t="s">
        <v>108</v>
      </c>
    </row>
    <row r="607" spans="1:6" x14ac:dyDescent="0.3">
      <c r="A607" s="114">
        <v>46133</v>
      </c>
      <c r="B607" t="s">
        <v>245</v>
      </c>
      <c r="C607" s="95"/>
      <c r="D607" s="95">
        <v>100000</v>
      </c>
      <c r="E607" t="s">
        <v>109</v>
      </c>
      <c r="F607" s="110" t="s">
        <v>108</v>
      </c>
    </row>
    <row r="608" spans="1:6" x14ac:dyDescent="0.3">
      <c r="A608" s="114">
        <v>46133</v>
      </c>
      <c r="B608" t="s">
        <v>377</v>
      </c>
      <c r="C608" s="11"/>
      <c r="D608" s="11">
        <v>287000</v>
      </c>
      <c r="E608" t="s">
        <v>109</v>
      </c>
      <c r="F608" s="110" t="s">
        <v>108</v>
      </c>
    </row>
    <row r="609" spans="1:6" x14ac:dyDescent="0.3">
      <c r="A609" s="114">
        <v>46133</v>
      </c>
      <c r="B609" t="s">
        <v>220</v>
      </c>
      <c r="C609" s="11">
        <v>387000</v>
      </c>
      <c r="D609" s="11"/>
      <c r="E609" t="s">
        <v>646</v>
      </c>
      <c r="F609" s="110" t="s">
        <v>108</v>
      </c>
    </row>
    <row r="610" spans="1:6" x14ac:dyDescent="0.3">
      <c r="A610" s="38">
        <v>46133</v>
      </c>
      <c r="B610" t="s">
        <v>282</v>
      </c>
      <c r="C610" s="11">
        <v>495910</v>
      </c>
      <c r="D610" s="11"/>
      <c r="E610" t="s">
        <v>352</v>
      </c>
      <c r="F610" s="110" t="s">
        <v>108</v>
      </c>
    </row>
    <row r="611" spans="1:6" x14ac:dyDescent="0.3">
      <c r="A611" s="38">
        <v>46133</v>
      </c>
      <c r="B611" t="s">
        <v>282</v>
      </c>
      <c r="C611" s="11">
        <v>45000</v>
      </c>
      <c r="D611" s="11"/>
      <c r="E611" t="s">
        <v>606</v>
      </c>
      <c r="F611" s="110" t="s">
        <v>108</v>
      </c>
    </row>
    <row r="612" spans="1:6" x14ac:dyDescent="0.3">
      <c r="A612" s="38">
        <v>46134</v>
      </c>
      <c r="B612" t="s">
        <v>220</v>
      </c>
      <c r="C612" s="11"/>
      <c r="D612" s="11">
        <v>100000</v>
      </c>
      <c r="E612" t="s">
        <v>632</v>
      </c>
      <c r="F612" s="110" t="s">
        <v>108</v>
      </c>
    </row>
    <row r="613" spans="1:6" x14ac:dyDescent="0.3">
      <c r="A613" s="38">
        <v>46134</v>
      </c>
      <c r="B613" t="s">
        <v>176</v>
      </c>
      <c r="C613" s="11">
        <v>136375</v>
      </c>
      <c r="D613" s="11"/>
      <c r="E613" s="121">
        <v>46123</v>
      </c>
      <c r="F613" s="110" t="s">
        <v>108</v>
      </c>
    </row>
    <row r="614" spans="1:6" x14ac:dyDescent="0.3">
      <c r="A614" s="38">
        <v>46134</v>
      </c>
      <c r="B614" t="s">
        <v>220</v>
      </c>
      <c r="C614" s="11"/>
      <c r="D614" s="11">
        <v>300000</v>
      </c>
      <c r="E614" t="s">
        <v>634</v>
      </c>
      <c r="F614" s="110" t="s">
        <v>108</v>
      </c>
    </row>
    <row r="615" spans="1:6" x14ac:dyDescent="0.3">
      <c r="A615" s="38">
        <v>46134</v>
      </c>
      <c r="B615" t="s">
        <v>224</v>
      </c>
      <c r="C615" s="11">
        <v>200000</v>
      </c>
      <c r="D615" s="11"/>
      <c r="E615" t="s">
        <v>635</v>
      </c>
      <c r="F615" s="110" t="s">
        <v>108</v>
      </c>
    </row>
    <row r="616" spans="1:6" x14ac:dyDescent="0.3">
      <c r="A616" s="38">
        <v>46134</v>
      </c>
      <c r="B616" t="s">
        <v>298</v>
      </c>
      <c r="C616" s="11">
        <v>100000</v>
      </c>
      <c r="D616" s="11"/>
      <c r="E616" t="s">
        <v>636</v>
      </c>
      <c r="F616" s="110" t="s">
        <v>108</v>
      </c>
    </row>
    <row r="617" spans="1:6" x14ac:dyDescent="0.3">
      <c r="A617" s="38">
        <v>46134</v>
      </c>
      <c r="B617" t="s">
        <v>220</v>
      </c>
      <c r="C617" s="95"/>
      <c r="D617" s="95">
        <v>17000</v>
      </c>
      <c r="E617" t="s">
        <v>637</v>
      </c>
      <c r="F617" s="110" t="s">
        <v>108</v>
      </c>
    </row>
    <row r="618" spans="1:6" x14ac:dyDescent="0.3">
      <c r="A618" s="38">
        <v>46134</v>
      </c>
      <c r="B618" t="s">
        <v>282</v>
      </c>
      <c r="C618" s="95">
        <v>16000</v>
      </c>
      <c r="D618" s="95"/>
      <c r="E618" t="s">
        <v>638</v>
      </c>
      <c r="F618" s="110" t="s">
        <v>108</v>
      </c>
    </row>
    <row r="619" spans="1:6" x14ac:dyDescent="0.3">
      <c r="A619" s="38">
        <v>46134</v>
      </c>
      <c r="B619" t="s">
        <v>64</v>
      </c>
      <c r="C619" s="95">
        <v>60000</v>
      </c>
      <c r="D619" s="95"/>
      <c r="E619" t="s">
        <v>639</v>
      </c>
      <c r="F619" s="110" t="s">
        <v>108</v>
      </c>
    </row>
    <row r="620" spans="1:6" x14ac:dyDescent="0.3">
      <c r="A620" s="38">
        <v>46134</v>
      </c>
      <c r="B620" t="s">
        <v>220</v>
      </c>
      <c r="C620" s="95"/>
      <c r="D620" s="95">
        <v>60000</v>
      </c>
      <c r="E620" t="s">
        <v>639</v>
      </c>
      <c r="F620" s="110" t="s">
        <v>108</v>
      </c>
    </row>
    <row r="621" spans="1:6" x14ac:dyDescent="0.3">
      <c r="A621" s="38">
        <v>46134</v>
      </c>
      <c r="B621" t="s">
        <v>55</v>
      </c>
      <c r="C621" s="95">
        <v>2400</v>
      </c>
      <c r="D621" s="95"/>
      <c r="E621" t="s">
        <v>647</v>
      </c>
      <c r="F621" s="110" t="s">
        <v>108</v>
      </c>
    </row>
    <row r="622" spans="1:6" x14ac:dyDescent="0.3">
      <c r="A622" s="38">
        <v>46134</v>
      </c>
      <c r="B622" t="s">
        <v>54</v>
      </c>
      <c r="C622" s="11">
        <v>10000</v>
      </c>
      <c r="D622" s="11"/>
      <c r="E622" t="s">
        <v>648</v>
      </c>
      <c r="F622" s="110" t="s">
        <v>108</v>
      </c>
    </row>
    <row r="623" spans="1:6" x14ac:dyDescent="0.3">
      <c r="A623" s="38">
        <v>46134</v>
      </c>
      <c r="B623" t="s">
        <v>246</v>
      </c>
      <c r="C623" s="11">
        <v>400</v>
      </c>
      <c r="D623" s="11"/>
      <c r="E623" t="s">
        <v>649</v>
      </c>
      <c r="F623" s="110" t="s">
        <v>108</v>
      </c>
    </row>
    <row r="624" spans="1:6" x14ac:dyDescent="0.3">
      <c r="A624" s="38">
        <v>46134</v>
      </c>
      <c r="B624" t="s">
        <v>246</v>
      </c>
      <c r="C624" s="11">
        <v>1050</v>
      </c>
      <c r="D624" s="11"/>
      <c r="E624" t="s">
        <v>650</v>
      </c>
      <c r="F624" s="110" t="s">
        <v>108</v>
      </c>
    </row>
    <row r="625" spans="1:6" x14ac:dyDescent="0.3">
      <c r="A625" s="38">
        <v>46134</v>
      </c>
      <c r="B625" t="s">
        <v>222</v>
      </c>
      <c r="C625" s="11">
        <v>6000</v>
      </c>
      <c r="D625" s="11"/>
      <c r="E625" t="s">
        <v>341</v>
      </c>
      <c r="F625" s="110" t="s">
        <v>108</v>
      </c>
    </row>
    <row r="626" spans="1:6" x14ac:dyDescent="0.3">
      <c r="A626" s="114">
        <v>46134</v>
      </c>
      <c r="B626" t="s">
        <v>169</v>
      </c>
      <c r="C626" s="11">
        <v>2000</v>
      </c>
      <c r="D626" s="11"/>
      <c r="E626" t="s">
        <v>341</v>
      </c>
      <c r="F626" s="110" t="s">
        <v>108</v>
      </c>
    </row>
    <row r="627" spans="1:6" x14ac:dyDescent="0.3">
      <c r="A627" s="114">
        <v>46134</v>
      </c>
      <c r="B627" t="s">
        <v>298</v>
      </c>
      <c r="C627" s="11">
        <v>2000</v>
      </c>
      <c r="D627" s="11"/>
      <c r="E627" t="s">
        <v>341</v>
      </c>
      <c r="F627" s="110" t="s">
        <v>108</v>
      </c>
    </row>
    <row r="628" spans="1:6" x14ac:dyDescent="0.3">
      <c r="A628" s="114">
        <v>46134</v>
      </c>
      <c r="B628" t="s">
        <v>224</v>
      </c>
      <c r="C628" s="95">
        <v>1000</v>
      </c>
      <c r="D628" s="95"/>
      <c r="E628" t="s">
        <v>341</v>
      </c>
      <c r="F628" s="110" t="s">
        <v>108</v>
      </c>
    </row>
    <row r="629" spans="1:6" x14ac:dyDescent="0.3">
      <c r="A629" s="114">
        <v>46134</v>
      </c>
      <c r="B629" t="s">
        <v>640</v>
      </c>
      <c r="C629" s="95">
        <v>1000</v>
      </c>
      <c r="D629" s="95"/>
      <c r="E629" t="s">
        <v>341</v>
      </c>
      <c r="F629" s="110" t="s">
        <v>108</v>
      </c>
    </row>
    <row r="630" spans="1:6" x14ac:dyDescent="0.3">
      <c r="A630" s="114">
        <v>46135</v>
      </c>
      <c r="B630" t="s">
        <v>220</v>
      </c>
      <c r="C630" s="95"/>
      <c r="D630" s="95">
        <v>30000</v>
      </c>
      <c r="E630" t="s">
        <v>640</v>
      </c>
      <c r="F630" s="110" t="s">
        <v>108</v>
      </c>
    </row>
    <row r="631" spans="1:6" x14ac:dyDescent="0.3">
      <c r="A631" s="114">
        <v>46135</v>
      </c>
      <c r="B631" t="s">
        <v>640</v>
      </c>
      <c r="C631" s="95">
        <v>30000</v>
      </c>
      <c r="D631" s="95"/>
      <c r="E631" t="s">
        <v>242</v>
      </c>
      <c r="F631" s="110" t="s">
        <v>108</v>
      </c>
    </row>
    <row r="632" spans="1:6" x14ac:dyDescent="0.3">
      <c r="A632" s="114">
        <v>46135</v>
      </c>
      <c r="B632" t="s">
        <v>55</v>
      </c>
      <c r="C632" s="95">
        <v>2100</v>
      </c>
      <c r="D632" s="95"/>
      <c r="E632" t="s">
        <v>641</v>
      </c>
      <c r="F632" s="110" t="s">
        <v>108</v>
      </c>
    </row>
    <row r="633" spans="1:6" x14ac:dyDescent="0.3">
      <c r="A633" s="114">
        <v>46135</v>
      </c>
      <c r="B633" t="s">
        <v>55</v>
      </c>
      <c r="C633" s="95">
        <v>2600</v>
      </c>
      <c r="D633" s="95"/>
      <c r="E633" t="s">
        <v>642</v>
      </c>
      <c r="F633" s="110" t="s">
        <v>108</v>
      </c>
    </row>
    <row r="634" spans="1:6" x14ac:dyDescent="0.3">
      <c r="A634" s="114">
        <v>46135</v>
      </c>
      <c r="B634" t="s">
        <v>55</v>
      </c>
      <c r="C634" s="95">
        <v>550</v>
      </c>
      <c r="D634" s="95"/>
      <c r="E634" t="s">
        <v>643</v>
      </c>
      <c r="F634" s="110" t="s">
        <v>108</v>
      </c>
    </row>
    <row r="635" spans="1:6" x14ac:dyDescent="0.3">
      <c r="A635" s="114">
        <v>46135</v>
      </c>
      <c r="B635" t="s">
        <v>176</v>
      </c>
      <c r="C635" s="95">
        <v>30000</v>
      </c>
      <c r="D635" s="95"/>
      <c r="E635" t="s">
        <v>126</v>
      </c>
      <c r="F635" s="110" t="s">
        <v>108</v>
      </c>
    </row>
    <row r="636" spans="1:6" x14ac:dyDescent="0.3">
      <c r="A636" s="114">
        <v>46135</v>
      </c>
      <c r="B636" t="s">
        <v>220</v>
      </c>
      <c r="C636" s="95"/>
      <c r="D636" s="95">
        <v>142000</v>
      </c>
      <c r="E636" t="s">
        <v>644</v>
      </c>
      <c r="F636" s="110" t="s">
        <v>108</v>
      </c>
    </row>
    <row r="637" spans="1:6" x14ac:dyDescent="0.3">
      <c r="A637" s="38">
        <v>46135</v>
      </c>
      <c r="B637" t="s">
        <v>298</v>
      </c>
      <c r="C637" s="95">
        <v>100000</v>
      </c>
      <c r="D637" s="95"/>
      <c r="E637" t="s">
        <v>645</v>
      </c>
      <c r="F637" s="110" t="s">
        <v>108</v>
      </c>
    </row>
    <row r="638" spans="1:6" x14ac:dyDescent="0.3">
      <c r="A638" s="38">
        <v>46135</v>
      </c>
      <c r="B638" t="s">
        <v>282</v>
      </c>
      <c r="C638" s="95">
        <v>43000</v>
      </c>
      <c r="D638" s="95"/>
      <c r="E638" t="s">
        <v>329</v>
      </c>
      <c r="F638" s="110" t="s">
        <v>108</v>
      </c>
    </row>
    <row r="639" spans="1:6" x14ac:dyDescent="0.3">
      <c r="A639" s="38">
        <v>46135</v>
      </c>
      <c r="B639" t="s">
        <v>212</v>
      </c>
      <c r="C639" s="95">
        <f>1133+1490+300</f>
        <v>2923</v>
      </c>
      <c r="D639" s="95"/>
      <c r="F639" s="110" t="s">
        <v>108</v>
      </c>
    </row>
    <row r="640" spans="1:6" x14ac:dyDescent="0.3">
      <c r="A640" s="38">
        <v>46135</v>
      </c>
      <c r="B640" t="s">
        <v>55</v>
      </c>
      <c r="C640" s="95">
        <f>10656*2</f>
        <v>21312</v>
      </c>
      <c r="D640" s="95"/>
      <c r="E640" t="s">
        <v>651</v>
      </c>
      <c r="F640" s="110" t="s">
        <v>108</v>
      </c>
    </row>
    <row r="641" spans="1:6" x14ac:dyDescent="0.3">
      <c r="A641" s="38">
        <v>46135</v>
      </c>
      <c r="B641" t="s">
        <v>224</v>
      </c>
      <c r="C641" s="95">
        <v>70000</v>
      </c>
      <c r="D641" s="95"/>
      <c r="E641" t="s">
        <v>242</v>
      </c>
      <c r="F641" s="110" t="s">
        <v>108</v>
      </c>
    </row>
    <row r="642" spans="1:6" x14ac:dyDescent="0.3">
      <c r="A642" s="38">
        <v>46135</v>
      </c>
      <c r="B642" t="s">
        <v>357</v>
      </c>
      <c r="C642" s="95">
        <v>50000</v>
      </c>
      <c r="D642" s="95"/>
      <c r="E642" s="137" t="s">
        <v>652</v>
      </c>
      <c r="F642" s="110" t="s">
        <v>108</v>
      </c>
    </row>
    <row r="643" spans="1:6" x14ac:dyDescent="0.3">
      <c r="A643" s="38">
        <v>46135</v>
      </c>
      <c r="B643" t="s">
        <v>357</v>
      </c>
      <c r="C643" s="95">
        <v>20000</v>
      </c>
      <c r="D643" s="95"/>
      <c r="E643" s="137" t="s">
        <v>469</v>
      </c>
      <c r="F643" s="110" t="s">
        <v>108</v>
      </c>
    </row>
    <row r="644" spans="1:6" x14ac:dyDescent="0.3">
      <c r="A644" s="38">
        <v>46135</v>
      </c>
      <c r="B644" t="s">
        <v>54</v>
      </c>
      <c r="C644" s="95">
        <v>5000</v>
      </c>
      <c r="D644" s="95"/>
      <c r="E644" t="s">
        <v>653</v>
      </c>
      <c r="F644" s="110" t="s">
        <v>108</v>
      </c>
    </row>
    <row r="645" spans="1:6" x14ac:dyDescent="0.3">
      <c r="A645" s="38">
        <v>46135</v>
      </c>
      <c r="B645" t="s">
        <v>55</v>
      </c>
      <c r="C645" s="95">
        <v>5500</v>
      </c>
      <c r="D645" s="95"/>
      <c r="E645" t="s">
        <v>654</v>
      </c>
      <c r="F645" s="110" t="s">
        <v>108</v>
      </c>
    </row>
    <row r="646" spans="1:6" x14ac:dyDescent="0.3">
      <c r="A646" s="38">
        <v>46135</v>
      </c>
      <c r="B646" t="s">
        <v>601</v>
      </c>
      <c r="C646" s="95">
        <f>280+365</f>
        <v>645</v>
      </c>
      <c r="D646" s="95"/>
      <c r="E646" t="s">
        <v>655</v>
      </c>
      <c r="F646" s="110" t="s">
        <v>108</v>
      </c>
    </row>
    <row r="647" spans="1:6" x14ac:dyDescent="0.3">
      <c r="A647" s="126"/>
      <c r="B647" s="127" t="s">
        <v>220</v>
      </c>
      <c r="C647" s="128"/>
      <c r="D647" s="128">
        <v>20000</v>
      </c>
      <c r="E647" s="127"/>
      <c r="F647" s="129" t="s">
        <v>108</v>
      </c>
    </row>
    <row r="648" spans="1:6" x14ac:dyDescent="0.3">
      <c r="A648" s="114">
        <v>46135</v>
      </c>
      <c r="B648" t="s">
        <v>582</v>
      </c>
      <c r="C648" s="11"/>
      <c r="D648" s="11">
        <v>4414</v>
      </c>
      <c r="E648" t="s">
        <v>54</v>
      </c>
      <c r="F648" s="110" t="s">
        <v>108</v>
      </c>
    </row>
    <row r="649" spans="1:6" x14ac:dyDescent="0.3">
      <c r="A649" s="38">
        <v>46135</v>
      </c>
      <c r="B649" t="s">
        <v>54</v>
      </c>
      <c r="C649" s="95">
        <v>4414</v>
      </c>
      <c r="D649" s="95"/>
      <c r="E649" t="s">
        <v>267</v>
      </c>
      <c r="F649" s="110" t="s">
        <v>108</v>
      </c>
    </row>
    <row r="650" spans="1:6" x14ac:dyDescent="0.3">
      <c r="A650" s="114">
        <v>46136</v>
      </c>
      <c r="B650" t="s">
        <v>212</v>
      </c>
      <c r="C650" s="11">
        <v>1133</v>
      </c>
      <c r="D650" s="11"/>
      <c r="F650" s="110" t="s">
        <v>108</v>
      </c>
    </row>
    <row r="651" spans="1:6" x14ac:dyDescent="0.3">
      <c r="A651" s="114">
        <v>46136</v>
      </c>
      <c r="B651" t="s">
        <v>220</v>
      </c>
      <c r="C651" s="11"/>
      <c r="D651" s="11">
        <v>47400</v>
      </c>
      <c r="E651" t="s">
        <v>531</v>
      </c>
      <c r="F651" s="110" t="s">
        <v>108</v>
      </c>
    </row>
    <row r="652" spans="1:6" x14ac:dyDescent="0.3">
      <c r="A652" s="114">
        <v>46136</v>
      </c>
      <c r="B652" t="s">
        <v>117</v>
      </c>
      <c r="C652" s="11">
        <v>47400</v>
      </c>
      <c r="D652" s="11"/>
      <c r="E652" t="s">
        <v>531</v>
      </c>
      <c r="F652" s="110" t="s">
        <v>108</v>
      </c>
    </row>
    <row r="653" spans="1:6" x14ac:dyDescent="0.3">
      <c r="A653" s="114">
        <v>46136</v>
      </c>
      <c r="B653" t="s">
        <v>55</v>
      </c>
      <c r="C653" s="11">
        <v>32000</v>
      </c>
      <c r="D653" s="11"/>
      <c r="E653" t="s">
        <v>545</v>
      </c>
      <c r="F653" s="110" t="s">
        <v>108</v>
      </c>
    </row>
    <row r="654" spans="1:6" x14ac:dyDescent="0.3">
      <c r="A654" s="114">
        <v>46136</v>
      </c>
      <c r="B654" t="s">
        <v>220</v>
      </c>
      <c r="C654" s="11"/>
      <c r="D654" s="11">
        <v>32000</v>
      </c>
      <c r="E654" t="s">
        <v>545</v>
      </c>
      <c r="F654" s="110" t="s">
        <v>108</v>
      </c>
    </row>
    <row r="655" spans="1:6" x14ac:dyDescent="0.3">
      <c r="A655" s="114">
        <v>46136</v>
      </c>
      <c r="B655" t="s">
        <v>55</v>
      </c>
      <c r="C655" s="11">
        <v>10656</v>
      </c>
      <c r="D655" s="11"/>
      <c r="E655" t="s">
        <v>315</v>
      </c>
      <c r="F655" s="110" t="s">
        <v>108</v>
      </c>
    </row>
    <row r="656" spans="1:6" x14ac:dyDescent="0.3">
      <c r="A656" s="114">
        <v>46137</v>
      </c>
      <c r="B656" t="s">
        <v>246</v>
      </c>
      <c r="C656" s="11">
        <v>400</v>
      </c>
      <c r="D656" s="11"/>
      <c r="E656" t="s">
        <v>664</v>
      </c>
      <c r="F656" s="110" t="s">
        <v>108</v>
      </c>
    </row>
    <row r="657" spans="1:6" x14ac:dyDescent="0.3">
      <c r="A657" s="114">
        <v>46137</v>
      </c>
      <c r="B657" t="s">
        <v>55</v>
      </c>
      <c r="C657" s="11">
        <v>690</v>
      </c>
      <c r="D657" s="11"/>
      <c r="E657" t="s">
        <v>663</v>
      </c>
      <c r="F657" s="110" t="s">
        <v>108</v>
      </c>
    </row>
    <row r="658" spans="1:6" x14ac:dyDescent="0.3">
      <c r="A658" s="114">
        <v>46137</v>
      </c>
      <c r="B658" t="s">
        <v>212</v>
      </c>
      <c r="C658" s="11"/>
      <c r="D658" s="11">
        <v>600</v>
      </c>
      <c r="F658" s="110" t="s">
        <v>108</v>
      </c>
    </row>
    <row r="659" spans="1:6" x14ac:dyDescent="0.3">
      <c r="A659" s="114">
        <v>46137</v>
      </c>
      <c r="B659" t="s">
        <v>357</v>
      </c>
      <c r="C659" s="11">
        <v>3000</v>
      </c>
      <c r="D659" s="11"/>
      <c r="E659" s="137" t="s">
        <v>281</v>
      </c>
      <c r="F659" s="110" t="s">
        <v>108</v>
      </c>
    </row>
    <row r="660" spans="1:6" x14ac:dyDescent="0.3">
      <c r="A660" s="114">
        <v>46137</v>
      </c>
      <c r="B660" t="s">
        <v>220</v>
      </c>
      <c r="C660" s="11"/>
      <c r="D660" s="11">
        <v>8000</v>
      </c>
      <c r="E660" t="s">
        <v>533</v>
      </c>
      <c r="F660" s="110" t="s">
        <v>108</v>
      </c>
    </row>
    <row r="661" spans="1:6" x14ac:dyDescent="0.3">
      <c r="A661" s="114">
        <v>46137</v>
      </c>
      <c r="B661" t="s">
        <v>220</v>
      </c>
      <c r="C661" s="11"/>
      <c r="D661" s="11">
        <v>147000</v>
      </c>
      <c r="E661" t="s">
        <v>665</v>
      </c>
      <c r="F661" s="110" t="s">
        <v>108</v>
      </c>
    </row>
    <row r="662" spans="1:6" x14ac:dyDescent="0.3">
      <c r="A662" s="114">
        <v>46137</v>
      </c>
      <c r="B662" t="s">
        <v>117</v>
      </c>
      <c r="C662" s="11">
        <v>55000</v>
      </c>
      <c r="D662" s="11"/>
      <c r="E662" t="s">
        <v>61</v>
      </c>
      <c r="F662" s="110" t="s">
        <v>108</v>
      </c>
    </row>
    <row r="663" spans="1:6" x14ac:dyDescent="0.3">
      <c r="A663" s="114">
        <v>46137</v>
      </c>
      <c r="B663" t="s">
        <v>298</v>
      </c>
      <c r="C663" s="11">
        <v>100000</v>
      </c>
      <c r="D663" s="11"/>
      <c r="E663" t="s">
        <v>666</v>
      </c>
      <c r="F663" s="110" t="s">
        <v>108</v>
      </c>
    </row>
    <row r="664" spans="1:6" x14ac:dyDescent="0.3">
      <c r="A664" s="114">
        <v>46137</v>
      </c>
      <c r="B664" t="s">
        <v>601</v>
      </c>
      <c r="C664" s="11">
        <v>8000</v>
      </c>
      <c r="D664" s="11"/>
      <c r="E664" t="s">
        <v>667</v>
      </c>
      <c r="F664" s="110" t="s">
        <v>108</v>
      </c>
    </row>
    <row r="665" spans="1:6" x14ac:dyDescent="0.3">
      <c r="A665" s="114">
        <v>46137</v>
      </c>
      <c r="B665" t="s">
        <v>220</v>
      </c>
      <c r="C665" s="11"/>
      <c r="D665" s="11">
        <v>10000</v>
      </c>
      <c r="E665" t="s">
        <v>668</v>
      </c>
      <c r="F665" s="110" t="s">
        <v>108</v>
      </c>
    </row>
    <row r="666" spans="1:6" x14ac:dyDescent="0.3">
      <c r="A666" s="114">
        <v>46137</v>
      </c>
      <c r="B666" t="s">
        <v>9</v>
      </c>
      <c r="C666" s="11"/>
      <c r="D666" s="11">
        <v>98000</v>
      </c>
      <c r="E666" t="s">
        <v>669</v>
      </c>
      <c r="F666" s="110" t="s">
        <v>108</v>
      </c>
    </row>
    <row r="667" spans="1:6" x14ac:dyDescent="0.3">
      <c r="A667" s="114">
        <v>46137</v>
      </c>
      <c r="B667" t="s">
        <v>357</v>
      </c>
      <c r="C667" s="11">
        <v>10000</v>
      </c>
      <c r="D667" s="11"/>
      <c r="E667" s="137" t="s">
        <v>469</v>
      </c>
      <c r="F667" s="110" t="s">
        <v>108</v>
      </c>
    </row>
    <row r="668" spans="1:6" x14ac:dyDescent="0.3">
      <c r="A668" s="114">
        <v>46137</v>
      </c>
      <c r="B668" t="s">
        <v>55</v>
      </c>
      <c r="C668" s="11">
        <v>10656</v>
      </c>
      <c r="D668" s="11"/>
      <c r="E668" t="s">
        <v>315</v>
      </c>
      <c r="F668" s="110" t="s">
        <v>108</v>
      </c>
    </row>
    <row r="669" spans="1:6" x14ac:dyDescent="0.3">
      <c r="A669" s="114">
        <v>46137</v>
      </c>
      <c r="B669" t="s">
        <v>224</v>
      </c>
      <c r="C669" s="11">
        <v>75000</v>
      </c>
      <c r="D669" s="11"/>
      <c r="E669" t="s">
        <v>670</v>
      </c>
      <c r="F669" s="110" t="s">
        <v>108</v>
      </c>
    </row>
    <row r="670" spans="1:6" x14ac:dyDescent="0.3">
      <c r="A670" s="114">
        <v>46138</v>
      </c>
      <c r="B670" t="s">
        <v>55</v>
      </c>
      <c r="C670" s="11">
        <v>11456</v>
      </c>
      <c r="D670" s="11"/>
      <c r="E670" t="s">
        <v>672</v>
      </c>
      <c r="F670" s="110" t="s">
        <v>108</v>
      </c>
    </row>
    <row r="671" spans="1:6" x14ac:dyDescent="0.3">
      <c r="A671" s="114">
        <v>46139</v>
      </c>
      <c r="B671" t="s">
        <v>115</v>
      </c>
      <c r="C671" s="11">
        <v>200000</v>
      </c>
      <c r="D671" s="11"/>
      <c r="E671" t="s">
        <v>673</v>
      </c>
      <c r="F671" s="110" t="s">
        <v>108</v>
      </c>
    </row>
    <row r="672" spans="1:6" x14ac:dyDescent="0.3">
      <c r="A672" s="114">
        <v>46139</v>
      </c>
      <c r="B672" t="s">
        <v>220</v>
      </c>
      <c r="C672" s="11"/>
      <c r="D672" s="11">
        <v>200000</v>
      </c>
      <c r="E672" t="s">
        <v>115</v>
      </c>
      <c r="F672" s="110" t="s">
        <v>108</v>
      </c>
    </row>
    <row r="673" spans="1:6" x14ac:dyDescent="0.3">
      <c r="A673" s="114">
        <v>46139</v>
      </c>
      <c r="B673" t="s">
        <v>245</v>
      </c>
      <c r="C673" s="11"/>
      <c r="D673" s="11">
        <v>86594</v>
      </c>
      <c r="E673" t="s">
        <v>674</v>
      </c>
      <c r="F673" s="110" t="s">
        <v>108</v>
      </c>
    </row>
    <row r="674" spans="1:6" x14ac:dyDescent="0.3">
      <c r="A674" s="114">
        <v>46139</v>
      </c>
      <c r="B674" t="s">
        <v>220</v>
      </c>
      <c r="C674" s="11">
        <v>86594</v>
      </c>
      <c r="D674" s="11"/>
      <c r="E674" t="s">
        <v>245</v>
      </c>
      <c r="F674" s="110" t="s">
        <v>108</v>
      </c>
    </row>
    <row r="675" spans="1:6" x14ac:dyDescent="0.3">
      <c r="A675" s="114">
        <v>46139</v>
      </c>
      <c r="B675" t="s">
        <v>55</v>
      </c>
      <c r="C675" s="11">
        <v>6200</v>
      </c>
      <c r="D675" s="11"/>
      <c r="E675" t="s">
        <v>675</v>
      </c>
      <c r="F675" s="110" t="s">
        <v>108</v>
      </c>
    </row>
    <row r="676" spans="1:6" x14ac:dyDescent="0.3">
      <c r="A676" s="114">
        <v>46139</v>
      </c>
      <c r="B676" t="s">
        <v>220</v>
      </c>
      <c r="C676" s="95"/>
      <c r="D676" s="95">
        <v>6200</v>
      </c>
      <c r="E676" t="s">
        <v>675</v>
      </c>
      <c r="F676" s="110" t="s">
        <v>108</v>
      </c>
    </row>
    <row r="677" spans="1:6" x14ac:dyDescent="0.3">
      <c r="A677" s="114">
        <v>46139</v>
      </c>
      <c r="B677" t="s">
        <v>54</v>
      </c>
      <c r="C677" s="11">
        <v>1500</v>
      </c>
      <c r="D677" s="11"/>
      <c r="F677" s="110" t="s">
        <v>108</v>
      </c>
    </row>
    <row r="678" spans="1:6" x14ac:dyDescent="0.3">
      <c r="A678" s="114">
        <v>46139</v>
      </c>
      <c r="B678" t="s">
        <v>55</v>
      </c>
      <c r="C678" s="95">
        <v>1460</v>
      </c>
      <c r="D678" s="95"/>
      <c r="E678" t="s">
        <v>676</v>
      </c>
      <c r="F678" s="110" t="s">
        <v>108</v>
      </c>
    </row>
    <row r="679" spans="1:6" x14ac:dyDescent="0.3">
      <c r="A679" s="114">
        <v>46139</v>
      </c>
      <c r="B679" t="s">
        <v>220</v>
      </c>
      <c r="C679" s="95"/>
      <c r="D679" s="95">
        <v>7000</v>
      </c>
      <c r="E679" t="s">
        <v>637</v>
      </c>
      <c r="F679" s="110" t="s">
        <v>108</v>
      </c>
    </row>
    <row r="680" spans="1:6" x14ac:dyDescent="0.3">
      <c r="A680" s="114">
        <v>46139</v>
      </c>
      <c r="B680" t="s">
        <v>54</v>
      </c>
      <c r="C680" s="95">
        <v>2500</v>
      </c>
      <c r="D680" s="95"/>
      <c r="E680" t="s">
        <v>678</v>
      </c>
      <c r="F680" s="110" t="s">
        <v>108</v>
      </c>
    </row>
    <row r="681" spans="1:6" x14ac:dyDescent="0.3">
      <c r="A681" s="114">
        <v>46139</v>
      </c>
      <c r="B681" t="s">
        <v>54</v>
      </c>
      <c r="C681" s="95">
        <v>4500</v>
      </c>
      <c r="D681" s="95"/>
      <c r="E681" t="s">
        <v>679</v>
      </c>
      <c r="F681" s="110" t="s">
        <v>108</v>
      </c>
    </row>
    <row r="682" spans="1:6" x14ac:dyDescent="0.3">
      <c r="A682" s="114">
        <v>46139</v>
      </c>
      <c r="B682" t="s">
        <v>54</v>
      </c>
      <c r="C682" s="95">
        <v>5000</v>
      </c>
      <c r="D682" s="95"/>
      <c r="E682" t="s">
        <v>290</v>
      </c>
      <c r="F682" s="110" t="s">
        <v>108</v>
      </c>
    </row>
    <row r="683" spans="1:6" x14ac:dyDescent="0.3">
      <c r="A683" s="114">
        <v>46139</v>
      </c>
      <c r="B683" t="s">
        <v>212</v>
      </c>
      <c r="C683" s="95">
        <v>1350</v>
      </c>
      <c r="D683" s="95"/>
      <c r="F683" s="110" t="s">
        <v>108</v>
      </c>
    </row>
    <row r="684" spans="1:6" x14ac:dyDescent="0.3">
      <c r="A684" s="38">
        <v>46139</v>
      </c>
      <c r="B684" t="s">
        <v>582</v>
      </c>
      <c r="C684" s="95"/>
      <c r="D684" s="95">
        <v>3927</v>
      </c>
      <c r="E684" t="s">
        <v>54</v>
      </c>
      <c r="F684" s="110" t="s">
        <v>108</v>
      </c>
    </row>
    <row r="685" spans="1:6" x14ac:dyDescent="0.3">
      <c r="A685" s="38">
        <v>46139</v>
      </c>
      <c r="B685" t="s">
        <v>54</v>
      </c>
      <c r="C685" s="95">
        <v>3927</v>
      </c>
      <c r="D685" s="95"/>
      <c r="F685" s="110" t="s">
        <v>108</v>
      </c>
    </row>
    <row r="686" spans="1:6" x14ac:dyDescent="0.3">
      <c r="A686" s="114">
        <v>46140</v>
      </c>
      <c r="B686" t="s">
        <v>220</v>
      </c>
      <c r="C686" s="11"/>
      <c r="D686" s="11">
        <v>50000</v>
      </c>
      <c r="E686" t="s">
        <v>680</v>
      </c>
      <c r="F686" s="110" t="s">
        <v>108</v>
      </c>
    </row>
    <row r="687" spans="1:6" x14ac:dyDescent="0.3">
      <c r="A687" s="114">
        <v>46140</v>
      </c>
      <c r="B687" t="s">
        <v>117</v>
      </c>
      <c r="C687" s="11">
        <v>39000</v>
      </c>
      <c r="D687" s="11"/>
      <c r="E687" t="s">
        <v>531</v>
      </c>
      <c r="F687" s="110" t="s">
        <v>108</v>
      </c>
    </row>
    <row r="688" spans="1:6" x14ac:dyDescent="0.3">
      <c r="A688" s="114">
        <v>46140</v>
      </c>
      <c r="B688" t="s">
        <v>54</v>
      </c>
      <c r="C688" s="11">
        <v>600</v>
      </c>
      <c r="D688" s="11"/>
      <c r="E688" t="s">
        <v>681</v>
      </c>
      <c r="F688" s="110" t="s">
        <v>108</v>
      </c>
    </row>
    <row r="689" spans="1:6" x14ac:dyDescent="0.3">
      <c r="A689" s="114">
        <v>46140</v>
      </c>
      <c r="B689" t="s">
        <v>55</v>
      </c>
      <c r="C689" s="11">
        <v>190</v>
      </c>
      <c r="D689" s="11"/>
      <c r="F689" s="110" t="s">
        <v>108</v>
      </c>
    </row>
    <row r="690" spans="1:6" x14ac:dyDescent="0.3">
      <c r="A690" s="114">
        <v>46140</v>
      </c>
      <c r="B690" t="s">
        <v>55</v>
      </c>
      <c r="C690" s="11">
        <v>950</v>
      </c>
      <c r="D690" s="11"/>
      <c r="E690" t="s">
        <v>682</v>
      </c>
      <c r="F690" s="110" t="s">
        <v>108</v>
      </c>
    </row>
    <row r="691" spans="1:6" x14ac:dyDescent="0.3">
      <c r="A691" s="114">
        <v>46140</v>
      </c>
      <c r="B691" t="s">
        <v>220</v>
      </c>
      <c r="C691" s="11"/>
      <c r="D691" s="11">
        <v>60000</v>
      </c>
      <c r="E691" t="s">
        <v>683</v>
      </c>
      <c r="F691" s="110" t="s">
        <v>108</v>
      </c>
    </row>
    <row r="692" spans="1:6" x14ac:dyDescent="0.3">
      <c r="A692" s="114">
        <v>46140</v>
      </c>
      <c r="B692" t="s">
        <v>55</v>
      </c>
      <c r="C692" s="11">
        <v>500</v>
      </c>
      <c r="D692" s="11"/>
      <c r="F692" s="110" t="s">
        <v>108</v>
      </c>
    </row>
    <row r="693" spans="1:6" x14ac:dyDescent="0.3">
      <c r="A693" s="114">
        <v>46140</v>
      </c>
      <c r="B693" t="s">
        <v>357</v>
      </c>
      <c r="C693" s="11">
        <v>60000</v>
      </c>
      <c r="D693" s="11"/>
      <c r="E693" s="137" t="s">
        <v>621</v>
      </c>
      <c r="F693" s="110" t="s">
        <v>108</v>
      </c>
    </row>
    <row r="694" spans="1:6" x14ac:dyDescent="0.3">
      <c r="A694" s="38">
        <v>46140</v>
      </c>
      <c r="B694" t="s">
        <v>357</v>
      </c>
      <c r="C694" s="95">
        <v>5000</v>
      </c>
      <c r="D694" s="95"/>
      <c r="E694" t="s">
        <v>606</v>
      </c>
      <c r="F694" s="110" t="s">
        <v>108</v>
      </c>
    </row>
    <row r="695" spans="1:6" x14ac:dyDescent="0.3">
      <c r="A695" s="38">
        <v>46141</v>
      </c>
      <c r="B695" t="s">
        <v>246</v>
      </c>
      <c r="C695" s="95">
        <v>800</v>
      </c>
      <c r="D695" s="95"/>
      <c r="F695" s="110" t="s">
        <v>108</v>
      </c>
    </row>
    <row r="696" spans="1:6" x14ac:dyDescent="0.3">
      <c r="A696" s="114">
        <v>46141</v>
      </c>
      <c r="B696" t="s">
        <v>55</v>
      </c>
      <c r="C696" s="11">
        <v>34369</v>
      </c>
      <c r="D696" s="11"/>
      <c r="E696" t="s">
        <v>684</v>
      </c>
      <c r="F696" s="110" t="s">
        <v>108</v>
      </c>
    </row>
    <row r="697" spans="1:6" x14ac:dyDescent="0.3">
      <c r="A697" s="38">
        <v>46141</v>
      </c>
      <c r="B697" t="s">
        <v>220</v>
      </c>
      <c r="C697" s="11"/>
      <c r="D697" s="11">
        <v>40000</v>
      </c>
      <c r="E697" t="s">
        <v>685</v>
      </c>
      <c r="F697" s="110" t="s">
        <v>108</v>
      </c>
    </row>
    <row r="698" spans="1:6" x14ac:dyDescent="0.3">
      <c r="A698" s="114">
        <v>46141</v>
      </c>
      <c r="B698" t="s">
        <v>220</v>
      </c>
      <c r="C698" s="11"/>
      <c r="D698" s="11">
        <v>200000</v>
      </c>
      <c r="E698" t="s">
        <v>686</v>
      </c>
      <c r="F698" s="110" t="s">
        <v>108</v>
      </c>
    </row>
    <row r="699" spans="1:6" x14ac:dyDescent="0.3">
      <c r="A699" s="38">
        <v>46141</v>
      </c>
      <c r="B699" t="s">
        <v>224</v>
      </c>
      <c r="C699" s="11">
        <v>200500</v>
      </c>
      <c r="D699" s="11"/>
      <c r="E699" t="s">
        <v>687</v>
      </c>
      <c r="F699" s="110" t="s">
        <v>108</v>
      </c>
    </row>
    <row r="700" spans="1:6" x14ac:dyDescent="0.3">
      <c r="A700" s="114">
        <v>46141</v>
      </c>
      <c r="B700" t="s">
        <v>220</v>
      </c>
      <c r="C700" s="11"/>
      <c r="D700" s="11">
        <v>300000</v>
      </c>
      <c r="E700" t="s">
        <v>688</v>
      </c>
      <c r="F700" s="110" t="s">
        <v>108</v>
      </c>
    </row>
    <row r="701" spans="1:6" x14ac:dyDescent="0.3">
      <c r="A701" s="38">
        <v>46141</v>
      </c>
      <c r="B701" t="s">
        <v>298</v>
      </c>
      <c r="C701" s="11">
        <v>150000</v>
      </c>
      <c r="D701" s="11"/>
      <c r="E701" t="s">
        <v>689</v>
      </c>
      <c r="F701" s="110" t="s">
        <v>108</v>
      </c>
    </row>
    <row r="702" spans="1:6" x14ac:dyDescent="0.3">
      <c r="A702" s="114">
        <v>46141</v>
      </c>
      <c r="B702" t="s">
        <v>222</v>
      </c>
      <c r="C702" s="11">
        <v>150000</v>
      </c>
      <c r="D702" s="11"/>
      <c r="E702" t="s">
        <v>690</v>
      </c>
      <c r="F702" s="110" t="s">
        <v>108</v>
      </c>
    </row>
    <row r="703" spans="1:6" x14ac:dyDescent="0.3">
      <c r="A703" s="38">
        <v>46141</v>
      </c>
      <c r="B703" t="s">
        <v>671</v>
      </c>
      <c r="C703" s="11">
        <v>3000</v>
      </c>
      <c r="D703" s="11"/>
      <c r="E703" t="s">
        <v>704</v>
      </c>
      <c r="F703" s="110" t="s">
        <v>108</v>
      </c>
    </row>
    <row r="704" spans="1:6" x14ac:dyDescent="0.3">
      <c r="A704" s="114">
        <v>46141</v>
      </c>
      <c r="B704" t="s">
        <v>572</v>
      </c>
      <c r="C704" s="11">
        <v>5000</v>
      </c>
      <c r="D704" s="11"/>
      <c r="F704" s="110" t="s">
        <v>108</v>
      </c>
    </row>
    <row r="705" spans="1:11" x14ac:dyDescent="0.3">
      <c r="A705" s="38">
        <v>46141</v>
      </c>
      <c r="B705" t="s">
        <v>55</v>
      </c>
      <c r="C705" s="11">
        <v>600</v>
      </c>
      <c r="D705" s="11"/>
      <c r="F705" s="110" t="s">
        <v>108</v>
      </c>
    </row>
    <row r="706" spans="1:11" x14ac:dyDescent="0.3">
      <c r="A706" s="114">
        <v>46141</v>
      </c>
      <c r="B706" t="s">
        <v>220</v>
      </c>
      <c r="C706" s="11"/>
      <c r="D706" s="11">
        <v>176000</v>
      </c>
      <c r="E706" t="s">
        <v>691</v>
      </c>
      <c r="F706" s="110" t="s">
        <v>108</v>
      </c>
    </row>
    <row r="707" spans="1:11" x14ac:dyDescent="0.3">
      <c r="A707" s="38">
        <v>46141</v>
      </c>
      <c r="B707" t="s">
        <v>692</v>
      </c>
      <c r="C707" s="11">
        <v>26000</v>
      </c>
      <c r="D707" s="11"/>
      <c r="E707" t="s">
        <v>242</v>
      </c>
      <c r="F707" s="110" t="s">
        <v>108</v>
      </c>
    </row>
    <row r="708" spans="1:11" x14ac:dyDescent="0.3">
      <c r="A708" s="114">
        <v>46141</v>
      </c>
      <c r="B708" t="s">
        <v>169</v>
      </c>
      <c r="C708" s="11">
        <v>150000</v>
      </c>
      <c r="D708" s="11"/>
      <c r="E708" t="s">
        <v>693</v>
      </c>
      <c r="F708" s="110" t="s">
        <v>108</v>
      </c>
    </row>
    <row r="709" spans="1:11" x14ac:dyDescent="0.3">
      <c r="A709" s="38">
        <v>46141</v>
      </c>
      <c r="B709" t="s">
        <v>220</v>
      </c>
      <c r="C709" s="11"/>
      <c r="D709" s="11">
        <v>20000</v>
      </c>
      <c r="E709" t="s">
        <v>695</v>
      </c>
      <c r="F709" s="110" t="s">
        <v>108</v>
      </c>
      <c r="I709">
        <v>30550</v>
      </c>
      <c r="K709">
        <v>30550</v>
      </c>
    </row>
    <row r="710" spans="1:11" x14ac:dyDescent="0.3">
      <c r="A710" s="114">
        <v>46141</v>
      </c>
      <c r="B710" t="s">
        <v>282</v>
      </c>
      <c r="C710" s="11">
        <v>10000</v>
      </c>
      <c r="D710" s="11"/>
      <c r="E710" t="s">
        <v>694</v>
      </c>
      <c r="F710" s="110" t="s">
        <v>108</v>
      </c>
      <c r="I710">
        <v>14000</v>
      </c>
      <c r="K710">
        <v>14000</v>
      </c>
    </row>
    <row r="711" spans="1:11" x14ac:dyDescent="0.3">
      <c r="A711" s="38">
        <v>46142</v>
      </c>
      <c r="B711" t="s">
        <v>55</v>
      </c>
      <c r="C711" s="11">
        <v>590</v>
      </c>
      <c r="D711" s="11"/>
      <c r="F711" s="110" t="s">
        <v>108</v>
      </c>
      <c r="I711">
        <v>215000</v>
      </c>
      <c r="K711">
        <v>215000</v>
      </c>
    </row>
    <row r="712" spans="1:11" x14ac:dyDescent="0.3">
      <c r="A712" s="38">
        <v>46142</v>
      </c>
      <c r="B712" t="s">
        <v>220</v>
      </c>
      <c r="C712" s="11"/>
      <c r="D712" s="11">
        <v>12500</v>
      </c>
      <c r="E712" t="s">
        <v>606</v>
      </c>
      <c r="F712" s="110" t="s">
        <v>108</v>
      </c>
      <c r="I712">
        <v>125000</v>
      </c>
      <c r="K712">
        <v>125000</v>
      </c>
    </row>
    <row r="713" spans="1:11" x14ac:dyDescent="0.3">
      <c r="A713" s="38">
        <v>46142</v>
      </c>
      <c r="B713" t="s">
        <v>246</v>
      </c>
      <c r="C713" s="11">
        <v>12500</v>
      </c>
      <c r="D713" s="11"/>
      <c r="E713" t="s">
        <v>606</v>
      </c>
      <c r="F713" s="110" t="s">
        <v>108</v>
      </c>
      <c r="I713">
        <v>12800</v>
      </c>
      <c r="K713">
        <v>12800</v>
      </c>
    </row>
    <row r="714" spans="1:11" x14ac:dyDescent="0.3">
      <c r="A714" s="38">
        <v>46142</v>
      </c>
      <c r="B714" t="s">
        <v>601</v>
      </c>
      <c r="C714" s="11">
        <v>12000</v>
      </c>
      <c r="D714" s="11"/>
      <c r="E714" t="s">
        <v>696</v>
      </c>
      <c r="F714" s="110" t="s">
        <v>108</v>
      </c>
      <c r="I714">
        <v>9650</v>
      </c>
      <c r="K714">
        <f>25650-16000</f>
        <v>9650</v>
      </c>
    </row>
    <row r="715" spans="1:11" x14ac:dyDescent="0.3">
      <c r="A715" s="38">
        <v>46142</v>
      </c>
      <c r="B715" t="s">
        <v>709</v>
      </c>
      <c r="C715" s="11"/>
      <c r="D715" s="11">
        <v>100000</v>
      </c>
      <c r="E715" t="s">
        <v>365</v>
      </c>
      <c r="F715" s="110" t="s">
        <v>108</v>
      </c>
      <c r="I715">
        <v>30000</v>
      </c>
      <c r="K715">
        <v>30000</v>
      </c>
    </row>
    <row r="716" spans="1:11" x14ac:dyDescent="0.3">
      <c r="A716" s="38">
        <v>46142</v>
      </c>
      <c r="B716" t="s">
        <v>224</v>
      </c>
      <c r="C716" s="11">
        <v>82600</v>
      </c>
      <c r="D716" s="11"/>
      <c r="E716" t="s">
        <v>242</v>
      </c>
      <c r="F716" s="110" t="s">
        <v>108</v>
      </c>
      <c r="I716">
        <v>55000</v>
      </c>
      <c r="K716">
        <v>55000</v>
      </c>
    </row>
    <row r="717" spans="1:11" x14ac:dyDescent="0.3">
      <c r="A717" s="38">
        <v>46142</v>
      </c>
      <c r="B717" t="s">
        <v>220</v>
      </c>
      <c r="C717" s="95"/>
      <c r="D717" s="95">
        <v>715000</v>
      </c>
      <c r="E717" t="s">
        <v>109</v>
      </c>
      <c r="F717" s="110" t="s">
        <v>108</v>
      </c>
      <c r="I717">
        <v>24000</v>
      </c>
      <c r="K717">
        <v>30000</v>
      </c>
    </row>
    <row r="718" spans="1:11" x14ac:dyDescent="0.3">
      <c r="A718" s="38">
        <v>46142</v>
      </c>
      <c r="B718" t="s">
        <v>282</v>
      </c>
      <c r="C718" s="11">
        <v>16000</v>
      </c>
      <c r="D718" s="11"/>
      <c r="E718" t="s">
        <v>638</v>
      </c>
      <c r="F718" s="110" t="s">
        <v>108</v>
      </c>
      <c r="I718">
        <v>24000</v>
      </c>
      <c r="K718">
        <v>26660</v>
      </c>
    </row>
    <row r="719" spans="1:11" x14ac:dyDescent="0.3">
      <c r="A719" s="38">
        <v>46143</v>
      </c>
      <c r="B719" t="s">
        <v>54</v>
      </c>
      <c r="C719" s="95">
        <v>1500</v>
      </c>
      <c r="D719" s="95"/>
      <c r="F719" s="110" t="s">
        <v>108</v>
      </c>
      <c r="I719">
        <v>20000</v>
      </c>
      <c r="K719">
        <v>20000</v>
      </c>
    </row>
    <row r="720" spans="1:11" x14ac:dyDescent="0.3">
      <c r="A720" s="38">
        <v>46143</v>
      </c>
      <c r="B720" t="s">
        <v>54</v>
      </c>
      <c r="C720" s="95">
        <v>14000</v>
      </c>
      <c r="D720" s="95"/>
      <c r="E720" t="s">
        <v>290</v>
      </c>
      <c r="F720" s="110" t="s">
        <v>108</v>
      </c>
      <c r="I720">
        <v>17200</v>
      </c>
      <c r="K720">
        <v>62000</v>
      </c>
    </row>
    <row r="721" spans="1:11" x14ac:dyDescent="0.3">
      <c r="A721" s="38">
        <v>46143</v>
      </c>
      <c r="B721" t="s">
        <v>246</v>
      </c>
      <c r="C721" s="95">
        <v>2000</v>
      </c>
      <c r="D721" s="95"/>
      <c r="E721" t="s">
        <v>697</v>
      </c>
      <c r="F721" s="110" t="s">
        <v>108</v>
      </c>
      <c r="I721">
        <v>18400</v>
      </c>
    </row>
    <row r="722" spans="1:11" x14ac:dyDescent="0.3">
      <c r="A722" s="38">
        <v>46143</v>
      </c>
      <c r="B722" t="s">
        <v>220</v>
      </c>
      <c r="C722" s="95"/>
      <c r="D722" s="95">
        <v>42000</v>
      </c>
      <c r="E722" t="s">
        <v>535</v>
      </c>
      <c r="F722" s="110" t="s">
        <v>108</v>
      </c>
      <c r="I722">
        <v>18000</v>
      </c>
      <c r="K722">
        <v>1000</v>
      </c>
    </row>
    <row r="723" spans="1:11" x14ac:dyDescent="0.3">
      <c r="A723" s="38">
        <v>46143</v>
      </c>
      <c r="B723" t="s">
        <v>601</v>
      </c>
      <c r="C723" s="95">
        <v>43000</v>
      </c>
      <c r="D723" s="95"/>
      <c r="E723" t="s">
        <v>698</v>
      </c>
      <c r="F723" s="110" t="s">
        <v>108</v>
      </c>
      <c r="I723">
        <v>80000</v>
      </c>
      <c r="K723">
        <v>10600</v>
      </c>
    </row>
    <row r="724" spans="1:11" x14ac:dyDescent="0.3">
      <c r="A724" s="38">
        <v>46143</v>
      </c>
      <c r="B724" t="s">
        <v>282</v>
      </c>
      <c r="C724" s="95">
        <v>15000</v>
      </c>
      <c r="D724" s="95"/>
      <c r="E724" t="s">
        <v>699</v>
      </c>
      <c r="F724" s="110" t="s">
        <v>108</v>
      </c>
      <c r="I724">
        <v>60000</v>
      </c>
      <c r="K724">
        <v>11150</v>
      </c>
    </row>
    <row r="725" spans="1:11" x14ac:dyDescent="0.3">
      <c r="A725" s="38">
        <v>46143</v>
      </c>
      <c r="B725" t="s">
        <v>220</v>
      </c>
      <c r="C725" s="95"/>
      <c r="D725" s="95">
        <v>30000</v>
      </c>
      <c r="E725" t="s">
        <v>700</v>
      </c>
      <c r="F725" s="110" t="s">
        <v>108</v>
      </c>
      <c r="I725">
        <v>35000</v>
      </c>
      <c r="K725">
        <v>7220</v>
      </c>
    </row>
    <row r="726" spans="1:11" x14ac:dyDescent="0.3">
      <c r="A726" s="38">
        <v>46143</v>
      </c>
      <c r="B726" t="s">
        <v>117</v>
      </c>
      <c r="C726" s="95">
        <v>39000</v>
      </c>
      <c r="D726" s="95"/>
      <c r="E726" t="s">
        <v>61</v>
      </c>
      <c r="F726" s="110" t="s">
        <v>108</v>
      </c>
      <c r="I726">
        <v>15400</v>
      </c>
      <c r="K726">
        <v>11800</v>
      </c>
    </row>
    <row r="727" spans="1:11" x14ac:dyDescent="0.3">
      <c r="A727" s="114">
        <v>46143</v>
      </c>
      <c r="B727" t="s">
        <v>54</v>
      </c>
      <c r="C727" s="11">
        <v>600</v>
      </c>
      <c r="D727" s="11"/>
      <c r="F727" s="110" t="s">
        <v>108</v>
      </c>
      <c r="I727">
        <v>12700</v>
      </c>
      <c r="K727">
        <v>12600</v>
      </c>
    </row>
    <row r="728" spans="1:11" x14ac:dyDescent="0.3">
      <c r="A728" s="114">
        <v>46143</v>
      </c>
      <c r="B728" t="s">
        <v>709</v>
      </c>
      <c r="C728" s="11"/>
      <c r="D728" s="11">
        <v>100000</v>
      </c>
      <c r="E728" t="s">
        <v>710</v>
      </c>
      <c r="F728" s="110" t="s">
        <v>108</v>
      </c>
      <c r="I728">
        <v>12600</v>
      </c>
      <c r="K728">
        <v>12700</v>
      </c>
    </row>
    <row r="729" spans="1:11" x14ac:dyDescent="0.3">
      <c r="A729" s="114">
        <v>46143</v>
      </c>
      <c r="B729" t="s">
        <v>224</v>
      </c>
      <c r="C729" s="11">
        <v>60900</v>
      </c>
      <c r="D729" s="11"/>
      <c r="E729" t="s">
        <v>242</v>
      </c>
      <c r="F729" s="110" t="s">
        <v>108</v>
      </c>
      <c r="I729">
        <v>11800</v>
      </c>
      <c r="K729">
        <v>15400</v>
      </c>
    </row>
    <row r="730" spans="1:11" x14ac:dyDescent="0.3">
      <c r="A730" s="114">
        <v>46144</v>
      </c>
      <c r="B730" t="s">
        <v>582</v>
      </c>
      <c r="C730" s="11"/>
      <c r="D730" s="11">
        <v>800000</v>
      </c>
      <c r="E730" t="s">
        <v>701</v>
      </c>
      <c r="F730" s="110" t="s">
        <v>108</v>
      </c>
      <c r="I730">
        <v>7250</v>
      </c>
      <c r="K730">
        <v>35000</v>
      </c>
    </row>
    <row r="731" spans="1:11" x14ac:dyDescent="0.3">
      <c r="A731" s="114">
        <v>46144</v>
      </c>
      <c r="B731" t="s">
        <v>55</v>
      </c>
      <c r="C731" s="11">
        <v>4500</v>
      </c>
      <c r="D731" s="11"/>
      <c r="E731" t="s">
        <v>641</v>
      </c>
      <c r="F731" s="110" t="s">
        <v>108</v>
      </c>
      <c r="I731">
        <v>11150</v>
      </c>
      <c r="K731">
        <v>60000</v>
      </c>
    </row>
    <row r="732" spans="1:11" x14ac:dyDescent="0.3">
      <c r="A732" s="114">
        <v>46144</v>
      </c>
      <c r="B732" t="s">
        <v>176</v>
      </c>
      <c r="C732" s="11">
        <v>56000</v>
      </c>
      <c r="D732" s="11"/>
      <c r="E732" t="s">
        <v>702</v>
      </c>
      <c r="F732" s="110" t="s">
        <v>108</v>
      </c>
      <c r="I732">
        <v>10600</v>
      </c>
      <c r="K732">
        <v>80000</v>
      </c>
    </row>
    <row r="733" spans="1:11" x14ac:dyDescent="0.3">
      <c r="A733" s="114">
        <v>46144</v>
      </c>
      <c r="B733" t="s">
        <v>117</v>
      </c>
      <c r="C733" s="11">
        <f>104000-56000</f>
        <v>48000</v>
      </c>
      <c r="D733" s="11"/>
      <c r="E733" t="s">
        <v>703</v>
      </c>
      <c r="F733" s="110" t="s">
        <v>108</v>
      </c>
      <c r="I733">
        <v>1000</v>
      </c>
      <c r="K733">
        <v>18000</v>
      </c>
    </row>
    <row r="734" spans="1:11" x14ac:dyDescent="0.3">
      <c r="A734" s="38">
        <v>46144</v>
      </c>
      <c r="B734" t="s">
        <v>117</v>
      </c>
      <c r="C734" s="95">
        <v>4400</v>
      </c>
      <c r="D734" s="95"/>
      <c r="E734" t="s">
        <v>705</v>
      </c>
      <c r="F734" s="110" t="s">
        <v>108</v>
      </c>
      <c r="I734">
        <v>62000</v>
      </c>
      <c r="K734">
        <v>18400</v>
      </c>
    </row>
    <row r="735" spans="1:11" x14ac:dyDescent="0.3">
      <c r="A735" s="38">
        <v>46144</v>
      </c>
      <c r="B735" t="s">
        <v>55</v>
      </c>
      <c r="C735" s="95">
        <v>10620</v>
      </c>
      <c r="D735" s="95"/>
      <c r="E735" t="s">
        <v>706</v>
      </c>
      <c r="F735" s="110" t="s">
        <v>108</v>
      </c>
      <c r="I735">
        <v>26660</v>
      </c>
      <c r="K735">
        <v>17200</v>
      </c>
    </row>
    <row r="736" spans="1:11" x14ac:dyDescent="0.3">
      <c r="A736" s="38">
        <v>46144</v>
      </c>
      <c r="B736" t="s">
        <v>224</v>
      </c>
      <c r="C736" s="95">
        <v>200500</v>
      </c>
      <c r="D736" s="95"/>
      <c r="E736" t="s">
        <v>707</v>
      </c>
      <c r="F736" s="110" t="s">
        <v>108</v>
      </c>
      <c r="I736">
        <v>30000</v>
      </c>
      <c r="K736">
        <v>20000</v>
      </c>
    </row>
    <row r="737" spans="1:11" x14ac:dyDescent="0.3">
      <c r="A737" s="114">
        <v>46144</v>
      </c>
      <c r="B737" t="s">
        <v>224</v>
      </c>
      <c r="C737" s="95">
        <v>4000</v>
      </c>
      <c r="D737" s="95"/>
      <c r="E737" t="s">
        <v>341</v>
      </c>
      <c r="F737" s="110" t="s">
        <v>108</v>
      </c>
      <c r="I737">
        <v>9900</v>
      </c>
      <c r="K737">
        <v>24000</v>
      </c>
    </row>
    <row r="738" spans="1:11" x14ac:dyDescent="0.3">
      <c r="A738" s="114">
        <v>46144</v>
      </c>
      <c r="B738" t="s">
        <v>692</v>
      </c>
      <c r="C738" s="95">
        <v>1000</v>
      </c>
      <c r="D738" s="95"/>
      <c r="E738" t="s">
        <v>341</v>
      </c>
      <c r="F738" s="110" t="s">
        <v>108</v>
      </c>
      <c r="I738">
        <v>20000</v>
      </c>
      <c r="K738">
        <v>24000</v>
      </c>
    </row>
    <row r="739" spans="1:11" x14ac:dyDescent="0.3">
      <c r="A739" s="114">
        <v>46144</v>
      </c>
      <c r="B739" t="s">
        <v>640</v>
      </c>
      <c r="C739" s="95">
        <v>1000</v>
      </c>
      <c r="D739" s="95"/>
      <c r="E739" t="s">
        <v>341</v>
      </c>
      <c r="F739" s="110" t="s">
        <v>108</v>
      </c>
      <c r="K739">
        <v>9900</v>
      </c>
    </row>
    <row r="740" spans="1:11" x14ac:dyDescent="0.3">
      <c r="A740" s="114">
        <v>46144</v>
      </c>
      <c r="B740" t="s">
        <v>298</v>
      </c>
      <c r="C740" s="95">
        <v>2000</v>
      </c>
      <c r="D740" s="95"/>
      <c r="E740" t="s">
        <v>341</v>
      </c>
      <c r="F740" s="110" t="s">
        <v>108</v>
      </c>
    </row>
    <row r="741" spans="1:11" x14ac:dyDescent="0.3">
      <c r="A741" s="114">
        <v>46144</v>
      </c>
      <c r="B741" t="s">
        <v>282</v>
      </c>
      <c r="C741" s="95">
        <v>27600</v>
      </c>
      <c r="D741" s="95"/>
      <c r="E741" t="s">
        <v>469</v>
      </c>
      <c r="F741" s="110" t="s">
        <v>108</v>
      </c>
    </row>
    <row r="742" spans="1:11" x14ac:dyDescent="0.3">
      <c r="A742" s="114">
        <v>46144</v>
      </c>
      <c r="B742" t="s">
        <v>282</v>
      </c>
      <c r="C742" s="95">
        <v>1019630</v>
      </c>
      <c r="D742" s="95"/>
      <c r="E742" t="s">
        <v>352</v>
      </c>
      <c r="F742" s="110" t="s">
        <v>108</v>
      </c>
    </row>
    <row r="743" spans="1:11" x14ac:dyDescent="0.3">
      <c r="A743" s="38">
        <v>46144</v>
      </c>
      <c r="B743" t="s">
        <v>220</v>
      </c>
      <c r="C743" s="95">
        <v>500000</v>
      </c>
      <c r="D743" s="95"/>
      <c r="E743" t="s">
        <v>708</v>
      </c>
      <c r="F743" s="110" t="s">
        <v>108</v>
      </c>
    </row>
    <row r="744" spans="1:11" x14ac:dyDescent="0.3">
      <c r="A744" s="38">
        <v>46144</v>
      </c>
      <c r="B744" t="s">
        <v>220</v>
      </c>
      <c r="C744" s="95"/>
      <c r="D744" s="95">
        <v>400000</v>
      </c>
      <c r="E744" t="s">
        <v>109</v>
      </c>
      <c r="F744" s="110" t="s">
        <v>108</v>
      </c>
    </row>
    <row r="745" spans="1:11" x14ac:dyDescent="0.3">
      <c r="A745" s="38">
        <v>46145</v>
      </c>
      <c r="B745" t="s">
        <v>55</v>
      </c>
      <c r="C745" s="95">
        <v>1160</v>
      </c>
      <c r="D745" s="95"/>
      <c r="E745" t="s">
        <v>372</v>
      </c>
      <c r="F745" s="110" t="s">
        <v>108</v>
      </c>
    </row>
    <row r="746" spans="1:11" x14ac:dyDescent="0.3">
      <c r="A746" s="38">
        <v>46145</v>
      </c>
      <c r="B746" t="s">
        <v>55</v>
      </c>
      <c r="C746" s="95">
        <v>10200</v>
      </c>
      <c r="D746" s="95"/>
      <c r="E746" t="s">
        <v>641</v>
      </c>
      <c r="F746" s="110" t="s">
        <v>108</v>
      </c>
    </row>
    <row r="747" spans="1:11" x14ac:dyDescent="0.3">
      <c r="A747" s="38">
        <v>46145</v>
      </c>
      <c r="B747" t="s">
        <v>220</v>
      </c>
      <c r="C747" s="95"/>
      <c r="D747" s="95">
        <v>10200</v>
      </c>
      <c r="E747" t="s">
        <v>641</v>
      </c>
      <c r="F747" s="110" t="s">
        <v>108</v>
      </c>
    </row>
    <row r="748" spans="1:11" x14ac:dyDescent="0.3">
      <c r="A748" s="38">
        <v>46145</v>
      </c>
      <c r="B748" t="s">
        <v>55</v>
      </c>
      <c r="C748" s="95">
        <v>10000</v>
      </c>
      <c r="D748" s="95"/>
      <c r="E748" t="s">
        <v>315</v>
      </c>
      <c r="F748" s="110" t="s">
        <v>108</v>
      </c>
    </row>
    <row r="749" spans="1:11" x14ac:dyDescent="0.3">
      <c r="A749" s="38">
        <v>46145</v>
      </c>
      <c r="B749" t="s">
        <v>220</v>
      </c>
      <c r="C749" s="95"/>
      <c r="D749" s="95">
        <v>10000</v>
      </c>
      <c r="E749" t="s">
        <v>315</v>
      </c>
      <c r="F749" s="110" t="s">
        <v>108</v>
      </c>
    </row>
    <row r="750" spans="1:11" x14ac:dyDescent="0.3">
      <c r="A750" s="38">
        <v>46145</v>
      </c>
      <c r="B750" t="s">
        <v>212</v>
      </c>
      <c r="C750" s="95">
        <f>1970+780+780+1300+780</f>
        <v>5610</v>
      </c>
      <c r="D750" s="95"/>
      <c r="F750" s="110" t="s">
        <v>108</v>
      </c>
    </row>
    <row r="751" spans="1:11" x14ac:dyDescent="0.3">
      <c r="A751" s="38">
        <v>46146</v>
      </c>
      <c r="B751" t="s">
        <v>212</v>
      </c>
      <c r="C751" s="95">
        <f>750+1860+760</f>
        <v>3370</v>
      </c>
      <c r="D751" s="95"/>
      <c r="F751" s="110" t="s">
        <v>108</v>
      </c>
    </row>
    <row r="752" spans="1:11" x14ac:dyDescent="0.3">
      <c r="A752" s="114">
        <v>46146</v>
      </c>
      <c r="B752" t="s">
        <v>508</v>
      </c>
      <c r="C752" s="11">
        <v>5000</v>
      </c>
      <c r="D752" s="11"/>
      <c r="E752" t="s">
        <v>562</v>
      </c>
      <c r="F752" s="110" t="s">
        <v>108</v>
      </c>
    </row>
    <row r="753" spans="1:6" x14ac:dyDescent="0.3">
      <c r="A753" s="38">
        <v>46146</v>
      </c>
      <c r="B753" t="s">
        <v>55</v>
      </c>
      <c r="C753" s="11">
        <v>52160</v>
      </c>
      <c r="D753" s="11"/>
      <c r="E753" t="s">
        <v>315</v>
      </c>
      <c r="F753" s="110" t="s">
        <v>108</v>
      </c>
    </row>
    <row r="754" spans="1:6" x14ac:dyDescent="0.3">
      <c r="A754" s="114">
        <v>46146</v>
      </c>
      <c r="B754" t="s">
        <v>54</v>
      </c>
      <c r="C754" s="11">
        <v>2000</v>
      </c>
      <c r="D754" s="11"/>
      <c r="E754" t="s">
        <v>711</v>
      </c>
      <c r="F754" s="110" t="s">
        <v>108</v>
      </c>
    </row>
    <row r="755" spans="1:6" x14ac:dyDescent="0.3">
      <c r="A755" s="38">
        <v>46146</v>
      </c>
      <c r="B755" t="s">
        <v>54</v>
      </c>
      <c r="C755" s="11">
        <v>3000</v>
      </c>
      <c r="D755" s="11"/>
      <c r="E755" t="s">
        <v>712</v>
      </c>
      <c r="F755" s="110" t="s">
        <v>108</v>
      </c>
    </row>
    <row r="756" spans="1:6" x14ac:dyDescent="0.3">
      <c r="A756" s="114">
        <v>46146</v>
      </c>
      <c r="B756" t="s">
        <v>54</v>
      </c>
      <c r="C756" s="11">
        <v>5000</v>
      </c>
      <c r="D756" s="11"/>
      <c r="E756" t="s">
        <v>679</v>
      </c>
      <c r="F756" s="110" t="s">
        <v>108</v>
      </c>
    </row>
    <row r="757" spans="1:6" x14ac:dyDescent="0.3">
      <c r="A757" s="38">
        <v>46146</v>
      </c>
      <c r="B757" t="s">
        <v>55</v>
      </c>
      <c r="C757" s="11">
        <v>10000</v>
      </c>
      <c r="D757" s="11"/>
      <c r="E757" t="s">
        <v>713</v>
      </c>
      <c r="F757" s="110" t="s">
        <v>108</v>
      </c>
    </row>
    <row r="758" spans="1:6" x14ac:dyDescent="0.3">
      <c r="A758" s="114">
        <v>46146</v>
      </c>
      <c r="B758" t="s">
        <v>35</v>
      </c>
      <c r="C758" s="11"/>
      <c r="D758" s="11">
        <v>178000</v>
      </c>
      <c r="E758" t="s">
        <v>109</v>
      </c>
      <c r="F758" s="110" t="s">
        <v>108</v>
      </c>
    </row>
    <row r="759" spans="1:6" x14ac:dyDescent="0.3">
      <c r="A759" s="38">
        <v>46146</v>
      </c>
      <c r="B759" t="s">
        <v>9</v>
      </c>
      <c r="C759" s="11"/>
      <c r="D759" s="11">
        <v>100000</v>
      </c>
      <c r="E759" t="s">
        <v>714</v>
      </c>
      <c r="F759" s="110" t="s">
        <v>108</v>
      </c>
    </row>
    <row r="760" spans="1:6" x14ac:dyDescent="0.3">
      <c r="A760" s="114">
        <v>46146</v>
      </c>
      <c r="B760" t="s">
        <v>601</v>
      </c>
      <c r="C760" s="11">
        <v>9000</v>
      </c>
      <c r="D760" s="11"/>
      <c r="E760" t="s">
        <v>696</v>
      </c>
      <c r="F760" s="110" t="s">
        <v>108</v>
      </c>
    </row>
    <row r="761" spans="1:6" x14ac:dyDescent="0.3">
      <c r="A761" s="38">
        <v>46146</v>
      </c>
      <c r="B761" t="s">
        <v>298</v>
      </c>
      <c r="C761" s="11">
        <v>150000</v>
      </c>
      <c r="D761" s="11"/>
      <c r="E761" t="s">
        <v>715</v>
      </c>
      <c r="F761" s="110" t="s">
        <v>108</v>
      </c>
    </row>
    <row r="762" spans="1:6" x14ac:dyDescent="0.3">
      <c r="A762" s="114">
        <v>46146</v>
      </c>
      <c r="B762" t="s">
        <v>572</v>
      </c>
      <c r="C762" s="11">
        <v>18000</v>
      </c>
      <c r="D762" s="11"/>
      <c r="E762" t="s">
        <v>113</v>
      </c>
      <c r="F762" s="110" t="s">
        <v>108</v>
      </c>
    </row>
    <row r="763" spans="1:6" x14ac:dyDescent="0.3">
      <c r="A763" s="38">
        <v>46146</v>
      </c>
      <c r="B763" t="s">
        <v>117</v>
      </c>
      <c r="C763" s="11">
        <v>39000</v>
      </c>
      <c r="D763" s="11"/>
      <c r="E763" t="s">
        <v>531</v>
      </c>
      <c r="F763" s="110" t="s">
        <v>108</v>
      </c>
    </row>
    <row r="764" spans="1:6" x14ac:dyDescent="0.3">
      <c r="A764" s="114">
        <v>46146</v>
      </c>
      <c r="B764" t="s">
        <v>54</v>
      </c>
      <c r="C764" s="95">
        <v>700</v>
      </c>
      <c r="D764" s="95"/>
      <c r="E764" t="s">
        <v>470</v>
      </c>
      <c r="F764" s="110" t="s">
        <v>108</v>
      </c>
    </row>
    <row r="765" spans="1:6" x14ac:dyDescent="0.3">
      <c r="A765" s="38">
        <v>46146</v>
      </c>
      <c r="B765" t="s">
        <v>192</v>
      </c>
      <c r="C765" s="11"/>
      <c r="D765" s="11">
        <v>100000</v>
      </c>
      <c r="E765" t="s">
        <v>365</v>
      </c>
      <c r="F765" s="110" t="s">
        <v>108</v>
      </c>
    </row>
    <row r="766" spans="1:6" x14ac:dyDescent="0.3">
      <c r="A766" s="114">
        <v>46146</v>
      </c>
      <c r="B766" t="s">
        <v>55</v>
      </c>
      <c r="C766" s="11">
        <v>24080</v>
      </c>
      <c r="D766" s="11"/>
      <c r="E766" t="s">
        <v>315</v>
      </c>
      <c r="F766" s="110" t="s">
        <v>108</v>
      </c>
    </row>
    <row r="767" spans="1:6" x14ac:dyDescent="0.3">
      <c r="A767" s="38">
        <v>46146</v>
      </c>
      <c r="B767" t="s">
        <v>716</v>
      </c>
      <c r="C767" s="11">
        <v>60000</v>
      </c>
      <c r="D767" s="11"/>
      <c r="F767" s="110" t="s">
        <v>108</v>
      </c>
    </row>
    <row r="768" spans="1:6" x14ac:dyDescent="0.3">
      <c r="A768" s="140">
        <v>46147</v>
      </c>
      <c r="B768" t="s">
        <v>224</v>
      </c>
      <c r="C768" s="11">
        <v>105000</v>
      </c>
      <c r="D768" s="11"/>
      <c r="E768" t="s">
        <v>242</v>
      </c>
      <c r="F768" s="110" t="s">
        <v>108</v>
      </c>
    </row>
    <row r="769" spans="1:7" x14ac:dyDescent="0.3">
      <c r="A769" s="140"/>
      <c r="C769" s="11"/>
      <c r="D769" s="11"/>
      <c r="F769" s="110"/>
    </row>
    <row r="770" spans="1:7" x14ac:dyDescent="0.3">
      <c r="A770" s="140"/>
      <c r="C770" s="11"/>
      <c r="D770" s="11"/>
      <c r="F770" s="110"/>
    </row>
    <row r="771" spans="1:7" x14ac:dyDescent="0.3">
      <c r="A771" s="140"/>
      <c r="C771" s="11"/>
      <c r="D771" s="11"/>
      <c r="F771" s="110"/>
    </row>
    <row r="772" spans="1:7" x14ac:dyDescent="0.3">
      <c r="A772" s="141"/>
      <c r="B772" s="139"/>
      <c r="C772" s="95"/>
      <c r="D772" s="95"/>
      <c r="E772" s="139"/>
      <c r="F772" s="142"/>
      <c r="G772" s="139"/>
    </row>
    <row r="773" spans="1:7" x14ac:dyDescent="0.3">
      <c r="A773" s="38"/>
      <c r="C773" s="14">
        <f>SUBTOTAL(109,Table14[Debit])</f>
        <v>37308133.399999999</v>
      </c>
      <c r="D773" s="14">
        <f>SUBTOTAL(109,Table14[Credit])</f>
        <v>37226536.229517192</v>
      </c>
      <c r="F773" s="54">
        <f>(Table14[[#Totals],[Credit]]-Table14[[#Totals],[Debit]])</f>
        <v>-81597.170482806861</v>
      </c>
    </row>
  </sheetData>
  <phoneticPr fontId="4" type="noConversion"/>
  <pageMargins left="0.7" right="0.7" top="0.75" bottom="0.75" header="0.3" footer="0.3"/>
  <pageSetup paperSize="34" scale="10" orientation="portrait" r:id="rId2"/>
  <drawing r:id="rId3"/>
  <tableParts count="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14-19DB-4B01-8C13-74C417326C5D}">
  <dimension ref="A1:P76"/>
  <sheetViews>
    <sheetView topLeftCell="A45" zoomScale="107" zoomScaleNormal="210" workbookViewId="0">
      <selection activeCell="A32" sqref="A32"/>
    </sheetView>
  </sheetViews>
  <sheetFormatPr defaultRowHeight="14.4" x14ac:dyDescent="0.3"/>
  <cols>
    <col min="1" max="1" width="11.109375" customWidth="1"/>
    <col min="2" max="2" width="15.5546875" customWidth="1"/>
    <col min="3" max="3" width="11.5546875" customWidth="1"/>
    <col min="5" max="5" width="12.33203125" bestFit="1" customWidth="1"/>
    <col min="6" max="6" width="11.33203125" bestFit="1" customWidth="1"/>
    <col min="7" max="7" width="10.33203125" bestFit="1" customWidth="1"/>
    <col min="8" max="8" width="12.33203125" bestFit="1" customWidth="1"/>
    <col min="9" max="9" width="15.5546875" customWidth="1"/>
    <col min="10" max="10" width="14.44140625" bestFit="1" customWidth="1"/>
    <col min="11" max="11" width="12.6640625" bestFit="1" customWidth="1"/>
    <col min="12" max="12" width="11.88671875" bestFit="1" customWidth="1"/>
    <col min="13" max="13" width="14.44140625" bestFit="1" customWidth="1"/>
  </cols>
  <sheetData>
    <row r="1" spans="1:14" x14ac:dyDescent="0.3">
      <c r="A1" s="2" t="s">
        <v>75</v>
      </c>
      <c r="B1" s="2" t="s">
        <v>120</v>
      </c>
      <c r="C1" s="2" t="s">
        <v>121</v>
      </c>
      <c r="D1" s="8" t="s">
        <v>4</v>
      </c>
      <c r="E1" s="8" t="s">
        <v>122</v>
      </c>
      <c r="F1" s="8" t="s">
        <v>110</v>
      </c>
      <c r="G1" s="8" t="s">
        <v>92</v>
      </c>
      <c r="H1" s="8" t="s">
        <v>18</v>
      </c>
      <c r="I1" s="8" t="s">
        <v>123</v>
      </c>
    </row>
    <row r="2" spans="1:14" x14ac:dyDescent="0.3">
      <c r="A2" s="84">
        <v>46072</v>
      </c>
      <c r="B2" s="81" t="s">
        <v>64</v>
      </c>
      <c r="C2" s="81"/>
      <c r="D2" s="81"/>
      <c r="E2" s="81"/>
      <c r="F2" s="96" t="s">
        <v>115</v>
      </c>
      <c r="G2" s="81">
        <f>SUMIFS(Table14[Debit], Table14[Date], Table8[[#This Row],[Date]], Table14[Party], Table8[[#This Row],[Party]])</f>
        <v>0</v>
      </c>
      <c r="H2" s="81">
        <v>764250</v>
      </c>
      <c r="I2" s="81" t="s">
        <v>186</v>
      </c>
      <c r="K2" t="s">
        <v>75</v>
      </c>
      <c r="L2" t="s">
        <v>45</v>
      </c>
      <c r="M2" t="s">
        <v>36</v>
      </c>
      <c r="N2" t="s">
        <v>5</v>
      </c>
    </row>
    <row r="3" spans="1:14" x14ac:dyDescent="0.3">
      <c r="A3" s="94">
        <v>46072</v>
      </c>
      <c r="B3" s="81" t="s">
        <v>64</v>
      </c>
      <c r="C3" s="80"/>
      <c r="D3" s="80"/>
      <c r="E3" s="80"/>
      <c r="F3" s="80" t="s">
        <v>176</v>
      </c>
      <c r="G3" s="81">
        <f>SUMIFS(Table14[Debit], Table14[Date], Table8[[#This Row],[Date]], Table14[Party], Table8[[#This Row],[Party]])</f>
        <v>0</v>
      </c>
      <c r="H3" s="81">
        <v>0</v>
      </c>
      <c r="I3" s="81" t="s">
        <v>186</v>
      </c>
      <c r="K3" s="1"/>
      <c r="L3" t="s">
        <v>124</v>
      </c>
      <c r="N3" s="11">
        <f t="shared" ref="N3" si="0">47000+28750</f>
        <v>75750</v>
      </c>
    </row>
    <row r="4" spans="1:14" x14ac:dyDescent="0.3">
      <c r="A4" s="84">
        <v>46072</v>
      </c>
      <c r="B4" s="81" t="s">
        <v>64</v>
      </c>
      <c r="F4" s="80" t="s">
        <v>182</v>
      </c>
      <c r="G4" s="81">
        <f>SUMIFS(Table14[Debit], Table14[Date], Table8[[#This Row],[Date]], Table14[Party], Table8[[#This Row],[Party]])</f>
        <v>0</v>
      </c>
      <c r="H4" s="81">
        <v>0</v>
      </c>
      <c r="I4" s="81" t="s">
        <v>186</v>
      </c>
      <c r="K4" s="1"/>
      <c r="N4" s="11"/>
    </row>
    <row r="5" spans="1:14" x14ac:dyDescent="0.3">
      <c r="A5" s="94">
        <v>46072</v>
      </c>
      <c r="B5" s="81" t="s">
        <v>64</v>
      </c>
      <c r="F5" t="s">
        <v>194</v>
      </c>
      <c r="G5" s="81">
        <f>SUMIFS(Table14[Debit], Table14[Date], Table8[[#This Row],[Date]], Table14[Party], Table8[[#This Row],[Party]])</f>
        <v>0</v>
      </c>
      <c r="H5" s="81">
        <v>0</v>
      </c>
      <c r="I5" s="81" t="s">
        <v>186</v>
      </c>
      <c r="K5" s="1"/>
      <c r="N5" s="14">
        <f>SUM(Table7[Total])</f>
        <v>75750</v>
      </c>
    </row>
    <row r="6" spans="1:14" x14ac:dyDescent="0.3">
      <c r="A6" s="84">
        <v>46072</v>
      </c>
      <c r="B6" s="81" t="s">
        <v>64</v>
      </c>
      <c r="F6" t="s">
        <v>229</v>
      </c>
      <c r="G6" s="81">
        <f>SUMIFS(Table14[Debit], Table14[Date], Table8[[#This Row],[Date]], Table14[Party], Table8[[#This Row],[Party]])</f>
        <v>0</v>
      </c>
      <c r="H6">
        <v>483125</v>
      </c>
      <c r="I6" s="81" t="s">
        <v>186</v>
      </c>
    </row>
    <row r="7" spans="1:14" x14ac:dyDescent="0.3">
      <c r="A7" s="94">
        <v>46072</v>
      </c>
      <c r="B7" s="81" t="s">
        <v>64</v>
      </c>
      <c r="F7" t="s">
        <v>251</v>
      </c>
      <c r="G7" s="81">
        <f>SUMIFS(Table14[Debit], Table14[Date], Table8[[#This Row],[Date]], Table14[Party], Table8[[#This Row],[Party]])</f>
        <v>0</v>
      </c>
      <c r="H7">
        <v>0</v>
      </c>
      <c r="I7" s="81" t="s">
        <v>186</v>
      </c>
      <c r="K7" s="3" t="s">
        <v>110</v>
      </c>
      <c r="L7" t="s">
        <v>229</v>
      </c>
    </row>
    <row r="8" spans="1:14" x14ac:dyDescent="0.3">
      <c r="A8" s="84">
        <v>46072</v>
      </c>
      <c r="B8" s="81" t="s">
        <v>64</v>
      </c>
      <c r="F8" t="s">
        <v>252</v>
      </c>
      <c r="G8" s="81">
        <f>SUMIFS(Table14[Debit], Table14[Date], Table8[[#This Row],[Date]], Table14[Party], Table8[[#This Row],[Party]])</f>
        <v>0</v>
      </c>
      <c r="H8">
        <v>0</v>
      </c>
      <c r="I8" s="81" t="s">
        <v>186</v>
      </c>
    </row>
    <row r="9" spans="1:14" x14ac:dyDescent="0.3">
      <c r="A9" s="94">
        <v>46072</v>
      </c>
      <c r="B9" s="81" t="s">
        <v>64</v>
      </c>
      <c r="F9" t="s">
        <v>243</v>
      </c>
      <c r="G9" s="81">
        <f>SUMIFS(Table14[Debit], Table14[Date], Table8[[#This Row],[Date]], Table14[Party], Table8[[#This Row],[Party]])</f>
        <v>0</v>
      </c>
      <c r="H9">
        <v>0</v>
      </c>
      <c r="I9" s="81" t="s">
        <v>186</v>
      </c>
      <c r="K9" s="3" t="s">
        <v>6</v>
      </c>
      <c r="L9" t="s">
        <v>127</v>
      </c>
      <c r="M9" t="s">
        <v>128</v>
      </c>
    </row>
    <row r="10" spans="1:14" x14ac:dyDescent="0.3">
      <c r="A10" s="121">
        <v>46073</v>
      </c>
      <c r="B10" t="s">
        <v>64</v>
      </c>
      <c r="E10">
        <f>SUMIFS(Table14[Debit], Table14[Date], Table8[[#This Row],[Date]], Table14[Party], Table8[[#This Row],[Party]])</f>
        <v>100000</v>
      </c>
      <c r="F10" t="s">
        <v>252</v>
      </c>
      <c r="G10">
        <f>SUMIFS(Table14[Debit], Table14[Date], Table8[[#This Row],[Date]], Table14[Party], Table8[[#This Row],[Party]])</f>
        <v>100000</v>
      </c>
      <c r="H10">
        <f>Table8[[#This Row],[Price]]-Table8[[#This Row],[Paid]]</f>
        <v>0</v>
      </c>
      <c r="K10" s="26">
        <v>46072</v>
      </c>
      <c r="M10">
        <v>483125</v>
      </c>
    </row>
    <row r="11" spans="1:14" x14ac:dyDescent="0.3">
      <c r="A11" s="121">
        <v>46075</v>
      </c>
      <c r="B11" t="s">
        <v>64</v>
      </c>
      <c r="E11">
        <v>718750</v>
      </c>
      <c r="F11" t="s">
        <v>229</v>
      </c>
      <c r="G11">
        <f>SUMIFS(Table14[Debit], Table14[Date], Table8[[#This Row],[Date]], Table14[Party], Table8[[#This Row],[Party]])</f>
        <v>0</v>
      </c>
      <c r="H11">
        <f>Table8[[#This Row],[Price]]-Table8[[#This Row],[Paid]]</f>
        <v>718750</v>
      </c>
      <c r="K11" s="26">
        <v>46075</v>
      </c>
      <c r="L11">
        <v>718750</v>
      </c>
      <c r="M11">
        <v>718750</v>
      </c>
    </row>
    <row r="12" spans="1:14" x14ac:dyDescent="0.3">
      <c r="A12" s="121">
        <v>46076</v>
      </c>
      <c r="B12" t="s">
        <v>64</v>
      </c>
      <c r="E12">
        <v>7800</v>
      </c>
      <c r="F12" t="s">
        <v>176</v>
      </c>
      <c r="G12">
        <f>SUMIFS(Table14[Debit], Table14[Date], Table8[[#This Row],[Date]], Table14[Party], Table8[[#This Row],[Party]])</f>
        <v>7800</v>
      </c>
      <c r="H12">
        <f>Table8[[#This Row],[Price]]-Table8[[#This Row],[Paid]]</f>
        <v>0</v>
      </c>
      <c r="K12" s="26">
        <v>46086</v>
      </c>
      <c r="M12">
        <v>-400000</v>
      </c>
    </row>
    <row r="13" spans="1:14" x14ac:dyDescent="0.3">
      <c r="A13" s="121">
        <v>46077</v>
      </c>
      <c r="B13" t="s">
        <v>314</v>
      </c>
      <c r="E13">
        <v>27200</v>
      </c>
      <c r="F13" t="s">
        <v>176</v>
      </c>
      <c r="G13">
        <f>SUMIFS(Table14[Debit], Table14[Date], Table8[[#This Row],[Date]], Table14[Party], Table8[[#This Row],[Party]])</f>
        <v>27200</v>
      </c>
      <c r="H13">
        <f>Table8[[#This Row],[Price]]-Table8[[#This Row],[Paid]]</f>
        <v>0</v>
      </c>
      <c r="K13" s="26">
        <v>46127</v>
      </c>
      <c r="M13">
        <v>-400000</v>
      </c>
    </row>
    <row r="14" spans="1:14" x14ac:dyDescent="0.3">
      <c r="A14" s="121">
        <v>46077</v>
      </c>
      <c r="B14" t="s">
        <v>340</v>
      </c>
      <c r="F14" t="s">
        <v>115</v>
      </c>
      <c r="G14">
        <f>SUMIFS(Table14[Debit], Table14[Date], Table8[[#This Row],[Date]], Table14[Party], Table8[[#This Row],[Party]])</f>
        <v>100000</v>
      </c>
      <c r="H14">
        <f>Table8[[#This Row],[Price]]-Table8[[#This Row],[Paid]]</f>
        <v>-100000</v>
      </c>
      <c r="K14" s="4" t="s">
        <v>28</v>
      </c>
      <c r="L14">
        <v>718750</v>
      </c>
      <c r="M14">
        <v>401875</v>
      </c>
    </row>
    <row r="15" spans="1:14" x14ac:dyDescent="0.3">
      <c r="A15" s="121">
        <v>46078</v>
      </c>
      <c r="B15" t="s">
        <v>340</v>
      </c>
      <c r="F15" t="s">
        <v>115</v>
      </c>
      <c r="G15">
        <f>SUMIFS(Table14[Debit], Table14[Date], Table8[[#This Row],[Date]], Table14[Party], Table8[[#This Row],[Party]])</f>
        <v>150000</v>
      </c>
      <c r="H15">
        <f>Table8[[#This Row],[Price]]-Table8[[#This Row],[Paid]]</f>
        <v>-150000</v>
      </c>
    </row>
    <row r="16" spans="1:14" x14ac:dyDescent="0.3">
      <c r="A16" s="121">
        <v>46079</v>
      </c>
      <c r="B16" t="s">
        <v>340</v>
      </c>
      <c r="F16" t="s">
        <v>115</v>
      </c>
      <c r="G16">
        <f>SUMIFS(Table14[Debit], Table14[Date], Table8[[#This Row],[Date]], Table14[Party], Table8[[#This Row],[Party]])</f>
        <v>150000</v>
      </c>
      <c r="H16">
        <f>Table8[[#This Row],[Price]]-Table8[[#This Row],[Paid]]</f>
        <v>-150000</v>
      </c>
    </row>
    <row r="17" spans="1:12" x14ac:dyDescent="0.3">
      <c r="A17" s="121">
        <v>46086</v>
      </c>
      <c r="B17" t="s">
        <v>340</v>
      </c>
      <c r="F17" t="s">
        <v>229</v>
      </c>
      <c r="G17">
        <f>SUMIFS(Table14[Debit], Table14[Date], Table8[[#This Row],[Date]], Table14[Party], Table8[[#This Row],[Party]])</f>
        <v>400000</v>
      </c>
      <c r="H17">
        <f>Table8[[#This Row],[Price]]-Table8[[#This Row],[Paid]]</f>
        <v>-400000</v>
      </c>
    </row>
    <row r="18" spans="1:12" x14ac:dyDescent="0.3">
      <c r="A18" s="121">
        <v>46091</v>
      </c>
      <c r="B18" t="s">
        <v>64</v>
      </c>
      <c r="E18">
        <v>129125</v>
      </c>
      <c r="F18" t="s">
        <v>297</v>
      </c>
      <c r="G18">
        <f>SUMIFS(Table14[Debit], Table14[Date], Table8[[#This Row],[Date]], Table14[Party], Table8[[#This Row],[Party]])</f>
        <v>129125</v>
      </c>
      <c r="H18">
        <f>Table8[[#This Row],[Price]]-Table8[[#This Row],[Paid]]</f>
        <v>0</v>
      </c>
    </row>
    <row r="19" spans="1:12" x14ac:dyDescent="0.3">
      <c r="A19" s="121">
        <v>46098</v>
      </c>
      <c r="B19" t="s">
        <v>340</v>
      </c>
      <c r="F19" t="s">
        <v>115</v>
      </c>
      <c r="G19">
        <f>SUMIFS(Table14[Debit], Table14[Date], Table8[[#This Row],[Date]], Table14[Party], Table8[[#This Row],[Party]])</f>
        <v>100000</v>
      </c>
      <c r="H19">
        <f>Table8[[#This Row],[Price]]-Table8[[#This Row],[Paid]]</f>
        <v>-100000</v>
      </c>
    </row>
    <row r="20" spans="1:12" x14ac:dyDescent="0.3">
      <c r="A20" s="121">
        <v>46116</v>
      </c>
      <c r="B20" t="s">
        <v>340</v>
      </c>
      <c r="F20" t="s">
        <v>115</v>
      </c>
      <c r="G20">
        <f>SUMIFS(Table14[Debit], Table14[Date], Table8[[#This Row],[Date]], Table14[Party], Table8[[#This Row],[Party]])</f>
        <v>100000</v>
      </c>
      <c r="H20">
        <f>Table8[[#This Row],[Price]]-Table8[[#This Row],[Paid]]</f>
        <v>-100000</v>
      </c>
    </row>
    <row r="21" spans="1:12" x14ac:dyDescent="0.3">
      <c r="A21" s="121">
        <v>46120</v>
      </c>
      <c r="B21" t="s">
        <v>297</v>
      </c>
      <c r="E21">
        <v>74380</v>
      </c>
      <c r="F21" t="s">
        <v>176</v>
      </c>
      <c r="G21">
        <f>SUMIFS(Table14[Debit], Table14[Date], Table8[[#This Row],[Date]], Table14[Party], Table8[[#This Row],[Party]])</f>
        <v>74380</v>
      </c>
      <c r="H21">
        <f>Table8[[#This Row],[Price]]-Table8[[#This Row],[Paid]]</f>
        <v>0</v>
      </c>
    </row>
    <row r="22" spans="1:12" x14ac:dyDescent="0.3">
      <c r="A22" s="121">
        <v>46120</v>
      </c>
      <c r="B22" t="s">
        <v>64</v>
      </c>
      <c r="C22">
        <v>10</v>
      </c>
      <c r="E22">
        <v>290000</v>
      </c>
      <c r="F22" t="s">
        <v>115</v>
      </c>
      <c r="G22">
        <f>SUMIFS(Table14[Debit], Table14[Date], Table8[[#This Row],[Date]], Table14[Party], Table8[[#This Row],[Party]])</f>
        <v>0</v>
      </c>
      <c r="H22">
        <f>Table8[[#This Row],[Price]]-Table8[[#This Row],[Paid]]</f>
        <v>290000</v>
      </c>
    </row>
    <row r="23" spans="1:12" x14ac:dyDescent="0.3">
      <c r="A23" s="121">
        <v>46127</v>
      </c>
      <c r="B23" t="s">
        <v>340</v>
      </c>
      <c r="F23" t="s">
        <v>229</v>
      </c>
      <c r="G23">
        <f>SUMIFS(Table14[Debit], Table14[Date], Table8[[#This Row],[Date]], Table14[Party], Table8[[#This Row],[Party]])</f>
        <v>400000</v>
      </c>
      <c r="H23">
        <f>Table8[[#This Row],[Price]]-Table8[[#This Row],[Paid]]</f>
        <v>-400000</v>
      </c>
    </row>
    <row r="24" spans="1:12" x14ac:dyDescent="0.3">
      <c r="A24" s="121">
        <v>46130</v>
      </c>
      <c r="B24" t="s">
        <v>64</v>
      </c>
      <c r="C24">
        <v>5</v>
      </c>
      <c r="E24">
        <v>181250</v>
      </c>
      <c r="F24" t="s">
        <v>115</v>
      </c>
      <c r="G24">
        <f>SUMIFS(Table14[Debit], Table14[Date], Table8[[#This Row],[Date]], Table14[Party], Table8[[#This Row],[Party]])</f>
        <v>100000</v>
      </c>
      <c r="H24">
        <f>Table8[[#This Row],[Price]]-Table8[[#This Row],[Paid]]</f>
        <v>81250</v>
      </c>
    </row>
    <row r="25" spans="1:12" x14ac:dyDescent="0.3">
      <c r="A25" s="1">
        <v>46134</v>
      </c>
      <c r="B25" t="s">
        <v>633</v>
      </c>
      <c r="E25">
        <v>136375</v>
      </c>
      <c r="F25" t="s">
        <v>176</v>
      </c>
      <c r="G25">
        <f>SUMIFS(Table14[Debit], Table14[Date], Table8[[#This Row],[Date]], Table14[Party], Table8[[#This Row],[Party]])</f>
        <v>136375</v>
      </c>
      <c r="H25">
        <f>Table8[[#This Row],[Price]]-Table8[[#This Row],[Paid]]</f>
        <v>0</v>
      </c>
    </row>
    <row r="26" spans="1:12" x14ac:dyDescent="0.3">
      <c r="A26" s="1">
        <v>46134</v>
      </c>
      <c r="B26" t="s">
        <v>64</v>
      </c>
      <c r="C26">
        <v>7</v>
      </c>
      <c r="E26">
        <v>254375</v>
      </c>
      <c r="F26" t="s">
        <v>115</v>
      </c>
      <c r="G26">
        <f>SUMIFS(Table14[Debit], Table14[Date], Table8[[#This Row],[Date]], Table14[Party], Table8[[#This Row],[Party]])</f>
        <v>0</v>
      </c>
      <c r="H26">
        <f>Table8[[#This Row],[Price]]-Table8[[#This Row],[Paid]]</f>
        <v>254375</v>
      </c>
    </row>
    <row r="27" spans="1:12" x14ac:dyDescent="0.3">
      <c r="A27" s="1">
        <v>46134</v>
      </c>
      <c r="B27" t="s">
        <v>114</v>
      </c>
      <c r="E27">
        <v>60000</v>
      </c>
      <c r="F27" t="s">
        <v>297</v>
      </c>
      <c r="G27">
        <f>SUMIFS(Table14[Debit], Table14[Date], Table8[[#This Row],[Date]], Table14[Party], Table8[[#This Row],[Party]])</f>
        <v>60000</v>
      </c>
      <c r="H27">
        <f>Table8[[#This Row],[Price]]-Table8[[#This Row],[Paid]]</f>
        <v>0</v>
      </c>
    </row>
    <row r="28" spans="1:12" x14ac:dyDescent="0.3">
      <c r="A28" s="1">
        <v>46135</v>
      </c>
      <c r="B28" t="s">
        <v>126</v>
      </c>
      <c r="E28">
        <v>30000</v>
      </c>
      <c r="F28" t="s">
        <v>176</v>
      </c>
      <c r="G28">
        <f>SUMIFS(Table14[Debit], Table14[Date], Table8[[#This Row],[Date]], Table14[Party], Table8[[#This Row],[Party]])</f>
        <v>30000</v>
      </c>
      <c r="H28">
        <f>Table8[[#This Row],[Price]]-Table8[[#This Row],[Paid]]</f>
        <v>0</v>
      </c>
    </row>
    <row r="29" spans="1:12" x14ac:dyDescent="0.3">
      <c r="A29" s="121"/>
      <c r="G29">
        <f>SUMIFS(Table14[Debit], Table14[Date], Table8[[#This Row],[Date]], Table14[Party], Table8[[#This Row],[Party]])</f>
        <v>0</v>
      </c>
      <c r="H29">
        <f>Table8[[#This Row],[Price]]-Table8[[#This Row],[Paid]]</f>
        <v>0</v>
      </c>
    </row>
    <row r="30" spans="1:12" x14ac:dyDescent="0.3">
      <c r="A30" s="121">
        <v>46139</v>
      </c>
      <c r="B30" t="s">
        <v>677</v>
      </c>
      <c r="C30">
        <v>8</v>
      </c>
      <c r="E30">
        <v>271500</v>
      </c>
      <c r="F30" t="s">
        <v>115</v>
      </c>
      <c r="G30">
        <f>SUMIFS(Table14[Debit], Table14[Date], Table8[[#This Row],[Date]], Table14[Party], Table8[[#This Row],[Party]])</f>
        <v>200000</v>
      </c>
      <c r="H30">
        <f>Table8[[#This Row],[Price]]-Table8[[#This Row],[Paid]]</f>
        <v>71500</v>
      </c>
    </row>
    <row r="31" spans="1:12" x14ac:dyDescent="0.3">
      <c r="A31" s="121">
        <v>46144</v>
      </c>
      <c r="B31" t="s">
        <v>159</v>
      </c>
      <c r="E31">
        <v>56000</v>
      </c>
      <c r="F31" t="s">
        <v>176</v>
      </c>
      <c r="G31">
        <f>SUMIFS(Table14[Debit], Table14[Date], Table8[[#This Row],[Date]], Table14[Party], Table8[[#This Row],[Party]])</f>
        <v>56000</v>
      </c>
      <c r="H31">
        <f>Table8[[#This Row],[Price]]-Table8[[#This Row],[Paid]]</f>
        <v>0</v>
      </c>
    </row>
    <row r="32" spans="1:12" x14ac:dyDescent="0.3">
      <c r="A32" s="121"/>
      <c r="G32">
        <f>SUMIFS(Table14[Debit], Table14[Date], Table8[[#This Row],[Date]], Table14[Party], Table8[[#This Row],[Party]])</f>
        <v>0</v>
      </c>
      <c r="H32">
        <f>Table8[[#This Row],[Price]]-Table8[[#This Row],[Paid]]</f>
        <v>0</v>
      </c>
      <c r="L32" t="s">
        <v>163</v>
      </c>
    </row>
    <row r="33" spans="1:16" x14ac:dyDescent="0.3">
      <c r="A33" s="121"/>
      <c r="G33">
        <f>SUMIFS(Table14[Debit], Table14[Date], Table8[[#This Row],[Date]], Table14[Party], Table8[[#This Row],[Party]])</f>
        <v>0</v>
      </c>
      <c r="H33">
        <f>Table8[[#This Row],[Price]]-Table8[[#This Row],[Paid]]</f>
        <v>0</v>
      </c>
      <c r="L33" t="s">
        <v>57</v>
      </c>
      <c r="M33" t="s">
        <v>156</v>
      </c>
      <c r="N33" t="s">
        <v>157</v>
      </c>
      <c r="O33" t="s">
        <v>4</v>
      </c>
      <c r="P33" t="s">
        <v>158</v>
      </c>
    </row>
    <row r="34" spans="1:16" x14ac:dyDescent="0.3">
      <c r="A34" s="121"/>
      <c r="G34">
        <f>SUMIFS(Table14[Debit], Table14[Date], Table8[[#This Row],[Date]], Table14[Party], Table8[[#This Row],[Party]])</f>
        <v>0</v>
      </c>
      <c r="H34">
        <f>Table8[[#This Row],[Price]]-Table8[[#This Row],[Paid]]</f>
        <v>0</v>
      </c>
      <c r="L34" t="s">
        <v>131</v>
      </c>
      <c r="M34">
        <v>1</v>
      </c>
      <c r="N34">
        <v>5</v>
      </c>
      <c r="O34">
        <v>1400</v>
      </c>
      <c r="P34">
        <f>Table23[[#This Row],[boxes]]*Table23[[#This Row],[kgs]]*Table23[[#This Row],[Rate]]</f>
        <v>7000</v>
      </c>
    </row>
    <row r="35" spans="1:16" x14ac:dyDescent="0.3">
      <c r="A35" s="121"/>
      <c r="G35">
        <f>SUMIFS(Table14[Debit], Table14[Date], Table8[[#This Row],[Date]], Table14[Party], Table8[[#This Row],[Party]])</f>
        <v>0</v>
      </c>
      <c r="H35">
        <f>Table8[[#This Row],[Price]]-Table8[[#This Row],[Paid]]</f>
        <v>0</v>
      </c>
      <c r="L35" t="s">
        <v>129</v>
      </c>
      <c r="M35">
        <v>1</v>
      </c>
      <c r="N35">
        <v>30</v>
      </c>
      <c r="O35">
        <v>1340</v>
      </c>
      <c r="P35">
        <f>Table23[[#This Row],[boxes]]*Table23[[#This Row],[kgs]]*Table23[[#This Row],[Rate]]</f>
        <v>40200</v>
      </c>
    </row>
    <row r="36" spans="1:16" x14ac:dyDescent="0.3">
      <c r="G36">
        <f>SUMIFS(Table14[Debit], Table14[Date], Table8[[#This Row],[Date]], Table14[Party], Table8[[#This Row],[Party]])</f>
        <v>0</v>
      </c>
      <c r="H36">
        <f>Table8[[#This Row],[Price]]-Table8[[#This Row],[Paid]]</f>
        <v>0</v>
      </c>
      <c r="L36" t="s">
        <v>147</v>
      </c>
      <c r="M36">
        <v>1</v>
      </c>
      <c r="O36">
        <v>1140</v>
      </c>
      <c r="P36">
        <f>Table23[[#This Row],[boxes]]*Table23[[#This Row],[kgs]]*Table23[[#This Row],[Rate]]</f>
        <v>0</v>
      </c>
    </row>
    <row r="37" spans="1:16" x14ac:dyDescent="0.3">
      <c r="G37">
        <f>SUMIFS(Table14[Debit], Table14[Date], Table8[[#This Row],[Date]], Table14[Party], Table8[[#This Row],[Party]])</f>
        <v>0</v>
      </c>
      <c r="H37">
        <f>Table8[[#This Row],[Price]]-Table8[[#This Row],[Paid]]</f>
        <v>0</v>
      </c>
      <c r="L37" t="s">
        <v>126</v>
      </c>
      <c r="M37">
        <v>1</v>
      </c>
      <c r="N37">
        <v>28</v>
      </c>
      <c r="O37">
        <v>1140</v>
      </c>
      <c r="P37">
        <f>Table23[[#This Row],[boxes]]*Table23[[#This Row],[kgs]]*Table23[[#This Row],[Rate]]</f>
        <v>31920</v>
      </c>
    </row>
    <row r="38" spans="1:16" x14ac:dyDescent="0.3">
      <c r="G38">
        <f>SUMIFS(Table14[Debit], Table14[Date], Table8[[#This Row],[Date]], Table14[Party], Table8[[#This Row],[Party]])</f>
        <v>0</v>
      </c>
      <c r="H38">
        <f>Table8[[#This Row],[Price]]-Table8[[#This Row],[Paid]]</f>
        <v>0</v>
      </c>
      <c r="L38" t="s">
        <v>125</v>
      </c>
      <c r="M38">
        <v>1</v>
      </c>
      <c r="N38">
        <v>8</v>
      </c>
      <c r="O38">
        <v>1130</v>
      </c>
      <c r="P38">
        <f>Table23[[#This Row],[boxes]]*Table23[[#This Row],[kgs]]*Table23[[#This Row],[Rate]]</f>
        <v>9040</v>
      </c>
    </row>
    <row r="39" spans="1:16" x14ac:dyDescent="0.3">
      <c r="G39">
        <f>SUMIFS(Table14[Debit], Table14[Date], Table8[[#This Row],[Date]], Table14[Party], Table8[[#This Row],[Party]])</f>
        <v>0</v>
      </c>
      <c r="H39">
        <f>Table8[[#This Row],[Price]]-Table8[[#This Row],[Paid]]</f>
        <v>0</v>
      </c>
      <c r="L39" t="s">
        <v>146</v>
      </c>
      <c r="M39">
        <v>1</v>
      </c>
      <c r="O39">
        <v>1300</v>
      </c>
      <c r="P39">
        <f>Table23[[#This Row],[boxes]]*Table23[[#This Row],[kgs]]*Table23[[#This Row],[Rate]]</f>
        <v>0</v>
      </c>
    </row>
    <row r="40" spans="1:16" x14ac:dyDescent="0.3">
      <c r="G40">
        <f>SUMIFS(Table14[Debit], Table14[Date], Table8[[#This Row],[Date]], Table14[Party], Table8[[#This Row],[Party]])</f>
        <v>0</v>
      </c>
      <c r="H40">
        <f>Table8[[#This Row],[Price]]-Table8[[#This Row],[Paid]]</f>
        <v>0</v>
      </c>
      <c r="L40" t="s">
        <v>132</v>
      </c>
      <c r="M40">
        <v>1</v>
      </c>
      <c r="N40">
        <v>30</v>
      </c>
      <c r="O40">
        <v>1450</v>
      </c>
      <c r="P40">
        <f>Table23[[#This Row],[boxes]]*Table23[[#This Row],[kgs]]*Table23[[#This Row],[Rate]]</f>
        <v>43500</v>
      </c>
    </row>
    <row r="41" spans="1:16" x14ac:dyDescent="0.3">
      <c r="G41">
        <f>SUMIFS(Table14[Debit], Table14[Date], Table8[[#This Row],[Date]], Table14[Party], Table8[[#This Row],[Party]])</f>
        <v>0</v>
      </c>
      <c r="H41">
        <f>Table8[[#This Row],[Price]]-Table8[[#This Row],[Paid]]</f>
        <v>0</v>
      </c>
      <c r="L41" t="s">
        <v>159</v>
      </c>
      <c r="M41">
        <v>1</v>
      </c>
      <c r="N41">
        <v>40</v>
      </c>
      <c r="O41">
        <v>910</v>
      </c>
      <c r="P41">
        <f>Table23[[#This Row],[boxes]]*Table23[[#This Row],[kgs]]*Table23[[#This Row],[Rate]]</f>
        <v>36400</v>
      </c>
    </row>
    <row r="42" spans="1:16" x14ac:dyDescent="0.3">
      <c r="E42">
        <f>SUBTOTAL(109,Table8[Price])</f>
        <v>2336755</v>
      </c>
      <c r="G42">
        <f>SUBTOTAL(109,Table8[Paid])</f>
        <v>2320880</v>
      </c>
      <c r="H42">
        <f>SUBTOTAL(109,Table8[Balance])</f>
        <v>1263250</v>
      </c>
      <c r="L42" t="s">
        <v>125</v>
      </c>
      <c r="M42">
        <v>1</v>
      </c>
      <c r="O42">
        <v>1130</v>
      </c>
      <c r="P42">
        <f>Table23[[#This Row],[boxes]]*Table23[[#This Row],[kgs]]*Table23[[#This Row],[Rate]]</f>
        <v>0</v>
      </c>
    </row>
    <row r="43" spans="1:16" x14ac:dyDescent="0.3">
      <c r="L43" t="s">
        <v>146</v>
      </c>
      <c r="M43">
        <v>1</v>
      </c>
      <c r="N43">
        <v>10</v>
      </c>
      <c r="O43">
        <v>1300</v>
      </c>
      <c r="P43">
        <f>Table23[[#This Row],[boxes]]*Table23[[#This Row],[kgs]]*Table23[[#This Row],[Rate]]</f>
        <v>13000</v>
      </c>
    </row>
    <row r="44" spans="1:16" x14ac:dyDescent="0.3">
      <c r="L44" t="s">
        <v>133</v>
      </c>
      <c r="M44">
        <v>1</v>
      </c>
      <c r="N44">
        <v>4</v>
      </c>
      <c r="O44">
        <v>1650</v>
      </c>
      <c r="P44">
        <f>Table23[[#This Row],[boxes]]*Table23[[#This Row],[kgs]]*Table23[[#This Row],[Rate]]</f>
        <v>6600</v>
      </c>
    </row>
    <row r="45" spans="1:16" x14ac:dyDescent="0.3">
      <c r="L45" t="s">
        <v>129</v>
      </c>
      <c r="M45">
        <v>1</v>
      </c>
      <c r="O45">
        <v>1340</v>
      </c>
      <c r="P45">
        <f>Table23[[#This Row],[boxes]]*Table23[[#This Row],[kgs]]*Table23[[#This Row],[Rate]]</f>
        <v>0</v>
      </c>
    </row>
    <row r="46" spans="1:16" x14ac:dyDescent="0.3">
      <c r="L46" t="s">
        <v>132</v>
      </c>
      <c r="M46">
        <v>1</v>
      </c>
      <c r="O46">
        <v>1450</v>
      </c>
      <c r="P46">
        <f>Table23[[#This Row],[boxes]]*Table23[[#This Row],[kgs]]*Table23[[#This Row],[Rate]]</f>
        <v>0</v>
      </c>
    </row>
    <row r="47" spans="1:16" x14ac:dyDescent="0.3">
      <c r="L47" t="s">
        <v>131</v>
      </c>
      <c r="M47">
        <v>1</v>
      </c>
      <c r="O47">
        <v>1400</v>
      </c>
      <c r="P47">
        <f>Table23[[#This Row],[boxes]]*Table23[[#This Row],[kgs]]*Table23[[#This Row],[Rate]]</f>
        <v>0</v>
      </c>
    </row>
    <row r="48" spans="1:16" x14ac:dyDescent="0.3">
      <c r="L48" t="s">
        <v>160</v>
      </c>
      <c r="M48">
        <v>1</v>
      </c>
      <c r="O48">
        <v>1000</v>
      </c>
      <c r="P48">
        <f>Table23[[#This Row],[boxes]]*Table23[[#This Row],[kgs]]*Table23[[#This Row],[Rate]]</f>
        <v>0</v>
      </c>
    </row>
    <row r="49" spans="1:16" x14ac:dyDescent="0.3">
      <c r="A49" t="s">
        <v>57</v>
      </c>
      <c r="B49" t="s">
        <v>156</v>
      </c>
      <c r="C49" t="s">
        <v>157</v>
      </c>
      <c r="D49" t="s">
        <v>4</v>
      </c>
      <c r="E49" t="s">
        <v>158</v>
      </c>
      <c r="L49" t="s">
        <v>130</v>
      </c>
      <c r="M49">
        <v>1</v>
      </c>
      <c r="N49">
        <v>5</v>
      </c>
      <c r="O49">
        <v>1650</v>
      </c>
      <c r="P49">
        <f>Table23[[#This Row],[boxes]]*Table23[[#This Row],[kgs]]*Table23[[#This Row],[Rate]]</f>
        <v>8250</v>
      </c>
    </row>
    <row r="50" spans="1:16" x14ac:dyDescent="0.3">
      <c r="A50" t="s">
        <v>131</v>
      </c>
      <c r="B50">
        <v>1</v>
      </c>
      <c r="C50">
        <v>25</v>
      </c>
      <c r="D50">
        <v>1400</v>
      </c>
      <c r="E50">
        <f>Table2325[[#This Row],[boxes]]*Table2325[[#This Row],[kgs]]*Table2325[[#This Row],[Rate]]</f>
        <v>35000</v>
      </c>
      <c r="L50" t="s">
        <v>114</v>
      </c>
      <c r="M50">
        <v>1</v>
      </c>
      <c r="N50">
        <v>20</v>
      </c>
      <c r="O50">
        <v>1130</v>
      </c>
      <c r="P50">
        <f>Table23[[#This Row],[boxes]]*Table23[[#This Row],[kgs]]*Table23[[#This Row],[Rate]]</f>
        <v>22600</v>
      </c>
    </row>
    <row r="51" spans="1:16" x14ac:dyDescent="0.3">
      <c r="A51" t="s">
        <v>129</v>
      </c>
      <c r="B51">
        <v>1</v>
      </c>
      <c r="C51">
        <v>3</v>
      </c>
      <c r="D51">
        <v>1340</v>
      </c>
      <c r="E51">
        <f>Table2325[[#This Row],[boxes]]*Table2325[[#This Row],[kgs]]*Table2325[[#This Row],[Rate]]</f>
        <v>4020</v>
      </c>
      <c r="L51" t="s">
        <v>153</v>
      </c>
      <c r="M51">
        <v>1</v>
      </c>
      <c r="O51">
        <v>3100</v>
      </c>
      <c r="P51">
        <f>Table23[[#This Row],[boxes]]*Table23[[#This Row],[kgs]]*Table23[[#This Row],[Rate]]</f>
        <v>0</v>
      </c>
    </row>
    <row r="52" spans="1:16" x14ac:dyDescent="0.3">
      <c r="A52" t="s">
        <v>147</v>
      </c>
      <c r="B52">
        <v>1</v>
      </c>
      <c r="D52">
        <v>1120</v>
      </c>
      <c r="E52">
        <f>Table2325[[#This Row],[boxes]]*Table2325[[#This Row],[kgs]]*Table2325[[#This Row],[Rate]]</f>
        <v>0</v>
      </c>
      <c r="L52" t="s">
        <v>126</v>
      </c>
      <c r="M52">
        <v>1</v>
      </c>
      <c r="O52">
        <v>1140</v>
      </c>
      <c r="P52">
        <f>Table23[[#This Row],[boxes]]*Table23[[#This Row],[kgs]]*Table23[[#This Row],[Rate]]</f>
        <v>0</v>
      </c>
    </row>
    <row r="53" spans="1:16" x14ac:dyDescent="0.3">
      <c r="A53" t="s">
        <v>126</v>
      </c>
      <c r="B53">
        <v>1</v>
      </c>
      <c r="C53">
        <v>25</v>
      </c>
      <c r="D53">
        <v>1120</v>
      </c>
      <c r="E53">
        <f>Table2325[[#This Row],[boxes]]*Table2325[[#This Row],[kgs]]*Table2325[[#This Row],[Rate]]</f>
        <v>28000</v>
      </c>
      <c r="L53" t="s">
        <v>147</v>
      </c>
      <c r="M53">
        <v>1</v>
      </c>
      <c r="N53">
        <v>10</v>
      </c>
      <c r="O53">
        <v>1140</v>
      </c>
      <c r="P53">
        <f>Table23[[#This Row],[boxes]]*Table23[[#This Row],[kgs]]*Table23[[#This Row],[Rate]]</f>
        <v>11400</v>
      </c>
    </row>
    <row r="54" spans="1:16" x14ac:dyDescent="0.3">
      <c r="A54" t="s">
        <v>125</v>
      </c>
      <c r="B54">
        <v>1</v>
      </c>
      <c r="C54">
        <v>25</v>
      </c>
      <c r="D54">
        <v>1120</v>
      </c>
      <c r="E54">
        <f>Table2325[[#This Row],[boxes]]*Table2325[[#This Row],[kgs]]*Table2325[[#This Row],[Rate]]</f>
        <v>28000</v>
      </c>
      <c r="L54" t="s">
        <v>161</v>
      </c>
      <c r="M54">
        <v>1</v>
      </c>
      <c r="N54">
        <v>10</v>
      </c>
      <c r="O54">
        <v>1000</v>
      </c>
      <c r="P54">
        <f>Table23[[#This Row],[boxes]]*Table23[[#This Row],[kgs]]*Table23[[#This Row],[Rate]]</f>
        <v>10000</v>
      </c>
    </row>
    <row r="55" spans="1:16" x14ac:dyDescent="0.3">
      <c r="A55" t="s">
        <v>146</v>
      </c>
      <c r="B55">
        <v>1</v>
      </c>
      <c r="D55">
        <v>1300</v>
      </c>
      <c r="E55">
        <f>Table2325[[#This Row],[boxes]]*Table2325[[#This Row],[kgs]]*Table2325[[#This Row],[Rate]]</f>
        <v>0</v>
      </c>
      <c r="L55" t="s">
        <v>162</v>
      </c>
      <c r="M55">
        <v>1</v>
      </c>
      <c r="N55">
        <v>5</v>
      </c>
      <c r="O55">
        <v>1000</v>
      </c>
      <c r="P55">
        <f>Table23[[#This Row],[boxes]]*Table23[[#This Row],[kgs]]*Table23[[#This Row],[Rate]]</f>
        <v>5000</v>
      </c>
    </row>
    <row r="56" spans="1:16" x14ac:dyDescent="0.3">
      <c r="A56" t="s">
        <v>132</v>
      </c>
      <c r="B56">
        <v>1</v>
      </c>
      <c r="C56">
        <v>25</v>
      </c>
      <c r="D56">
        <v>1450</v>
      </c>
      <c r="E56">
        <f>Table2325[[#This Row],[boxes]]*Table2325[[#This Row],[kgs]]*Table2325[[#This Row],[Rate]]</f>
        <v>36250</v>
      </c>
      <c r="L56" t="s">
        <v>5</v>
      </c>
      <c r="P56">
        <f>SUM(P34:P55)</f>
        <v>244910</v>
      </c>
    </row>
    <row r="57" spans="1:16" x14ac:dyDescent="0.3">
      <c r="A57" t="s">
        <v>159</v>
      </c>
      <c r="B57">
        <v>1</v>
      </c>
      <c r="C57">
        <v>25</v>
      </c>
      <c r="D57">
        <v>940</v>
      </c>
      <c r="E57">
        <f>Table2325[[#This Row],[boxes]]*Table2325[[#This Row],[kgs]]*Table2325[[#This Row],[Rate]]</f>
        <v>23500</v>
      </c>
    </row>
    <row r="58" spans="1:16" x14ac:dyDescent="0.3">
      <c r="A58" t="s">
        <v>125</v>
      </c>
      <c r="D58">
        <v>1130</v>
      </c>
      <c r="E58">
        <f>Table2325[[#This Row],[boxes]]*Table2325[[#This Row],[kgs]]*Table2325[[#This Row],[Rate]]</f>
        <v>0</v>
      </c>
    </row>
    <row r="59" spans="1:16" x14ac:dyDescent="0.3">
      <c r="A59" t="s">
        <v>146</v>
      </c>
      <c r="B59">
        <v>1</v>
      </c>
      <c r="C59">
        <v>12</v>
      </c>
      <c r="D59">
        <v>1300</v>
      </c>
      <c r="E59">
        <f>Table2325[[#This Row],[boxes]]*Table2325[[#This Row],[kgs]]*Table2325[[#This Row],[Rate]]</f>
        <v>15600</v>
      </c>
    </row>
    <row r="60" spans="1:16" x14ac:dyDescent="0.3">
      <c r="A60" t="s">
        <v>133</v>
      </c>
      <c r="B60">
        <v>1</v>
      </c>
      <c r="C60">
        <v>8</v>
      </c>
      <c r="D60">
        <v>1650</v>
      </c>
      <c r="E60">
        <f>Table2325[[#This Row],[boxes]]*Table2325[[#This Row],[kgs]]*Table2325[[#This Row],[Rate]]</f>
        <v>13200</v>
      </c>
    </row>
    <row r="61" spans="1:16" x14ac:dyDescent="0.3">
      <c r="A61" t="s">
        <v>129</v>
      </c>
      <c r="D61">
        <v>1340</v>
      </c>
      <c r="E61">
        <f>Table2325[[#This Row],[boxes]]*Table2325[[#This Row],[kgs]]*Table2325[[#This Row],[Rate]]</f>
        <v>0</v>
      </c>
    </row>
    <row r="62" spans="1:16" x14ac:dyDescent="0.3">
      <c r="A62" t="s">
        <v>132</v>
      </c>
      <c r="B62">
        <v>1</v>
      </c>
      <c r="C62">
        <v>12</v>
      </c>
      <c r="D62">
        <v>1450</v>
      </c>
      <c r="E62">
        <f>Table2325[[#This Row],[boxes]]*Table2325[[#This Row],[kgs]]*Table2325[[#This Row],[Rate]]</f>
        <v>17400</v>
      </c>
    </row>
    <row r="63" spans="1:16" x14ac:dyDescent="0.3">
      <c r="A63" t="s">
        <v>131</v>
      </c>
      <c r="B63">
        <v>1</v>
      </c>
      <c r="C63">
        <v>4</v>
      </c>
      <c r="D63">
        <v>1400</v>
      </c>
      <c r="E63">
        <f>Table2325[[#This Row],[boxes]]*Table2325[[#This Row],[kgs]]*Table2325[[#This Row],[Rate]]</f>
        <v>5600</v>
      </c>
    </row>
    <row r="64" spans="1:16" x14ac:dyDescent="0.3">
      <c r="A64" t="s">
        <v>160</v>
      </c>
      <c r="D64">
        <v>1000</v>
      </c>
      <c r="E64">
        <f>Table2325[[#This Row],[boxes]]*Table2325[[#This Row],[kgs]]*Table2325[[#This Row],[Rate]]</f>
        <v>0</v>
      </c>
    </row>
    <row r="65" spans="1:5" x14ac:dyDescent="0.3">
      <c r="A65" t="s">
        <v>130</v>
      </c>
      <c r="B65">
        <v>1</v>
      </c>
      <c r="C65">
        <v>12</v>
      </c>
      <c r="D65">
        <v>1650</v>
      </c>
      <c r="E65">
        <f>Table2325[[#This Row],[boxes]]*Table2325[[#This Row],[kgs]]*Table2325[[#This Row],[Rate]]</f>
        <v>19800</v>
      </c>
    </row>
    <row r="66" spans="1:5" x14ac:dyDescent="0.3">
      <c r="A66" t="s">
        <v>114</v>
      </c>
      <c r="D66">
        <v>1130</v>
      </c>
      <c r="E66">
        <f>Table2325[[#This Row],[boxes]]*Table2325[[#This Row],[kgs]]*Table2325[[#This Row],[Rate]]</f>
        <v>0</v>
      </c>
    </row>
    <row r="67" spans="1:5" x14ac:dyDescent="0.3">
      <c r="A67" t="s">
        <v>153</v>
      </c>
      <c r="B67">
        <v>1</v>
      </c>
      <c r="C67">
        <v>5</v>
      </c>
      <c r="D67">
        <v>3100</v>
      </c>
      <c r="E67">
        <f>Table2325[[#This Row],[boxes]]*Table2325[[#This Row],[kgs]]*Table2325[[#This Row],[Rate]]</f>
        <v>15500</v>
      </c>
    </row>
    <row r="68" spans="1:5" x14ac:dyDescent="0.3">
      <c r="A68" t="s">
        <v>126</v>
      </c>
      <c r="B68">
        <v>1</v>
      </c>
      <c r="C68">
        <v>8</v>
      </c>
      <c r="D68">
        <v>1140</v>
      </c>
      <c r="E68">
        <f>Table2325[[#This Row],[boxes]]*Table2325[[#This Row],[kgs]]*Table2325[[#This Row],[Rate]]</f>
        <v>9120</v>
      </c>
    </row>
    <row r="69" spans="1:5" x14ac:dyDescent="0.3">
      <c r="A69" t="s">
        <v>147</v>
      </c>
      <c r="B69">
        <v>1</v>
      </c>
      <c r="C69">
        <v>6</v>
      </c>
      <c r="D69">
        <v>1140</v>
      </c>
      <c r="E69">
        <f>Table2325[[#This Row],[boxes]]*Table2325[[#This Row],[kgs]]*Table2325[[#This Row],[Rate]]</f>
        <v>6840</v>
      </c>
    </row>
    <row r="70" spans="1:5" x14ac:dyDescent="0.3">
      <c r="A70" t="s">
        <v>161</v>
      </c>
      <c r="D70">
        <v>1000</v>
      </c>
      <c r="E70">
        <f>Table2325[[#This Row],[boxes]]*Table2325[[#This Row],[kgs]]*Table2325[[#This Row],[Rate]]</f>
        <v>0</v>
      </c>
    </row>
    <row r="71" spans="1:5" x14ac:dyDescent="0.3">
      <c r="A71" t="s">
        <v>162</v>
      </c>
      <c r="B71">
        <v>1</v>
      </c>
      <c r="C71">
        <v>10</v>
      </c>
      <c r="D71">
        <v>1600</v>
      </c>
      <c r="E71">
        <f>Table2325[[#This Row],[boxes]]*Table2325[[#This Row],[kgs]]*Table2325[[#This Row],[Rate]]</f>
        <v>16000</v>
      </c>
    </row>
    <row r="72" spans="1:5" x14ac:dyDescent="0.3">
      <c r="A72" t="s">
        <v>114</v>
      </c>
      <c r="B72">
        <v>1</v>
      </c>
      <c r="C72">
        <v>3</v>
      </c>
      <c r="D72">
        <v>1120</v>
      </c>
      <c r="E72">
        <f>Table2325[[#This Row],[boxes]]*Table2325[[#This Row],[kgs]]*Table2325[[#This Row],[Rate]]</f>
        <v>3360</v>
      </c>
    </row>
    <row r="73" spans="1:5" x14ac:dyDescent="0.3">
      <c r="A73" t="s">
        <v>187</v>
      </c>
      <c r="B73">
        <v>1</v>
      </c>
      <c r="C73">
        <v>4</v>
      </c>
      <c r="D73">
        <v>920</v>
      </c>
      <c r="E73">
        <f>Table2325[[#This Row],[boxes]]*Table2325[[#This Row],[kgs]]*Table2325[[#This Row],[Rate]]</f>
        <v>3680</v>
      </c>
    </row>
    <row r="76" spans="1:5" x14ac:dyDescent="0.3">
      <c r="E76">
        <f>SUM(Table2325[total])</f>
        <v>280870</v>
      </c>
    </row>
  </sheetData>
  <pageMargins left="0.7" right="0.7" top="0.75" bottom="0.75" header="0.3" footer="0.3"/>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B8EA-7CD9-455D-A87F-F3555B03CAC4}">
  <dimension ref="A4:M49"/>
  <sheetViews>
    <sheetView topLeftCell="A29" zoomScale="104" workbookViewId="0">
      <selection activeCell="A49" sqref="A49"/>
    </sheetView>
  </sheetViews>
  <sheetFormatPr defaultRowHeight="14.4" x14ac:dyDescent="0.3"/>
  <cols>
    <col min="1" max="1" width="13.88671875" customWidth="1"/>
    <col min="2" max="2" width="14.109375" customWidth="1"/>
    <col min="3" max="3" width="13" customWidth="1"/>
    <col min="4" max="4" width="10.6640625" bestFit="1" customWidth="1"/>
    <col min="7" max="8" width="12.33203125" bestFit="1" customWidth="1"/>
    <col min="9" max="9" width="11.33203125" bestFit="1" customWidth="1"/>
    <col min="10" max="10" width="12.6640625" bestFit="1" customWidth="1"/>
    <col min="11" max="11" width="11.33203125" bestFit="1" customWidth="1"/>
    <col min="12" max="12" width="10.77734375" bestFit="1" customWidth="1"/>
    <col min="13" max="13" width="13.88671875" bestFit="1" customWidth="1"/>
  </cols>
  <sheetData>
    <row r="4" spans="1:13" x14ac:dyDescent="0.3">
      <c r="A4" s="2" t="s">
        <v>75</v>
      </c>
      <c r="B4" s="8" t="s">
        <v>2</v>
      </c>
      <c r="C4" s="2" t="s">
        <v>134</v>
      </c>
      <c r="D4" s="2" t="s">
        <v>121</v>
      </c>
      <c r="E4" s="8" t="s">
        <v>135</v>
      </c>
      <c r="F4" s="8" t="s">
        <v>122</v>
      </c>
      <c r="G4" s="8" t="s">
        <v>92</v>
      </c>
      <c r="H4" s="8" t="s">
        <v>18</v>
      </c>
      <c r="J4" s="3" t="s">
        <v>6</v>
      </c>
      <c r="K4" t="s">
        <v>127</v>
      </c>
      <c r="L4" t="s">
        <v>101</v>
      </c>
      <c r="M4" t="s">
        <v>128</v>
      </c>
    </row>
    <row r="5" spans="1:13" x14ac:dyDescent="0.3">
      <c r="A5" s="84">
        <v>46073</v>
      </c>
      <c r="B5" s="84" t="s">
        <v>117</v>
      </c>
      <c r="C5" s="81" t="s">
        <v>211</v>
      </c>
      <c r="D5" s="81"/>
      <c r="E5" s="81"/>
      <c r="F5" s="81">
        <f>Table2[[#This Row],[Quantity]]*200*Table2[[#This Row],[Boxes]]</f>
        <v>0</v>
      </c>
      <c r="G5" s="81">
        <f>SUMIFS(Table14[Debit], Table14[Date], Table2[[#This Row],[Date]], Table14[Party], Table2[[#This Row],[Party Name]])</f>
        <v>0</v>
      </c>
      <c r="H5" s="81">
        <v>0</v>
      </c>
      <c r="J5" s="4" t="s">
        <v>103</v>
      </c>
      <c r="K5">
        <v>0</v>
      </c>
      <c r="L5">
        <v>0</v>
      </c>
      <c r="M5">
        <v>0</v>
      </c>
    </row>
    <row r="6" spans="1:13" x14ac:dyDescent="0.3">
      <c r="A6" s="84">
        <v>46073</v>
      </c>
      <c r="B6" s="84" t="s">
        <v>116</v>
      </c>
      <c r="C6" s="81" t="s">
        <v>211</v>
      </c>
      <c r="D6" s="81"/>
      <c r="E6" s="81"/>
      <c r="F6" s="81">
        <f>Table2[[#This Row],[Quantity]]*200*Table2[[#This Row],[Boxes]]</f>
        <v>0</v>
      </c>
      <c r="G6" s="81">
        <f>SUMIFS(Table14[Debit], Table14[Date], Table2[[#This Row],[Date]], Table14[Party], Table2[[#This Row],[Party Name]])</f>
        <v>0</v>
      </c>
      <c r="H6" s="81">
        <v>0</v>
      </c>
      <c r="J6" s="4" t="s">
        <v>116</v>
      </c>
      <c r="K6">
        <v>0</v>
      </c>
      <c r="L6">
        <v>0</v>
      </c>
      <c r="M6">
        <v>0</v>
      </c>
    </row>
    <row r="7" spans="1:13" x14ac:dyDescent="0.3">
      <c r="A7" s="84">
        <v>46073</v>
      </c>
      <c r="B7" s="84" t="s">
        <v>165</v>
      </c>
      <c r="C7" s="81" t="s">
        <v>211</v>
      </c>
      <c r="F7" s="81">
        <f>Table2[[#This Row],[Quantity]]*200*Table2[[#This Row],[Boxes]]</f>
        <v>0</v>
      </c>
      <c r="G7" s="81">
        <f>SUMIFS(Table14[Debit], Table14[Date], Table2[[#This Row],[Date]], Table14[Party], Table2[[#This Row],[Party Name]])</f>
        <v>0</v>
      </c>
      <c r="H7" s="80">
        <v>120000</v>
      </c>
      <c r="J7" s="4" t="s">
        <v>117</v>
      </c>
      <c r="K7">
        <v>450800</v>
      </c>
      <c r="L7">
        <v>450800</v>
      </c>
      <c r="M7">
        <v>0</v>
      </c>
    </row>
    <row r="8" spans="1:13" x14ac:dyDescent="0.3">
      <c r="A8" s="84">
        <v>46073</v>
      </c>
      <c r="B8" s="94" t="s">
        <v>191</v>
      </c>
      <c r="C8" s="81" t="s">
        <v>211</v>
      </c>
      <c r="F8" s="81">
        <f>Table2[[#This Row],[Quantity]]*200*Table2[[#This Row],[Boxes]]</f>
        <v>0</v>
      </c>
      <c r="G8" s="81">
        <f>SUMIFS(Table14[Debit], Table14[Date], Table2[[#This Row],[Date]], Table14[Party], Table2[[#This Row],[Party Name]])</f>
        <v>0</v>
      </c>
      <c r="H8" s="80">
        <v>0</v>
      </c>
      <c r="J8" s="4" t="s">
        <v>165</v>
      </c>
      <c r="K8">
        <v>120000</v>
      </c>
      <c r="L8">
        <v>185000</v>
      </c>
      <c r="M8">
        <v>55000</v>
      </c>
    </row>
    <row r="9" spans="1:13" x14ac:dyDescent="0.3">
      <c r="A9" s="84">
        <v>46073</v>
      </c>
      <c r="B9" s="115" t="s">
        <v>195</v>
      </c>
      <c r="C9" s="87" t="s">
        <v>211</v>
      </c>
      <c r="F9" s="81">
        <f>Table2[[#This Row],[Quantity]]*200*Table2[[#This Row],[Boxes]]</f>
        <v>0</v>
      </c>
      <c r="G9" s="81">
        <f>SUMIFS(Table14[Debit], Table14[Date], Table2[[#This Row],[Date]], Table14[Party], Table2[[#This Row],[Party Name]])</f>
        <v>0</v>
      </c>
      <c r="H9" s="80">
        <f>Table2[[#This Row],[Price]]-Table2[[#This Row],[Paid]]</f>
        <v>0</v>
      </c>
      <c r="J9" s="4" t="s">
        <v>191</v>
      </c>
      <c r="K9">
        <v>312000</v>
      </c>
      <c r="L9">
        <v>312000</v>
      </c>
      <c r="M9">
        <v>0</v>
      </c>
    </row>
    <row r="10" spans="1:13" x14ac:dyDescent="0.3">
      <c r="A10" s="84">
        <v>46073</v>
      </c>
      <c r="B10" s="1" t="s">
        <v>226</v>
      </c>
      <c r="C10" t="s">
        <v>211</v>
      </c>
      <c r="F10">
        <f>260*325</f>
        <v>84500</v>
      </c>
      <c r="H10" s="80">
        <f>Table2[[#This Row],[Price]]-Table2[[#This Row],[Paid]]</f>
        <v>84500</v>
      </c>
      <c r="J10" s="4" t="s">
        <v>195</v>
      </c>
      <c r="K10">
        <v>152950</v>
      </c>
      <c r="L10">
        <v>152950</v>
      </c>
      <c r="M10">
        <v>0</v>
      </c>
    </row>
    <row r="11" spans="1:13" x14ac:dyDescent="0.3">
      <c r="A11" s="1"/>
      <c r="B11" s="1"/>
      <c r="J11" s="4" t="s">
        <v>226</v>
      </c>
      <c r="K11">
        <v>84500</v>
      </c>
      <c r="L11">
        <v>142500</v>
      </c>
      <c r="M11">
        <v>-58000</v>
      </c>
    </row>
    <row r="12" spans="1:13" x14ac:dyDescent="0.3">
      <c r="A12" s="1"/>
      <c r="B12" s="1"/>
      <c r="J12" s="4" t="s">
        <v>427</v>
      </c>
      <c r="K12">
        <v>0</v>
      </c>
      <c r="L12">
        <v>0</v>
      </c>
      <c r="M12">
        <v>0</v>
      </c>
    </row>
    <row r="13" spans="1:13" x14ac:dyDescent="0.3">
      <c r="A13" s="1"/>
      <c r="B13" s="1"/>
      <c r="J13" s="4" t="s">
        <v>671</v>
      </c>
      <c r="K13">
        <v>0</v>
      </c>
      <c r="L13">
        <v>3000</v>
      </c>
      <c r="M13">
        <v>-3000</v>
      </c>
    </row>
    <row r="14" spans="1:13" x14ac:dyDescent="0.3">
      <c r="A14" s="1"/>
      <c r="B14" s="1"/>
      <c r="J14" s="4" t="s">
        <v>28</v>
      </c>
      <c r="K14">
        <v>1120250</v>
      </c>
      <c r="L14">
        <v>1246250</v>
      </c>
      <c r="M14">
        <v>-6000</v>
      </c>
    </row>
    <row r="15" spans="1:13" x14ac:dyDescent="0.3">
      <c r="A15" s="1"/>
      <c r="B15" s="1"/>
    </row>
    <row r="16" spans="1:13" x14ac:dyDescent="0.3">
      <c r="A16" s="1"/>
      <c r="B16" s="1"/>
    </row>
    <row r="17" spans="1:11" x14ac:dyDescent="0.3">
      <c r="A17" s="1"/>
      <c r="B17" s="1"/>
    </row>
    <row r="18" spans="1:11" x14ac:dyDescent="0.3">
      <c r="A18" s="1"/>
      <c r="B18" s="1"/>
    </row>
    <row r="19" spans="1:11" x14ac:dyDescent="0.3">
      <c r="A19" s="1"/>
      <c r="B19" s="1"/>
    </row>
    <row r="20" spans="1:11" x14ac:dyDescent="0.3">
      <c r="A20" s="1"/>
      <c r="B20" s="1"/>
    </row>
    <row r="21" spans="1:11" x14ac:dyDescent="0.3">
      <c r="A21" s="1"/>
      <c r="B21" s="1"/>
    </row>
    <row r="22" spans="1:11" x14ac:dyDescent="0.3">
      <c r="A22" s="1">
        <v>46074</v>
      </c>
      <c r="B22" s="1" t="s">
        <v>117</v>
      </c>
      <c r="C22" t="s">
        <v>61</v>
      </c>
      <c r="F22">
        <v>78000</v>
      </c>
      <c r="G22">
        <f>SUMIFS(Table14[Debit], Table14[Date], Table2[[#This Row],[Date]], Table14[Party], Table2[[#This Row],[Party Name]])</f>
        <v>78000</v>
      </c>
      <c r="H22">
        <f>Table2[[#This Row],[Price]]-Table2[[#This Row],[Paid]]</f>
        <v>0</v>
      </c>
    </row>
    <row r="23" spans="1:11" x14ac:dyDescent="0.3">
      <c r="A23" s="1">
        <v>46074</v>
      </c>
      <c r="B23" s="1" t="s">
        <v>165</v>
      </c>
      <c r="C23" t="s">
        <v>214</v>
      </c>
      <c r="D23">
        <v>2</v>
      </c>
      <c r="E23">
        <v>125</v>
      </c>
      <c r="F23">
        <f>Table2[[#This Row],[Quantity]]*Table2[[#This Row],[Boxes]]*240</f>
        <v>60000</v>
      </c>
      <c r="G23">
        <f>SUMIFS(Table14[Debit], Table14[Date], Table2[[#This Row],[Date]], Table14[Party], Table2[[#This Row],[Party Name]])</f>
        <v>2500</v>
      </c>
      <c r="H23">
        <f>Table2[[#This Row],[Price]]-Table2[[#This Row],[Paid]]</f>
        <v>57500</v>
      </c>
    </row>
    <row r="24" spans="1:11" x14ac:dyDescent="0.3">
      <c r="A24" s="1">
        <v>46078</v>
      </c>
      <c r="B24" s="1" t="s">
        <v>191</v>
      </c>
      <c r="C24" t="s">
        <v>61</v>
      </c>
      <c r="D24">
        <v>40</v>
      </c>
      <c r="F24">
        <v>312000</v>
      </c>
      <c r="G24">
        <f>SUMIFS(Table14[Debit], Table14[Date], Table2[[#This Row],[Date]], Table14[Party], Table2[[#This Row],[Party Name]])</f>
        <v>0</v>
      </c>
      <c r="H24">
        <f>Table2[[#This Row],[Price]]-Table2[[#This Row],[Paid]]</f>
        <v>312000</v>
      </c>
      <c r="I24" t="s">
        <v>57</v>
      </c>
      <c r="J24" t="s">
        <v>174</v>
      </c>
      <c r="K24" t="s">
        <v>203</v>
      </c>
    </row>
    <row r="25" spans="1:11" x14ac:dyDescent="0.3">
      <c r="A25" s="1">
        <v>46080</v>
      </c>
      <c r="B25" s="1" t="s">
        <v>165</v>
      </c>
      <c r="C25" t="s">
        <v>351</v>
      </c>
      <c r="F25">
        <f>Table2[[#This Row],[Quantity]]*200*Table2[[#This Row],[Boxes]]</f>
        <v>0</v>
      </c>
      <c r="G25">
        <f>SUMIFS(Table14[Debit], Table14[Date], Table2[[#This Row],[Date]], Table14[Party], Table2[[#This Row],[Party Name]])</f>
        <v>60000</v>
      </c>
      <c r="H25">
        <f>Table2[[#This Row],[Price]]-Table2[[#This Row],[Paid]]</f>
        <v>-60000</v>
      </c>
      <c r="I25" t="s">
        <v>61</v>
      </c>
      <c r="J25">
        <f>7800*60</f>
        <v>468000</v>
      </c>
      <c r="K25">
        <f>2*7800</f>
        <v>15600</v>
      </c>
    </row>
    <row r="26" spans="1:11" x14ac:dyDescent="0.3">
      <c r="A26" s="1">
        <v>46084</v>
      </c>
      <c r="B26" s="1" t="s">
        <v>165</v>
      </c>
      <c r="C26" t="s">
        <v>214</v>
      </c>
      <c r="D26">
        <v>2</v>
      </c>
      <c r="E26">
        <v>125</v>
      </c>
      <c r="F26">
        <v>60000</v>
      </c>
      <c r="G26">
        <f>SUMIFS(Table14[Debit], Table14[Date], Table2[[#This Row],[Date]], Table14[Party], Table2[[#This Row],[Party Name]])</f>
        <v>2500</v>
      </c>
      <c r="H26">
        <f>Table2[[#This Row],[Price]]-Table2[[#This Row],[Paid]]</f>
        <v>57500</v>
      </c>
      <c r="I26" t="s">
        <v>61</v>
      </c>
      <c r="K26">
        <f>13*4000</f>
        <v>52000</v>
      </c>
    </row>
    <row r="27" spans="1:11" x14ac:dyDescent="0.3">
      <c r="A27" s="1">
        <v>46085</v>
      </c>
      <c r="B27" s="1" t="s">
        <v>226</v>
      </c>
      <c r="F27">
        <f>Table2[[#This Row],[Quantity]]*200*Table2[[#This Row],[Boxes]]</f>
        <v>0</v>
      </c>
      <c r="G27">
        <f>SUMIFS(Table14[Debit], Table14[Date], Table2[[#This Row],[Date]], Table14[Party], Table2[[#This Row],[Party Name]])</f>
        <v>84500</v>
      </c>
      <c r="H27">
        <f>Table2[[#This Row],[Price]]-Table2[[#This Row],[Paid]]</f>
        <v>-84500</v>
      </c>
      <c r="I27" t="s">
        <v>164</v>
      </c>
      <c r="J27">
        <f>13000*3</f>
        <v>39000</v>
      </c>
      <c r="K27">
        <f>13000*3</f>
        <v>39000</v>
      </c>
    </row>
    <row r="28" spans="1:11" x14ac:dyDescent="0.3">
      <c r="A28" s="1">
        <v>46086</v>
      </c>
      <c r="B28" s="1" t="s">
        <v>226</v>
      </c>
      <c r="C28" t="s">
        <v>406</v>
      </c>
      <c r="F28">
        <f>Table2[[#This Row],[Quantity]]*200*Table2[[#This Row],[Boxes]]</f>
        <v>0</v>
      </c>
      <c r="G28">
        <f>SUMIFS(Table14[Debit], Table14[Date], Table2[[#This Row],[Date]], Table14[Party], Table2[[#This Row],[Party Name]])</f>
        <v>4000</v>
      </c>
      <c r="H28">
        <f>Table2[[#This Row],[Price]]-Table2[[#This Row],[Paid]]</f>
        <v>-4000</v>
      </c>
    </row>
    <row r="29" spans="1:11" x14ac:dyDescent="0.3">
      <c r="A29" s="1">
        <v>46088</v>
      </c>
      <c r="B29" s="1" t="s">
        <v>427</v>
      </c>
      <c r="C29" t="s">
        <v>406</v>
      </c>
      <c r="F29">
        <f>Table2[[#This Row],[Quantity]]*200*Table2[[#This Row],[Boxes]]</f>
        <v>0</v>
      </c>
      <c r="G29">
        <f>SUMIFS(Table14[Debit], Table14[Date], Table2[[#This Row],[Date]], Table14[Party], Table2[[#This Row],[Party Name]])</f>
        <v>0</v>
      </c>
      <c r="H29">
        <f>Table2[[#This Row],[Price]]-Table2[[#This Row],[Paid]]</f>
        <v>0</v>
      </c>
    </row>
    <row r="30" spans="1:11" x14ac:dyDescent="0.3">
      <c r="A30" s="1">
        <v>46095</v>
      </c>
      <c r="B30" s="1" t="s">
        <v>165</v>
      </c>
      <c r="C30" t="s">
        <v>479</v>
      </c>
      <c r="F30">
        <f>Table2[[#This Row],[Quantity]]*200*Table2[[#This Row],[Boxes]]</f>
        <v>0</v>
      </c>
      <c r="G30">
        <f>SUMIFS(Table14[Debit], Table14[Date], Table2[[#This Row],[Date]], Table14[Party], Table2[[#This Row],[Party Name]])</f>
        <v>120000</v>
      </c>
      <c r="H30">
        <f>Table2[[#This Row],[Price]]-Table2[[#This Row],[Paid]]</f>
        <v>-120000</v>
      </c>
      <c r="I30" t="s">
        <v>158</v>
      </c>
      <c r="J30">
        <f>SUM(J25:J27)</f>
        <v>507000</v>
      </c>
      <c r="K30">
        <f>SUM(K25:K27)</f>
        <v>106600</v>
      </c>
    </row>
    <row r="31" spans="1:11" x14ac:dyDescent="0.3">
      <c r="A31" s="1">
        <v>46121</v>
      </c>
      <c r="B31" s="1" t="s">
        <v>195</v>
      </c>
      <c r="C31" t="s">
        <v>567</v>
      </c>
      <c r="F31">
        <v>27000</v>
      </c>
      <c r="G31">
        <f>SUMIFS(Table14[Debit], Table14[Date], Table2[[#This Row],[Date]], Table14[Party], Table2[[#This Row],[Party Name]])</f>
        <v>27000</v>
      </c>
      <c r="H31">
        <f>Table2[[#This Row],[Price]]-Table2[[#This Row],[Paid]]</f>
        <v>0</v>
      </c>
    </row>
    <row r="32" spans="1:11" x14ac:dyDescent="0.3">
      <c r="A32" s="1">
        <v>46119</v>
      </c>
      <c r="B32" s="1" t="s">
        <v>191</v>
      </c>
      <c r="F32">
        <f>Table2[[#This Row],[Quantity]]*200*Table2[[#This Row],[Boxes]]</f>
        <v>0</v>
      </c>
      <c r="G32">
        <f>SUMIFS(Table14[Debit], Table14[Date], Table2[[#This Row],[Date]], Table14[Party], Table2[[#This Row],[Party Name]])</f>
        <v>312000</v>
      </c>
      <c r="H32">
        <f>Table2[[#This Row],[Price]]-Table2[[#This Row],[Paid]]</f>
        <v>-312000</v>
      </c>
    </row>
    <row r="33" spans="1:8" x14ac:dyDescent="0.3">
      <c r="A33" s="1">
        <v>46125</v>
      </c>
      <c r="B33" s="1" t="s">
        <v>195</v>
      </c>
      <c r="F33">
        <v>98950</v>
      </c>
      <c r="G33">
        <f>SUMIFS(Table14[Debit], Table14[Date], Table2[[#This Row],[Date]], Table14[Party], Table2[[#This Row],[Party Name]])</f>
        <v>98950</v>
      </c>
      <c r="H33">
        <f>Table2[[#This Row],[Price]]-Table2[[#This Row],[Paid]]</f>
        <v>0</v>
      </c>
    </row>
    <row r="34" spans="1:8" x14ac:dyDescent="0.3">
      <c r="A34" s="1"/>
      <c r="B34" s="1"/>
      <c r="F34">
        <f>Table2[[#This Row],[Quantity]]*200*Table2[[#This Row],[Boxes]]</f>
        <v>0</v>
      </c>
      <c r="G34">
        <f>SUMIFS(Table14[Debit], Table14[Date], Table2[[#This Row],[Date]], Table14[Party], Table2[[#This Row],[Party Name]])</f>
        <v>0</v>
      </c>
      <c r="H34">
        <f>Table2[[#This Row],[Price]]-Table2[[#This Row],[Paid]]</f>
        <v>0</v>
      </c>
    </row>
    <row r="35" spans="1:8" x14ac:dyDescent="0.3">
      <c r="A35" s="1">
        <v>46126</v>
      </c>
      <c r="B35" s="1" t="s">
        <v>226</v>
      </c>
      <c r="C35" t="s">
        <v>586</v>
      </c>
      <c r="F35">
        <f>Table2[[#This Row],[Quantity]]*200*Table2[[#This Row],[Boxes]]</f>
        <v>0</v>
      </c>
      <c r="G35">
        <f>SUMIFS(Table14[Debit], Table14[Date], Table2[[#This Row],[Date]], Table14[Party], Table2[[#This Row],[Party Name]])</f>
        <v>4000</v>
      </c>
      <c r="H35">
        <f>Table2[[#This Row],[Price]]-Table2[[#This Row],[Paid]]</f>
        <v>-4000</v>
      </c>
    </row>
    <row r="36" spans="1:8" x14ac:dyDescent="0.3">
      <c r="A36" s="1">
        <v>46128</v>
      </c>
      <c r="B36" s="1" t="s">
        <v>117</v>
      </c>
      <c r="F36">
        <v>38800</v>
      </c>
      <c r="G36">
        <f>SUMIFS(Table14[Debit], Table14[Date], Table2[[#This Row],[Date]], Table14[Party], Table2[[#This Row],[Party Name]])</f>
        <v>38800</v>
      </c>
      <c r="H36">
        <f>Table2[[#This Row],[Price]]-Table2[[#This Row],[Paid]]</f>
        <v>0</v>
      </c>
    </row>
    <row r="37" spans="1:8" x14ac:dyDescent="0.3">
      <c r="A37" s="1">
        <v>46131</v>
      </c>
      <c r="B37" s="1" t="s">
        <v>117</v>
      </c>
      <c r="F37">
        <v>31000</v>
      </c>
      <c r="G37">
        <f>SUMIFS(Table14[Debit], Table14[Date], Table2[[#This Row],[Date]], Table14[Party], Table2[[#This Row],[Party Name]])</f>
        <v>31000</v>
      </c>
      <c r="H37">
        <f>Table2[[#This Row],[Price]]-Table2[[#This Row],[Paid]]</f>
        <v>0</v>
      </c>
    </row>
    <row r="38" spans="1:8" x14ac:dyDescent="0.3">
      <c r="A38" s="1">
        <v>46132</v>
      </c>
      <c r="B38" s="1" t="s">
        <v>117</v>
      </c>
      <c r="F38">
        <v>31200</v>
      </c>
      <c r="G38">
        <f>SUMIFS(Table14[Debit], Table14[Date], Table2[[#This Row],[Date]], Table14[Party], Table2[[#This Row],[Party Name]])</f>
        <v>31200</v>
      </c>
      <c r="H38">
        <f>Table2[[#This Row],[Price]]-Table2[[#This Row],[Paid]]</f>
        <v>0</v>
      </c>
    </row>
    <row r="39" spans="1:8" x14ac:dyDescent="0.3">
      <c r="A39" s="1">
        <v>46121</v>
      </c>
      <c r="B39" s="1" t="s">
        <v>195</v>
      </c>
      <c r="F39">
        <v>27000</v>
      </c>
      <c r="G39">
        <f>SUMIFS(Table14[Debit], Table14[Date], Table2[[#This Row],[Date]], Table14[Party], Table2[[#This Row],[Party Name]])</f>
        <v>27000</v>
      </c>
      <c r="H39">
        <f>Table2[[#This Row],[Price]]-Table2[[#This Row],[Paid]]</f>
        <v>0</v>
      </c>
    </row>
    <row r="40" spans="1:8" x14ac:dyDescent="0.3">
      <c r="A40" s="1">
        <v>46133</v>
      </c>
      <c r="B40" s="1" t="s">
        <v>226</v>
      </c>
      <c r="C40" t="s">
        <v>351</v>
      </c>
      <c r="F40">
        <f>Table2[[#This Row],[Quantity]]*200*Table2[[#This Row],[Boxes]]</f>
        <v>0</v>
      </c>
      <c r="G40">
        <f>SUMIFS(Table14[Debit], Table14[Date], Table2[[#This Row],[Date]], Table14[Party], Table2[[#This Row],[Party Name]])</f>
        <v>50000</v>
      </c>
      <c r="H40">
        <f>Table2[[#This Row],[Price]]-Table2[[#This Row],[Paid]]</f>
        <v>-50000</v>
      </c>
    </row>
    <row r="41" spans="1:8" x14ac:dyDescent="0.3">
      <c r="A41" s="1">
        <v>46136</v>
      </c>
      <c r="B41" s="1" t="s">
        <v>117</v>
      </c>
      <c r="F41">
        <v>47400</v>
      </c>
      <c r="G41">
        <f>SUMIFS(Table14[Debit], Table14[Date], Table2[[#This Row],[Date]], Table14[Party], Table2[[#This Row],[Party Name]])</f>
        <v>47400</v>
      </c>
      <c r="H41">
        <f>Table2[[#This Row],[Price]]-Table2[[#This Row],[Paid]]</f>
        <v>0</v>
      </c>
    </row>
    <row r="42" spans="1:8" x14ac:dyDescent="0.3">
      <c r="A42" s="1">
        <v>46137</v>
      </c>
      <c r="B42" s="1" t="s">
        <v>117</v>
      </c>
      <c r="F42">
        <v>55000</v>
      </c>
      <c r="G42">
        <f>SUMIFS(Table14[Debit], Table14[Date], Table2[[#This Row],[Date]], Table14[Party], Table2[[#This Row],[Party Name]])</f>
        <v>55000</v>
      </c>
      <c r="H42">
        <f>Table2[[#This Row],[Price]]-Table2[[#This Row],[Paid]]</f>
        <v>0</v>
      </c>
    </row>
    <row r="43" spans="1:8" x14ac:dyDescent="0.3">
      <c r="A43" s="1">
        <v>46137</v>
      </c>
      <c r="B43" s="1" t="s">
        <v>671</v>
      </c>
      <c r="F43">
        <f>Table2[[#This Row],[Quantity]]*200*Table2[[#This Row],[Boxes]]</f>
        <v>0</v>
      </c>
      <c r="G43">
        <f>SUMIFS(Table14[Debit], Table14[Date], Table2[[#This Row],[Date]], Table14[Party], Table2[[#This Row],[Party Name]])</f>
        <v>0</v>
      </c>
      <c r="H43">
        <f>Table2[[#This Row],[Price]]-Table2[[#This Row],[Paid]]</f>
        <v>0</v>
      </c>
    </row>
    <row r="44" spans="1:8" x14ac:dyDescent="0.3">
      <c r="A44" s="1">
        <v>46140</v>
      </c>
      <c r="B44" s="1" t="s">
        <v>117</v>
      </c>
      <c r="C44" t="s">
        <v>61</v>
      </c>
      <c r="F44">
        <v>39000</v>
      </c>
      <c r="G44">
        <f>SUMIFS(Table14[Debit], Table14[Date], Table2[[#This Row],[Date]], Table14[Party], Table2[[#This Row],[Party Name]])</f>
        <v>39000</v>
      </c>
      <c r="H44">
        <f>Table2[[#This Row],[Price]]-Table2[[#This Row],[Paid]]</f>
        <v>0</v>
      </c>
    </row>
    <row r="45" spans="1:8" x14ac:dyDescent="0.3">
      <c r="A45" s="1">
        <v>46143</v>
      </c>
      <c r="B45" s="1" t="s">
        <v>117</v>
      </c>
      <c r="C45" t="s">
        <v>61</v>
      </c>
      <c r="F45">
        <v>39000</v>
      </c>
      <c r="G45">
        <f>SUMIFS(Table14[Debit], Table14[Date], Table2[[#This Row],[Date]], Table14[Party], Table2[[#This Row],[Party Name]])</f>
        <v>39000</v>
      </c>
      <c r="H45">
        <f>Table2[[#This Row],[Price]]-Table2[[#This Row],[Paid]]</f>
        <v>0</v>
      </c>
    </row>
    <row r="46" spans="1:8" x14ac:dyDescent="0.3">
      <c r="A46" s="1">
        <v>46144</v>
      </c>
      <c r="B46" s="1" t="s">
        <v>117</v>
      </c>
      <c r="F46">
        <v>52400</v>
      </c>
      <c r="G46">
        <f>SUMIFS(Table14[Debit], Table14[Date], Table2[[#This Row],[Date]], Table14[Party], Table2[[#This Row],[Party Name]])</f>
        <v>52400</v>
      </c>
      <c r="H46">
        <f>Table2[[#This Row],[Price]]-Table2[[#This Row],[Paid]]</f>
        <v>0</v>
      </c>
    </row>
    <row r="47" spans="1:8" x14ac:dyDescent="0.3">
      <c r="A47" s="1">
        <v>46141</v>
      </c>
      <c r="B47" s="1" t="s">
        <v>671</v>
      </c>
      <c r="F47">
        <f>Table2[[#This Row],[Quantity]]*200*Table2[[#This Row],[Boxes]]</f>
        <v>0</v>
      </c>
      <c r="G47">
        <f>SUMIFS(Table14[Debit], Table14[Date], Table2[[#This Row],[Date]], Table14[Party], Table2[[#This Row],[Party Name]])</f>
        <v>3000</v>
      </c>
      <c r="H47">
        <f>Table2[[#This Row],[Price]]-Table2[[#This Row],[Paid]]</f>
        <v>-3000</v>
      </c>
    </row>
    <row r="48" spans="1:8" x14ac:dyDescent="0.3">
      <c r="A48" s="1">
        <v>46146</v>
      </c>
      <c r="B48" s="1" t="s">
        <v>117</v>
      </c>
      <c r="F48">
        <v>39000</v>
      </c>
      <c r="G48">
        <f>SUMIFS(Table14[Debit], Table14[Date], Table2[[#This Row],[Date]], Table14[Party], Table2[[#This Row],[Party Name]])</f>
        <v>39000</v>
      </c>
      <c r="H48">
        <f>Table2[[#This Row],[Price]]-Table2[[#This Row],[Paid]]</f>
        <v>0</v>
      </c>
    </row>
    <row r="49" spans="1:8" x14ac:dyDescent="0.3">
      <c r="A49" s="1"/>
      <c r="F49">
        <f>SUBTOTAL(109,Table2[Price])</f>
        <v>1120250</v>
      </c>
      <c r="G49">
        <f>SUBTOTAL(109,Table2[Paid])</f>
        <v>1246250</v>
      </c>
      <c r="H49">
        <f>SUBTOTAL(109,Table2[Balance])</f>
        <v>-6000</v>
      </c>
    </row>
  </sheetData>
  <phoneticPr fontId="4" type="noConversion"/>
  <pageMargins left="0.7" right="0.7" top="0.75" bottom="0.75" header="0.3" footer="0.3"/>
  <pageSetup scale="0" firstPageNumber="0" fitToWidth="0" fitToHeight="0" orientation="portrait" horizontalDpi="0" verticalDpi="0" copie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7EB1-FAC4-4151-BC54-C60611322E2D}">
  <dimension ref="B2:E5"/>
  <sheetViews>
    <sheetView workbookViewId="0">
      <selection activeCell="F24" sqref="F24"/>
    </sheetView>
  </sheetViews>
  <sheetFormatPr defaultRowHeight="14.4" x14ac:dyDescent="0.3"/>
  <cols>
    <col min="3" max="3" width="12.33203125" customWidth="1"/>
    <col min="5" max="5" width="11.44140625" bestFit="1" customWidth="1"/>
  </cols>
  <sheetData>
    <row r="2" spans="2:5" x14ac:dyDescent="0.3">
      <c r="B2" t="s">
        <v>75</v>
      </c>
      <c r="C2" t="s">
        <v>136</v>
      </c>
      <c r="D2" t="s">
        <v>137</v>
      </c>
      <c r="E2" t="s">
        <v>5</v>
      </c>
    </row>
    <row r="3" spans="2:5" x14ac:dyDescent="0.3">
      <c r="B3" s="19" t="s">
        <v>215</v>
      </c>
      <c r="C3" s="19" t="s">
        <v>97</v>
      </c>
      <c r="D3" s="19" t="s">
        <v>97</v>
      </c>
      <c r="E3" s="20">
        <v>2576170</v>
      </c>
    </row>
    <row r="4" spans="2:5" x14ac:dyDescent="0.3">
      <c r="E4">
        <v>923841</v>
      </c>
    </row>
    <row r="5" spans="2:5" x14ac:dyDescent="0.3">
      <c r="E5" s="14">
        <f>SUM(E3:E4)</f>
        <v>3500011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F89-1A2A-4F2E-9BAA-643F24136016}">
  <dimension ref="B2:E6"/>
  <sheetViews>
    <sheetView workbookViewId="0">
      <selection activeCell="C4" sqref="C4"/>
    </sheetView>
  </sheetViews>
  <sheetFormatPr defaultRowHeight="14.4" x14ac:dyDescent="0.3"/>
  <cols>
    <col min="2" max="2" width="16.21875" customWidth="1"/>
    <col min="3" max="3" width="12.5546875" customWidth="1"/>
    <col min="4" max="4" width="13.33203125" customWidth="1"/>
    <col min="5" max="5" width="15.5546875" customWidth="1"/>
  </cols>
  <sheetData>
    <row r="2" spans="2:5" x14ac:dyDescent="0.3">
      <c r="B2" t="s">
        <v>75</v>
      </c>
      <c r="C2" t="s">
        <v>45</v>
      </c>
      <c r="D2" t="s">
        <v>46</v>
      </c>
      <c r="E2" t="s">
        <v>66</v>
      </c>
    </row>
    <row r="3" spans="2:5" x14ac:dyDescent="0.3">
      <c r="B3" s="1"/>
      <c r="D3" s="11"/>
    </row>
    <row r="4" spans="2:5" x14ac:dyDescent="0.3">
      <c r="D4" s="11"/>
    </row>
    <row r="5" spans="2:5" x14ac:dyDescent="0.3">
      <c r="D5" s="11"/>
    </row>
    <row r="6" spans="2:5" x14ac:dyDescent="0.3">
      <c r="B6" t="s">
        <v>5</v>
      </c>
      <c r="D6" s="14">
        <f>SUBTOTAL(109,Table210[Amount])</f>
        <v>0</v>
      </c>
      <c r="E6">
        <f>SUBTOTAL(103,Table210[Column1])</f>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331-540A-4BE5-B987-3C6225CFE23F}">
  <dimension ref="B2:J43"/>
  <sheetViews>
    <sheetView zoomScale="118" workbookViewId="0">
      <selection activeCell="C3" sqref="C3"/>
    </sheetView>
  </sheetViews>
  <sheetFormatPr defaultRowHeight="14.4" x14ac:dyDescent="0.3"/>
  <cols>
    <col min="2" max="2" width="12.33203125" customWidth="1"/>
    <col min="3" max="3" width="11.33203125" customWidth="1"/>
    <col min="4" max="4" width="10.33203125" bestFit="1" customWidth="1"/>
    <col min="8" max="8" width="14" customWidth="1"/>
    <col min="9" max="9" width="10" customWidth="1"/>
    <col min="10" max="10" width="13.33203125" customWidth="1"/>
  </cols>
  <sheetData>
    <row r="2" spans="2:10" x14ac:dyDescent="0.3">
      <c r="B2" t="s">
        <v>75</v>
      </c>
      <c r="C2" t="s">
        <v>46</v>
      </c>
      <c r="D2" t="s">
        <v>66</v>
      </c>
      <c r="E2" t="s">
        <v>67</v>
      </c>
      <c r="H2" t="s">
        <v>75</v>
      </c>
      <c r="I2" t="s">
        <v>138</v>
      </c>
      <c r="J2" t="s">
        <v>139</v>
      </c>
    </row>
    <row r="3" spans="2:10" x14ac:dyDescent="0.3">
      <c r="B3" s="1">
        <v>46037</v>
      </c>
      <c r="C3" s="20">
        <f>SUMIFS(Table14[Debit], Table14[Date], Table11[[#This Row],[Date]], Table14[Party],"Salary ", Table14[Description],Table11[[#This Row],[Column1]])</f>
        <v>0</v>
      </c>
      <c r="H3" s="1">
        <v>46037</v>
      </c>
      <c r="I3">
        <f>SUMIFS(Table14[Debit], Table14[Date], Table16[[#This Row],[Date]], Table14[Party], "Advance Salary", Table14[Description], Table16[[#This Row],[Person]] )</f>
        <v>0</v>
      </c>
    </row>
    <row r="4" spans="2:10" x14ac:dyDescent="0.3">
      <c r="B4" s="1">
        <v>46038</v>
      </c>
      <c r="C4" s="20">
        <f>SUMIFS(Table14[Debit], Table14[Date], Table11[[#This Row],[Date]], Table14[Party],"Salary", Table14[Description],Table11[[#This Row],[Column1]])</f>
        <v>0</v>
      </c>
      <c r="H4" s="1">
        <v>46038</v>
      </c>
      <c r="I4">
        <f>SUMIFS(Table14[Debit], Table14[Date], Table16[[#This Row],[Date]], Table14[Party], "Advance Salary", Table14[Description], Table16[[#This Row],[Person]] )</f>
        <v>0</v>
      </c>
    </row>
    <row r="5" spans="2:10" x14ac:dyDescent="0.3">
      <c r="B5" s="1">
        <v>46039</v>
      </c>
      <c r="C5" s="20">
        <f>SUMIFS(Table14[Debit], Table14[Date], Table11[[#This Row],[Date]], Table14[Party],"Salary", Table14[Description],Table11[[#This Row],[Column1]])</f>
        <v>0</v>
      </c>
      <c r="H5" s="1">
        <v>46039</v>
      </c>
      <c r="I5">
        <f>SUMIFS(Table14[Debit], Table14[Date], Table16[[#This Row],[Date]], Table14[Party], "Advance Salary", Table14[Description], Table16[[#This Row],[Person]] )</f>
        <v>0</v>
      </c>
    </row>
    <row r="6" spans="2:10" x14ac:dyDescent="0.3">
      <c r="B6" s="1">
        <v>46040</v>
      </c>
      <c r="C6" s="20">
        <f>SUMIFS(Table14[Debit], Table14[Date], Table11[[#This Row],[Date]], Table14[Party],"Salary", Table14[Description],Table11[[#This Row],[Column1]])</f>
        <v>0</v>
      </c>
      <c r="H6" s="1">
        <v>46040</v>
      </c>
      <c r="I6">
        <f>SUMIFS(Table14[Debit], Table14[Date], Table16[[#This Row],[Date]], Table14[Party], "Advance Salary", Table14[Description], Table16[[#This Row],[Person]] )</f>
        <v>0</v>
      </c>
    </row>
    <row r="7" spans="2:10" x14ac:dyDescent="0.3">
      <c r="B7" s="1">
        <v>46041</v>
      </c>
      <c r="C7" s="20">
        <f>SUMIFS(Table14[Debit], Table14[Date], Table11[[#This Row],[Date]], Table14[Party],"Salary", Table14[Description],Table11[[#This Row],[Column1]])</f>
        <v>0</v>
      </c>
      <c r="H7" s="1">
        <v>46041</v>
      </c>
      <c r="I7">
        <f>SUMIFS(Table14[Debit], Table14[Date], Table16[[#This Row],[Date]], Table14[Party], "Advance Salary", Table14[Description], Table16[[#This Row],[Person]] )</f>
        <v>0</v>
      </c>
    </row>
    <row r="8" spans="2:10" x14ac:dyDescent="0.3">
      <c r="B8" s="1">
        <v>46042</v>
      </c>
      <c r="C8" s="20">
        <f>SUMIFS(Table14[Debit], Table14[Date], Table11[[#This Row],[Date]], Table14[Party],"Salary", Table14[Description],Table11[[#This Row],[Column1]])</f>
        <v>0</v>
      </c>
      <c r="H8" s="1">
        <v>46042</v>
      </c>
      <c r="I8">
        <f>SUMIFS(Table14[Debit], Table14[Date], Table16[[#This Row],[Date]], Table14[Party], "Advance Salary", Table14[Description], Table16[[#This Row],[Person]] )</f>
        <v>0</v>
      </c>
    </row>
    <row r="9" spans="2:10" x14ac:dyDescent="0.3">
      <c r="B9" s="1">
        <v>46043</v>
      </c>
      <c r="C9" s="20">
        <f>SUMIFS(Table14[Debit], Table14[Date], Table11[[#This Row],[Date]], Table14[Party],"Salary", Table14[Description],Table11[[#This Row],[Column1]])</f>
        <v>0</v>
      </c>
      <c r="H9" s="1">
        <v>46043</v>
      </c>
      <c r="I9">
        <f>SUMIFS(Table14[Debit], Table14[Date], Table16[[#This Row],[Date]], Table14[Party], "Advance Salary", Table14[Description], Table16[[#This Row],[Person]] )</f>
        <v>0</v>
      </c>
    </row>
    <row r="10" spans="2:10" x14ac:dyDescent="0.3">
      <c r="B10" s="1">
        <v>46044</v>
      </c>
      <c r="C10" s="20">
        <f>SUMIFS(Table14[Debit], Table14[Date], Table11[[#This Row],[Date]], Table14[Party],"Salary", Table14[Description],Table11[[#This Row],[Column1]])</f>
        <v>0</v>
      </c>
      <c r="H10" s="1">
        <v>46044</v>
      </c>
      <c r="I10">
        <f>SUMIFS(Table14[Debit], Table14[Date], Table16[[#This Row],[Date]], Table14[Party], "Advance Salary", Table14[Description], Table16[[#This Row],[Person]] )</f>
        <v>0</v>
      </c>
    </row>
    <row r="11" spans="2:10" x14ac:dyDescent="0.3">
      <c r="B11" s="1">
        <v>46045</v>
      </c>
      <c r="C11" s="20">
        <f>SUMIFS(Table14[Debit], Table14[Date], Table11[[#This Row],[Date]], Table14[Party],"Salary", Table14[Description],Table11[[#This Row],[Column1]])</f>
        <v>0</v>
      </c>
      <c r="H11" s="1">
        <v>46045</v>
      </c>
      <c r="I11">
        <f>SUMIFS(Table14[Debit], Table14[Date], Table16[[#This Row],[Date]], Table14[Party], "Advance Salary", Table14[Description], Table16[[#This Row],[Person]] )</f>
        <v>0</v>
      </c>
    </row>
    <row r="12" spans="2:10" x14ac:dyDescent="0.3">
      <c r="B12" s="1">
        <v>46046</v>
      </c>
      <c r="C12" s="20">
        <f>SUMIFS(Table14[Debit], Table14[Date], Table11[[#This Row],[Date]], Table14[Party],"Salary", Table14[Description],Table11[[#This Row],[Column1]])</f>
        <v>0</v>
      </c>
      <c r="H12" s="1">
        <v>46046</v>
      </c>
      <c r="I12">
        <f>SUMIFS(Table14[Debit], Table14[Date], Table16[[#This Row],[Date]], Table14[Party], "Advance Salary", Table14[Description], Table16[[#This Row],[Person]] )</f>
        <v>0</v>
      </c>
    </row>
    <row r="13" spans="2:10" x14ac:dyDescent="0.3">
      <c r="B13" s="1">
        <v>46047</v>
      </c>
      <c r="C13" s="20">
        <f>SUMIFS(Table14[Debit], Table14[Date], Table11[[#This Row],[Date]], Table14[Party],"Salary", Table14[Description],Table11[[#This Row],[Column1]])</f>
        <v>0</v>
      </c>
      <c r="H13" s="1">
        <v>46047</v>
      </c>
      <c r="I13">
        <f>SUMIFS(Table14[Debit], Table14[Date], Table16[[#This Row],[Date]], Table14[Party], "Advance Salary", Table14[Description], Table16[[#This Row],[Person]] )</f>
        <v>0</v>
      </c>
    </row>
    <row r="14" spans="2:10" x14ac:dyDescent="0.3">
      <c r="B14" s="1">
        <v>46048</v>
      </c>
      <c r="C14" s="20">
        <f>SUMIFS(Table14[Debit], Table14[Date], Table11[[#This Row],[Date]], Table14[Party],"Salary", Table14[Description],Table11[[#This Row],[Column1]])</f>
        <v>0</v>
      </c>
      <c r="H14" s="1">
        <v>46048</v>
      </c>
      <c r="I14">
        <f>SUMIFS(Table14[Debit], Table14[Date], Table16[[#This Row],[Date]], Table14[Party], "Advance Salary", Table14[Description], Table16[[#This Row],[Person]] )</f>
        <v>0</v>
      </c>
    </row>
    <row r="15" spans="2:10" x14ac:dyDescent="0.3">
      <c r="B15" s="1">
        <v>46049</v>
      </c>
      <c r="C15" s="20">
        <f>SUMIFS(Table14[Debit], Table14[Date], Table11[[#This Row],[Date]], Table14[Party],"Salary", Table14[Description],Table11[[#This Row],[Column1]])</f>
        <v>0</v>
      </c>
      <c r="H15" s="1">
        <v>46049</v>
      </c>
      <c r="I15">
        <f>SUMIFS(Table14[Debit], Table14[Date], Table16[[#This Row],[Date]], Table14[Party], "Advance Salary", Table14[Description], Table16[[#This Row],[Person]] )</f>
        <v>0</v>
      </c>
    </row>
    <row r="16" spans="2:10" x14ac:dyDescent="0.3">
      <c r="B16" s="1">
        <v>46050</v>
      </c>
      <c r="C16" s="20">
        <f>SUMIFS(Table14[Debit], Table14[Date], Table11[[#This Row],[Date]], Table14[Party],"Salary", Table14[Description],Table11[[#This Row],[Column1]])</f>
        <v>0</v>
      </c>
      <c r="H16" s="1">
        <v>46050</v>
      </c>
      <c r="I16">
        <f>SUMIFS(Table14[Debit], Table14[Date], Table16[[#This Row],[Date]], Table14[Party], "Advance Salary", Table14[Description], Table16[[#This Row],[Person]] )</f>
        <v>0</v>
      </c>
    </row>
    <row r="17" spans="2:9" x14ac:dyDescent="0.3">
      <c r="B17" s="1">
        <v>46051</v>
      </c>
      <c r="C17" s="20">
        <f>SUMIFS(Table14[Debit], Table14[Date], Table11[[#This Row],[Date]], Table14[Party],"Salary", Table14[Description],Table11[[#This Row],[Column1]])</f>
        <v>0</v>
      </c>
      <c r="H17" s="1">
        <v>46051</v>
      </c>
      <c r="I17">
        <f>SUMIFS(Table14[Debit], Table14[Date], Table16[[#This Row],[Date]], Table14[Party], "Advance Salary", Table14[Description], Table16[[#This Row],[Person]] )</f>
        <v>0</v>
      </c>
    </row>
    <row r="18" spans="2:9" x14ac:dyDescent="0.3">
      <c r="B18" s="1">
        <v>46052</v>
      </c>
      <c r="C18" s="20">
        <f>SUMIFS(Table14[Debit], Table14[Date], Table11[[#This Row],[Date]], Table14[Party],"Salary", Table14[Description],Table11[[#This Row],[Column1]])</f>
        <v>0</v>
      </c>
      <c r="H18" s="1">
        <v>46052</v>
      </c>
      <c r="I18">
        <f>SUMIFS(Table14[Debit], Table14[Date], Table16[[#This Row],[Date]], Table14[Party], "Advance Salary", Table14[Description], Table16[[#This Row],[Person]] )</f>
        <v>0</v>
      </c>
    </row>
    <row r="19" spans="2:9" x14ac:dyDescent="0.3">
      <c r="B19" s="1">
        <v>46053</v>
      </c>
      <c r="C19" s="20">
        <f>SUMIFS(Table14[Debit], Table14[Date], Table11[[#This Row],[Date]], Table14[Party],"Salary", Table14[Description],Table11[[#This Row],[Column1]])</f>
        <v>0</v>
      </c>
      <c r="H19" s="1">
        <v>46053</v>
      </c>
      <c r="I19">
        <f>SUMIFS(Table14[Debit], Table14[Date], Table16[[#This Row],[Date]], Table14[Party], "Advance Salary", Table14[Description], Table16[[#This Row],[Person]] )</f>
        <v>0</v>
      </c>
    </row>
    <row r="20" spans="2:9" x14ac:dyDescent="0.3">
      <c r="B20" s="1">
        <v>46054</v>
      </c>
      <c r="C20" s="20">
        <f>SUMIFS(Table14[Debit], Table14[Date], Table11[[#This Row],[Date]], Table14[Party],"Salary", Table14[Description],Table11[[#This Row],[Column1]])</f>
        <v>0</v>
      </c>
      <c r="H20" s="1">
        <v>46054</v>
      </c>
      <c r="I20">
        <f>SUMIFS(Table14[Debit], Table14[Date], Table16[[#This Row],[Date]], Table14[Party], "Advance Salary", Table14[Description], Table16[[#This Row],[Person]] )</f>
        <v>0</v>
      </c>
    </row>
    <row r="21" spans="2:9" x14ac:dyDescent="0.3">
      <c r="B21" s="1">
        <v>46055</v>
      </c>
      <c r="C21" s="20">
        <f>SUMIFS(Table14[Debit], Table14[Date], Table11[[#This Row],[Date]], Table14[Party],"Salary", Table14[Description],Table11[[#This Row],[Column1]])</f>
        <v>0</v>
      </c>
      <c r="H21" s="1">
        <v>46055</v>
      </c>
      <c r="I21">
        <f>SUMIFS(Table14[Debit], Table14[Date], Table16[[#This Row],[Date]], Table14[Party], "Advance Salary", Table14[Description], Table16[[#This Row],[Person]] )</f>
        <v>0</v>
      </c>
    </row>
    <row r="22" spans="2:9" x14ac:dyDescent="0.3">
      <c r="B22" s="1">
        <v>46056</v>
      </c>
      <c r="C22" s="20">
        <f>SUMIFS(Table14[Debit], Table14[Date], Table11[[#This Row],[Date]], Table14[Party],"Salary", Table14[Description],Table11[[#This Row],[Column1]])</f>
        <v>0</v>
      </c>
      <c r="H22" s="1">
        <v>46056</v>
      </c>
      <c r="I22">
        <f>SUMIFS(Table14[Debit], Table14[Date], Table16[[#This Row],[Date]], Table14[Party], "Advance Salary", Table14[Description], Table16[[#This Row],[Person]] )</f>
        <v>0</v>
      </c>
    </row>
    <row r="23" spans="2:9" x14ac:dyDescent="0.3">
      <c r="B23" s="1">
        <v>46057</v>
      </c>
      <c r="C23" s="20">
        <f>SUMIFS(Table14[Debit], Table14[Date], Table11[[#This Row],[Date]], Table14[Party],"Salary", Table14[Description],Table11[[#This Row],[Column1]])</f>
        <v>0</v>
      </c>
      <c r="H23" s="1">
        <v>46057</v>
      </c>
      <c r="I23">
        <f>SUMIFS(Table14[Debit], Table14[Date], Table16[[#This Row],[Date]], Table14[Party], "Advance Salary", Table14[Description], Table16[[#This Row],[Person]] )</f>
        <v>0</v>
      </c>
    </row>
    <row r="24" spans="2:9" x14ac:dyDescent="0.3">
      <c r="B24" s="1">
        <v>46058</v>
      </c>
      <c r="C24" s="20">
        <f>SUMIFS(Table14[Debit], Table14[Date], Table11[[#This Row],[Date]], Table14[Party],"Salary", Table14[Description],Table11[[#This Row],[Column1]])</f>
        <v>0</v>
      </c>
      <c r="H24" s="1">
        <v>46058</v>
      </c>
      <c r="I24">
        <f>SUMIFS(Table14[Debit], Table14[Date], Table16[[#This Row],[Date]], Table14[Party], "Advance Salary", Table14[Description], Table16[[#This Row],[Person]] )</f>
        <v>0</v>
      </c>
    </row>
    <row r="25" spans="2:9" x14ac:dyDescent="0.3">
      <c r="B25" s="1">
        <v>46059</v>
      </c>
      <c r="C25" s="20">
        <f>SUMIFS(Table14[Debit], Table14[Date], Table11[[#This Row],[Date]], Table14[Party],"Salary", Table14[Description],Table11[[#This Row],[Column1]])</f>
        <v>0</v>
      </c>
      <c r="H25" s="1">
        <v>46059</v>
      </c>
      <c r="I25">
        <f>SUMIFS(Table14[Debit], Table14[Date], Table16[[#This Row],[Date]], Table14[Party], "Advance Salary", Table14[Description], Table16[[#This Row],[Person]] )</f>
        <v>0</v>
      </c>
    </row>
    <row r="26" spans="2:9" x14ac:dyDescent="0.3">
      <c r="B26" s="1">
        <v>46060</v>
      </c>
      <c r="C26" s="20">
        <f>SUMIFS(Table14[Debit], Table14[Date], Table11[[#This Row],[Date]], Table14[Party],"Salary", Table14[Description],Table11[[#This Row],[Column1]])</f>
        <v>0</v>
      </c>
      <c r="H26" s="1">
        <v>46060</v>
      </c>
      <c r="I26">
        <f>SUMIFS(Table14[Debit], Table14[Date], Table16[[#This Row],[Date]], Table14[Party], "Advance Salary", Table14[Description], Table16[[#This Row],[Person]] )</f>
        <v>0</v>
      </c>
    </row>
    <row r="27" spans="2:9" x14ac:dyDescent="0.3">
      <c r="B27" s="1">
        <v>46061</v>
      </c>
      <c r="C27" s="20">
        <f>SUMIFS(Table14[Debit], Table14[Date], Table11[[#This Row],[Date]], Table14[Party],"Salary", Table14[Description],Table11[[#This Row],[Column1]])</f>
        <v>0</v>
      </c>
      <c r="H27" s="1">
        <v>46061</v>
      </c>
      <c r="I27">
        <f>SUMIFS(Table14[Debit], Table14[Date], Table16[[#This Row],[Date]], Table14[Party], "Advance Salary", Table14[Description], Table16[[#This Row],[Person]] )</f>
        <v>0</v>
      </c>
    </row>
    <row r="28" spans="2:9" x14ac:dyDescent="0.3">
      <c r="B28" s="1">
        <v>46062</v>
      </c>
      <c r="C28" s="20">
        <f>SUMIFS(Table14[Debit], Table14[Date], Table11[[#This Row],[Date]], Table14[Party],"Salary", Table14[Description],Table11[[#This Row],[Column1]])</f>
        <v>0</v>
      </c>
      <c r="H28" s="1">
        <v>46062</v>
      </c>
      <c r="I28">
        <f>SUMIFS(Table14[Debit], Table14[Date], Table16[[#This Row],[Date]], Table14[Party], "Advance Salary", Table14[Description], Table16[[#This Row],[Person]] )</f>
        <v>0</v>
      </c>
    </row>
    <row r="29" spans="2:9" x14ac:dyDescent="0.3">
      <c r="B29" s="1">
        <v>46063</v>
      </c>
      <c r="C29" s="20">
        <f>SUMIFS(Table14[Debit], Table14[Date], Table11[[#This Row],[Date]], Table14[Party],"Salary", Table14[Description],Table11[[#This Row],[Column1]])</f>
        <v>0</v>
      </c>
      <c r="H29" s="1">
        <v>46063</v>
      </c>
      <c r="I29">
        <f>SUMIFS(Table14[Debit], Table14[Date], Table16[[#This Row],[Date]], Table14[Party], "Advance Salary", Table14[Description], Table16[[#This Row],[Person]] )</f>
        <v>0</v>
      </c>
    </row>
    <row r="30" spans="2:9" x14ac:dyDescent="0.3">
      <c r="B30" s="1">
        <v>46064</v>
      </c>
      <c r="C30" s="20">
        <f>SUMIFS(Table14[Debit], Table14[Date], Table11[[#This Row],[Date]], Table14[Party],"Salary", Table14[Description],Table11[[#This Row],[Column1]])</f>
        <v>0</v>
      </c>
      <c r="H30" s="1">
        <v>46064</v>
      </c>
      <c r="I30">
        <f>SUMIFS(Table14[Debit], Table14[Date], Table16[[#This Row],[Date]], Table14[Party], "Advance Salary", Table14[Description], Table16[[#This Row],[Person]] )</f>
        <v>0</v>
      </c>
    </row>
    <row r="31" spans="2:9" x14ac:dyDescent="0.3">
      <c r="B31" s="1">
        <v>46065</v>
      </c>
      <c r="C31" s="20">
        <f>SUMIFS(Table14[Debit], Table14[Date], Table11[[#This Row],[Date]], Table14[Party],"Salary", Table14[Description],Table11[[#This Row],[Column1]])</f>
        <v>0</v>
      </c>
      <c r="H31" s="1">
        <v>46065</v>
      </c>
      <c r="I31">
        <f>SUMIFS(Table14[Debit], Table14[Date], Table16[[#This Row],[Date]], Table14[Party], "Advance Salary", Table14[Description], Table16[[#This Row],[Person]] )</f>
        <v>0</v>
      </c>
    </row>
    <row r="32" spans="2:9" x14ac:dyDescent="0.3">
      <c r="B32" s="1">
        <v>46066</v>
      </c>
      <c r="C32" s="20">
        <f>SUMIFS(Table14[Debit], Table14[Date], Table11[[#This Row],[Date]], Table14[Party],"Salary", Table14[Description],Table11[[#This Row],[Column1]])</f>
        <v>0</v>
      </c>
      <c r="H32" s="1">
        <v>46037</v>
      </c>
      <c r="I32">
        <f>SUMIFS(Table14[Debit], Table14[Date], Table16[[#This Row],[Date]], Table14[Party], "Advance Salary", Table14[Description], Table16[[#This Row],[Person]] )</f>
        <v>0</v>
      </c>
    </row>
    <row r="33" spans="2:9" x14ac:dyDescent="0.3">
      <c r="B33" s="1">
        <v>46067</v>
      </c>
      <c r="C33" s="20">
        <f>SUMIFS(Table14[Debit], Table14[Date], Table11[[#This Row],[Date]], Table14[Party],"Salary", Table14[Description],Table11[[#This Row],[Column1]])</f>
        <v>0</v>
      </c>
      <c r="H33" s="1">
        <v>46038</v>
      </c>
      <c r="I33">
        <f>SUMIFS(Table14[Debit], Table14[Date], Table16[[#This Row],[Date]], Table14[Party], "Advance Salary", Table14[Description], Table16[[#This Row],[Person]] )</f>
        <v>0</v>
      </c>
    </row>
    <row r="34" spans="2:9" x14ac:dyDescent="0.3">
      <c r="B34" s="1">
        <v>46068</v>
      </c>
      <c r="C34" s="20">
        <f>SUMIFS(Table14[Debit], Table14[Date], Table11[[#This Row],[Date]], Table14[Party],"Salary", Table14[Description],Table11[[#This Row],[Column1]])</f>
        <v>0</v>
      </c>
      <c r="H34" s="1">
        <v>46039</v>
      </c>
      <c r="I34">
        <f>SUMIFS(Table14[Debit], Table14[Date], Table16[[#This Row],[Date]], Table14[Party], "Advance Salary", Table14[Description], Table16[[#This Row],[Person]] )</f>
        <v>0</v>
      </c>
    </row>
    <row r="35" spans="2:9" x14ac:dyDescent="0.3">
      <c r="B35" s="1">
        <v>46069</v>
      </c>
      <c r="C35" s="20">
        <f>SUMIFS(Table14[Debit], Table14[Date], Table11[[#This Row],[Date]], Table14[Party],"Salary", Table14[Description],Table11[[#This Row],[Column1]])</f>
        <v>0</v>
      </c>
      <c r="H35" s="1">
        <v>46040</v>
      </c>
      <c r="I35">
        <f>SUMIFS(Table14[Debit], Table14[Date], Table16[[#This Row],[Date]], Table14[Party], "Advance Salary", Table14[Description], Table16[[#This Row],[Person]] )</f>
        <v>0</v>
      </c>
    </row>
    <row r="36" spans="2:9" x14ac:dyDescent="0.3">
      <c r="B36" s="1">
        <v>46070</v>
      </c>
      <c r="C36" s="20">
        <f>SUMIFS(Table14[Debit], Table14[Date], Table11[[#This Row],[Date]], Table14[Party],"Salary", Table14[Description],Table11[[#This Row],[Column1]])</f>
        <v>0</v>
      </c>
      <c r="H36" s="1">
        <v>46041</v>
      </c>
      <c r="I36">
        <f>SUMIFS(Table14[Debit], Table14[Date], Table16[[#This Row],[Date]], Table14[Party], "Advance Salary", Table14[Description], Table16[[#This Row],[Person]] )</f>
        <v>0</v>
      </c>
    </row>
    <row r="37" spans="2:9" x14ac:dyDescent="0.3">
      <c r="B37" s="1">
        <v>46071</v>
      </c>
      <c r="C37" s="20">
        <f>SUMIFS(Table14[Debit], Table14[Date], Table11[[#This Row],[Date]], Table14[Party],"Salary", Table14[Description],Table11[[#This Row],[Column1]])</f>
        <v>0</v>
      </c>
      <c r="H37" s="1"/>
      <c r="I37">
        <f>SUBTOTAL(109,Table16[Advance])</f>
        <v>0</v>
      </c>
    </row>
    <row r="38" spans="2:9" x14ac:dyDescent="0.3">
      <c r="B38" s="1">
        <v>46072</v>
      </c>
      <c r="C38" s="20">
        <f>SUMIFS(Table14[Debit], Table14[Date], Table11[[#This Row],[Date]], Table14[Party],"Salary", Table14[Description],Table11[[#This Row],[Column1]])</f>
        <v>0</v>
      </c>
    </row>
    <row r="39" spans="2:9" x14ac:dyDescent="0.3">
      <c r="B39" s="1">
        <v>46073</v>
      </c>
      <c r="C39" s="20">
        <f>SUMIFS(Table14[Debit], Table14[Date], Table11[[#This Row],[Date]], Table14[Party],"Salary", Table14[Description],Table11[[#This Row],[Column1]])</f>
        <v>0</v>
      </c>
    </row>
    <row r="40" spans="2:9" x14ac:dyDescent="0.3">
      <c r="B40" s="1">
        <v>46074</v>
      </c>
      <c r="C40" s="20">
        <f>SUMIFS(Table14[Debit], Table14[Date], Table11[[#This Row],[Date]], Table14[Party],"Salary", Table14[Description],Table11[[#This Row],[Column1]])</f>
        <v>0</v>
      </c>
    </row>
    <row r="41" spans="2:9" x14ac:dyDescent="0.3">
      <c r="B41" s="1">
        <v>46075</v>
      </c>
      <c r="C41" s="20">
        <f>SUMIFS(Table14[Debit], Table14[Date], Table11[[#This Row],[Date]], Table14[Party],"Salary", Table14[Description],Table11[[#This Row],[Column1]])</f>
        <v>0</v>
      </c>
    </row>
    <row r="42" spans="2:9" x14ac:dyDescent="0.3">
      <c r="B42" s="1">
        <v>46076</v>
      </c>
      <c r="C42" s="20">
        <f>SUMIFS(Table14[Debit], Table14[Date], Table11[[#This Row],[Date]], Table14[Party],"Salary", Table14[Description],Table11[[#This Row],[Column1]])</f>
        <v>0</v>
      </c>
    </row>
    <row r="43" spans="2:9" x14ac:dyDescent="0.3">
      <c r="B43" s="1"/>
      <c r="C43" s="25">
        <f>SUM(Table11[Amount])</f>
        <v>0</v>
      </c>
    </row>
  </sheetData>
  <phoneticPr fontId="4" type="noConversion"/>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268E-BF14-4804-BC45-B0E2F833E7C7}">
  <dimension ref="A1:M94"/>
  <sheetViews>
    <sheetView topLeftCell="A70" workbookViewId="0">
      <selection activeCell="B3" sqref="B3"/>
    </sheetView>
  </sheetViews>
  <sheetFormatPr defaultRowHeight="14.4" x14ac:dyDescent="0.3"/>
  <cols>
    <col min="1" max="1" width="10.5546875" customWidth="1"/>
    <col min="2" max="2" width="15" customWidth="1"/>
    <col min="3" max="3" width="10.109375" customWidth="1"/>
    <col min="4" max="4" width="12" customWidth="1"/>
  </cols>
  <sheetData>
    <row r="1" spans="1:13" x14ac:dyDescent="0.3">
      <c r="A1" t="s">
        <v>718</v>
      </c>
      <c r="I1" t="s">
        <v>64</v>
      </c>
      <c r="J1" t="s">
        <v>4</v>
      </c>
    </row>
    <row r="2" spans="1:13" x14ac:dyDescent="0.3">
      <c r="I2" t="s">
        <v>159</v>
      </c>
      <c r="J2">
        <v>1125</v>
      </c>
      <c r="L2" t="s">
        <v>159</v>
      </c>
      <c r="M2">
        <v>1125</v>
      </c>
    </row>
    <row r="3" spans="1:13" x14ac:dyDescent="0.3">
      <c r="A3" t="s">
        <v>2</v>
      </c>
      <c r="B3" t="s">
        <v>717</v>
      </c>
      <c r="C3" t="s">
        <v>730</v>
      </c>
      <c r="D3">
        <v>2186</v>
      </c>
      <c r="I3" t="s">
        <v>720</v>
      </c>
      <c r="J3">
        <v>1280</v>
      </c>
      <c r="L3" t="s">
        <v>720</v>
      </c>
      <c r="M3">
        <v>1280</v>
      </c>
    </row>
    <row r="4" spans="1:13" x14ac:dyDescent="0.3">
      <c r="I4" t="s">
        <v>721</v>
      </c>
      <c r="J4">
        <v>1425</v>
      </c>
      <c r="L4" t="s">
        <v>721</v>
      </c>
      <c r="M4">
        <v>1425</v>
      </c>
    </row>
    <row r="5" spans="1:13" x14ac:dyDescent="0.3">
      <c r="A5" t="s">
        <v>64</v>
      </c>
      <c r="B5" t="s">
        <v>90</v>
      </c>
      <c r="C5" t="s">
        <v>145</v>
      </c>
      <c r="D5" t="s">
        <v>66</v>
      </c>
      <c r="I5" t="s">
        <v>722</v>
      </c>
      <c r="J5">
        <v>1750</v>
      </c>
      <c r="L5" t="s">
        <v>722</v>
      </c>
      <c r="M5">
        <v>1750</v>
      </c>
    </row>
    <row r="6" spans="1:13" x14ac:dyDescent="0.3">
      <c r="A6" t="s">
        <v>159</v>
      </c>
      <c r="B6">
        <v>7.74</v>
      </c>
      <c r="C6">
        <f>_xlfn.XLOOKUP(Table30[[#This Row],[Dyes]],Table27[Dyes],Table27[Rate],"NF")*Table30[[#This Row],[Weight]]</f>
        <v>8707.5</v>
      </c>
      <c r="I6" t="s">
        <v>723</v>
      </c>
      <c r="J6">
        <v>1500</v>
      </c>
      <c r="L6" t="s">
        <v>723</v>
      </c>
      <c r="M6">
        <v>1500</v>
      </c>
    </row>
    <row r="7" spans="1:13" x14ac:dyDescent="0.3">
      <c r="A7" t="s">
        <v>720</v>
      </c>
      <c r="B7">
        <v>0.73</v>
      </c>
      <c r="C7">
        <f>_xlfn.XLOOKUP(Table30[[#This Row],[Dyes]],Table27[Dyes],Table27[Rate],"NF")*Table30[[#This Row],[Weight]]</f>
        <v>934.4</v>
      </c>
      <c r="I7" t="s">
        <v>724</v>
      </c>
      <c r="J7">
        <v>1300</v>
      </c>
      <c r="L7" t="s">
        <v>724</v>
      </c>
      <c r="M7">
        <v>1300</v>
      </c>
    </row>
    <row r="8" spans="1:13" x14ac:dyDescent="0.3">
      <c r="A8" t="s">
        <v>721</v>
      </c>
      <c r="B8">
        <v>0.93600000000000005</v>
      </c>
      <c r="C8">
        <f>_xlfn.XLOOKUP(Table30[[#This Row],[Dyes]],Table27[Dyes],Table27[Rate],"NF")*Table30[[#This Row],[Weight]]</f>
        <v>1333.8000000000002</v>
      </c>
      <c r="I8" t="s">
        <v>725</v>
      </c>
      <c r="J8">
        <v>1450</v>
      </c>
      <c r="L8" t="s">
        <v>725</v>
      </c>
      <c r="M8">
        <v>1450</v>
      </c>
    </row>
    <row r="9" spans="1:13" x14ac:dyDescent="0.3">
      <c r="A9" t="s">
        <v>722</v>
      </c>
      <c r="B9">
        <v>1.76</v>
      </c>
      <c r="C9">
        <f>_xlfn.XLOOKUP(Table30[[#This Row],[Dyes]],Table27[Dyes],Table27[Rate],"NF")*Table30[[#This Row],[Weight]]</f>
        <v>3080</v>
      </c>
      <c r="I9" t="s">
        <v>726</v>
      </c>
      <c r="J9">
        <v>1450</v>
      </c>
      <c r="L9" t="s">
        <v>726</v>
      </c>
      <c r="M9">
        <v>1450</v>
      </c>
    </row>
    <row r="10" spans="1:13" x14ac:dyDescent="0.3">
      <c r="A10" t="s">
        <v>723</v>
      </c>
      <c r="B10">
        <v>2.226</v>
      </c>
      <c r="C10">
        <f>_xlfn.XLOOKUP(Table30[[#This Row],[Dyes]],Table27[Dyes],Table27[Rate],"NF")*Table30[[#This Row],[Weight]]</f>
        <v>3339</v>
      </c>
      <c r="I10" t="s">
        <v>162</v>
      </c>
      <c r="J10">
        <v>1800</v>
      </c>
      <c r="L10" t="s">
        <v>162</v>
      </c>
      <c r="M10">
        <v>1800</v>
      </c>
    </row>
    <row r="11" spans="1:13" x14ac:dyDescent="0.3">
      <c r="A11" t="s">
        <v>724</v>
      </c>
      <c r="B11">
        <v>0.55000000000000004</v>
      </c>
      <c r="C11">
        <f>_xlfn.XLOOKUP(Table30[[#This Row],[Dyes]],Table27[Dyes],Table27[Rate],"NF")*Table30[[#This Row],[Weight]]</f>
        <v>715.00000000000011</v>
      </c>
      <c r="I11" t="s">
        <v>114</v>
      </c>
      <c r="J11">
        <v>1300</v>
      </c>
      <c r="L11" t="s">
        <v>114</v>
      </c>
      <c r="M11">
        <v>1300</v>
      </c>
    </row>
    <row r="12" spans="1:13" x14ac:dyDescent="0.3">
      <c r="A12" t="s">
        <v>725</v>
      </c>
      <c r="B12">
        <v>3.2959999999999998</v>
      </c>
      <c r="C12">
        <f>_xlfn.XLOOKUP(Table30[[#This Row],[Dyes]],Table27[Dyes],Table27[Rate],"NF")*Table30[[#This Row],[Weight]]</f>
        <v>4779.2</v>
      </c>
      <c r="I12" t="s">
        <v>727</v>
      </c>
      <c r="J12">
        <v>1450</v>
      </c>
      <c r="L12" t="s">
        <v>727</v>
      </c>
      <c r="M12">
        <v>1450</v>
      </c>
    </row>
    <row r="13" spans="1:13" x14ac:dyDescent="0.3">
      <c r="A13" t="s">
        <v>726</v>
      </c>
      <c r="B13">
        <v>0.95</v>
      </c>
      <c r="C13">
        <f>_xlfn.XLOOKUP(Table30[[#This Row],[Dyes]],Table27[Dyes],Table27[Rate],"NF")*Table30[[#This Row],[Weight]]</f>
        <v>1377.5</v>
      </c>
      <c r="I13" t="s">
        <v>728</v>
      </c>
      <c r="J13">
        <v>3100</v>
      </c>
      <c r="L13" t="s">
        <v>728</v>
      </c>
      <c r="M13">
        <v>3100</v>
      </c>
    </row>
    <row r="14" spans="1:13" x14ac:dyDescent="0.3">
      <c r="A14" t="s">
        <v>162</v>
      </c>
      <c r="B14">
        <v>0</v>
      </c>
      <c r="C14">
        <f>_xlfn.XLOOKUP(Table30[[#This Row],[Dyes]],Table27[Dyes],Table27[Rate],"NF")*Table30[[#This Row],[Weight]]</f>
        <v>0</v>
      </c>
      <c r="I14" t="s">
        <v>729</v>
      </c>
      <c r="J14">
        <v>1650</v>
      </c>
      <c r="L14" t="s">
        <v>729</v>
      </c>
      <c r="M14">
        <v>1650</v>
      </c>
    </row>
    <row r="15" spans="1:13" x14ac:dyDescent="0.3">
      <c r="A15" t="s">
        <v>114</v>
      </c>
      <c r="B15">
        <v>2.3039999999999998</v>
      </c>
      <c r="C15">
        <f>_xlfn.XLOOKUP(Table30[[#This Row],[Dyes]],Table27[Dyes],Table27[Rate],"NF")*Table30[[#This Row],[Weight]]</f>
        <v>2995.2</v>
      </c>
      <c r="I15" t="s">
        <v>731</v>
      </c>
      <c r="J15">
        <v>1600</v>
      </c>
      <c r="L15" t="s">
        <v>731</v>
      </c>
      <c r="M15">
        <v>1600</v>
      </c>
    </row>
    <row r="16" spans="1:13" x14ac:dyDescent="0.3">
      <c r="A16" t="s">
        <v>727</v>
      </c>
      <c r="B16">
        <v>0.35</v>
      </c>
      <c r="C16">
        <f>_xlfn.XLOOKUP(Table30[[#This Row],[Dyes]],Table27[Dyes],Table27[Rate],"NF")*Table30[[#This Row],[Weight]]</f>
        <v>507.49999999999994</v>
      </c>
    </row>
    <row r="17" spans="1:4" x14ac:dyDescent="0.3">
      <c r="A17" t="s">
        <v>728</v>
      </c>
      <c r="B17">
        <v>0</v>
      </c>
      <c r="C17">
        <f>_xlfn.XLOOKUP(Table30[[#This Row],[Dyes]],Table27[Dyes],Table27[Rate],"NF")*Table30[[#This Row],[Weight]]</f>
        <v>0</v>
      </c>
    </row>
    <row r="18" spans="1:4" x14ac:dyDescent="0.3">
      <c r="A18" t="s">
        <v>729</v>
      </c>
      <c r="B18">
        <v>0.126</v>
      </c>
      <c r="C18">
        <f>_xlfn.XLOOKUP(Table30[[#This Row],[Dyes]],Table27[Dyes],Table27[Rate],"NF")*Table30[[#This Row],[Weight]]</f>
        <v>207.9</v>
      </c>
    </row>
    <row r="19" spans="1:4" x14ac:dyDescent="0.3">
      <c r="A19" t="s">
        <v>731</v>
      </c>
      <c r="B19">
        <v>0.52</v>
      </c>
      <c r="C19">
        <f>_xlfn.XLOOKUP(Table30[[#This Row],[Dyes]],Table27[Dyes],Table27[Rate],"NF")*Table30[[#This Row],[Weight]]</f>
        <v>832</v>
      </c>
    </row>
    <row r="21" spans="1:4" ht="15" thickBot="1" x14ac:dyDescent="0.35">
      <c r="B21">
        <f>SUBTOTAL(109,Table30[Weight])</f>
        <v>21.488</v>
      </c>
      <c r="C21">
        <f>SUBTOTAL(9,C6:C19)</f>
        <v>28809.000000000004</v>
      </c>
    </row>
    <row r="22" spans="1:4" ht="15" thickTop="1" x14ac:dyDescent="0.3">
      <c r="B22" t="s">
        <v>732</v>
      </c>
      <c r="C22" s="138">
        <f>_xlfn.XLOOKUP(D3,'pivot '!A:A,'pivot '!H:H,"NA")</f>
        <v>35395.940014630578</v>
      </c>
    </row>
    <row r="23" spans="1:4" x14ac:dyDescent="0.3">
      <c r="B23" t="s">
        <v>733</v>
      </c>
      <c r="C23" s="80">
        <f>Table30[[#Totals],[Cost]]/C22</f>
        <v>0.81390690537084409</v>
      </c>
    </row>
    <row r="28" spans="1:4" x14ac:dyDescent="0.3">
      <c r="A28" t="s">
        <v>2</v>
      </c>
      <c r="B28" t="s">
        <v>717</v>
      </c>
      <c r="C28" t="s">
        <v>730</v>
      </c>
      <c r="D28" t="s">
        <v>734</v>
      </c>
    </row>
    <row r="30" spans="1:4" x14ac:dyDescent="0.3">
      <c r="A30" t="s">
        <v>64</v>
      </c>
      <c r="B30" t="s">
        <v>90</v>
      </c>
      <c r="C30" t="s">
        <v>145</v>
      </c>
      <c r="D30" t="s">
        <v>66</v>
      </c>
    </row>
    <row r="31" spans="1:4" x14ac:dyDescent="0.3">
      <c r="A31" t="s">
        <v>159</v>
      </c>
      <c r="B31">
        <v>1.96</v>
      </c>
      <c r="C31">
        <f>_xlfn.XLOOKUP(Table3032[[#This Row],[Dyes]],Table27[Dyes],Table27[Rate],"NF")*Table3032[[#This Row],[Weight]]</f>
        <v>2205</v>
      </c>
    </row>
    <row r="32" spans="1:4" x14ac:dyDescent="0.3">
      <c r="A32" t="s">
        <v>720</v>
      </c>
      <c r="B32">
        <v>7.2</v>
      </c>
      <c r="C32">
        <f>_xlfn.XLOOKUP(Table3032[[#This Row],[Dyes]],Table27[Dyes],Table27[Rate],"NF")*Table3032[[#This Row],[Weight]]</f>
        <v>9216</v>
      </c>
    </row>
    <row r="33" spans="1:3" x14ac:dyDescent="0.3">
      <c r="A33" t="s">
        <v>721</v>
      </c>
      <c r="B33">
        <v>5.09</v>
      </c>
      <c r="C33">
        <f>_xlfn.XLOOKUP(Table3032[[#This Row],[Dyes]],Table27[Dyes],Table27[Rate],"NF")*Table3032[[#This Row],[Weight]]</f>
        <v>7253.25</v>
      </c>
    </row>
    <row r="34" spans="1:3" x14ac:dyDescent="0.3">
      <c r="A34" t="s">
        <v>722</v>
      </c>
      <c r="B34">
        <v>5.5019999999999998</v>
      </c>
      <c r="C34">
        <f>_xlfn.XLOOKUP(Table3032[[#This Row],[Dyes]],Table27[Dyes],Table27[Rate],"NF")*Table3032[[#This Row],[Weight]]</f>
        <v>9628.5</v>
      </c>
    </row>
    <row r="35" spans="1:3" x14ac:dyDescent="0.3">
      <c r="A35" t="s">
        <v>723</v>
      </c>
      <c r="B35">
        <v>2.72</v>
      </c>
      <c r="C35">
        <f>_xlfn.XLOOKUP(Table3032[[#This Row],[Dyes]],Table27[Dyes],Table27[Rate],"NF")*Table3032[[#This Row],[Weight]]</f>
        <v>4080.0000000000005</v>
      </c>
    </row>
    <row r="36" spans="1:3" x14ac:dyDescent="0.3">
      <c r="A36" t="s">
        <v>724</v>
      </c>
      <c r="B36">
        <v>8.3059999999999992</v>
      </c>
      <c r="C36">
        <f>_xlfn.XLOOKUP(Table3032[[#This Row],[Dyes]],Table27[Dyes],Table27[Rate],"NF")*Table3032[[#This Row],[Weight]]</f>
        <v>10797.8</v>
      </c>
    </row>
    <row r="37" spans="1:3" x14ac:dyDescent="0.3">
      <c r="A37" t="s">
        <v>725</v>
      </c>
      <c r="B37">
        <v>9.09</v>
      </c>
      <c r="C37">
        <f>_xlfn.XLOOKUP(Table3032[[#This Row],[Dyes]],Table27[Dyes],Table27[Rate],"NF")*Table3032[[#This Row],[Weight]]</f>
        <v>13180.5</v>
      </c>
    </row>
    <row r="38" spans="1:3" x14ac:dyDescent="0.3">
      <c r="A38" t="s">
        <v>726</v>
      </c>
      <c r="B38">
        <v>2.81</v>
      </c>
      <c r="C38">
        <f>_xlfn.XLOOKUP(Table3032[[#This Row],[Dyes]],Table27[Dyes],Table27[Rate],"NF")*Table3032[[#This Row],[Weight]]</f>
        <v>4074.5</v>
      </c>
    </row>
    <row r="39" spans="1:3" x14ac:dyDescent="0.3">
      <c r="A39" t="s">
        <v>162</v>
      </c>
      <c r="B39">
        <v>1.2</v>
      </c>
      <c r="C39">
        <f>_xlfn.XLOOKUP(Table3032[[#This Row],[Dyes]],Table27[Dyes],Table27[Rate],"NF")*Table3032[[#This Row],[Weight]]</f>
        <v>2160</v>
      </c>
    </row>
    <row r="40" spans="1:3" x14ac:dyDescent="0.3">
      <c r="A40" t="s">
        <v>114</v>
      </c>
      <c r="B40">
        <v>5.492</v>
      </c>
      <c r="C40">
        <f>_xlfn.XLOOKUP(Table3032[[#This Row],[Dyes]],Table27[Dyes],Table27[Rate],"NF")*Table3032[[#This Row],[Weight]]</f>
        <v>7139.6</v>
      </c>
    </row>
    <row r="41" spans="1:3" x14ac:dyDescent="0.3">
      <c r="A41" t="s">
        <v>727</v>
      </c>
      <c r="B41">
        <v>0.31</v>
      </c>
      <c r="C41">
        <f>_xlfn.XLOOKUP(Table3032[[#This Row],[Dyes]],Table27[Dyes],Table27[Rate],"NF")*Table3032[[#This Row],[Weight]]</f>
        <v>449.5</v>
      </c>
    </row>
    <row r="42" spans="1:3" x14ac:dyDescent="0.3">
      <c r="A42" t="s">
        <v>728</v>
      </c>
      <c r="C42">
        <f>_xlfn.XLOOKUP(Table3032[[#This Row],[Dyes]],Table27[Dyes],Table27[Rate],"NF")*Table3032[[#This Row],[Weight]]</f>
        <v>0</v>
      </c>
    </row>
    <row r="43" spans="1:3" x14ac:dyDescent="0.3">
      <c r="A43" t="s">
        <v>729</v>
      </c>
      <c r="B43">
        <v>0.216</v>
      </c>
      <c r="C43">
        <f>_xlfn.XLOOKUP(Table3032[[#This Row],[Dyes]],Table27[Dyes],Table27[Rate],"NF")*Table3032[[#This Row],[Weight]]</f>
        <v>356.4</v>
      </c>
    </row>
    <row r="44" spans="1:3" x14ac:dyDescent="0.3">
      <c r="A44" t="s">
        <v>731</v>
      </c>
      <c r="B44">
        <v>0.13</v>
      </c>
      <c r="C44">
        <f>_xlfn.XLOOKUP(Table3032[[#This Row],[Dyes]],Table27[Dyes],Table27[Rate],"NF")*Table3032[[#This Row],[Weight]]</f>
        <v>208</v>
      </c>
    </row>
    <row r="46" spans="1:3" ht="15" thickBot="1" x14ac:dyDescent="0.35">
      <c r="B46">
        <f>SUBTOTAL(109,Table3032[Weight])</f>
        <v>50.026000000000003</v>
      </c>
      <c r="C46">
        <f>SUBTOTAL(9,C31:C44)</f>
        <v>70749.05</v>
      </c>
    </row>
    <row r="47" spans="1:3" ht="15" thickTop="1" x14ac:dyDescent="0.3">
      <c r="B47" t="s">
        <v>732</v>
      </c>
      <c r="C47" s="138">
        <v>76898.320000000007</v>
      </c>
    </row>
    <row r="48" spans="1:3" x14ac:dyDescent="0.3">
      <c r="B48" t="s">
        <v>733</v>
      </c>
      <c r="C48" s="80">
        <f>Table3032[[#Totals],[Cost]]/C47</f>
        <v>0.920033753663279</v>
      </c>
    </row>
    <row r="51" spans="1:4" x14ac:dyDescent="0.3">
      <c r="A51" t="s">
        <v>2</v>
      </c>
      <c r="B51" t="s">
        <v>582</v>
      </c>
      <c r="C51" t="s">
        <v>730</v>
      </c>
      <c r="D51">
        <v>2164</v>
      </c>
    </row>
    <row r="53" spans="1:4" x14ac:dyDescent="0.3">
      <c r="A53" t="s">
        <v>64</v>
      </c>
      <c r="B53" t="s">
        <v>90</v>
      </c>
      <c r="C53" t="s">
        <v>145</v>
      </c>
      <c r="D53" t="s">
        <v>66</v>
      </c>
    </row>
    <row r="54" spans="1:4" x14ac:dyDescent="0.3">
      <c r="A54" t="s">
        <v>159</v>
      </c>
      <c r="B54">
        <v>6.9820000000000002</v>
      </c>
      <c r="C54">
        <f>_xlfn.XLOOKUP(Table3033[[#This Row],[Dyes]],Table27[Dyes],Table27[Rate],"NF")*Table3033[[#This Row],[Weight]]</f>
        <v>7854.75</v>
      </c>
    </row>
    <row r="55" spans="1:4" x14ac:dyDescent="0.3">
      <c r="A55" t="s">
        <v>720</v>
      </c>
      <c r="B55">
        <v>4.9800000000000004</v>
      </c>
      <c r="C55">
        <f>_xlfn.XLOOKUP(Table3033[[#This Row],[Dyes]],Table27[Dyes],Table27[Rate],"NF")*Table3033[[#This Row],[Weight]]</f>
        <v>6374.4000000000005</v>
      </c>
    </row>
    <row r="56" spans="1:4" x14ac:dyDescent="0.3">
      <c r="A56" t="s">
        <v>721</v>
      </c>
      <c r="B56">
        <v>4.5359999999999996</v>
      </c>
      <c r="C56">
        <f>_xlfn.XLOOKUP(Table3033[[#This Row],[Dyes]],Table27[Dyes],Table27[Rate],"NF")*Table3033[[#This Row],[Weight]]</f>
        <v>6463.7999999999993</v>
      </c>
    </row>
    <row r="57" spans="1:4" x14ac:dyDescent="0.3">
      <c r="A57" t="s">
        <v>722</v>
      </c>
      <c r="B57">
        <v>0.12</v>
      </c>
      <c r="C57">
        <f>_xlfn.XLOOKUP(Table3033[[#This Row],[Dyes]],Table27[Dyes],Table27[Rate],"NF")*Table3033[[#This Row],[Weight]]</f>
        <v>210</v>
      </c>
    </row>
    <row r="58" spans="1:4" x14ac:dyDescent="0.3">
      <c r="A58" t="s">
        <v>723</v>
      </c>
      <c r="B58">
        <v>2.0099999999999998</v>
      </c>
      <c r="C58">
        <f>_xlfn.XLOOKUP(Table3033[[#This Row],[Dyes]],Table27[Dyes],Table27[Rate],"NF")*Table3033[[#This Row],[Weight]]</f>
        <v>3014.9999999999995</v>
      </c>
    </row>
    <row r="59" spans="1:4" x14ac:dyDescent="0.3">
      <c r="A59" t="s">
        <v>724</v>
      </c>
      <c r="B59">
        <v>3.72</v>
      </c>
      <c r="C59">
        <f>_xlfn.XLOOKUP(Table3033[[#This Row],[Dyes]],Table27[Dyes],Table27[Rate],"NF")*Table3033[[#This Row],[Weight]]</f>
        <v>4836</v>
      </c>
    </row>
    <row r="60" spans="1:4" x14ac:dyDescent="0.3">
      <c r="A60" t="s">
        <v>725</v>
      </c>
      <c r="B60">
        <v>3.74</v>
      </c>
      <c r="C60">
        <f>_xlfn.XLOOKUP(Table3033[[#This Row],[Dyes]],Table27[Dyes],Table27[Rate],"NF")*Table3033[[#This Row],[Weight]]</f>
        <v>5423</v>
      </c>
    </row>
    <row r="61" spans="1:4" x14ac:dyDescent="0.3">
      <c r="A61" t="s">
        <v>726</v>
      </c>
      <c r="C61">
        <f>_xlfn.XLOOKUP(Table3033[[#This Row],[Dyes]],Table27[Dyes],Table27[Rate],"NF")*Table3033[[#This Row],[Weight]]</f>
        <v>0</v>
      </c>
    </row>
    <row r="62" spans="1:4" x14ac:dyDescent="0.3">
      <c r="A62" t="s">
        <v>162</v>
      </c>
      <c r="C62">
        <f>_xlfn.XLOOKUP(Table3033[[#This Row],[Dyes]],Table27[Dyes],Table27[Rate],"NF")*Table3033[[#This Row],[Weight]]</f>
        <v>0</v>
      </c>
    </row>
    <row r="63" spans="1:4" x14ac:dyDescent="0.3">
      <c r="A63" t="s">
        <v>114</v>
      </c>
      <c r="B63">
        <v>2.4900000000000002</v>
      </c>
      <c r="C63">
        <f>_xlfn.XLOOKUP(Table3033[[#This Row],[Dyes]],Table27[Dyes],Table27[Rate],"NF")*Table3033[[#This Row],[Weight]]</f>
        <v>3237.0000000000005</v>
      </c>
    </row>
    <row r="64" spans="1:4" x14ac:dyDescent="0.3">
      <c r="A64" t="s">
        <v>727</v>
      </c>
      <c r="B64">
        <v>7.0000000000000007E-2</v>
      </c>
      <c r="C64">
        <f>_xlfn.XLOOKUP(Table3033[[#This Row],[Dyes]],Table27[Dyes],Table27[Rate],"NF")*Table3033[[#This Row],[Weight]]</f>
        <v>101.50000000000001</v>
      </c>
    </row>
    <row r="65" spans="1:4" x14ac:dyDescent="0.3">
      <c r="A65" t="s">
        <v>728</v>
      </c>
      <c r="C65">
        <f>_xlfn.XLOOKUP(Table3033[[#This Row],[Dyes]],Table27[Dyes],Table27[Rate],"NF")*Table3033[[#This Row],[Weight]]</f>
        <v>0</v>
      </c>
    </row>
    <row r="66" spans="1:4" x14ac:dyDescent="0.3">
      <c r="A66" t="s">
        <v>729</v>
      </c>
      <c r="C66">
        <f>_xlfn.XLOOKUP(Table3033[[#This Row],[Dyes]],Table27[Dyes],Table27[Rate],"NF")*Table3033[[#This Row],[Weight]]</f>
        <v>0</v>
      </c>
    </row>
    <row r="67" spans="1:4" x14ac:dyDescent="0.3">
      <c r="A67" t="s">
        <v>731</v>
      </c>
      <c r="B67">
        <v>0.13</v>
      </c>
      <c r="C67">
        <f>_xlfn.XLOOKUP(Table3033[[#This Row],[Dyes]],Table27[Dyes],Table27[Rate],"NF")*Table3033[[#This Row],[Weight]]</f>
        <v>208</v>
      </c>
    </row>
    <row r="69" spans="1:4" ht="15" thickBot="1" x14ac:dyDescent="0.35">
      <c r="B69">
        <f>SUBTOTAL(109,Table3033[Weight])</f>
        <v>28.778000000000002</v>
      </c>
      <c r="C69">
        <f>SUBTOTAL(9,C54:C67)</f>
        <v>37723.449999999997</v>
      </c>
    </row>
    <row r="70" spans="1:4" ht="15" thickTop="1" x14ac:dyDescent="0.3">
      <c r="B70" t="s">
        <v>732</v>
      </c>
      <c r="C70" s="138">
        <f>_xlfn.XLOOKUP(D51,'pivot '!A:A,'pivot '!H:H,"NA")</f>
        <v>44161.485003657646</v>
      </c>
    </row>
    <row r="71" spans="1:4" x14ac:dyDescent="0.3">
      <c r="B71" t="s">
        <v>733</v>
      </c>
      <c r="C71" s="80">
        <f>Table3033[[#Totals],[Cost]]/C70</f>
        <v>0.85421606625944702</v>
      </c>
    </row>
    <row r="75" spans="1:4" x14ac:dyDescent="0.3">
      <c r="A75" s="80" t="s">
        <v>2</v>
      </c>
      <c r="B75" t="s">
        <v>190</v>
      </c>
      <c r="C75" t="s">
        <v>730</v>
      </c>
      <c r="D75">
        <v>2172</v>
      </c>
    </row>
    <row r="76" spans="1:4" x14ac:dyDescent="0.3">
      <c r="A76" t="s">
        <v>64</v>
      </c>
      <c r="B76" t="s">
        <v>90</v>
      </c>
      <c r="C76" t="s">
        <v>145</v>
      </c>
      <c r="D76" t="s">
        <v>66</v>
      </c>
    </row>
    <row r="77" spans="1:4" x14ac:dyDescent="0.3">
      <c r="A77" t="s">
        <v>725</v>
      </c>
      <c r="B77">
        <v>3.7879999999999998</v>
      </c>
      <c r="C77">
        <f>_xlfn.XLOOKUP(Table303334[[#This Row],[Dyes]],Table27[Dyes],Table27[Rate],"NF")*Table303334[[#This Row],[Weight]]</f>
        <v>5492.5999999999995</v>
      </c>
    </row>
    <row r="78" spans="1:4" x14ac:dyDescent="0.3">
      <c r="A78" t="s">
        <v>159</v>
      </c>
      <c r="B78">
        <v>22.812000000000001</v>
      </c>
      <c r="C78">
        <f>_xlfn.XLOOKUP(Table303334[[#This Row],[Dyes]],Table27[Dyes],Table27[Rate],"NF")*Table303334[[#This Row],[Weight]]</f>
        <v>25663.5</v>
      </c>
    </row>
    <row r="79" spans="1:4" x14ac:dyDescent="0.3">
      <c r="A79" t="s">
        <v>720</v>
      </c>
      <c r="B79">
        <v>11.64</v>
      </c>
      <c r="C79">
        <f>_xlfn.XLOOKUP(Table303334[[#This Row],[Dyes]],Table27[Dyes],Table27[Rate],"NF")*Table303334[[#This Row],[Weight]]</f>
        <v>14899.2</v>
      </c>
    </row>
    <row r="80" spans="1:4" x14ac:dyDescent="0.3">
      <c r="A80" t="s">
        <v>721</v>
      </c>
      <c r="B80">
        <v>6.48</v>
      </c>
      <c r="C80">
        <f>_xlfn.XLOOKUP(Table303334[[#This Row],[Dyes]],Table27[Dyes],Table27[Rate],"NF")*Table303334[[#This Row],[Weight]]</f>
        <v>9234</v>
      </c>
    </row>
    <row r="81" spans="1:3" x14ac:dyDescent="0.3">
      <c r="A81" t="s">
        <v>722</v>
      </c>
      <c r="B81">
        <v>2.46</v>
      </c>
      <c r="C81">
        <f>_xlfn.XLOOKUP(Table303334[[#This Row],[Dyes]],Table27[Dyes],Table27[Rate],"NF")*Table303334[[#This Row],[Weight]]</f>
        <v>4305</v>
      </c>
    </row>
    <row r="82" spans="1:3" x14ac:dyDescent="0.3">
      <c r="A82" t="s">
        <v>723</v>
      </c>
      <c r="B82">
        <v>1.43</v>
      </c>
      <c r="C82">
        <f>_xlfn.XLOOKUP(Table303334[[#This Row],[Dyes]],Table27[Dyes],Table27[Rate],"NF")*Table303334[[#This Row],[Weight]]</f>
        <v>2145</v>
      </c>
    </row>
    <row r="83" spans="1:3" x14ac:dyDescent="0.3">
      <c r="A83" t="s">
        <v>724</v>
      </c>
      <c r="B83">
        <v>6.274</v>
      </c>
      <c r="C83">
        <f>_xlfn.XLOOKUP(Table303334[[#This Row],[Dyes]],Table27[Dyes],Table27[Rate],"NF")*Table303334[[#This Row],[Weight]]</f>
        <v>8156.2</v>
      </c>
    </row>
    <row r="84" spans="1:3" x14ac:dyDescent="0.3">
      <c r="A84" t="s">
        <v>726</v>
      </c>
      <c r="B84">
        <v>1.9</v>
      </c>
      <c r="C84">
        <f>_xlfn.XLOOKUP(Table303334[[#This Row],[Dyes]],Table27[Dyes],Table27[Rate],"NF")*Table303334[[#This Row],[Weight]]</f>
        <v>2755</v>
      </c>
    </row>
    <row r="85" spans="1:3" x14ac:dyDescent="0.3">
      <c r="A85" t="s">
        <v>162</v>
      </c>
      <c r="B85">
        <v>1.3</v>
      </c>
      <c r="C85">
        <f>_xlfn.XLOOKUP(Table303334[[#This Row],[Dyes]],Table27[Dyes],Table27[Rate],"NF")*Table303334[[#This Row],[Weight]]</f>
        <v>2340</v>
      </c>
    </row>
    <row r="86" spans="1:3" x14ac:dyDescent="0.3">
      <c r="A86" t="s">
        <v>114</v>
      </c>
      <c r="B86">
        <v>2.5</v>
      </c>
      <c r="C86">
        <f>_xlfn.XLOOKUP(Table303334[[#This Row],[Dyes]],Table27[Dyes],Table27[Rate],"NF")*Table303334[[#This Row],[Weight]]</f>
        <v>3250</v>
      </c>
    </row>
    <row r="87" spans="1:3" x14ac:dyDescent="0.3">
      <c r="A87" t="s">
        <v>727</v>
      </c>
      <c r="B87">
        <v>0.308</v>
      </c>
      <c r="C87">
        <f>_xlfn.XLOOKUP(Table303334[[#This Row],[Dyes]],Table27[Dyes],Table27[Rate],"NF")*Table303334[[#This Row],[Weight]]</f>
        <v>446.59999999999997</v>
      </c>
    </row>
    <row r="88" spans="1:3" x14ac:dyDescent="0.3">
      <c r="A88" t="s">
        <v>728</v>
      </c>
      <c r="C88">
        <f>_xlfn.XLOOKUP(Table303334[[#This Row],[Dyes]],Table27[Dyes],Table27[Rate],"NF")*Table303334[[#This Row],[Weight]]</f>
        <v>0</v>
      </c>
    </row>
    <row r="89" spans="1:3" x14ac:dyDescent="0.3">
      <c r="A89" t="s">
        <v>729</v>
      </c>
      <c r="B89">
        <v>0.21</v>
      </c>
      <c r="C89">
        <f>_xlfn.XLOOKUP(Table303334[[#This Row],[Dyes]],Table27[Dyes],Table27[Rate],"NF")*Table303334[[#This Row],[Weight]]</f>
        <v>346.5</v>
      </c>
    </row>
    <row r="90" spans="1:3" x14ac:dyDescent="0.3">
      <c r="A90" t="s">
        <v>731</v>
      </c>
      <c r="B90">
        <v>0.01</v>
      </c>
      <c r="C90">
        <f>_xlfn.XLOOKUP(Table303334[[#This Row],[Dyes]],Table27[Dyes],Table27[Rate],"NF")*Table303334[[#This Row],[Weight]]</f>
        <v>16</v>
      </c>
    </row>
    <row r="92" spans="1:3" ht="15" thickBot="1" x14ac:dyDescent="0.35">
      <c r="B92">
        <f>SUBTOTAL(109,Table303334[Weight])</f>
        <v>61.111999999999995</v>
      </c>
      <c r="C92">
        <f>SUBTOTAL(9,C78:C90)</f>
        <v>73557</v>
      </c>
    </row>
    <row r="93" spans="1:3" ht="15" thickTop="1" x14ac:dyDescent="0.3">
      <c r="B93" t="s">
        <v>732</v>
      </c>
      <c r="C93" s="138">
        <f>_xlfn.XLOOKUP(D75,'pivot '!A:A,'pivot '!H:H,"NA")</f>
        <v>76513.350402340904</v>
      </c>
    </row>
    <row r="94" spans="1:3" x14ac:dyDescent="0.3">
      <c r="B94" t="s">
        <v>733</v>
      </c>
      <c r="C94" s="80">
        <f>Table303334[[#Totals],[Cost]]/C93</f>
        <v>0.9613616396773228</v>
      </c>
    </row>
  </sheetData>
  <pageMargins left="0.7" right="0.7" top="0.75" bottom="0.75" header="0.3" footer="0.3"/>
  <tableParts count="5">
    <tablePart r:id="rId1"/>
    <tablePart r:id="rId2"/>
    <tablePart r:id="rId3"/>
    <tablePart r:id="rId4"/>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840F8CFF-587E-426A-9D89-A55391CC1A87}">
          <x14:formula1>
            <xm:f>ledger!$B$2:$B$237</xm:f>
          </x14:formula1>
          <xm:sqref>B3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A8C4-D49C-464B-A701-37B1759EDEA7}">
  <dimension ref="A1:L119"/>
  <sheetViews>
    <sheetView zoomScale="90" workbookViewId="0">
      <selection activeCell="F5" sqref="F5"/>
    </sheetView>
  </sheetViews>
  <sheetFormatPr defaultRowHeight="14.4" x14ac:dyDescent="0.3"/>
  <cols>
    <col min="1" max="1" width="20.5546875" bestFit="1" customWidth="1"/>
    <col min="2" max="2" width="18.5546875" bestFit="1" customWidth="1"/>
    <col min="3" max="3" width="17.6640625" bestFit="1" customWidth="1"/>
    <col min="4" max="4" width="17.109375" bestFit="1" customWidth="1"/>
    <col min="5" max="5" width="16.21875" customWidth="1"/>
    <col min="6" max="6" width="17" customWidth="1"/>
    <col min="7" max="7" width="12.33203125" customWidth="1"/>
    <col min="8" max="8" width="15.33203125" customWidth="1"/>
    <col min="9" max="9" width="13.6640625" customWidth="1"/>
    <col min="10" max="10" width="15.33203125" customWidth="1"/>
    <col min="11" max="11" width="13.5546875" bestFit="1" customWidth="1"/>
  </cols>
  <sheetData>
    <row r="1" spans="1:12" x14ac:dyDescent="0.3">
      <c r="A1" s="44" t="s">
        <v>2</v>
      </c>
      <c r="B1" s="14" t="s">
        <v>87</v>
      </c>
      <c r="C1" s="14"/>
    </row>
    <row r="2" spans="1:12" x14ac:dyDescent="0.3">
      <c r="A2" s="31" t="s">
        <v>28</v>
      </c>
      <c r="B2" s="33">
        <f>SUM(B4:INDEX(B:B, MATCH(1E+100, B:B)-1))</f>
        <v>2807120</v>
      </c>
      <c r="C2" s="32">
        <f>GETPIVOTDATA("Sum of Tiyaar/gaz",$A$3)</f>
        <v>2783713</v>
      </c>
      <c r="D2" s="31">
        <f>((B2*48)+((C2/1.0936)*10))/C2</f>
        <v>57.547721765752215</v>
      </c>
      <c r="J2">
        <v>48</v>
      </c>
    </row>
    <row r="3" spans="1:12" x14ac:dyDescent="0.3">
      <c r="A3" s="34" t="s">
        <v>140</v>
      </c>
      <c r="B3" s="35" t="s">
        <v>141</v>
      </c>
      <c r="C3" s="36" t="s">
        <v>88</v>
      </c>
      <c r="D3" s="32" t="s">
        <v>142</v>
      </c>
      <c r="E3" s="11" t="s">
        <v>143</v>
      </c>
      <c r="F3" s="11" t="str">
        <f t="shared" ref="F3:F38" si="0">C3</f>
        <v>Sum of Tiyaar/gaz</v>
      </c>
      <c r="G3" s="77" t="s">
        <v>82</v>
      </c>
      <c r="H3" s="11" t="s">
        <v>144</v>
      </c>
      <c r="I3" s="29" t="s">
        <v>145</v>
      </c>
    </row>
    <row r="4" spans="1:12" x14ac:dyDescent="0.3">
      <c r="A4" s="16" t="s">
        <v>103</v>
      </c>
      <c r="B4" s="14"/>
      <c r="C4" s="14"/>
      <c r="D4" s="28" t="e">
        <f>I4</f>
        <v>#DIV/0!</v>
      </c>
      <c r="E4" s="11">
        <f>B4 * 1.0936</f>
        <v>0</v>
      </c>
      <c r="F4" s="11">
        <f t="shared" si="0"/>
        <v>0</v>
      </c>
      <c r="G4" s="78" t="e">
        <f>100- (F4/E4 *100)</f>
        <v>#DIV/0!</v>
      </c>
      <c r="H4" s="28">
        <f>F4/1.0936</f>
        <v>0</v>
      </c>
      <c r="I4" s="28" t="e">
        <f>((B4*48)+(H4*10))/C4</f>
        <v>#DIV/0!</v>
      </c>
      <c r="J4" s="28"/>
      <c r="K4" s="28"/>
      <c r="L4" s="28"/>
    </row>
    <row r="5" spans="1:12" x14ac:dyDescent="0.3">
      <c r="A5" s="16">
        <v>1775</v>
      </c>
      <c r="B5" s="14">
        <v>11886</v>
      </c>
      <c r="C5" s="14">
        <v>7064</v>
      </c>
      <c r="D5" s="28">
        <f t="shared" ref="D5:D38" si="1">I5</f>
        <v>89.909683106321893</v>
      </c>
      <c r="E5" s="11">
        <f t="shared" ref="E5:E38" si="2">B5 * 1.0936</f>
        <v>12998.529599999998</v>
      </c>
      <c r="F5" s="11">
        <f t="shared" si="0"/>
        <v>7064</v>
      </c>
      <c r="G5" s="78">
        <f>100- (F5/E5 *100)</f>
        <v>45.655391668300695</v>
      </c>
      <c r="H5" s="28">
        <f t="shared" ref="H5:H38" si="3">F5/1.0936</f>
        <v>6459.4001463057793</v>
      </c>
      <c r="I5" s="28">
        <f>((B5*48)+(H5*10))/C5</f>
        <v>89.909683106321893</v>
      </c>
      <c r="J5" s="28"/>
      <c r="K5" s="28"/>
      <c r="L5" s="28"/>
    </row>
    <row r="6" spans="1:12" x14ac:dyDescent="0.3">
      <c r="A6" s="16">
        <v>2035</v>
      </c>
      <c r="B6" s="14"/>
      <c r="C6" s="14">
        <v>3059</v>
      </c>
      <c r="D6" s="28">
        <f t="shared" si="1"/>
        <v>9.1441111923920992</v>
      </c>
      <c r="E6" s="11">
        <f t="shared" si="2"/>
        <v>0</v>
      </c>
      <c r="F6" s="11">
        <f t="shared" si="0"/>
        <v>3059</v>
      </c>
      <c r="G6" s="78" t="e">
        <f t="shared" ref="G6:G18" si="4">100- (F6/E6 *100)</f>
        <v>#DIV/0!</v>
      </c>
      <c r="H6" s="28">
        <f t="shared" si="3"/>
        <v>2797.1836137527434</v>
      </c>
      <c r="I6" s="28">
        <f>((B6*48)+(H6*10))/C6</f>
        <v>9.1441111923920992</v>
      </c>
      <c r="J6" s="28"/>
      <c r="K6" s="28"/>
      <c r="L6" s="28"/>
    </row>
    <row r="7" spans="1:12" x14ac:dyDescent="0.3">
      <c r="A7" s="16">
        <v>2040</v>
      </c>
      <c r="B7" s="14">
        <v>13976</v>
      </c>
      <c r="C7" s="14">
        <v>10555</v>
      </c>
      <c r="D7" s="28">
        <f t="shared" si="1"/>
        <v>72.701477369559328</v>
      </c>
      <c r="E7" s="11">
        <f t="shared" si="2"/>
        <v>15284.153599999998</v>
      </c>
      <c r="F7" s="11">
        <f t="shared" si="0"/>
        <v>10555</v>
      </c>
      <c r="G7" s="78">
        <f t="shared" si="4"/>
        <v>30.941547198269447</v>
      </c>
      <c r="H7" s="28">
        <f t="shared" si="3"/>
        <v>9651.6093635698617</v>
      </c>
      <c r="I7" s="28">
        <f>((B7*48)+(H7*10))/C7</f>
        <v>72.701477369559328</v>
      </c>
      <c r="J7" s="28"/>
      <c r="K7" s="28"/>
      <c r="L7" s="28"/>
    </row>
    <row r="8" spans="1:12" x14ac:dyDescent="0.3">
      <c r="A8" s="16">
        <v>2080</v>
      </c>
      <c r="B8" s="14">
        <v>53024</v>
      </c>
      <c r="C8" s="14">
        <v>43060</v>
      </c>
      <c r="D8" s="28">
        <f t="shared" si="1"/>
        <v>68.251217555606232</v>
      </c>
      <c r="E8" s="11">
        <f t="shared" si="2"/>
        <v>57987.046399999992</v>
      </c>
      <c r="F8" s="11">
        <f t="shared" si="0"/>
        <v>43060</v>
      </c>
      <c r="G8" s="78">
        <f t="shared" si="4"/>
        <v>25.742036069628114</v>
      </c>
      <c r="H8" s="28">
        <f t="shared" si="3"/>
        <v>39374.542794440385</v>
      </c>
      <c r="I8" s="28">
        <f t="shared" ref="I8:I38" si="5">((B8*48)+(H8*10))/C8</f>
        <v>68.251217555606232</v>
      </c>
      <c r="J8" s="28"/>
      <c r="K8" s="28"/>
      <c r="L8" s="28"/>
    </row>
    <row r="9" spans="1:12" x14ac:dyDescent="0.3">
      <c r="A9" s="16">
        <v>2049</v>
      </c>
      <c r="B9" s="14">
        <v>55052</v>
      </c>
      <c r="C9" s="14">
        <v>34470</v>
      </c>
      <c r="D9" s="28">
        <f t="shared" si="1"/>
        <v>85.804859669328565</v>
      </c>
      <c r="E9" s="11">
        <f t="shared" si="2"/>
        <v>60204.867199999993</v>
      </c>
      <c r="F9" s="11">
        <f t="shared" si="0"/>
        <v>34470</v>
      </c>
      <c r="G9" s="78">
        <f t="shared" si="4"/>
        <v>42.745492842811217</v>
      </c>
      <c r="H9" s="28">
        <f t="shared" si="3"/>
        <v>31519.751280175569</v>
      </c>
      <c r="I9" s="28">
        <f t="shared" si="5"/>
        <v>85.804859669328565</v>
      </c>
      <c r="J9" s="28"/>
      <c r="K9" s="28"/>
      <c r="L9" s="28"/>
    </row>
    <row r="10" spans="1:12" x14ac:dyDescent="0.3">
      <c r="A10" s="16">
        <v>2078</v>
      </c>
      <c r="B10" s="14">
        <v>25072</v>
      </c>
      <c r="C10" s="14">
        <v>22243</v>
      </c>
      <c r="D10" s="28">
        <f t="shared" si="1"/>
        <v>63.249043081076181</v>
      </c>
      <c r="E10" s="11">
        <f t="shared" si="2"/>
        <v>27418.739199999996</v>
      </c>
      <c r="F10" s="11">
        <f t="shared" si="0"/>
        <v>22243</v>
      </c>
      <c r="G10" s="78">
        <f t="shared" si="4"/>
        <v>18.876649149498448</v>
      </c>
      <c r="H10" s="28">
        <f t="shared" si="3"/>
        <v>20339.246525237748</v>
      </c>
      <c r="I10" s="28">
        <f t="shared" si="5"/>
        <v>63.249043081076181</v>
      </c>
      <c r="J10" s="28"/>
      <c r="K10" s="28"/>
      <c r="L10" s="28"/>
    </row>
    <row r="11" spans="1:12" x14ac:dyDescent="0.3">
      <c r="A11" s="16">
        <v>2089</v>
      </c>
      <c r="B11" s="14">
        <v>7943</v>
      </c>
      <c r="C11" s="14">
        <v>5405</v>
      </c>
      <c r="D11" s="28"/>
      <c r="E11" s="11">
        <f t="shared" si="2"/>
        <v>8686.4647999999997</v>
      </c>
      <c r="F11" s="11">
        <f t="shared" si="0"/>
        <v>5405</v>
      </c>
      <c r="G11" s="78">
        <f t="shared" si="4"/>
        <v>37.776758158278611</v>
      </c>
      <c r="H11" s="28">
        <f t="shared" si="3"/>
        <v>4942.39209948793</v>
      </c>
      <c r="I11" s="28">
        <f t="shared" si="5"/>
        <v>79.683241627174709</v>
      </c>
      <c r="J11" s="28"/>
      <c r="K11" s="28"/>
      <c r="L11" s="28"/>
    </row>
    <row r="12" spans="1:12" x14ac:dyDescent="0.3">
      <c r="A12" s="16">
        <v>2045</v>
      </c>
      <c r="B12" s="14">
        <v>5552</v>
      </c>
      <c r="C12" s="14">
        <v>3923</v>
      </c>
      <c r="D12" s="28">
        <f t="shared" si="1"/>
        <v>77.075796127390817</v>
      </c>
      <c r="E12" s="11">
        <f t="shared" si="2"/>
        <v>6071.6671999999999</v>
      </c>
      <c r="F12" s="11">
        <f t="shared" si="0"/>
        <v>3923</v>
      </c>
      <c r="G12" s="78">
        <f t="shared" si="4"/>
        <v>35.388421816004666</v>
      </c>
      <c r="H12" s="28">
        <f t="shared" si="3"/>
        <v>3587.2348207754208</v>
      </c>
      <c r="I12" s="28">
        <f t="shared" si="5"/>
        <v>77.075796127390817</v>
      </c>
    </row>
    <row r="13" spans="1:12" x14ac:dyDescent="0.3">
      <c r="A13" s="16">
        <v>2085</v>
      </c>
      <c r="B13" s="14">
        <v>25013</v>
      </c>
      <c r="C13" s="14">
        <v>2608</v>
      </c>
      <c r="D13" s="28">
        <f t="shared" si="1"/>
        <v>469.50607438257617</v>
      </c>
      <c r="E13" s="11">
        <f t="shared" si="2"/>
        <v>27354.216799999998</v>
      </c>
      <c r="F13" s="11">
        <f t="shared" si="0"/>
        <v>2608</v>
      </c>
      <c r="G13" s="78">
        <f t="shared" si="4"/>
        <v>90.465820977188429</v>
      </c>
      <c r="H13" s="28">
        <f t="shared" si="3"/>
        <v>2384.7841989758599</v>
      </c>
      <c r="I13" s="28">
        <f t="shared" si="5"/>
        <v>469.50607438257617</v>
      </c>
    </row>
    <row r="14" spans="1:12" x14ac:dyDescent="0.3">
      <c r="A14" s="16">
        <v>2096</v>
      </c>
      <c r="B14" s="14">
        <v>73470</v>
      </c>
      <c r="C14" s="14">
        <v>74278</v>
      </c>
      <c r="D14" s="28">
        <f t="shared" si="1"/>
        <v>56.621964661790848</v>
      </c>
      <c r="E14" s="11">
        <f t="shared" si="2"/>
        <v>80346.791999999987</v>
      </c>
      <c r="F14" s="11">
        <f t="shared" si="0"/>
        <v>74278</v>
      </c>
      <c r="G14" s="78">
        <f t="shared" si="4"/>
        <v>7.5532474277255375</v>
      </c>
      <c r="H14" s="28">
        <f t="shared" si="3"/>
        <v>67920.629114850046</v>
      </c>
      <c r="I14" s="28">
        <f t="shared" si="5"/>
        <v>56.621964661790848</v>
      </c>
    </row>
    <row r="15" spans="1:12" x14ac:dyDescent="0.3">
      <c r="A15" s="16">
        <v>2100</v>
      </c>
      <c r="B15" s="14">
        <v>51893</v>
      </c>
      <c r="C15" s="14">
        <v>55739</v>
      </c>
      <c r="D15" s="28">
        <f t="shared" si="1"/>
        <v>53.832103441983946</v>
      </c>
      <c r="E15" s="11">
        <f>B15 * 1.0936</f>
        <v>56750.184799999995</v>
      </c>
      <c r="F15" s="11">
        <f t="shared" si="0"/>
        <v>55739</v>
      </c>
      <c r="G15" s="78">
        <f t="shared" si="4"/>
        <v>1.7818176338343648</v>
      </c>
      <c r="H15" s="28">
        <f t="shared" si="3"/>
        <v>50968.361375274326</v>
      </c>
      <c r="I15" s="28">
        <f>((B15*48)+(H15*10))/C15</f>
        <v>53.832103441983946</v>
      </c>
    </row>
    <row r="16" spans="1:12" x14ac:dyDescent="0.3">
      <c r="A16" s="16">
        <v>2058</v>
      </c>
      <c r="B16" s="14">
        <v>25007</v>
      </c>
      <c r="C16" s="14">
        <v>26901</v>
      </c>
      <c r="D16" s="28">
        <f t="shared" si="1"/>
        <v>53.76460857167168</v>
      </c>
      <c r="E16" s="11">
        <f t="shared" si="2"/>
        <v>27347.655199999997</v>
      </c>
      <c r="F16" s="11">
        <f t="shared" si="0"/>
        <v>26901</v>
      </c>
      <c r="G16" s="78">
        <f t="shared" si="4"/>
        <v>1.6332486157716346</v>
      </c>
      <c r="H16" s="28">
        <f t="shared" si="3"/>
        <v>24598.57351865399</v>
      </c>
      <c r="I16" s="28">
        <f>((B16*48)+(H16*10))/C16</f>
        <v>53.76460857167168</v>
      </c>
    </row>
    <row r="17" spans="1:9" x14ac:dyDescent="0.3">
      <c r="A17" s="16">
        <v>2069</v>
      </c>
      <c r="B17" s="14">
        <v>3875</v>
      </c>
      <c r="C17" s="14">
        <v>3905</v>
      </c>
      <c r="D17" s="28">
        <f t="shared" si="1"/>
        <v>56.775353189831286</v>
      </c>
      <c r="E17" s="11">
        <f t="shared" si="2"/>
        <v>4237.7</v>
      </c>
      <c r="F17" s="11">
        <f t="shared" si="0"/>
        <v>3905</v>
      </c>
      <c r="G17" s="78">
        <f t="shared" si="4"/>
        <v>7.8509568869905735</v>
      </c>
      <c r="H17" s="28">
        <f t="shared" si="3"/>
        <v>3570.7754206291152</v>
      </c>
      <c r="I17" s="28">
        <f>((B17*48)+(H17*10))/C17</f>
        <v>56.775353189831286</v>
      </c>
    </row>
    <row r="18" spans="1:9" x14ac:dyDescent="0.3">
      <c r="A18" s="16">
        <v>1809</v>
      </c>
      <c r="B18" s="14">
        <v>13927</v>
      </c>
      <c r="C18" s="14">
        <v>14396</v>
      </c>
      <c r="D18" s="28">
        <f t="shared" si="1"/>
        <v>55.580343479138413</v>
      </c>
      <c r="E18" s="11">
        <f t="shared" si="2"/>
        <v>15230.5672</v>
      </c>
      <c r="F18" s="11">
        <f t="shared" si="0"/>
        <v>14396</v>
      </c>
      <c r="G18" s="78">
        <f t="shared" si="4"/>
        <v>5.4795543005121914</v>
      </c>
      <c r="H18" s="28">
        <f t="shared" si="3"/>
        <v>13163.862472567667</v>
      </c>
      <c r="I18" s="28">
        <f>((B18*48)+(H18*10))/C18</f>
        <v>55.580343479138413</v>
      </c>
    </row>
    <row r="19" spans="1:9" x14ac:dyDescent="0.3">
      <c r="A19" s="16">
        <v>2060</v>
      </c>
      <c r="B19" s="14">
        <v>25162</v>
      </c>
      <c r="C19" s="14">
        <v>26931</v>
      </c>
      <c r="D19" s="28">
        <f t="shared" si="1"/>
        <v>53.991164773766727</v>
      </c>
      <c r="E19" s="11">
        <f t="shared" si="2"/>
        <v>27517.163199999999</v>
      </c>
      <c r="F19" s="11">
        <f t="shared" si="0"/>
        <v>26931</v>
      </c>
      <c r="G19" s="78">
        <f t="shared" ref="G19:G38" si="6">100- (F19/E19 *100)</f>
        <v>2.1301730695844441</v>
      </c>
      <c r="H19" s="28">
        <f t="shared" si="3"/>
        <v>24626.005852231167</v>
      </c>
      <c r="I19" s="28">
        <f t="shared" si="5"/>
        <v>53.991164773766727</v>
      </c>
    </row>
    <row r="20" spans="1:9" x14ac:dyDescent="0.3">
      <c r="A20" s="16">
        <v>2095</v>
      </c>
      <c r="B20" s="14">
        <v>101030</v>
      </c>
      <c r="C20" s="14">
        <v>108446</v>
      </c>
      <c r="D20" s="28">
        <f t="shared" si="1"/>
        <v>53.861666473361431</v>
      </c>
      <c r="E20" s="11">
        <f>B20 * 1.0936</f>
        <v>110486.408</v>
      </c>
      <c r="F20" s="11">
        <f t="shared" si="0"/>
        <v>108446</v>
      </c>
      <c r="G20" s="78">
        <f t="shared" si="6"/>
        <v>1.8467502355583747</v>
      </c>
      <c r="H20" s="28">
        <f t="shared" si="3"/>
        <v>99164.22823701537</v>
      </c>
      <c r="I20" s="28">
        <f t="shared" si="5"/>
        <v>53.861666473361431</v>
      </c>
    </row>
    <row r="21" spans="1:9" x14ac:dyDescent="0.3">
      <c r="A21" s="16">
        <v>2082</v>
      </c>
      <c r="B21" s="14">
        <v>83635</v>
      </c>
      <c r="C21" s="14">
        <v>85331</v>
      </c>
      <c r="D21" s="28">
        <f t="shared" si="1"/>
        <v>56.190085105741296</v>
      </c>
      <c r="E21" s="11">
        <f t="shared" si="2"/>
        <v>91463.23599999999</v>
      </c>
      <c r="F21" s="11">
        <f t="shared" si="0"/>
        <v>85331</v>
      </c>
      <c r="G21" s="78">
        <f t="shared" si="6"/>
        <v>6.704591121180087</v>
      </c>
      <c r="H21" s="28">
        <f t="shared" si="3"/>
        <v>78027.615215801037</v>
      </c>
      <c r="I21" s="28">
        <f t="shared" si="5"/>
        <v>56.190085105741296</v>
      </c>
    </row>
    <row r="22" spans="1:9" x14ac:dyDescent="0.3">
      <c r="A22" s="16">
        <v>2102</v>
      </c>
      <c r="B22" s="14">
        <v>9391</v>
      </c>
      <c r="C22" s="14">
        <v>9691</v>
      </c>
      <c r="D22" s="28">
        <f t="shared" si="1"/>
        <v>55.65819642611411</v>
      </c>
      <c r="E22" s="11">
        <f t="shared" si="2"/>
        <v>10269.997599999999</v>
      </c>
      <c r="F22" s="11">
        <f t="shared" si="0"/>
        <v>9691</v>
      </c>
      <c r="G22" s="78">
        <f t="shared" si="6"/>
        <v>5.6377578900310539</v>
      </c>
      <c r="H22" s="28">
        <f t="shared" si="3"/>
        <v>8861.5581565471839</v>
      </c>
      <c r="I22" s="28">
        <f t="shared" si="5"/>
        <v>55.65819642611411</v>
      </c>
    </row>
    <row r="23" spans="1:9" x14ac:dyDescent="0.3">
      <c r="A23" s="16">
        <v>2101</v>
      </c>
      <c r="B23" s="14">
        <v>72930</v>
      </c>
      <c r="C23" s="14">
        <v>77015</v>
      </c>
      <c r="D23" s="28">
        <f t="shared" si="1"/>
        <v>54.598113659443975</v>
      </c>
      <c r="E23" s="11">
        <f t="shared" si="2"/>
        <v>79756.247999999992</v>
      </c>
      <c r="F23" s="11">
        <f t="shared" si="0"/>
        <v>77015</v>
      </c>
      <c r="G23" s="78">
        <f t="shared" si="6"/>
        <v>3.4370322936956512</v>
      </c>
      <c r="H23" s="28">
        <f t="shared" si="3"/>
        <v>70423.372348207762</v>
      </c>
      <c r="I23" s="28">
        <f t="shared" si="5"/>
        <v>54.598113659443975</v>
      </c>
    </row>
    <row r="24" spans="1:9" x14ac:dyDescent="0.3">
      <c r="A24" s="16">
        <v>2084</v>
      </c>
      <c r="B24" s="14">
        <v>5816</v>
      </c>
      <c r="C24" s="14">
        <v>6358</v>
      </c>
      <c r="D24" s="28">
        <f t="shared" si="1"/>
        <v>53.052258408497799</v>
      </c>
      <c r="E24" s="11">
        <f t="shared" si="2"/>
        <v>6360.3775999999998</v>
      </c>
      <c r="F24" s="11">
        <f t="shared" si="0"/>
        <v>6358</v>
      </c>
      <c r="G24" s="78">
        <f t="shared" si="6"/>
        <v>3.7381428423373109E-2</v>
      </c>
      <c r="H24" s="28">
        <f t="shared" si="3"/>
        <v>5813.8258961228976</v>
      </c>
      <c r="I24" s="28">
        <f t="shared" si="5"/>
        <v>53.052258408497799</v>
      </c>
    </row>
    <row r="25" spans="1:9" x14ac:dyDescent="0.3">
      <c r="A25" s="16">
        <v>2103</v>
      </c>
      <c r="B25" s="14">
        <v>2069</v>
      </c>
      <c r="C25" s="14">
        <v>2212</v>
      </c>
      <c r="D25" s="28">
        <f t="shared" si="1"/>
        <v>54.041037051343281</v>
      </c>
      <c r="E25" s="11">
        <f t="shared" si="2"/>
        <v>2262.6583999999998</v>
      </c>
      <c r="F25" s="11">
        <f t="shared" si="0"/>
        <v>2212</v>
      </c>
      <c r="G25" s="78">
        <f t="shared" si="6"/>
        <v>2.2388885569293109</v>
      </c>
      <c r="H25" s="28">
        <f t="shared" si="3"/>
        <v>2022.6773957571327</v>
      </c>
      <c r="I25" s="28">
        <f t="shared" si="5"/>
        <v>54.041037051343281</v>
      </c>
    </row>
    <row r="26" spans="1:9" x14ac:dyDescent="0.3">
      <c r="A26" s="16">
        <v>2105</v>
      </c>
      <c r="B26" s="14">
        <v>14584</v>
      </c>
      <c r="C26" s="14">
        <v>15320</v>
      </c>
      <c r="D26" s="28">
        <f t="shared" si="1"/>
        <v>54.838105970459985</v>
      </c>
      <c r="E26" s="11">
        <f t="shared" si="2"/>
        <v>15949.062399999999</v>
      </c>
      <c r="F26" s="11">
        <f t="shared" si="0"/>
        <v>15320</v>
      </c>
      <c r="G26" s="78">
        <f t="shared" si="6"/>
        <v>3.9441967447565958</v>
      </c>
      <c r="H26" s="28">
        <f t="shared" si="3"/>
        <v>14008.778346744697</v>
      </c>
      <c r="I26" s="28">
        <f t="shared" si="5"/>
        <v>54.838105970459985</v>
      </c>
    </row>
    <row r="27" spans="1:9" x14ac:dyDescent="0.3">
      <c r="A27" s="16">
        <v>2104</v>
      </c>
      <c r="B27" s="14">
        <v>20046</v>
      </c>
      <c r="C27" s="14">
        <v>21160</v>
      </c>
      <c r="D27" s="28">
        <f t="shared" si="1"/>
        <v>54.617079056286236</v>
      </c>
      <c r="E27" s="11">
        <f t="shared" si="2"/>
        <v>21922.3056</v>
      </c>
      <c r="F27" s="11">
        <f t="shared" si="0"/>
        <v>21160</v>
      </c>
      <c r="G27" s="78">
        <f t="shared" si="6"/>
        <v>3.4773057811948433</v>
      </c>
      <c r="H27" s="28">
        <f t="shared" si="3"/>
        <v>19348.939283101685</v>
      </c>
      <c r="I27" s="28">
        <f t="shared" si="5"/>
        <v>54.617079056286236</v>
      </c>
    </row>
    <row r="28" spans="1:9" x14ac:dyDescent="0.3">
      <c r="A28" s="16">
        <v>2088</v>
      </c>
      <c r="B28" s="14">
        <v>19717</v>
      </c>
      <c r="C28" s="14">
        <v>21223</v>
      </c>
      <c r="D28" s="28">
        <f t="shared" si="1"/>
        <v>53.737995186172434</v>
      </c>
      <c r="E28" s="11">
        <f t="shared" si="2"/>
        <v>21562.511199999997</v>
      </c>
      <c r="F28" s="11">
        <f t="shared" si="0"/>
        <v>21223</v>
      </c>
      <c r="G28" s="78">
        <f t="shared" si="6"/>
        <v>1.5745438778021281</v>
      </c>
      <c r="H28" s="28">
        <f t="shared" si="3"/>
        <v>19406.547183613755</v>
      </c>
      <c r="I28" s="28">
        <f t="shared" si="5"/>
        <v>53.737995186172434</v>
      </c>
    </row>
    <row r="29" spans="1:9" x14ac:dyDescent="0.3">
      <c r="A29" s="16">
        <v>1996</v>
      </c>
      <c r="B29" s="14">
        <v>24005</v>
      </c>
      <c r="C29" s="14">
        <v>25442</v>
      </c>
      <c r="D29" s="28">
        <f t="shared" si="1"/>
        <v>54.433003575066422</v>
      </c>
      <c r="E29" s="11">
        <f t="shared" si="2"/>
        <v>26251.867999999999</v>
      </c>
      <c r="F29" s="11">
        <f t="shared" si="0"/>
        <v>25442</v>
      </c>
      <c r="G29" s="78">
        <f t="shared" si="6"/>
        <v>3.0849918946720294</v>
      </c>
      <c r="H29" s="28">
        <f t="shared" si="3"/>
        <v>23264.447695683983</v>
      </c>
      <c r="I29" s="28">
        <f t="shared" si="5"/>
        <v>54.433003575066422</v>
      </c>
    </row>
    <row r="30" spans="1:9" x14ac:dyDescent="0.3">
      <c r="A30" s="16">
        <v>2113</v>
      </c>
      <c r="B30" s="14">
        <v>46469</v>
      </c>
      <c r="C30" s="14">
        <v>49032</v>
      </c>
      <c r="D30" s="28">
        <f t="shared" si="1"/>
        <v>54.635055881574672</v>
      </c>
      <c r="E30" s="11">
        <f t="shared" si="2"/>
        <v>50818.498399999997</v>
      </c>
      <c r="F30" s="11">
        <f t="shared" si="0"/>
        <v>49032</v>
      </c>
      <c r="G30" s="78">
        <f t="shared" si="6"/>
        <v>3.5154490121652202</v>
      </c>
      <c r="H30" s="28">
        <f t="shared" si="3"/>
        <v>44835.405998536946</v>
      </c>
      <c r="I30" s="28">
        <f t="shared" si="5"/>
        <v>54.635055881574672</v>
      </c>
    </row>
    <row r="31" spans="1:9" x14ac:dyDescent="0.3">
      <c r="A31" s="16">
        <v>2107</v>
      </c>
      <c r="B31" s="14">
        <v>50292</v>
      </c>
      <c r="C31" s="14">
        <v>53561</v>
      </c>
      <c r="D31" s="28">
        <f t="shared" si="1"/>
        <v>54.214516898036138</v>
      </c>
      <c r="E31" s="11">
        <f t="shared" si="2"/>
        <v>54999.331199999993</v>
      </c>
      <c r="F31" s="11">
        <f t="shared" si="0"/>
        <v>53561</v>
      </c>
      <c r="G31" s="78">
        <f t="shared" si="6"/>
        <v>2.6151794369455814</v>
      </c>
      <c r="H31" s="28">
        <f t="shared" si="3"/>
        <v>48976.773957571328</v>
      </c>
      <c r="I31" s="28">
        <f t="shared" si="5"/>
        <v>54.214516898036138</v>
      </c>
    </row>
    <row r="32" spans="1:9" x14ac:dyDescent="0.3">
      <c r="A32" s="16">
        <v>2108</v>
      </c>
      <c r="B32" s="14">
        <v>46392</v>
      </c>
      <c r="C32" s="14">
        <v>48908</v>
      </c>
      <c r="D32" s="28">
        <f t="shared" si="1"/>
        <v>54.674821914564347</v>
      </c>
      <c r="E32" s="11">
        <f t="shared" si="2"/>
        <v>50734.291199999992</v>
      </c>
      <c r="F32" s="11">
        <f t="shared" si="0"/>
        <v>48908</v>
      </c>
      <c r="G32" s="78">
        <f t="shared" si="6"/>
        <v>3.5997175811534561</v>
      </c>
      <c r="H32" s="28">
        <f t="shared" si="3"/>
        <v>44722.019019751286</v>
      </c>
      <c r="I32" s="28">
        <f t="shared" si="5"/>
        <v>54.674821914564347</v>
      </c>
    </row>
    <row r="33" spans="1:9" x14ac:dyDescent="0.3">
      <c r="A33" s="16">
        <v>2114</v>
      </c>
      <c r="B33" s="14">
        <v>22835</v>
      </c>
      <c r="C33" s="14">
        <v>26713</v>
      </c>
      <c r="D33" s="28">
        <f t="shared" ref="D33:D37" si="7">I33</f>
        <v>50.175818600770043</v>
      </c>
      <c r="E33" s="11">
        <f t="shared" ref="E33:E37" si="8">B33 * 1.0936</f>
        <v>24972.355999999996</v>
      </c>
      <c r="F33" s="11">
        <f t="shared" ref="F33:F37" si="9">C33</f>
        <v>26713</v>
      </c>
      <c r="G33" s="78">
        <f t="shared" ref="G33:G37" si="10">100- (F33/E33 *100)</f>
        <v>-6.9702834606394646</v>
      </c>
      <c r="H33" s="28">
        <f t="shared" ref="H33:H37" si="11">F33/1.0936</f>
        <v>24426.664228237016</v>
      </c>
      <c r="I33" s="28">
        <f t="shared" ref="I33:I37" si="12">((B33*48)+(H33*10))/C33</f>
        <v>50.175818600770043</v>
      </c>
    </row>
    <row r="34" spans="1:9" x14ac:dyDescent="0.3">
      <c r="A34" s="16">
        <v>2109</v>
      </c>
      <c r="B34" s="14">
        <v>45985</v>
      </c>
      <c r="C34" s="14">
        <v>46245</v>
      </c>
      <c r="D34" s="28">
        <f t="shared" si="7"/>
        <v>56.874244179742085</v>
      </c>
      <c r="E34" s="11">
        <f t="shared" si="8"/>
        <v>50289.195999999996</v>
      </c>
      <c r="F34" s="11">
        <f t="shared" si="9"/>
        <v>46245</v>
      </c>
      <c r="G34" s="78">
        <f t="shared" si="10"/>
        <v>8.0418784185772267</v>
      </c>
      <c r="H34" s="28">
        <f t="shared" si="11"/>
        <v>42286.942209217268</v>
      </c>
      <c r="I34" s="28">
        <f t="shared" si="12"/>
        <v>56.874244179742085</v>
      </c>
    </row>
    <row r="35" spans="1:9" x14ac:dyDescent="0.3">
      <c r="A35" s="16">
        <v>2110</v>
      </c>
      <c r="B35" s="14">
        <v>26023</v>
      </c>
      <c r="C35" s="14">
        <v>28166</v>
      </c>
      <c r="D35" s="28">
        <f t="shared" si="7"/>
        <v>53.492048421675641</v>
      </c>
      <c r="E35" s="11">
        <f t="shared" si="8"/>
        <v>28458.752799999998</v>
      </c>
      <c r="F35" s="11">
        <f t="shared" si="9"/>
        <v>28166</v>
      </c>
      <c r="G35" s="78">
        <f t="shared" si="10"/>
        <v>1.0286916016923868</v>
      </c>
      <c r="H35" s="28">
        <f t="shared" si="11"/>
        <v>25755.30358449159</v>
      </c>
      <c r="I35" s="28">
        <f t="shared" si="12"/>
        <v>53.492048421675641</v>
      </c>
    </row>
    <row r="36" spans="1:9" x14ac:dyDescent="0.3">
      <c r="A36" s="16">
        <v>2106</v>
      </c>
      <c r="B36" s="14"/>
      <c r="C36" s="14">
        <v>2838</v>
      </c>
      <c r="D36" s="28">
        <f t="shared" si="7"/>
        <v>9.1441111923920992</v>
      </c>
      <c r="E36" s="11">
        <f t="shared" si="8"/>
        <v>0</v>
      </c>
      <c r="F36" s="11">
        <f t="shared" si="9"/>
        <v>2838</v>
      </c>
      <c r="G36" s="78" t="e">
        <f t="shared" si="10"/>
        <v>#DIV/0!</v>
      </c>
      <c r="H36" s="28">
        <f t="shared" si="11"/>
        <v>2595.0987564008778</v>
      </c>
      <c r="I36" s="28">
        <f t="shared" si="12"/>
        <v>9.1441111923920992</v>
      </c>
    </row>
    <row r="37" spans="1:9" x14ac:dyDescent="0.3">
      <c r="A37" s="16">
        <v>2119</v>
      </c>
      <c r="B37" s="14">
        <v>25082</v>
      </c>
      <c r="C37" s="14">
        <v>26623</v>
      </c>
      <c r="D37" s="28">
        <f t="shared" si="7"/>
        <v>54.365761645008263</v>
      </c>
      <c r="E37" s="11">
        <f t="shared" si="8"/>
        <v>27429.675199999998</v>
      </c>
      <c r="F37" s="11">
        <f t="shared" si="9"/>
        <v>26623</v>
      </c>
      <c r="G37" s="78">
        <f t="shared" si="10"/>
        <v>2.9408849872199596</v>
      </c>
      <c r="H37" s="28">
        <f t="shared" si="11"/>
        <v>24344.367227505489</v>
      </c>
      <c r="I37" s="28">
        <f t="shared" si="12"/>
        <v>54.365761645008263</v>
      </c>
    </row>
    <row r="38" spans="1:9" x14ac:dyDescent="0.3">
      <c r="A38" s="16">
        <v>2112</v>
      </c>
      <c r="B38" s="14">
        <v>13945</v>
      </c>
      <c r="C38" s="14">
        <v>14730</v>
      </c>
      <c r="D38" s="28">
        <f t="shared" si="1"/>
        <v>54.586066385874794</v>
      </c>
      <c r="E38" s="11">
        <f t="shared" si="2"/>
        <v>15250.251999999999</v>
      </c>
      <c r="F38" s="11">
        <f t="shared" si="0"/>
        <v>14730</v>
      </c>
      <c r="G38" s="78">
        <f t="shared" si="6"/>
        <v>3.411432152071967</v>
      </c>
      <c r="H38" s="28">
        <f t="shared" si="3"/>
        <v>13469.275786393564</v>
      </c>
      <c r="I38" s="28">
        <f t="shared" si="5"/>
        <v>54.586066385874794</v>
      </c>
    </row>
    <row r="39" spans="1:9" x14ac:dyDescent="0.3">
      <c r="A39" s="16">
        <v>2115</v>
      </c>
      <c r="B39" s="14">
        <v>18783</v>
      </c>
      <c r="C39" s="14">
        <v>20050</v>
      </c>
      <c r="D39" s="28">
        <f t="shared" ref="D39:D44" si="13">I39</f>
        <v>54.110894234786109</v>
      </c>
      <c r="E39" s="11">
        <f t="shared" ref="E39:E44" si="14">B39 * 1.0936</f>
        <v>20541.088799999998</v>
      </c>
      <c r="F39" s="11">
        <f t="shared" ref="F39:F44" si="15">C39</f>
        <v>20050</v>
      </c>
      <c r="G39" s="78">
        <f t="shared" ref="G39:G44" si="16">100- (F39/E39 *100)</f>
        <v>2.3907632393858194</v>
      </c>
      <c r="H39" s="28">
        <f t="shared" ref="H39:H44" si="17">F39/1.0936</f>
        <v>18333.942940746161</v>
      </c>
      <c r="I39" s="28">
        <f t="shared" ref="I39:I44" si="18">((B39*48)+(H39*10))/C39</f>
        <v>54.110894234786109</v>
      </c>
    </row>
    <row r="40" spans="1:9" x14ac:dyDescent="0.3">
      <c r="A40" s="16">
        <v>1980</v>
      </c>
      <c r="B40" s="14">
        <v>24845</v>
      </c>
      <c r="C40" s="14">
        <v>26443</v>
      </c>
      <c r="D40" s="28">
        <f t="shared" si="13"/>
        <v>54.243381320592377</v>
      </c>
      <c r="E40" s="11">
        <f t="shared" si="14"/>
        <v>27170.491999999998</v>
      </c>
      <c r="F40" s="11">
        <f t="shared" si="15"/>
        <v>26443</v>
      </c>
      <c r="G40" s="78">
        <f t="shared" si="16"/>
        <v>2.6775076432182345</v>
      </c>
      <c r="H40" s="28">
        <f t="shared" si="17"/>
        <v>24179.773226042431</v>
      </c>
      <c r="I40" s="28">
        <f t="shared" si="18"/>
        <v>54.243381320592377</v>
      </c>
    </row>
    <row r="41" spans="1:9" x14ac:dyDescent="0.3">
      <c r="A41" s="16">
        <v>2093</v>
      </c>
      <c r="B41" s="14">
        <v>30363</v>
      </c>
      <c r="C41" s="14">
        <v>32283</v>
      </c>
      <c r="D41" s="28">
        <f t="shared" si="13"/>
        <v>54.289357916674227</v>
      </c>
      <c r="E41" s="11">
        <f t="shared" si="14"/>
        <v>33204.976799999997</v>
      </c>
      <c r="F41" s="11">
        <f t="shared" si="15"/>
        <v>32283</v>
      </c>
      <c r="G41" s="78">
        <f t="shared" si="16"/>
        <v>2.7766223284938292</v>
      </c>
      <c r="H41" s="28">
        <f t="shared" si="17"/>
        <v>29519.934162399419</v>
      </c>
      <c r="I41" s="28">
        <f t="shared" si="18"/>
        <v>54.289357916674227</v>
      </c>
    </row>
    <row r="42" spans="1:9" x14ac:dyDescent="0.3">
      <c r="A42" s="16">
        <v>2121</v>
      </c>
      <c r="B42" s="14">
        <v>52527</v>
      </c>
      <c r="C42" s="14">
        <v>55654</v>
      </c>
      <c r="D42" s="28">
        <f t="shared" si="13"/>
        <v>54.44716218603137</v>
      </c>
      <c r="E42" s="11">
        <f t="shared" si="14"/>
        <v>57443.527199999997</v>
      </c>
      <c r="F42" s="11">
        <f t="shared" si="15"/>
        <v>55654</v>
      </c>
      <c r="G42" s="78">
        <f t="shared" si="16"/>
        <v>3.1152808457764678</v>
      </c>
      <c r="H42" s="28">
        <f t="shared" si="17"/>
        <v>50890.636430138991</v>
      </c>
      <c r="I42" s="28">
        <f t="shared" si="18"/>
        <v>54.44716218603137</v>
      </c>
    </row>
    <row r="43" spans="1:9" x14ac:dyDescent="0.3">
      <c r="A43" s="16">
        <v>2127</v>
      </c>
      <c r="B43" s="14">
        <v>40476</v>
      </c>
      <c r="C43" s="14">
        <v>41559</v>
      </c>
      <c r="D43" s="28">
        <f t="shared" si="13"/>
        <v>55.893263000664682</v>
      </c>
      <c r="E43" s="11">
        <f t="shared" si="14"/>
        <v>44264.553599999999</v>
      </c>
      <c r="F43" s="11">
        <f t="shared" si="15"/>
        <v>41559</v>
      </c>
      <c r="G43" s="78">
        <f t="shared" si="16"/>
        <v>6.112235140670208</v>
      </c>
      <c r="H43" s="28">
        <f t="shared" si="17"/>
        <v>38002.011704462333</v>
      </c>
      <c r="I43" s="28">
        <f t="shared" si="18"/>
        <v>55.893263000664682</v>
      </c>
    </row>
    <row r="44" spans="1:9" x14ac:dyDescent="0.3">
      <c r="A44" s="16">
        <v>2118</v>
      </c>
      <c r="B44" s="14">
        <v>14074</v>
      </c>
      <c r="C44" s="14">
        <v>14324</v>
      </c>
      <c r="D44" s="28">
        <f t="shared" si="13"/>
        <v>56.306356375301903</v>
      </c>
      <c r="E44" s="11">
        <f t="shared" si="14"/>
        <v>15391.326399999998</v>
      </c>
      <c r="F44" s="11">
        <f t="shared" si="15"/>
        <v>14324</v>
      </c>
      <c r="G44" s="78">
        <f t="shared" si="16"/>
        <v>6.9345966180016632</v>
      </c>
      <c r="H44" s="28">
        <f t="shared" si="17"/>
        <v>13098.024871982445</v>
      </c>
      <c r="I44" s="28">
        <f t="shared" si="18"/>
        <v>56.306356375301903</v>
      </c>
    </row>
    <row r="45" spans="1:9" x14ac:dyDescent="0.3">
      <c r="A45" s="16" t="s">
        <v>415</v>
      </c>
      <c r="B45" s="14">
        <v>24035</v>
      </c>
      <c r="C45" s="14">
        <v>25468</v>
      </c>
      <c r="D45" s="28">
        <f t="shared" ref="D45:D58" si="19">I45</f>
        <v>54.443310187209129</v>
      </c>
      <c r="E45" s="11">
        <f t="shared" ref="E45:E58" si="20">B45 * 1.0936</f>
        <v>26284.675999999999</v>
      </c>
      <c r="F45" s="11">
        <f t="shared" ref="F45:F58" si="21">C45</f>
        <v>25468</v>
      </c>
      <c r="G45" s="78">
        <f t="shared" ref="G45:G58" si="22">100- (F45/E45 *100)</f>
        <v>3.1070422933879769</v>
      </c>
      <c r="H45" s="28">
        <f t="shared" ref="H45:H58" si="23">F45/1.0936</f>
        <v>23288.2223847842</v>
      </c>
      <c r="I45" s="28">
        <f t="shared" ref="I45:I58" si="24">((B45*48)+(H45*10))/C45</f>
        <v>54.443310187209129</v>
      </c>
    </row>
    <row r="46" spans="1:9" x14ac:dyDescent="0.3">
      <c r="A46" s="16">
        <v>2111</v>
      </c>
      <c r="B46" s="14">
        <v>12102</v>
      </c>
      <c r="C46" s="14">
        <v>12155</v>
      </c>
      <c r="D46" s="28">
        <f t="shared" si="19"/>
        <v>56.934814606624926</v>
      </c>
      <c r="E46" s="11">
        <f t="shared" si="20"/>
        <v>13234.747199999998</v>
      </c>
      <c r="F46" s="11">
        <f t="shared" si="21"/>
        <v>12155</v>
      </c>
      <c r="G46" s="78">
        <f t="shared" si="22"/>
        <v>8.1584270835184327</v>
      </c>
      <c r="H46" s="28">
        <f t="shared" si="23"/>
        <v>11114.667154352597</v>
      </c>
      <c r="I46" s="28">
        <f t="shared" si="24"/>
        <v>56.934814606624926</v>
      </c>
    </row>
    <row r="47" spans="1:9" x14ac:dyDescent="0.3">
      <c r="A47" s="16">
        <v>1810</v>
      </c>
      <c r="B47" s="14">
        <v>14038</v>
      </c>
      <c r="C47" s="14">
        <v>13952</v>
      </c>
      <c r="D47" s="28">
        <f t="shared" si="19"/>
        <v>57.439982752025131</v>
      </c>
      <c r="E47" s="11">
        <f t="shared" si="20"/>
        <v>15351.956799999998</v>
      </c>
      <c r="F47" s="11">
        <f t="shared" si="21"/>
        <v>13952</v>
      </c>
      <c r="G47" s="78">
        <f t="shared" si="22"/>
        <v>9.1190772501392132</v>
      </c>
      <c r="H47" s="28">
        <f t="shared" si="23"/>
        <v>12757.863935625459</v>
      </c>
      <c r="I47" s="28">
        <f t="shared" si="24"/>
        <v>57.439982752025131</v>
      </c>
    </row>
    <row r="48" spans="1:9" x14ac:dyDescent="0.3">
      <c r="A48" s="16">
        <v>1743</v>
      </c>
      <c r="B48" s="14">
        <v>12042</v>
      </c>
      <c r="C48" s="14">
        <v>12864</v>
      </c>
      <c r="D48" s="28">
        <f t="shared" si="19"/>
        <v>54.076947013287622</v>
      </c>
      <c r="E48" s="11">
        <f t="shared" si="20"/>
        <v>13169.131199999998</v>
      </c>
      <c r="F48" s="11">
        <f t="shared" si="21"/>
        <v>12864</v>
      </c>
      <c r="G48" s="78">
        <f t="shared" si="22"/>
        <v>2.3170184529712685</v>
      </c>
      <c r="H48" s="28">
        <f t="shared" si="23"/>
        <v>11762.984637893198</v>
      </c>
      <c r="I48" s="28">
        <f t="shared" si="24"/>
        <v>54.076947013287622</v>
      </c>
    </row>
    <row r="49" spans="1:9" x14ac:dyDescent="0.3">
      <c r="A49" s="16">
        <v>2125</v>
      </c>
      <c r="B49" s="14">
        <v>6940</v>
      </c>
      <c r="C49" s="14">
        <v>7232</v>
      </c>
      <c r="D49" s="28">
        <f t="shared" si="19"/>
        <v>55.20605809504697</v>
      </c>
      <c r="E49" s="11">
        <f t="shared" si="20"/>
        <v>7589.5839999999989</v>
      </c>
      <c r="F49" s="11">
        <f t="shared" si="21"/>
        <v>7232</v>
      </c>
      <c r="G49" s="78">
        <f t="shared" si="22"/>
        <v>4.7115098798563793</v>
      </c>
      <c r="H49" s="28">
        <f t="shared" si="23"/>
        <v>6613.0212143379667</v>
      </c>
      <c r="I49" s="28">
        <f t="shared" si="24"/>
        <v>55.20605809504697</v>
      </c>
    </row>
    <row r="50" spans="1:9" x14ac:dyDescent="0.3">
      <c r="A50" s="16">
        <v>1702</v>
      </c>
      <c r="B50" s="14">
        <v>11866</v>
      </c>
      <c r="C50" s="14">
        <v>12182</v>
      </c>
      <c r="D50" s="28">
        <f t="shared" si="19"/>
        <v>55.898995447850979</v>
      </c>
      <c r="E50" s="11">
        <f t="shared" si="20"/>
        <v>12976.657599999999</v>
      </c>
      <c r="F50" s="11">
        <f t="shared" si="21"/>
        <v>12182</v>
      </c>
      <c r="G50" s="78">
        <f t="shared" si="22"/>
        <v>6.1237463798073719</v>
      </c>
      <c r="H50" s="28">
        <f t="shared" si="23"/>
        <v>11139.356254572056</v>
      </c>
      <c r="I50" s="28">
        <f t="shared" si="24"/>
        <v>55.898995447850979</v>
      </c>
    </row>
    <row r="51" spans="1:9" x14ac:dyDescent="0.3">
      <c r="A51" s="16">
        <v>1742</v>
      </c>
      <c r="B51" s="14">
        <v>12026</v>
      </c>
      <c r="C51" s="14">
        <v>11659</v>
      </c>
      <c r="D51" s="28">
        <f t="shared" si="19"/>
        <v>58.655046950175787</v>
      </c>
      <c r="E51" s="11">
        <f t="shared" si="20"/>
        <v>13151.633599999999</v>
      </c>
      <c r="F51" s="11">
        <f t="shared" si="21"/>
        <v>11659</v>
      </c>
      <c r="G51" s="78">
        <f t="shared" si="22"/>
        <v>11.349415938716533</v>
      </c>
      <c r="H51" s="28">
        <f t="shared" si="23"/>
        <v>10661.119239209949</v>
      </c>
      <c r="I51" s="28">
        <f t="shared" si="24"/>
        <v>58.655046950175787</v>
      </c>
    </row>
    <row r="52" spans="1:9" x14ac:dyDescent="0.3">
      <c r="A52" s="16">
        <v>2126</v>
      </c>
      <c r="B52" s="14">
        <v>6713</v>
      </c>
      <c r="C52" s="14">
        <v>7239</v>
      </c>
      <c r="D52" s="28">
        <f t="shared" si="19"/>
        <v>53.656336637895627</v>
      </c>
      <c r="E52" s="11">
        <f t="shared" si="20"/>
        <v>7341.3367999999991</v>
      </c>
      <c r="F52" s="11">
        <f t="shared" si="21"/>
        <v>7239</v>
      </c>
      <c r="G52" s="78">
        <f t="shared" si="22"/>
        <v>1.3939804532602125</v>
      </c>
      <c r="H52" s="28">
        <f t="shared" si="23"/>
        <v>6619.422092172641</v>
      </c>
      <c r="I52" s="28">
        <f t="shared" si="24"/>
        <v>53.656336637895627</v>
      </c>
    </row>
    <row r="53" spans="1:9" x14ac:dyDescent="0.3">
      <c r="A53" s="16">
        <v>2120</v>
      </c>
      <c r="B53" s="14">
        <v>50958</v>
      </c>
      <c r="C53" s="14">
        <v>53413</v>
      </c>
      <c r="D53" s="28">
        <f t="shared" si="19"/>
        <v>54.937906710337174</v>
      </c>
      <c r="E53" s="11">
        <f t="shared" si="20"/>
        <v>55727.668799999992</v>
      </c>
      <c r="F53" s="11">
        <f t="shared" si="21"/>
        <v>53413</v>
      </c>
      <c r="G53" s="78">
        <f t="shared" si="22"/>
        <v>4.1535360258959741</v>
      </c>
      <c r="H53" s="28">
        <f t="shared" si="23"/>
        <v>48841.441111923923</v>
      </c>
      <c r="I53" s="28">
        <f t="shared" si="24"/>
        <v>54.937906710337174</v>
      </c>
    </row>
    <row r="54" spans="1:9" x14ac:dyDescent="0.3">
      <c r="A54" s="16">
        <v>2128</v>
      </c>
      <c r="B54" s="14">
        <v>50106</v>
      </c>
      <c r="C54" s="14">
        <v>53245</v>
      </c>
      <c r="D54" s="28">
        <f t="shared" si="19"/>
        <v>54.314324357947555</v>
      </c>
      <c r="E54" s="11">
        <f t="shared" si="20"/>
        <v>54795.921599999994</v>
      </c>
      <c r="F54" s="11">
        <f t="shared" si="21"/>
        <v>53245</v>
      </c>
      <c r="G54" s="78">
        <f t="shared" si="22"/>
        <v>2.8303595499705807</v>
      </c>
      <c r="H54" s="28">
        <f t="shared" si="23"/>
        <v>48687.820043891741</v>
      </c>
      <c r="I54" s="28">
        <f t="shared" si="24"/>
        <v>54.314324357947555</v>
      </c>
    </row>
    <row r="55" spans="1:9" x14ac:dyDescent="0.3">
      <c r="A55" s="16">
        <v>2123</v>
      </c>
      <c r="B55" s="14">
        <v>28681</v>
      </c>
      <c r="C55" s="14">
        <v>30821</v>
      </c>
      <c r="D55" s="28">
        <f t="shared" si="19"/>
        <v>53.811318615902046</v>
      </c>
      <c r="E55" s="11">
        <f t="shared" si="20"/>
        <v>31365.541599999997</v>
      </c>
      <c r="F55" s="11">
        <f t="shared" si="21"/>
        <v>30821</v>
      </c>
      <c r="G55" s="78">
        <f t="shared" si="22"/>
        <v>1.7361141310564818</v>
      </c>
      <c r="H55" s="28">
        <f t="shared" si="23"/>
        <v>28183.065106071692</v>
      </c>
      <c r="I55" s="28">
        <f t="shared" si="24"/>
        <v>53.811318615902046</v>
      </c>
    </row>
    <row r="56" spans="1:9" x14ac:dyDescent="0.3">
      <c r="A56" s="16">
        <v>2122</v>
      </c>
      <c r="B56" s="14">
        <v>35746</v>
      </c>
      <c r="C56" s="14">
        <v>38339</v>
      </c>
      <c r="D56" s="28">
        <f t="shared" si="19"/>
        <v>53.897704139521657</v>
      </c>
      <c r="E56" s="11">
        <f t="shared" si="20"/>
        <v>39091.825599999996</v>
      </c>
      <c r="F56" s="11">
        <f t="shared" si="21"/>
        <v>38339</v>
      </c>
      <c r="G56" s="78">
        <f t="shared" si="22"/>
        <v>1.9257877790184352</v>
      </c>
      <c r="H56" s="28">
        <f t="shared" si="23"/>
        <v>35057.60790051207</v>
      </c>
      <c r="I56" s="28">
        <f t="shared" si="24"/>
        <v>53.897704139521657</v>
      </c>
    </row>
    <row r="57" spans="1:9" x14ac:dyDescent="0.3">
      <c r="A57" s="16">
        <v>2116</v>
      </c>
      <c r="B57" s="14">
        <v>16029</v>
      </c>
      <c r="C57" s="14">
        <v>16617</v>
      </c>
      <c r="D57" s="28">
        <f t="shared" si="19"/>
        <v>55.445609657819077</v>
      </c>
      <c r="E57" s="11">
        <f t="shared" si="20"/>
        <v>17529.314399999999</v>
      </c>
      <c r="F57" s="11">
        <f t="shared" si="21"/>
        <v>16617</v>
      </c>
      <c r="G57" s="78">
        <f t="shared" si="22"/>
        <v>5.2045070285235937</v>
      </c>
      <c r="H57" s="28">
        <f t="shared" si="23"/>
        <v>15194.769568397953</v>
      </c>
      <c r="I57" s="28">
        <f t="shared" si="24"/>
        <v>55.445609657819077</v>
      </c>
    </row>
    <row r="58" spans="1:9" x14ac:dyDescent="0.3">
      <c r="A58" s="16">
        <v>2130</v>
      </c>
      <c r="B58" s="14">
        <v>6402</v>
      </c>
      <c r="C58" s="14">
        <v>6963</v>
      </c>
      <c r="D58" s="28">
        <f t="shared" si="19"/>
        <v>53.276812614193048</v>
      </c>
      <c r="E58" s="11">
        <f t="shared" si="20"/>
        <v>7001.2271999999994</v>
      </c>
      <c r="F58" s="11">
        <f t="shared" si="21"/>
        <v>6963</v>
      </c>
      <c r="G58" s="78">
        <f t="shared" si="22"/>
        <v>0.54600713429209691</v>
      </c>
      <c r="H58" s="28">
        <f t="shared" si="23"/>
        <v>6367.0446232626191</v>
      </c>
      <c r="I58" s="28">
        <f t="shared" si="24"/>
        <v>53.276812614193048</v>
      </c>
    </row>
    <row r="59" spans="1:9" x14ac:dyDescent="0.3">
      <c r="A59" s="16">
        <v>2129</v>
      </c>
      <c r="B59" s="14">
        <v>13663</v>
      </c>
      <c r="C59" s="14">
        <v>5660</v>
      </c>
      <c r="D59" s="28">
        <f t="shared" ref="D59:D73" si="25">I59</f>
        <v>125.01407585670306</v>
      </c>
      <c r="E59" s="11">
        <f t="shared" ref="E59:E73" si="26">B59 * 1.0936</f>
        <v>14941.8568</v>
      </c>
      <c r="F59" s="11">
        <f t="shared" ref="F59:F73" si="27">C59</f>
        <v>5660</v>
      </c>
      <c r="G59" s="78">
        <f t="shared" ref="G59:G73" si="28">100- (F59/E59 *100)</f>
        <v>62.119835066281723</v>
      </c>
      <c r="H59" s="28">
        <f t="shared" ref="H59:H73" si="29">F59/1.0936</f>
        <v>5175.5669348939291</v>
      </c>
      <c r="I59" s="28">
        <f t="shared" ref="I59:I73" si="30">((B59*48)+(H59*10))/C59</f>
        <v>125.01407585670306</v>
      </c>
    </row>
    <row r="60" spans="1:9" x14ac:dyDescent="0.3">
      <c r="A60" s="16">
        <v>2132</v>
      </c>
      <c r="B60" s="14">
        <v>12291</v>
      </c>
      <c r="C60" s="14">
        <v>12924</v>
      </c>
      <c r="D60" s="28">
        <f t="shared" si="25"/>
        <v>54.793136262029982</v>
      </c>
      <c r="E60" s="11">
        <f t="shared" si="26"/>
        <v>13441.437599999999</v>
      </c>
      <c r="F60" s="11">
        <f t="shared" si="27"/>
        <v>12924</v>
      </c>
      <c r="G60" s="78">
        <f t="shared" si="28"/>
        <v>3.849570376311533</v>
      </c>
      <c r="H60" s="28">
        <f t="shared" si="29"/>
        <v>11817.84930504755</v>
      </c>
      <c r="I60" s="28">
        <f t="shared" si="30"/>
        <v>54.793136262029982</v>
      </c>
    </row>
    <row r="61" spans="1:9" x14ac:dyDescent="0.3">
      <c r="A61" s="16">
        <v>2097</v>
      </c>
      <c r="B61" s="14">
        <v>9338</v>
      </c>
      <c r="C61" s="14">
        <v>9739</v>
      </c>
      <c r="D61" s="28">
        <f t="shared" si="25"/>
        <v>55.167727580111581</v>
      </c>
      <c r="E61" s="11">
        <f t="shared" si="26"/>
        <v>10212.0368</v>
      </c>
      <c r="F61" s="11">
        <f t="shared" si="27"/>
        <v>9739</v>
      </c>
      <c r="G61" s="78">
        <f t="shared" si="28"/>
        <v>4.632149386692376</v>
      </c>
      <c r="H61" s="28">
        <f t="shared" si="29"/>
        <v>8905.4498902706673</v>
      </c>
      <c r="I61" s="28">
        <f t="shared" si="30"/>
        <v>55.167727580111581</v>
      </c>
    </row>
    <row r="62" spans="1:9" x14ac:dyDescent="0.3">
      <c r="A62" s="16">
        <v>2139</v>
      </c>
      <c r="B62" s="14">
        <v>13663</v>
      </c>
      <c r="C62" s="14">
        <v>8959</v>
      </c>
      <c r="D62" s="28">
        <f t="shared" si="25"/>
        <v>82.346924006322226</v>
      </c>
      <c r="E62" s="11">
        <f t="shared" si="26"/>
        <v>14941.8568</v>
      </c>
      <c r="F62" s="11">
        <f t="shared" si="27"/>
        <v>8959</v>
      </c>
      <c r="G62" s="78">
        <f t="shared" si="28"/>
        <v>40.040919144667477</v>
      </c>
      <c r="H62" s="28">
        <f t="shared" si="29"/>
        <v>8192.2092172640823</v>
      </c>
      <c r="I62" s="28">
        <f t="shared" si="30"/>
        <v>82.346924006322226</v>
      </c>
    </row>
    <row r="63" spans="1:9" x14ac:dyDescent="0.3">
      <c r="A63" s="16">
        <v>2098</v>
      </c>
      <c r="B63" s="14">
        <v>1127</v>
      </c>
      <c r="C63" s="14">
        <v>1095</v>
      </c>
      <c r="D63" s="28">
        <f t="shared" si="25"/>
        <v>58.546850918419501</v>
      </c>
      <c r="E63" s="11">
        <f t="shared" si="26"/>
        <v>1232.4871999999998</v>
      </c>
      <c r="F63" s="11">
        <f t="shared" si="27"/>
        <v>1095</v>
      </c>
      <c r="G63" s="78">
        <f t="shared" si="28"/>
        <v>11.155263924850473</v>
      </c>
      <c r="H63" s="28">
        <f t="shared" si="29"/>
        <v>1001.280175566935</v>
      </c>
      <c r="I63" s="28">
        <f t="shared" si="30"/>
        <v>58.546850918419501</v>
      </c>
    </row>
    <row r="64" spans="1:9" x14ac:dyDescent="0.3">
      <c r="A64" s="16">
        <v>2081</v>
      </c>
      <c r="B64" s="14">
        <v>68014</v>
      </c>
      <c r="C64" s="14">
        <v>70488</v>
      </c>
      <c r="D64" s="28">
        <f t="shared" si="25"/>
        <v>55.459398900938233</v>
      </c>
      <c r="E64" s="11">
        <f t="shared" si="26"/>
        <v>74380.11039999999</v>
      </c>
      <c r="F64" s="11">
        <f t="shared" si="27"/>
        <v>70488</v>
      </c>
      <c r="G64" s="78">
        <f t="shared" si="28"/>
        <v>5.2327300659666491</v>
      </c>
      <c r="H64" s="28">
        <f t="shared" si="29"/>
        <v>64455.010972933436</v>
      </c>
      <c r="I64" s="28">
        <f t="shared" si="30"/>
        <v>55.459398900938233</v>
      </c>
    </row>
    <row r="65" spans="1:9" x14ac:dyDescent="0.3">
      <c r="A65" s="16">
        <v>2133</v>
      </c>
      <c r="B65" s="14">
        <v>30295</v>
      </c>
      <c r="C65" s="14">
        <v>31787</v>
      </c>
      <c r="D65" s="28">
        <f t="shared" si="25"/>
        <v>54.891114684385684</v>
      </c>
      <c r="E65" s="11">
        <f t="shared" si="26"/>
        <v>33130.611999999994</v>
      </c>
      <c r="F65" s="11">
        <f t="shared" si="27"/>
        <v>31787</v>
      </c>
      <c r="G65" s="78">
        <f t="shared" si="28"/>
        <v>4.0555000915769313</v>
      </c>
      <c r="H65" s="28">
        <f t="shared" si="29"/>
        <v>29066.386247256771</v>
      </c>
      <c r="I65" s="28">
        <f t="shared" si="30"/>
        <v>54.891114684385684</v>
      </c>
    </row>
    <row r="66" spans="1:9" x14ac:dyDescent="0.3">
      <c r="A66" s="16" t="s">
        <v>569</v>
      </c>
      <c r="B66" s="14">
        <v>78365</v>
      </c>
      <c r="C66" s="14">
        <v>84193</v>
      </c>
      <c r="D66" s="28">
        <f t="shared" si="25"/>
        <v>53.821459665543074</v>
      </c>
      <c r="E66" s="11">
        <f t="shared" si="26"/>
        <v>85699.963999999993</v>
      </c>
      <c r="F66" s="11">
        <f t="shared" si="27"/>
        <v>84193</v>
      </c>
      <c r="G66" s="78">
        <f t="shared" si="28"/>
        <v>1.7584184749482432</v>
      </c>
      <c r="H66" s="28">
        <f t="shared" si="29"/>
        <v>76987.015362106817</v>
      </c>
      <c r="I66" s="28">
        <f t="shared" si="30"/>
        <v>53.821459665543074</v>
      </c>
    </row>
    <row r="67" spans="1:9" x14ac:dyDescent="0.3">
      <c r="A67" s="16">
        <v>2151</v>
      </c>
      <c r="B67" s="14">
        <v>61027</v>
      </c>
      <c r="C67" s="14">
        <v>63341</v>
      </c>
      <c r="D67" s="28">
        <f t="shared" si="25"/>
        <v>55.390555043925858</v>
      </c>
      <c r="E67" s="11">
        <f t="shared" si="26"/>
        <v>66739.127199999988</v>
      </c>
      <c r="F67" s="11">
        <f t="shared" si="27"/>
        <v>63341</v>
      </c>
      <c r="G67" s="78">
        <f t="shared" si="28"/>
        <v>5.0916566376672563</v>
      </c>
      <c r="H67" s="28">
        <f t="shared" si="29"/>
        <v>57919.714703730802</v>
      </c>
      <c r="I67" s="28">
        <f t="shared" si="30"/>
        <v>55.390555043925858</v>
      </c>
    </row>
    <row r="68" spans="1:9" x14ac:dyDescent="0.3">
      <c r="A68" s="16">
        <v>2153</v>
      </c>
      <c r="B68" s="14">
        <v>20212</v>
      </c>
      <c r="C68" s="14">
        <v>21525</v>
      </c>
      <c r="D68" s="28">
        <f t="shared" si="25"/>
        <v>54.216166941521024</v>
      </c>
      <c r="E68" s="11">
        <f t="shared" si="26"/>
        <v>22103.843199999999</v>
      </c>
      <c r="F68" s="11">
        <f t="shared" si="27"/>
        <v>21525</v>
      </c>
      <c r="G68" s="78">
        <f t="shared" si="28"/>
        <v>2.6187445991292577</v>
      </c>
      <c r="H68" s="28">
        <f t="shared" si="29"/>
        <v>19682.699341623997</v>
      </c>
      <c r="I68" s="28">
        <f t="shared" si="30"/>
        <v>54.216166941521024</v>
      </c>
    </row>
    <row r="69" spans="1:9" x14ac:dyDescent="0.3">
      <c r="A69" s="16">
        <v>2148</v>
      </c>
      <c r="B69" s="14">
        <v>28859</v>
      </c>
      <c r="C69" s="14">
        <v>30894</v>
      </c>
      <c r="D69" s="28">
        <f t="shared" si="25"/>
        <v>53.982332206181191</v>
      </c>
      <c r="E69" s="11">
        <f t="shared" si="26"/>
        <v>31560.202399999998</v>
      </c>
      <c r="F69" s="11">
        <f t="shared" si="27"/>
        <v>30894</v>
      </c>
      <c r="G69" s="78">
        <f t="shared" si="28"/>
        <v>2.1108939402745932</v>
      </c>
      <c r="H69" s="28">
        <f t="shared" si="29"/>
        <v>28249.817117776154</v>
      </c>
      <c r="I69" s="28">
        <f t="shared" si="30"/>
        <v>53.982332206181191</v>
      </c>
    </row>
    <row r="70" spans="1:9" x14ac:dyDescent="0.3">
      <c r="A70" s="16">
        <v>2136</v>
      </c>
      <c r="B70" s="14">
        <v>24072</v>
      </c>
      <c r="C70" s="14">
        <v>25757</v>
      </c>
      <c r="D70" s="28">
        <f t="shared" si="25"/>
        <v>54.003993942712405</v>
      </c>
      <c r="E70" s="11">
        <f t="shared" si="26"/>
        <v>26325.139199999998</v>
      </c>
      <c r="F70" s="11">
        <f t="shared" si="27"/>
        <v>25757</v>
      </c>
      <c r="G70" s="78">
        <f t="shared" si="28"/>
        <v>2.1581621874196912</v>
      </c>
      <c r="H70" s="28">
        <f t="shared" si="29"/>
        <v>23552.487198244333</v>
      </c>
      <c r="I70" s="28">
        <f t="shared" si="30"/>
        <v>54.003993942712405</v>
      </c>
    </row>
    <row r="71" spans="1:9" x14ac:dyDescent="0.3">
      <c r="A71" s="16">
        <v>2134</v>
      </c>
      <c r="B71" s="14">
        <v>45364</v>
      </c>
      <c r="C71" s="14">
        <v>48061</v>
      </c>
      <c r="D71" s="28">
        <f t="shared" si="25"/>
        <v>54.450534279718624</v>
      </c>
      <c r="E71" s="11">
        <f t="shared" si="26"/>
        <v>49610.070399999997</v>
      </c>
      <c r="F71" s="11">
        <f t="shared" si="27"/>
        <v>48061</v>
      </c>
      <c r="G71" s="78">
        <f t="shared" si="28"/>
        <v>3.1224918398825707</v>
      </c>
      <c r="H71" s="28">
        <f t="shared" si="29"/>
        <v>43947.512801755671</v>
      </c>
      <c r="I71" s="28">
        <f t="shared" si="30"/>
        <v>54.450534279718624</v>
      </c>
    </row>
    <row r="72" spans="1:9" x14ac:dyDescent="0.3">
      <c r="A72" s="16">
        <v>2117</v>
      </c>
      <c r="B72" s="14">
        <v>16284</v>
      </c>
      <c r="C72" s="14">
        <v>17178</v>
      </c>
      <c r="D72" s="28">
        <f t="shared" si="25"/>
        <v>54.646032254215356</v>
      </c>
      <c r="E72" s="11">
        <f t="shared" si="26"/>
        <v>17808.182399999998</v>
      </c>
      <c r="F72" s="11">
        <f t="shared" si="27"/>
        <v>17178</v>
      </c>
      <c r="G72" s="78">
        <f t="shared" si="28"/>
        <v>3.5387238621275401</v>
      </c>
      <c r="H72" s="28">
        <f t="shared" si="29"/>
        <v>15707.754206291151</v>
      </c>
      <c r="I72" s="28">
        <f t="shared" si="30"/>
        <v>54.646032254215356</v>
      </c>
    </row>
    <row r="73" spans="1:9" x14ac:dyDescent="0.3">
      <c r="A73" s="16">
        <v>2131</v>
      </c>
      <c r="B73" s="14">
        <v>25617</v>
      </c>
      <c r="C73" s="14">
        <v>27435</v>
      </c>
      <c r="D73" s="28">
        <f t="shared" si="25"/>
        <v>53.963356681730538</v>
      </c>
      <c r="E73" s="11">
        <f t="shared" si="26"/>
        <v>28014.751199999999</v>
      </c>
      <c r="F73" s="11">
        <f t="shared" si="27"/>
        <v>27435</v>
      </c>
      <c r="G73" s="78">
        <f t="shared" si="28"/>
        <v>2.0694497547420525</v>
      </c>
      <c r="H73" s="28">
        <f t="shared" si="29"/>
        <v>25086.869056327727</v>
      </c>
      <c r="I73" s="28">
        <f t="shared" si="30"/>
        <v>53.963356681730538</v>
      </c>
    </row>
    <row r="74" spans="1:9" x14ac:dyDescent="0.3">
      <c r="A74" s="16">
        <v>2146</v>
      </c>
      <c r="B74" s="14">
        <v>20038</v>
      </c>
      <c r="C74" s="14">
        <v>21222</v>
      </c>
      <c r="D74" s="28">
        <f t="shared" ref="D74:D84" si="31">I74</f>
        <v>54.466135506782834</v>
      </c>
      <c r="E74" s="11">
        <f t="shared" ref="E74:E84" si="32">B74 * 1.0936</f>
        <v>21913.556799999998</v>
      </c>
      <c r="F74" s="11">
        <f t="shared" ref="F74:F84" si="33">C74</f>
        <v>21222</v>
      </c>
      <c r="G74" s="78">
        <f t="shared" ref="G74:G84" si="34">100- (F74/E74 *100)</f>
        <v>3.1558400414486698</v>
      </c>
      <c r="H74" s="28">
        <f t="shared" ref="H74:H84" si="35">F74/1.0936</f>
        <v>19405.632772494515</v>
      </c>
      <c r="I74" s="28">
        <f t="shared" ref="I74:I84" si="36">((B74*48)+(H74*10))/C74</f>
        <v>54.466135506782834</v>
      </c>
    </row>
    <row r="75" spans="1:9" x14ac:dyDescent="0.3">
      <c r="A75" s="16">
        <v>2152</v>
      </c>
      <c r="B75" s="14">
        <v>22707</v>
      </c>
      <c r="C75" s="14">
        <v>23910</v>
      </c>
      <c r="D75" s="28">
        <f t="shared" si="31"/>
        <v>54.729054730660607</v>
      </c>
      <c r="E75" s="11">
        <f t="shared" si="32"/>
        <v>24832.375199999999</v>
      </c>
      <c r="F75" s="11">
        <f t="shared" si="33"/>
        <v>23910</v>
      </c>
      <c r="G75" s="78">
        <f t="shared" si="34"/>
        <v>3.714405861586684</v>
      </c>
      <c r="H75" s="28">
        <f t="shared" si="35"/>
        <v>21863.569861009513</v>
      </c>
      <c r="I75" s="28">
        <f t="shared" si="36"/>
        <v>54.729054730660607</v>
      </c>
    </row>
    <row r="76" spans="1:9" x14ac:dyDescent="0.3">
      <c r="A76" s="16">
        <v>2162</v>
      </c>
      <c r="B76" s="14">
        <v>3017</v>
      </c>
      <c r="C76" s="14">
        <v>3252</v>
      </c>
      <c r="D76" s="28">
        <f t="shared" si="31"/>
        <v>53.675476506045243</v>
      </c>
      <c r="E76" s="11">
        <f t="shared" si="32"/>
        <v>3299.3911999999996</v>
      </c>
      <c r="F76" s="11">
        <f t="shared" si="33"/>
        <v>3252</v>
      </c>
      <c r="G76" s="78">
        <f t="shared" si="34"/>
        <v>1.4363619567149186</v>
      </c>
      <c r="H76" s="28">
        <f t="shared" si="35"/>
        <v>2973.6649597659111</v>
      </c>
      <c r="I76" s="28">
        <f t="shared" si="36"/>
        <v>53.675476506045243</v>
      </c>
    </row>
    <row r="77" spans="1:9" x14ac:dyDescent="0.3">
      <c r="A77" s="16">
        <v>2135</v>
      </c>
      <c r="B77" s="14">
        <v>14433</v>
      </c>
      <c r="C77" s="14">
        <v>10979</v>
      </c>
      <c r="D77" s="28">
        <f t="shared" si="31"/>
        <v>72.244940047479091</v>
      </c>
      <c r="E77" s="11">
        <f t="shared" si="32"/>
        <v>15783.928799999998</v>
      </c>
      <c r="F77" s="11">
        <f t="shared" si="33"/>
        <v>10979</v>
      </c>
      <c r="G77" s="78">
        <f t="shared" si="34"/>
        <v>30.441906200185073</v>
      </c>
      <c r="H77" s="28">
        <f t="shared" si="35"/>
        <v>10039.319678127287</v>
      </c>
      <c r="I77" s="28">
        <f t="shared" si="36"/>
        <v>72.244940047479091</v>
      </c>
    </row>
    <row r="78" spans="1:9" x14ac:dyDescent="0.3">
      <c r="A78" s="16">
        <v>2154</v>
      </c>
      <c r="B78" s="14">
        <v>10364</v>
      </c>
      <c r="C78" s="14">
        <v>11077</v>
      </c>
      <c r="D78" s="28">
        <f t="shared" si="31"/>
        <v>54.054465981594952</v>
      </c>
      <c r="E78" s="11">
        <f t="shared" si="32"/>
        <v>11334.070399999999</v>
      </c>
      <c r="F78" s="11">
        <f t="shared" si="33"/>
        <v>11077</v>
      </c>
      <c r="G78" s="78">
        <f t="shared" si="34"/>
        <v>2.2681207273955124</v>
      </c>
      <c r="H78" s="28">
        <f t="shared" si="35"/>
        <v>10128.93196781273</v>
      </c>
      <c r="I78" s="28">
        <f t="shared" si="36"/>
        <v>54.054465981594952</v>
      </c>
    </row>
    <row r="79" spans="1:9" x14ac:dyDescent="0.3">
      <c r="A79" s="16">
        <v>2158</v>
      </c>
      <c r="B79" s="14">
        <v>29532</v>
      </c>
      <c r="C79" s="14">
        <v>31473</v>
      </c>
      <c r="D79" s="28">
        <f t="shared" si="31"/>
        <v>54.183859548125582</v>
      </c>
      <c r="E79" s="11">
        <f t="shared" si="32"/>
        <v>32296.195199999998</v>
      </c>
      <c r="F79" s="11">
        <f t="shared" si="33"/>
        <v>31473</v>
      </c>
      <c r="G79" s="78">
        <f t="shared" si="34"/>
        <v>2.5488921989175992</v>
      </c>
      <c r="H79" s="28">
        <f t="shared" si="35"/>
        <v>28779.261155815657</v>
      </c>
      <c r="I79" s="28">
        <f t="shared" si="36"/>
        <v>54.183859548125582</v>
      </c>
    </row>
    <row r="80" spans="1:9" x14ac:dyDescent="0.3">
      <c r="A80" s="16">
        <v>2155</v>
      </c>
      <c r="B80" s="14">
        <v>44910</v>
      </c>
      <c r="C80" s="14">
        <v>46219</v>
      </c>
      <c r="D80" s="28">
        <f t="shared" si="31"/>
        <v>55.784670269827792</v>
      </c>
      <c r="E80" s="11">
        <f t="shared" si="32"/>
        <v>49113.575999999994</v>
      </c>
      <c r="F80" s="11">
        <f t="shared" si="33"/>
        <v>46219</v>
      </c>
      <c r="G80" s="78">
        <f t="shared" si="34"/>
        <v>5.8936372297549582</v>
      </c>
      <c r="H80" s="28">
        <f t="shared" si="35"/>
        <v>42263.167520117051</v>
      </c>
      <c r="I80" s="28">
        <f t="shared" si="36"/>
        <v>55.784670269827792</v>
      </c>
    </row>
    <row r="81" spans="1:9" x14ac:dyDescent="0.3">
      <c r="A81" s="16">
        <v>2166</v>
      </c>
      <c r="B81" s="14">
        <v>16758</v>
      </c>
      <c r="C81" s="14">
        <v>16701</v>
      </c>
      <c r="D81" s="28">
        <f t="shared" si="31"/>
        <v>57.307933717989371</v>
      </c>
      <c r="E81" s="11">
        <f t="shared" si="32"/>
        <v>18326.548799999997</v>
      </c>
      <c r="F81" s="11">
        <f t="shared" si="33"/>
        <v>16701</v>
      </c>
      <c r="G81" s="78">
        <f t="shared" si="34"/>
        <v>8.8699122662964101</v>
      </c>
      <c r="H81" s="28">
        <f t="shared" si="35"/>
        <v>15271.580102414047</v>
      </c>
      <c r="I81" s="28">
        <f t="shared" si="36"/>
        <v>57.307933717989371</v>
      </c>
    </row>
    <row r="82" spans="1:9" x14ac:dyDescent="0.3">
      <c r="A82" s="16">
        <v>2165</v>
      </c>
      <c r="B82" s="14">
        <v>5601</v>
      </c>
      <c r="C82" s="14">
        <v>5649</v>
      </c>
      <c r="D82" s="28">
        <f t="shared" si="31"/>
        <v>56.73625139419773</v>
      </c>
      <c r="E82" s="11">
        <f t="shared" si="32"/>
        <v>6125.2535999999991</v>
      </c>
      <c r="F82" s="11">
        <f t="shared" si="33"/>
        <v>5649</v>
      </c>
      <c r="G82" s="78">
        <f t="shared" si="34"/>
        <v>7.7752470526281456</v>
      </c>
      <c r="H82" s="28">
        <f t="shared" si="35"/>
        <v>5165.5084125822978</v>
      </c>
      <c r="I82" s="28">
        <f t="shared" si="36"/>
        <v>56.73625139419773</v>
      </c>
    </row>
    <row r="83" spans="1:9" x14ac:dyDescent="0.3">
      <c r="A83" s="16" t="s">
        <v>657</v>
      </c>
      <c r="B83" s="14">
        <v>23377</v>
      </c>
      <c r="C83" s="14">
        <v>12483</v>
      </c>
      <c r="D83" s="28">
        <f t="shared" si="31"/>
        <v>99.034041497607191</v>
      </c>
      <c r="E83" s="11">
        <f t="shared" si="32"/>
        <v>25565.087199999998</v>
      </c>
      <c r="F83" s="11">
        <f t="shared" si="33"/>
        <v>12483</v>
      </c>
      <c r="G83" s="78">
        <f t="shared" si="34"/>
        <v>51.171690116511705</v>
      </c>
      <c r="H83" s="28">
        <f t="shared" si="35"/>
        <v>11414.59400146306</v>
      </c>
      <c r="I83" s="28">
        <f t="shared" si="36"/>
        <v>99.034041497607191</v>
      </c>
    </row>
    <row r="84" spans="1:9" x14ac:dyDescent="0.3">
      <c r="A84" s="16">
        <v>2147</v>
      </c>
      <c r="B84" s="14">
        <v>37086</v>
      </c>
      <c r="C84" s="14">
        <v>4157</v>
      </c>
      <c r="D84" s="28">
        <f t="shared" si="31"/>
        <v>437.36831133672695</v>
      </c>
      <c r="E84" s="11">
        <f t="shared" si="32"/>
        <v>40557.249599999996</v>
      </c>
      <c r="F84" s="11">
        <f t="shared" si="33"/>
        <v>4157</v>
      </c>
      <c r="G84" s="78">
        <f t="shared" si="34"/>
        <v>89.750291153865618</v>
      </c>
      <c r="H84" s="28">
        <f t="shared" si="35"/>
        <v>3801.2070226773963</v>
      </c>
      <c r="I84" s="28">
        <f t="shared" si="36"/>
        <v>437.36831133672695</v>
      </c>
    </row>
    <row r="85" spans="1:9" x14ac:dyDescent="0.3">
      <c r="A85" s="16">
        <v>2144</v>
      </c>
      <c r="B85" s="14">
        <v>2940</v>
      </c>
      <c r="C85" s="14">
        <v>3292</v>
      </c>
      <c r="D85" s="28">
        <f t="shared" ref="D85:D119" si="37">I85</f>
        <v>52.011668908066461</v>
      </c>
      <c r="E85" s="11">
        <f t="shared" ref="E85:E119" si="38">B85 * 1.0936</f>
        <v>3215.1839999999997</v>
      </c>
      <c r="F85" s="11">
        <f t="shared" ref="F85:F119" si="39">C85</f>
        <v>3292</v>
      </c>
      <c r="G85" s="78">
        <f t="shared" ref="G85:G119" si="40">100- (F85/E85 *100)</f>
        <v>-2.3891634195741318</v>
      </c>
      <c r="H85" s="28">
        <f t="shared" ref="H85:H119" si="41">F85/1.0936</f>
        <v>3010.2414045354794</v>
      </c>
      <c r="I85" s="28">
        <f t="shared" ref="I85:I119" si="42">((B85*48)+(H85*10))/C85</f>
        <v>52.011668908066461</v>
      </c>
    </row>
    <row r="86" spans="1:9" x14ac:dyDescent="0.3">
      <c r="A86" s="16">
        <v>2143</v>
      </c>
      <c r="B86" s="14">
        <v>5180</v>
      </c>
      <c r="C86" s="14">
        <v>5214</v>
      </c>
      <c r="D86" s="28">
        <f t="shared" si="37"/>
        <v>56.831107740148134</v>
      </c>
      <c r="E86" s="11">
        <f t="shared" si="38"/>
        <v>5664.848</v>
      </c>
      <c r="F86" s="11">
        <f t="shared" si="39"/>
        <v>5214</v>
      </c>
      <c r="G86" s="78">
        <f t="shared" si="40"/>
        <v>7.9586954495513282</v>
      </c>
      <c r="H86" s="28">
        <f t="shared" si="41"/>
        <v>4767.7395757132408</v>
      </c>
      <c r="I86" s="28">
        <f t="shared" si="42"/>
        <v>56.831107740148134</v>
      </c>
    </row>
    <row r="87" spans="1:9" x14ac:dyDescent="0.3">
      <c r="A87" s="16">
        <v>2142</v>
      </c>
      <c r="B87" s="14">
        <v>4200</v>
      </c>
      <c r="C87" s="14">
        <v>4467</v>
      </c>
      <c r="D87" s="28">
        <f t="shared" si="37"/>
        <v>54.275071568483433</v>
      </c>
      <c r="E87" s="11">
        <f t="shared" si="38"/>
        <v>4593.12</v>
      </c>
      <c r="F87" s="11">
        <f t="shared" si="39"/>
        <v>4467</v>
      </c>
      <c r="G87" s="78">
        <f t="shared" si="40"/>
        <v>2.745845960915446</v>
      </c>
      <c r="H87" s="28">
        <f t="shared" si="41"/>
        <v>4084.6744696415512</v>
      </c>
      <c r="I87" s="28">
        <f t="shared" si="42"/>
        <v>54.275071568483433</v>
      </c>
    </row>
    <row r="88" spans="1:9" x14ac:dyDescent="0.3">
      <c r="A88" s="16">
        <v>2140</v>
      </c>
      <c r="B88" s="14">
        <v>4200</v>
      </c>
      <c r="C88" s="14">
        <v>4253</v>
      </c>
      <c r="D88" s="28">
        <f t="shared" si="37"/>
        <v>56.545945191921845</v>
      </c>
      <c r="E88" s="11">
        <f t="shared" si="38"/>
        <v>4593.12</v>
      </c>
      <c r="F88" s="11">
        <f t="shared" si="39"/>
        <v>4253</v>
      </c>
      <c r="G88" s="78">
        <f t="shared" si="40"/>
        <v>7.4049883303723902</v>
      </c>
      <c r="H88" s="28">
        <f t="shared" si="41"/>
        <v>3888.9904901243603</v>
      </c>
      <c r="I88" s="28">
        <f t="shared" si="42"/>
        <v>56.545945191921845</v>
      </c>
    </row>
    <row r="89" spans="1:9" x14ac:dyDescent="0.3">
      <c r="A89" s="16">
        <v>2141</v>
      </c>
      <c r="B89" s="14">
        <v>2968</v>
      </c>
      <c r="C89" s="14">
        <v>3096</v>
      </c>
      <c r="D89" s="28">
        <f t="shared" si="37"/>
        <v>55.159615068361084</v>
      </c>
      <c r="E89" s="11">
        <f t="shared" si="38"/>
        <v>3245.8047999999999</v>
      </c>
      <c r="F89" s="11">
        <f t="shared" si="39"/>
        <v>3096</v>
      </c>
      <c r="G89" s="78">
        <f t="shared" si="40"/>
        <v>4.6153360793600342</v>
      </c>
      <c r="H89" s="28">
        <f t="shared" si="41"/>
        <v>2831.0168251645941</v>
      </c>
      <c r="I89" s="28">
        <f t="shared" si="42"/>
        <v>55.159615068361084</v>
      </c>
    </row>
    <row r="90" spans="1:9" x14ac:dyDescent="0.3">
      <c r="A90" s="16" t="s">
        <v>658</v>
      </c>
      <c r="B90" s="14">
        <v>3710</v>
      </c>
      <c r="C90" s="14">
        <v>3636</v>
      </c>
      <c r="D90" s="28">
        <f t="shared" si="37"/>
        <v>58.121008882161078</v>
      </c>
      <c r="E90" s="11">
        <f t="shared" si="38"/>
        <v>4057.2559999999999</v>
      </c>
      <c r="F90" s="11">
        <f t="shared" si="39"/>
        <v>3636</v>
      </c>
      <c r="G90" s="78">
        <f t="shared" si="40"/>
        <v>10.382780874561519</v>
      </c>
      <c r="H90" s="28">
        <f t="shared" si="41"/>
        <v>3324.7988295537675</v>
      </c>
      <c r="I90" s="28">
        <f t="shared" si="42"/>
        <v>58.121008882161078</v>
      </c>
    </row>
    <row r="91" spans="1:9" x14ac:dyDescent="0.3">
      <c r="A91" s="16" t="s">
        <v>659</v>
      </c>
      <c r="B91" s="14">
        <v>5362</v>
      </c>
      <c r="C91" s="14">
        <v>5154</v>
      </c>
      <c r="D91" s="28">
        <f t="shared" si="37"/>
        <v>59.081247397281508</v>
      </c>
      <c r="E91" s="11">
        <f t="shared" si="38"/>
        <v>5863.8831999999993</v>
      </c>
      <c r="F91" s="11">
        <f t="shared" si="39"/>
        <v>5154</v>
      </c>
      <c r="G91" s="78">
        <f t="shared" si="40"/>
        <v>12.106025577044221</v>
      </c>
      <c r="H91" s="28">
        <f t="shared" si="41"/>
        <v>4712.8749085588888</v>
      </c>
      <c r="I91" s="28">
        <f t="shared" si="42"/>
        <v>59.081247397281508</v>
      </c>
    </row>
    <row r="92" spans="1:9" x14ac:dyDescent="0.3">
      <c r="A92" s="16">
        <v>2167</v>
      </c>
      <c r="B92" s="14">
        <v>47687</v>
      </c>
      <c r="C92" s="14">
        <v>49771</v>
      </c>
      <c r="D92" s="28">
        <f t="shared" si="37"/>
        <v>55.134266101877543</v>
      </c>
      <c r="E92" s="11">
        <f t="shared" si="38"/>
        <v>52150.503199999992</v>
      </c>
      <c r="F92" s="11">
        <f t="shared" si="39"/>
        <v>49771</v>
      </c>
      <c r="G92" s="78">
        <f t="shared" si="40"/>
        <v>4.562761726141872</v>
      </c>
      <c r="H92" s="28">
        <f t="shared" si="41"/>
        <v>45511.155815654725</v>
      </c>
      <c r="I92" s="28">
        <f t="shared" si="42"/>
        <v>55.134266101877543</v>
      </c>
    </row>
    <row r="93" spans="1:9" x14ac:dyDescent="0.3">
      <c r="A93" s="16">
        <v>2171</v>
      </c>
      <c r="B93" s="14">
        <v>15000</v>
      </c>
      <c r="C93" s="14">
        <v>1535</v>
      </c>
      <c r="D93" s="28">
        <f t="shared" si="37"/>
        <v>478.19948578522599</v>
      </c>
      <c r="E93" s="11">
        <f t="shared" si="38"/>
        <v>16404</v>
      </c>
      <c r="F93" s="11">
        <f t="shared" si="39"/>
        <v>1535</v>
      </c>
      <c r="G93" s="78">
        <f t="shared" si="40"/>
        <v>90.642526213118757</v>
      </c>
      <c r="H93" s="28">
        <f t="shared" si="41"/>
        <v>1403.6210680321874</v>
      </c>
      <c r="I93" s="28">
        <f t="shared" si="42"/>
        <v>478.19948578522599</v>
      </c>
    </row>
    <row r="94" spans="1:9" x14ac:dyDescent="0.3">
      <c r="A94" s="16">
        <v>2178</v>
      </c>
      <c r="B94" s="14">
        <v>15645</v>
      </c>
      <c r="C94" s="14">
        <v>10649</v>
      </c>
      <c r="D94" s="28">
        <f t="shared" si="37"/>
        <v>79.663408779019946</v>
      </c>
      <c r="E94" s="11">
        <f t="shared" si="38"/>
        <v>17109.371999999999</v>
      </c>
      <c r="F94" s="11">
        <f t="shared" si="39"/>
        <v>10649</v>
      </c>
      <c r="G94" s="78">
        <f t="shared" si="40"/>
        <v>37.759258492947602</v>
      </c>
      <c r="H94" s="28">
        <f t="shared" si="41"/>
        <v>9737.5640087783468</v>
      </c>
      <c r="I94" s="28">
        <f t="shared" si="42"/>
        <v>79.663408779019946</v>
      </c>
    </row>
    <row r="95" spans="1:9" x14ac:dyDescent="0.3">
      <c r="A95" s="16">
        <v>2150</v>
      </c>
      <c r="B95" s="14">
        <v>14993</v>
      </c>
      <c r="C95" s="14">
        <v>12342</v>
      </c>
      <c r="D95" s="28">
        <f t="shared" si="37"/>
        <v>67.454271620199577</v>
      </c>
      <c r="E95" s="11">
        <f t="shared" si="38"/>
        <v>16396.344799999999</v>
      </c>
      <c r="F95" s="11">
        <f t="shared" si="39"/>
        <v>12342</v>
      </c>
      <c r="G95" s="78">
        <f t="shared" si="40"/>
        <v>24.727125767689387</v>
      </c>
      <c r="H95" s="28">
        <f t="shared" si="41"/>
        <v>11285.662033650331</v>
      </c>
      <c r="I95" s="28">
        <f t="shared" si="42"/>
        <v>67.454271620199577</v>
      </c>
    </row>
    <row r="96" spans="1:9" x14ac:dyDescent="0.3">
      <c r="A96" s="16">
        <v>2172</v>
      </c>
      <c r="B96" s="14">
        <v>78482</v>
      </c>
      <c r="C96" s="14">
        <v>83675</v>
      </c>
      <c r="D96" s="28">
        <f t="shared" si="37"/>
        <v>54.165156904970523</v>
      </c>
      <c r="E96" s="11">
        <f t="shared" si="38"/>
        <v>85827.915199999989</v>
      </c>
      <c r="F96" s="11">
        <f t="shared" si="39"/>
        <v>83675</v>
      </c>
      <c r="G96" s="78">
        <f t="shared" si="40"/>
        <v>2.5084090589677857</v>
      </c>
      <c r="H96" s="28">
        <f t="shared" si="41"/>
        <v>76513.350402340904</v>
      </c>
      <c r="I96" s="28">
        <f t="shared" si="42"/>
        <v>54.165156904970523</v>
      </c>
    </row>
    <row r="97" spans="1:9" x14ac:dyDescent="0.3">
      <c r="A97" s="16">
        <v>2170</v>
      </c>
      <c r="B97" s="14">
        <v>83592</v>
      </c>
      <c r="C97" s="14">
        <v>88631</v>
      </c>
      <c r="D97" s="28">
        <f t="shared" si="37"/>
        <v>54.415133746577432</v>
      </c>
      <c r="E97" s="11">
        <f t="shared" si="38"/>
        <v>91416.211199999991</v>
      </c>
      <c r="F97" s="11">
        <f t="shared" si="39"/>
        <v>88631</v>
      </c>
      <c r="G97" s="78">
        <f t="shared" si="40"/>
        <v>3.0467366383261378</v>
      </c>
      <c r="H97" s="28">
        <f t="shared" si="41"/>
        <v>81045.171909290424</v>
      </c>
      <c r="I97" s="28">
        <f t="shared" si="42"/>
        <v>54.415133746577432</v>
      </c>
    </row>
    <row r="98" spans="1:9" x14ac:dyDescent="0.3">
      <c r="A98" s="16">
        <v>2157</v>
      </c>
      <c r="B98" s="14">
        <v>50133</v>
      </c>
      <c r="C98" s="14">
        <v>51781</v>
      </c>
      <c r="D98" s="28">
        <f t="shared" si="37"/>
        <v>55.616446604995176</v>
      </c>
      <c r="E98" s="11">
        <f t="shared" si="38"/>
        <v>54825.448799999998</v>
      </c>
      <c r="F98" s="11">
        <f t="shared" si="39"/>
        <v>51781</v>
      </c>
      <c r="G98" s="78">
        <f t="shared" si="40"/>
        <v>5.5529847299672213</v>
      </c>
      <c r="H98" s="28">
        <f t="shared" si="41"/>
        <v>47349.122165325534</v>
      </c>
      <c r="I98" s="28">
        <f t="shared" si="42"/>
        <v>55.616446604995176</v>
      </c>
    </row>
    <row r="99" spans="1:9" x14ac:dyDescent="0.3">
      <c r="A99" s="16">
        <v>2177</v>
      </c>
      <c r="B99" s="14">
        <v>7882</v>
      </c>
      <c r="C99" s="14">
        <v>8164</v>
      </c>
      <c r="D99" s="28">
        <f t="shared" si="37"/>
        <v>55.486100413362216</v>
      </c>
      <c r="E99" s="11">
        <f t="shared" si="38"/>
        <v>8619.7551999999996</v>
      </c>
      <c r="F99" s="11">
        <f t="shared" si="39"/>
        <v>8164</v>
      </c>
      <c r="G99" s="78">
        <f t="shared" si="40"/>
        <v>5.2873334500265088</v>
      </c>
      <c r="H99" s="28">
        <f t="shared" si="41"/>
        <v>7465.2523774689107</v>
      </c>
      <c r="I99" s="28">
        <f t="shared" si="42"/>
        <v>55.486100413362216</v>
      </c>
    </row>
    <row r="100" spans="1:9" x14ac:dyDescent="0.3">
      <c r="A100" s="16">
        <v>2180</v>
      </c>
      <c r="B100" s="14">
        <v>34252</v>
      </c>
      <c r="C100" s="14">
        <v>34786</v>
      </c>
      <c r="D100" s="28">
        <f t="shared" si="37"/>
        <v>56.407263035087432</v>
      </c>
      <c r="E100" s="11">
        <f t="shared" si="38"/>
        <v>37457.987199999996</v>
      </c>
      <c r="F100" s="11">
        <f t="shared" si="39"/>
        <v>34786</v>
      </c>
      <c r="G100" s="78">
        <f t="shared" si="40"/>
        <v>7.1332909206610964</v>
      </c>
      <c r="H100" s="28">
        <f t="shared" si="41"/>
        <v>31808.705193855159</v>
      </c>
      <c r="I100" s="28">
        <f t="shared" si="42"/>
        <v>56.407263035087432</v>
      </c>
    </row>
    <row r="101" spans="1:9" x14ac:dyDescent="0.3">
      <c r="A101" s="16">
        <v>2156</v>
      </c>
      <c r="B101" s="14">
        <v>23596</v>
      </c>
      <c r="C101" s="14">
        <v>25362</v>
      </c>
      <c r="D101" s="28">
        <f t="shared" si="37"/>
        <v>53.801788031758086</v>
      </c>
      <c r="E101" s="11">
        <f t="shared" si="38"/>
        <v>25804.585599999999</v>
      </c>
      <c r="F101" s="11">
        <f t="shared" si="39"/>
        <v>25362</v>
      </c>
      <c r="G101" s="78">
        <f t="shared" si="40"/>
        <v>1.7151432185758466</v>
      </c>
      <c r="H101" s="28">
        <f t="shared" si="41"/>
        <v>23191.294806144844</v>
      </c>
      <c r="I101" s="28">
        <f t="shared" si="42"/>
        <v>53.801788031758086</v>
      </c>
    </row>
    <row r="102" spans="1:9" x14ac:dyDescent="0.3">
      <c r="A102" s="16">
        <v>2168</v>
      </c>
      <c r="B102" s="14">
        <v>22019</v>
      </c>
      <c r="C102" s="14">
        <v>23463</v>
      </c>
      <c r="D102" s="28">
        <f t="shared" si="37"/>
        <v>54.19001325095239</v>
      </c>
      <c r="E102" s="11">
        <f t="shared" si="38"/>
        <v>24079.978399999996</v>
      </c>
      <c r="F102" s="11">
        <f t="shared" si="39"/>
        <v>23463</v>
      </c>
      <c r="G102" s="78">
        <f t="shared" si="40"/>
        <v>2.562204956130671</v>
      </c>
      <c r="H102" s="28">
        <f t="shared" si="41"/>
        <v>21454.828090709583</v>
      </c>
      <c r="I102" s="28">
        <f t="shared" si="42"/>
        <v>54.19001325095239</v>
      </c>
    </row>
    <row r="103" spans="1:9" x14ac:dyDescent="0.3">
      <c r="A103" s="16">
        <v>2149</v>
      </c>
      <c r="B103" s="14">
        <v>16408</v>
      </c>
      <c r="C103" s="14">
        <v>10093</v>
      </c>
      <c r="D103" s="28">
        <f t="shared" si="37"/>
        <v>87.176807120262907</v>
      </c>
      <c r="E103" s="11">
        <f t="shared" si="38"/>
        <v>17943.788799999998</v>
      </c>
      <c r="F103" s="11">
        <f t="shared" si="39"/>
        <v>10093</v>
      </c>
      <c r="G103" s="78">
        <f t="shared" si="40"/>
        <v>43.752124411985939</v>
      </c>
      <c r="H103" s="28">
        <f t="shared" si="41"/>
        <v>9229.1514264813468</v>
      </c>
      <c r="I103" s="28">
        <f t="shared" si="42"/>
        <v>87.176807120262907</v>
      </c>
    </row>
    <row r="104" spans="1:9" x14ac:dyDescent="0.3">
      <c r="A104" s="16">
        <v>2164</v>
      </c>
      <c r="B104" s="14">
        <v>45908</v>
      </c>
      <c r="C104" s="14">
        <v>48295</v>
      </c>
      <c r="D104" s="28">
        <f t="shared" si="37"/>
        <v>54.771691687267342</v>
      </c>
      <c r="E104" s="11">
        <f t="shared" si="38"/>
        <v>50204.988799999999</v>
      </c>
      <c r="F104" s="11">
        <f t="shared" si="39"/>
        <v>48295</v>
      </c>
      <c r="G104" s="78">
        <f t="shared" si="40"/>
        <v>3.8043804921633608</v>
      </c>
      <c r="H104" s="28">
        <f t="shared" si="41"/>
        <v>44161.485003657646</v>
      </c>
      <c r="I104" s="28">
        <f t="shared" si="42"/>
        <v>54.771691687267342</v>
      </c>
    </row>
    <row r="105" spans="1:9" x14ac:dyDescent="0.3">
      <c r="A105" s="16">
        <v>2185</v>
      </c>
      <c r="B105" s="14">
        <v>50029</v>
      </c>
      <c r="C105" s="14">
        <v>52044</v>
      </c>
      <c r="D105" s="28">
        <f t="shared" si="37"/>
        <v>55.285683707955847</v>
      </c>
      <c r="E105" s="11">
        <f t="shared" si="38"/>
        <v>54711.714399999997</v>
      </c>
      <c r="F105" s="11">
        <f t="shared" si="39"/>
        <v>52044</v>
      </c>
      <c r="G105" s="78">
        <f t="shared" si="40"/>
        <v>4.8759473711538419</v>
      </c>
      <c r="H105" s="28">
        <f t="shared" si="41"/>
        <v>47589.612289685443</v>
      </c>
      <c r="I105" s="28">
        <f t="shared" si="42"/>
        <v>55.285683707955847</v>
      </c>
    </row>
    <row r="106" spans="1:9" x14ac:dyDescent="0.3">
      <c r="A106" s="16">
        <v>2186</v>
      </c>
      <c r="B106" s="14">
        <v>36740</v>
      </c>
      <c r="C106" s="14">
        <v>38709</v>
      </c>
      <c r="D106" s="28">
        <f t="shared" si="37"/>
        <v>54.702508464344355</v>
      </c>
      <c r="E106" s="11">
        <f t="shared" si="38"/>
        <v>40178.863999999994</v>
      </c>
      <c r="F106" s="11">
        <f t="shared" si="39"/>
        <v>38709</v>
      </c>
      <c r="G106" s="78">
        <f t="shared" si="40"/>
        <v>3.6583015388389128</v>
      </c>
      <c r="H106" s="28">
        <f t="shared" si="41"/>
        <v>35395.940014630578</v>
      </c>
      <c r="I106" s="28">
        <f t="shared" si="42"/>
        <v>54.702508464344355</v>
      </c>
    </row>
    <row r="107" spans="1:9" x14ac:dyDescent="0.3">
      <c r="A107" s="16">
        <v>2190</v>
      </c>
      <c r="B107" s="14">
        <v>39984</v>
      </c>
      <c r="C107" s="14">
        <v>41078</v>
      </c>
      <c r="D107" s="28">
        <f t="shared" si="37"/>
        <v>55.865762684675076</v>
      </c>
      <c r="E107" s="11">
        <f t="shared" si="38"/>
        <v>43726.502399999998</v>
      </c>
      <c r="F107" s="11">
        <f t="shared" si="39"/>
        <v>41078</v>
      </c>
      <c r="G107" s="78">
        <f t="shared" si="40"/>
        <v>6.0569728988888727</v>
      </c>
      <c r="H107" s="28">
        <f t="shared" si="41"/>
        <v>37562.179956108266</v>
      </c>
      <c r="I107" s="28">
        <f t="shared" si="42"/>
        <v>55.865762684675076</v>
      </c>
    </row>
    <row r="108" spans="1:9" x14ac:dyDescent="0.3">
      <c r="A108" s="16">
        <v>2187</v>
      </c>
      <c r="B108" s="14">
        <v>30346</v>
      </c>
      <c r="C108" s="14">
        <v>32052</v>
      </c>
      <c r="D108" s="28">
        <f t="shared" si="37"/>
        <v>54.589262820995614</v>
      </c>
      <c r="E108" s="11">
        <f t="shared" si="38"/>
        <v>33186.385599999994</v>
      </c>
      <c r="F108" s="11">
        <f t="shared" si="39"/>
        <v>32052</v>
      </c>
      <c r="G108" s="78">
        <f t="shared" si="40"/>
        <v>3.4182258160707732</v>
      </c>
      <c r="H108" s="28">
        <f t="shared" si="41"/>
        <v>29308.705193855159</v>
      </c>
      <c r="I108" s="28">
        <f t="shared" si="42"/>
        <v>54.589262820995614</v>
      </c>
    </row>
    <row r="109" spans="1:9" x14ac:dyDescent="0.3">
      <c r="A109" s="16" t="s">
        <v>28</v>
      </c>
      <c r="B109" s="30">
        <v>101030</v>
      </c>
      <c r="C109" s="30">
        <v>2783713</v>
      </c>
      <c r="D109" s="28">
        <f t="shared" si="37"/>
        <v>10.886187333143679</v>
      </c>
      <c r="E109" s="11">
        <f t="shared" si="38"/>
        <v>110486.408</v>
      </c>
      <c r="F109" s="11">
        <f t="shared" si="39"/>
        <v>2783713</v>
      </c>
      <c r="G109" s="78">
        <f t="shared" si="40"/>
        <v>-2419.5071958534486</v>
      </c>
      <c r="H109" s="28">
        <f t="shared" si="41"/>
        <v>2545458.1199707389</v>
      </c>
      <c r="I109" s="28">
        <f t="shared" si="42"/>
        <v>10.886187333143679</v>
      </c>
    </row>
    <row r="110" spans="1:9" x14ac:dyDescent="0.3">
      <c r="D110" s="28" t="e">
        <f t="shared" si="37"/>
        <v>#DIV/0!</v>
      </c>
      <c r="E110" s="11">
        <f t="shared" si="38"/>
        <v>0</v>
      </c>
      <c r="F110" s="11">
        <f t="shared" si="39"/>
        <v>0</v>
      </c>
      <c r="G110" s="78" t="e">
        <f t="shared" si="40"/>
        <v>#DIV/0!</v>
      </c>
      <c r="H110" s="28">
        <f t="shared" si="41"/>
        <v>0</v>
      </c>
      <c r="I110" s="28" t="e">
        <f t="shared" si="42"/>
        <v>#DIV/0!</v>
      </c>
    </row>
    <row r="111" spans="1:9" x14ac:dyDescent="0.3">
      <c r="D111" s="28" t="e">
        <f t="shared" si="37"/>
        <v>#DIV/0!</v>
      </c>
      <c r="E111" s="11">
        <f t="shared" si="38"/>
        <v>0</v>
      </c>
      <c r="F111" s="11">
        <f t="shared" si="39"/>
        <v>0</v>
      </c>
      <c r="G111" s="78" t="e">
        <f t="shared" si="40"/>
        <v>#DIV/0!</v>
      </c>
      <c r="H111" s="28">
        <f t="shared" si="41"/>
        <v>0</v>
      </c>
      <c r="I111" s="28" t="e">
        <f t="shared" si="42"/>
        <v>#DIV/0!</v>
      </c>
    </row>
    <row r="112" spans="1:9" x14ac:dyDescent="0.3">
      <c r="D112" s="28" t="e">
        <f t="shared" si="37"/>
        <v>#DIV/0!</v>
      </c>
      <c r="E112" s="11">
        <f t="shared" si="38"/>
        <v>0</v>
      </c>
      <c r="F112" s="11">
        <f t="shared" si="39"/>
        <v>0</v>
      </c>
      <c r="G112" s="78" t="e">
        <f t="shared" si="40"/>
        <v>#DIV/0!</v>
      </c>
      <c r="H112" s="28">
        <f t="shared" si="41"/>
        <v>0</v>
      </c>
      <c r="I112" s="28" t="e">
        <f t="shared" si="42"/>
        <v>#DIV/0!</v>
      </c>
    </row>
    <row r="113" spans="4:9" x14ac:dyDescent="0.3">
      <c r="D113" s="28" t="e">
        <f t="shared" si="37"/>
        <v>#DIV/0!</v>
      </c>
      <c r="E113" s="11">
        <f t="shared" si="38"/>
        <v>0</v>
      </c>
      <c r="F113" s="11">
        <f t="shared" si="39"/>
        <v>0</v>
      </c>
      <c r="G113" s="78" t="e">
        <f t="shared" si="40"/>
        <v>#DIV/0!</v>
      </c>
      <c r="H113" s="28">
        <f t="shared" si="41"/>
        <v>0</v>
      </c>
      <c r="I113" s="28" t="e">
        <f t="shared" si="42"/>
        <v>#DIV/0!</v>
      </c>
    </row>
    <row r="114" spans="4:9" x14ac:dyDescent="0.3">
      <c r="D114" s="28" t="e">
        <f t="shared" si="37"/>
        <v>#DIV/0!</v>
      </c>
      <c r="E114" s="11">
        <f t="shared" si="38"/>
        <v>0</v>
      </c>
      <c r="F114" s="11">
        <f t="shared" si="39"/>
        <v>0</v>
      </c>
      <c r="G114" s="78" t="e">
        <f t="shared" si="40"/>
        <v>#DIV/0!</v>
      </c>
      <c r="H114" s="28">
        <f t="shared" si="41"/>
        <v>0</v>
      </c>
      <c r="I114" s="28" t="e">
        <f t="shared" si="42"/>
        <v>#DIV/0!</v>
      </c>
    </row>
    <row r="115" spans="4:9" x14ac:dyDescent="0.3">
      <c r="D115" s="28" t="e">
        <f t="shared" si="37"/>
        <v>#DIV/0!</v>
      </c>
      <c r="E115" s="11">
        <f t="shared" si="38"/>
        <v>0</v>
      </c>
      <c r="F115" s="11">
        <f t="shared" si="39"/>
        <v>0</v>
      </c>
      <c r="G115" s="78" t="e">
        <f t="shared" si="40"/>
        <v>#DIV/0!</v>
      </c>
      <c r="H115" s="28">
        <f t="shared" si="41"/>
        <v>0</v>
      </c>
      <c r="I115" s="28" t="e">
        <f t="shared" si="42"/>
        <v>#DIV/0!</v>
      </c>
    </row>
    <row r="116" spans="4:9" x14ac:dyDescent="0.3">
      <c r="D116" s="28" t="e">
        <f t="shared" si="37"/>
        <v>#DIV/0!</v>
      </c>
      <c r="E116" s="11">
        <f t="shared" si="38"/>
        <v>0</v>
      </c>
      <c r="F116" s="11">
        <f t="shared" si="39"/>
        <v>0</v>
      </c>
      <c r="G116" s="78" t="e">
        <f t="shared" si="40"/>
        <v>#DIV/0!</v>
      </c>
      <c r="H116" s="28">
        <f t="shared" si="41"/>
        <v>0</v>
      </c>
      <c r="I116" s="28" t="e">
        <f t="shared" si="42"/>
        <v>#DIV/0!</v>
      </c>
    </row>
    <row r="117" spans="4:9" x14ac:dyDescent="0.3">
      <c r="D117" s="28" t="e">
        <f t="shared" si="37"/>
        <v>#DIV/0!</v>
      </c>
      <c r="E117" s="11">
        <f t="shared" si="38"/>
        <v>0</v>
      </c>
      <c r="F117" s="11">
        <f t="shared" si="39"/>
        <v>0</v>
      </c>
      <c r="G117" s="78" t="e">
        <f t="shared" si="40"/>
        <v>#DIV/0!</v>
      </c>
      <c r="H117" s="28">
        <f t="shared" si="41"/>
        <v>0</v>
      </c>
      <c r="I117" s="28" t="e">
        <f t="shared" si="42"/>
        <v>#DIV/0!</v>
      </c>
    </row>
    <row r="118" spans="4:9" x14ac:dyDescent="0.3">
      <c r="D118" s="28" t="e">
        <f t="shared" si="37"/>
        <v>#DIV/0!</v>
      </c>
      <c r="E118" s="11">
        <f t="shared" si="38"/>
        <v>0</v>
      </c>
      <c r="F118" s="11">
        <f t="shared" si="39"/>
        <v>0</v>
      </c>
      <c r="G118" s="78" t="e">
        <f t="shared" si="40"/>
        <v>#DIV/0!</v>
      </c>
      <c r="H118" s="28">
        <f t="shared" si="41"/>
        <v>0</v>
      </c>
      <c r="I118" s="28" t="e">
        <f t="shared" si="42"/>
        <v>#DIV/0!</v>
      </c>
    </row>
    <row r="119" spans="4:9" x14ac:dyDescent="0.3">
      <c r="D119" s="28" t="e">
        <f t="shared" si="37"/>
        <v>#DIV/0!</v>
      </c>
      <c r="E119" s="11">
        <f t="shared" si="38"/>
        <v>0</v>
      </c>
      <c r="F119" s="11">
        <f t="shared" si="39"/>
        <v>0</v>
      </c>
      <c r="G119" s="78" t="e">
        <f t="shared" si="40"/>
        <v>#DIV/0!</v>
      </c>
      <c r="H119" s="28">
        <f t="shared" si="41"/>
        <v>0</v>
      </c>
      <c r="I119" s="28" t="e">
        <f t="shared" si="42"/>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D408-891B-4465-8F80-7726ACC6CDF3}">
  <dimension ref="B2:J77"/>
  <sheetViews>
    <sheetView topLeftCell="A46" workbookViewId="0">
      <selection activeCell="B70" sqref="B70:B75"/>
    </sheetView>
  </sheetViews>
  <sheetFormatPr defaultRowHeight="14.4" x14ac:dyDescent="0.3"/>
  <cols>
    <col min="2" max="2" width="10.33203125" bestFit="1" customWidth="1"/>
    <col min="4" max="4" width="9.33203125" customWidth="1"/>
    <col min="8" max="8" width="10.33203125" bestFit="1" customWidth="1"/>
    <col min="10" max="10" width="9.33203125" customWidth="1"/>
  </cols>
  <sheetData>
    <row r="2" spans="2:10" x14ac:dyDescent="0.3">
      <c r="B2" t="s">
        <v>75</v>
      </c>
      <c r="C2" t="s">
        <v>45</v>
      </c>
      <c r="D2" t="s">
        <v>46</v>
      </c>
      <c r="E2" t="s">
        <v>66</v>
      </c>
      <c r="H2" t="s">
        <v>75</v>
      </c>
      <c r="I2" t="s">
        <v>45</v>
      </c>
      <c r="J2" t="s">
        <v>46</v>
      </c>
    </row>
    <row r="3" spans="2:10" x14ac:dyDescent="0.3">
      <c r="B3" s="1">
        <v>46073</v>
      </c>
      <c r="C3" t="s">
        <v>113</v>
      </c>
      <c r="D3">
        <f>SUMIFS(Table14[Debit], Table14[Date], Table5[[#This Row],[Date]], Table14[Party], "Rashan")</f>
        <v>0</v>
      </c>
      <c r="H3" s="1">
        <v>46073</v>
      </c>
      <c r="J3">
        <f>SUMIFS(Table14[Debit], Table14[Date], Table15[[#This Row],[Date]], Table14[Party], "Parts")</f>
        <v>55105</v>
      </c>
    </row>
    <row r="4" spans="2:10" x14ac:dyDescent="0.3">
      <c r="B4" s="1">
        <v>46074</v>
      </c>
      <c r="C4" t="s">
        <v>113</v>
      </c>
      <c r="D4">
        <f>SUMIFS(Table14[Debit], Table14[Date], Table5[[#This Row],[Date]], Table14[Party], "Rashan")</f>
        <v>0</v>
      </c>
      <c r="H4" s="1">
        <v>46074</v>
      </c>
      <c r="I4" t="s">
        <v>55</v>
      </c>
      <c r="J4">
        <f>SUMIFS(Table14[Debit], Table14[Date], Table15[[#This Row],[Date]], Table14[Party], "Parts")</f>
        <v>128050</v>
      </c>
    </row>
    <row r="5" spans="2:10" x14ac:dyDescent="0.3">
      <c r="B5" s="1">
        <v>46075</v>
      </c>
      <c r="C5" t="s">
        <v>113</v>
      </c>
      <c r="D5">
        <f>SUMIFS(Table14[Debit], Table14[Date], Table5[[#This Row],[Date]], Table14[Party], "Rashan")</f>
        <v>0</v>
      </c>
      <c r="H5" s="1">
        <v>46075</v>
      </c>
      <c r="I5" t="s">
        <v>55</v>
      </c>
      <c r="J5">
        <f>SUMIFS(Table14[Debit], Table14[Date], Table15[[#This Row],[Date]], Table14[Party], "Parts")</f>
        <v>10000</v>
      </c>
    </row>
    <row r="6" spans="2:10" x14ac:dyDescent="0.3">
      <c r="B6" s="1">
        <v>46076</v>
      </c>
      <c r="C6" t="s">
        <v>113</v>
      </c>
      <c r="D6">
        <f>SUMIFS(Table14[Debit], Table14[Date], Table5[[#This Row],[Date]], Table14[Party], "Rashan")</f>
        <v>0</v>
      </c>
      <c r="H6" s="1">
        <v>46076</v>
      </c>
      <c r="I6" t="s">
        <v>55</v>
      </c>
      <c r="J6">
        <f>SUMIFS(Table14[Debit], Table14[Date], Table15[[#This Row],[Date]], Table14[Party], "Parts")</f>
        <v>28470</v>
      </c>
    </row>
    <row r="7" spans="2:10" x14ac:dyDescent="0.3">
      <c r="B7" s="1">
        <v>46077</v>
      </c>
      <c r="C7" t="s">
        <v>113</v>
      </c>
      <c r="D7">
        <f>SUMIFS(Table14[Debit], Table14[Date], Table5[[#This Row],[Date]], Table14[Party], "Rashan")</f>
        <v>0</v>
      </c>
      <c r="H7" s="1">
        <v>46077</v>
      </c>
      <c r="I7" t="s">
        <v>55</v>
      </c>
      <c r="J7">
        <f>SUMIFS(Table14[Debit], Table14[Date], Table15[[#This Row],[Date]], Table14[Party], "Parts")</f>
        <v>38715</v>
      </c>
    </row>
    <row r="8" spans="2:10" x14ac:dyDescent="0.3">
      <c r="B8" s="1">
        <v>46078</v>
      </c>
      <c r="C8" t="s">
        <v>113</v>
      </c>
      <c r="D8">
        <f>SUMIFS(Table14[Debit], Table14[Date], Table5[[#This Row],[Date]], Table14[Party], "Rashan")</f>
        <v>0</v>
      </c>
      <c r="H8" s="1">
        <v>46078</v>
      </c>
      <c r="J8">
        <f>SUMIFS(Table14[Debit], Table14[Date], Table15[[#This Row],[Date]], Table14[Party], "Parts")</f>
        <v>98810</v>
      </c>
    </row>
    <row r="9" spans="2:10" x14ac:dyDescent="0.3">
      <c r="B9" s="1">
        <v>46079</v>
      </c>
      <c r="C9" t="s">
        <v>113</v>
      </c>
      <c r="D9">
        <f>SUMIFS(Table14[Debit], Table14[Date], Table5[[#This Row],[Date]], Table14[Party], "Rashan")</f>
        <v>0</v>
      </c>
      <c r="H9" s="1">
        <v>46079</v>
      </c>
      <c r="J9">
        <f>SUMIFS(Table14[Debit], Table14[Date], Table15[[#This Row],[Date]], Table14[Party], "Parts")</f>
        <v>15000</v>
      </c>
    </row>
    <row r="10" spans="2:10" x14ac:dyDescent="0.3">
      <c r="B10" s="1">
        <v>46080</v>
      </c>
      <c r="C10" t="s">
        <v>113</v>
      </c>
      <c r="D10">
        <f>SUMIFS(Table14[Debit], Table14[Date], Table5[[#This Row],[Date]], Table14[Party], "Rashan")</f>
        <v>0</v>
      </c>
      <c r="H10" s="1">
        <v>46080</v>
      </c>
      <c r="J10">
        <f>SUMIFS(Table14[Debit], Table14[Date], Table15[[#This Row],[Date]], Table14[Party], "Parts")</f>
        <v>14515</v>
      </c>
    </row>
    <row r="11" spans="2:10" x14ac:dyDescent="0.3">
      <c r="B11" s="1">
        <v>46081</v>
      </c>
      <c r="C11" t="s">
        <v>113</v>
      </c>
      <c r="D11">
        <f>SUMIFS(Table14[Debit], Table14[Date], Table5[[#This Row],[Date]], Table14[Party], "Rashan")</f>
        <v>0</v>
      </c>
      <c r="H11" s="1">
        <v>46081</v>
      </c>
      <c r="J11">
        <f>SUMIFS(Table14[Debit], Table14[Date], Table15[[#This Row],[Date]], Table14[Party], "Parts")</f>
        <v>18000</v>
      </c>
    </row>
    <row r="12" spans="2:10" x14ac:dyDescent="0.3">
      <c r="B12" s="1">
        <v>46082</v>
      </c>
      <c r="C12" t="s">
        <v>113</v>
      </c>
      <c r="D12">
        <f>SUMIFS(Table14[Debit], Table14[Date], Table5[[#This Row],[Date]], Table14[Party], "Rashan")</f>
        <v>0</v>
      </c>
      <c r="H12" s="1">
        <v>46082</v>
      </c>
      <c r="J12">
        <f>SUMIFS(Table14[Debit], Table14[Date], Table15[[#This Row],[Date]], Table14[Party], "Parts")</f>
        <v>0</v>
      </c>
    </row>
    <row r="13" spans="2:10" x14ac:dyDescent="0.3">
      <c r="B13" s="1">
        <v>46083</v>
      </c>
      <c r="C13" t="s">
        <v>113</v>
      </c>
      <c r="D13">
        <f>SUMIFS(Table14[Debit], Table14[Date], Table5[[#This Row],[Date]], Table14[Party], "Rashan")</f>
        <v>0</v>
      </c>
      <c r="H13" s="1">
        <v>46083</v>
      </c>
      <c r="J13">
        <f>SUMIFS(Table14[Debit], Table14[Date], Table15[[#This Row],[Date]], Table14[Party], "Parts")</f>
        <v>24620</v>
      </c>
    </row>
    <row r="14" spans="2:10" x14ac:dyDescent="0.3">
      <c r="B14" s="1">
        <v>46084</v>
      </c>
      <c r="C14" t="s">
        <v>113</v>
      </c>
      <c r="D14">
        <f>SUMIFS(Table14[Debit], Table14[Date], Table5[[#This Row],[Date]], Table14[Party], "Rashan")</f>
        <v>70415</v>
      </c>
      <c r="H14" s="1">
        <v>46084</v>
      </c>
      <c r="J14">
        <f>SUMIFS(Table14[Debit], Table14[Date], Table15[[#This Row],[Date]], Table14[Party], "Parts")</f>
        <v>10500</v>
      </c>
    </row>
    <row r="15" spans="2:10" x14ac:dyDescent="0.3">
      <c r="B15" s="1">
        <v>46085</v>
      </c>
      <c r="C15" t="s">
        <v>113</v>
      </c>
      <c r="D15">
        <f>SUMIFS(Table14[Debit], Table14[Date], Table5[[#This Row],[Date]], Table14[Party], "Rashan")</f>
        <v>0</v>
      </c>
      <c r="H15" s="1">
        <v>46085</v>
      </c>
      <c r="J15">
        <f>SUMIFS(Table14[Debit], Table14[Date], Table15[[#This Row],[Date]], Table14[Party], "Parts")</f>
        <v>209260</v>
      </c>
    </row>
    <row r="16" spans="2:10" x14ac:dyDescent="0.3">
      <c r="B16" s="1">
        <v>46086</v>
      </c>
      <c r="C16" t="s">
        <v>113</v>
      </c>
      <c r="D16">
        <f>SUMIFS(Table14[Debit], Table14[Date], Table5[[#This Row],[Date]], Table14[Party], "Rashan")</f>
        <v>0</v>
      </c>
      <c r="H16" s="1">
        <v>46086</v>
      </c>
      <c r="J16">
        <f>SUMIFS(Table14[Debit], Table14[Date], Table15[[#This Row],[Date]], Table14[Party], "Parts")</f>
        <v>0</v>
      </c>
    </row>
    <row r="17" spans="2:10" x14ac:dyDescent="0.3">
      <c r="B17" s="1">
        <v>46087</v>
      </c>
      <c r="C17" t="s">
        <v>113</v>
      </c>
      <c r="D17">
        <f>SUMIFS(Table14[Debit], Table14[Date], Table5[[#This Row],[Date]], Table14[Party], "Rashan")</f>
        <v>0</v>
      </c>
      <c r="H17" s="1">
        <v>46087</v>
      </c>
      <c r="J17">
        <f>SUMIFS(Table14[Debit], Table14[Date], Table15[[#This Row],[Date]], Table14[Party], "Parts")</f>
        <v>0</v>
      </c>
    </row>
    <row r="18" spans="2:10" x14ac:dyDescent="0.3">
      <c r="B18" s="1">
        <v>46088</v>
      </c>
      <c r="C18" t="s">
        <v>113</v>
      </c>
      <c r="D18">
        <f>SUMIFS(Table14[Debit], Table14[Date], Table5[[#This Row],[Date]], Table14[Party], "Rashan")</f>
        <v>0</v>
      </c>
      <c r="H18" s="1">
        <v>46088</v>
      </c>
      <c r="J18">
        <f>SUMIFS(Table14[Debit], Table14[Date], Table15[[#This Row],[Date]], Table14[Party], "Parts")</f>
        <v>5950</v>
      </c>
    </row>
    <row r="19" spans="2:10" x14ac:dyDescent="0.3">
      <c r="B19" s="1">
        <v>46089</v>
      </c>
      <c r="C19" t="s">
        <v>113</v>
      </c>
      <c r="D19">
        <f>SUMIFS(Table14[Debit], Table14[Date], Table5[[#This Row],[Date]], Table14[Party], "Rashan")</f>
        <v>0</v>
      </c>
      <c r="H19" s="1">
        <v>46089</v>
      </c>
      <c r="J19">
        <f>SUMIFS(Table14[Debit], Table14[Date], Table15[[#This Row],[Date]], Table14[Party], "Parts")</f>
        <v>10121</v>
      </c>
    </row>
    <row r="20" spans="2:10" x14ac:dyDescent="0.3">
      <c r="B20" s="1">
        <v>46090</v>
      </c>
      <c r="C20" t="s">
        <v>113</v>
      </c>
      <c r="D20">
        <f>SUMIFS(Table14[Debit], Table14[Date], Table5[[#This Row],[Date]], Table14[Party], "Rashan")</f>
        <v>0</v>
      </c>
      <c r="H20" s="1">
        <v>46090</v>
      </c>
      <c r="J20">
        <f>SUMIFS(Table14[Debit], Table14[Date], Table15[[#This Row],[Date]], Table14[Party], "Parts")</f>
        <v>8907</v>
      </c>
    </row>
    <row r="21" spans="2:10" x14ac:dyDescent="0.3">
      <c r="B21" s="1">
        <v>46091</v>
      </c>
      <c r="C21" t="s">
        <v>113</v>
      </c>
      <c r="D21">
        <f>SUMIFS(Table14[Debit], Table14[Date], Table5[[#This Row],[Date]], Table14[Party], "Rashan")</f>
        <v>0</v>
      </c>
      <c r="H21" s="1">
        <v>46091</v>
      </c>
      <c r="J21">
        <f>SUMIFS(Table14[Debit], Table14[Date], Table15[[#This Row],[Date]], Table14[Party], "Parts")</f>
        <v>10450</v>
      </c>
    </row>
    <row r="22" spans="2:10" x14ac:dyDescent="0.3">
      <c r="B22" s="1">
        <v>46092</v>
      </c>
      <c r="C22" t="s">
        <v>113</v>
      </c>
      <c r="D22">
        <f>SUMIFS(Table14[Debit], Table14[Date], Table5[[#This Row],[Date]], Table14[Party], "Rashan")</f>
        <v>0</v>
      </c>
      <c r="H22" s="1">
        <v>46092</v>
      </c>
      <c r="J22">
        <f>SUMIFS(Table14[Debit], Table14[Date], Table15[[#This Row],[Date]], Table14[Party], "Parts")</f>
        <v>9000</v>
      </c>
    </row>
    <row r="23" spans="2:10" x14ac:dyDescent="0.3">
      <c r="B23" s="1">
        <v>46093</v>
      </c>
      <c r="C23" t="s">
        <v>113</v>
      </c>
      <c r="D23">
        <f>SUMIFS(Table14[Debit], Table14[Date], Table5[[#This Row],[Date]], Table14[Party], "Rashan")</f>
        <v>0</v>
      </c>
      <c r="H23" s="1">
        <v>46093</v>
      </c>
      <c r="J23">
        <f>SUMIFS(Table14[Debit], Table14[Date], Table15[[#This Row],[Date]], Table14[Party], "Parts")</f>
        <v>14421</v>
      </c>
    </row>
    <row r="24" spans="2:10" x14ac:dyDescent="0.3">
      <c r="B24" s="1">
        <v>46094</v>
      </c>
      <c r="C24" t="s">
        <v>113</v>
      </c>
      <c r="D24">
        <f>SUMIFS(Table14[Debit], Table14[Date], Table5[[#This Row],[Date]], Table14[Party], "Rashan")</f>
        <v>0</v>
      </c>
      <c r="H24" s="1">
        <v>46094</v>
      </c>
      <c r="J24">
        <f>SUMIFS(Table14[Debit], Table14[Date], Table15[[#This Row],[Date]], Table14[Party], "Parts")</f>
        <v>0</v>
      </c>
    </row>
    <row r="25" spans="2:10" x14ac:dyDescent="0.3">
      <c r="B25" s="1">
        <v>46095</v>
      </c>
      <c r="C25" t="s">
        <v>113</v>
      </c>
      <c r="D25">
        <f>SUMIFS(Table14[Debit], Table14[Date], Table5[[#This Row],[Date]], Table14[Party], "Rashan")</f>
        <v>0</v>
      </c>
      <c r="H25" s="1">
        <v>46095</v>
      </c>
      <c r="J25">
        <f>SUMIFS(Table14[Debit], Table14[Date], Table15[[#This Row],[Date]], Table14[Party], "Parts")</f>
        <v>0</v>
      </c>
    </row>
    <row r="26" spans="2:10" x14ac:dyDescent="0.3">
      <c r="B26" s="1">
        <v>46096</v>
      </c>
      <c r="C26" t="s">
        <v>113</v>
      </c>
      <c r="D26">
        <f>SUMIFS(Table14[Debit], Table14[Date], Table5[[#This Row],[Date]], Table14[Party], "Rashan")</f>
        <v>0</v>
      </c>
      <c r="H26" s="1">
        <v>46096</v>
      </c>
      <c r="J26">
        <f>SUMIFS(Table14[Debit], Table14[Date], Table15[[#This Row],[Date]], Table14[Party], "Parts")</f>
        <v>4300</v>
      </c>
    </row>
    <row r="27" spans="2:10" x14ac:dyDescent="0.3">
      <c r="B27" s="1">
        <v>46097</v>
      </c>
      <c r="C27" t="s">
        <v>113</v>
      </c>
      <c r="D27">
        <f>SUMIFS(Table14[Debit], Table14[Date], Table5[[#This Row],[Date]], Table14[Party], "Rashan")</f>
        <v>0</v>
      </c>
      <c r="H27" s="1">
        <v>46097</v>
      </c>
      <c r="J27">
        <f>SUMIFS(Table14[Debit], Table14[Date], Table15[[#This Row],[Date]], Table14[Party], "Parts")</f>
        <v>40000</v>
      </c>
    </row>
    <row r="28" spans="2:10" x14ac:dyDescent="0.3">
      <c r="B28" s="1">
        <v>46098</v>
      </c>
      <c r="C28" t="s">
        <v>113</v>
      </c>
      <c r="D28">
        <f>SUMIFS(Table14[Debit], Table14[Date], Table5[[#This Row],[Date]], Table14[Party], "Rashan")</f>
        <v>44730</v>
      </c>
      <c r="H28" s="1">
        <v>46098</v>
      </c>
      <c r="J28">
        <f>SUMIFS(Table14[Debit], Table14[Date], Table15[[#This Row],[Date]], Table14[Party], "Parts")</f>
        <v>1150</v>
      </c>
    </row>
    <row r="29" spans="2:10" x14ac:dyDescent="0.3">
      <c r="B29" s="1">
        <v>46099</v>
      </c>
      <c r="C29" t="s">
        <v>113</v>
      </c>
      <c r="D29">
        <f>SUMIFS(Table14[Debit], Table14[Date], Table5[[#This Row],[Date]], Table14[Party], "Rashan")</f>
        <v>0</v>
      </c>
      <c r="H29" s="1">
        <v>46099</v>
      </c>
      <c r="J29">
        <f>SUMIFS(Table14[Debit], Table14[Date], Table15[[#This Row],[Date]], Table14[Party], "Parts")</f>
        <v>0</v>
      </c>
    </row>
    <row r="30" spans="2:10" x14ac:dyDescent="0.3">
      <c r="B30" s="1">
        <v>46100</v>
      </c>
      <c r="C30" t="s">
        <v>113</v>
      </c>
      <c r="D30">
        <f>SUMIFS(Table14[Debit], Table14[Date], Table5[[#This Row],[Date]], Table14[Party], "Rashan")</f>
        <v>0</v>
      </c>
      <c r="H30" s="1">
        <v>46100</v>
      </c>
      <c r="J30">
        <f>SUMIFS(Table14[Debit], Table14[Date], Table15[[#This Row],[Date]], Table14[Party], "Parts")</f>
        <v>50000</v>
      </c>
    </row>
    <row r="31" spans="2:10" x14ac:dyDescent="0.3">
      <c r="B31" s="1">
        <v>46101</v>
      </c>
      <c r="C31" t="s">
        <v>113</v>
      </c>
      <c r="D31">
        <f>SUMIFS(Table14[Debit], Table14[Date], Table5[[#This Row],[Date]], Table14[Party], "Rashan")</f>
        <v>0</v>
      </c>
      <c r="H31" s="1">
        <v>46101</v>
      </c>
      <c r="J31">
        <f>SUMIFS(Table14[Debit], Table14[Date], Table15[[#This Row],[Date]], Table14[Party], "Parts")</f>
        <v>20000</v>
      </c>
    </row>
    <row r="32" spans="2:10" x14ac:dyDescent="0.3">
      <c r="B32" s="1">
        <v>46102</v>
      </c>
      <c r="C32" t="s">
        <v>113</v>
      </c>
      <c r="D32">
        <f>SUMIFS(Table14[Debit], Table14[Date], Table5[[#This Row],[Date]], Table14[Party], "Rashan")</f>
        <v>0</v>
      </c>
      <c r="H32" s="1">
        <v>46102</v>
      </c>
      <c r="J32">
        <f>SUMIFS(Table14[Debit], Table14[Date], Table15[[#This Row],[Date]], Table14[Party], "Parts")</f>
        <v>0</v>
      </c>
    </row>
    <row r="33" spans="2:10" x14ac:dyDescent="0.3">
      <c r="B33" s="1">
        <v>46103</v>
      </c>
      <c r="C33" t="s">
        <v>113</v>
      </c>
      <c r="D33">
        <f>SUMIFS(Table14[Debit], Table14[Date], Table5[[#This Row],[Date]], Table14[Party], "Rashan")</f>
        <v>0</v>
      </c>
      <c r="H33" s="1">
        <v>46103</v>
      </c>
      <c r="J33">
        <f>SUMIFS(Table14[Debit], Table14[Date], Table15[[#This Row],[Date]], Table14[Party], "Parts")</f>
        <v>0</v>
      </c>
    </row>
    <row r="34" spans="2:10" x14ac:dyDescent="0.3">
      <c r="B34" s="1">
        <v>46104</v>
      </c>
      <c r="C34" t="s">
        <v>113</v>
      </c>
      <c r="D34">
        <f>SUMIFS(Table14[Debit], Table14[Date], Table5[[#This Row],[Date]], Table14[Party], "Rashan")</f>
        <v>0</v>
      </c>
      <c r="H34" s="1">
        <v>46104</v>
      </c>
      <c r="J34">
        <f>SUMIFS(Table14[Debit], Table14[Date], Table15[[#This Row],[Date]], Table14[Party], "Parts")</f>
        <v>0</v>
      </c>
    </row>
    <row r="35" spans="2:10" x14ac:dyDescent="0.3">
      <c r="B35" s="1">
        <v>46105</v>
      </c>
      <c r="C35" t="s">
        <v>113</v>
      </c>
      <c r="D35">
        <f>SUMIFS(Table14[Debit], Table14[Date], Table5[[#This Row],[Date]], Table14[Party], "Rashan")</f>
        <v>0</v>
      </c>
      <c r="H35" s="1">
        <v>46105</v>
      </c>
      <c r="J35">
        <f>SUMIFS(Table14[Debit], Table14[Date], Table15[[#This Row],[Date]], Table14[Party], "Parts")</f>
        <v>0</v>
      </c>
    </row>
    <row r="36" spans="2:10" x14ac:dyDescent="0.3">
      <c r="B36" s="1">
        <v>46106</v>
      </c>
      <c r="C36" t="s">
        <v>113</v>
      </c>
      <c r="D36">
        <f>SUMIFS(Table14[Debit], Table14[Date], Table5[[#This Row],[Date]], Table14[Party], "Rashan")</f>
        <v>0</v>
      </c>
      <c r="H36" s="1">
        <v>46106</v>
      </c>
      <c r="J36">
        <f>SUMIFS(Table14[Debit], Table14[Date], Table15[[#This Row],[Date]], Table14[Party], "Parts")</f>
        <v>0</v>
      </c>
    </row>
    <row r="37" spans="2:10" x14ac:dyDescent="0.3">
      <c r="B37" s="1">
        <v>46107</v>
      </c>
      <c r="C37" t="s">
        <v>113</v>
      </c>
      <c r="D37">
        <f>SUMIFS(Table14[Debit], Table14[Date], Table5[[#This Row],[Date]], Table14[Party], "Rashan")</f>
        <v>0</v>
      </c>
      <c r="H37" s="1">
        <v>46107</v>
      </c>
      <c r="J37">
        <f>SUMIFS(Table14[Debit], Table14[Date], Table15[[#This Row],[Date]], Table14[Party], "Parts")</f>
        <v>5096</v>
      </c>
    </row>
    <row r="38" spans="2:10" x14ac:dyDescent="0.3">
      <c r="B38" s="1">
        <v>46108</v>
      </c>
      <c r="C38" t="s">
        <v>113</v>
      </c>
      <c r="D38">
        <f>SUMIFS(Table14[Debit], Table14[Date], Table5[[#This Row],[Date]], Table14[Party], "Rashan")</f>
        <v>0</v>
      </c>
      <c r="H38" s="1">
        <v>46108</v>
      </c>
      <c r="J38">
        <f>SUMIFS(Table14[Debit], Table14[Date], Table15[[#This Row],[Date]], Table14[Party], "Parts")</f>
        <v>0</v>
      </c>
    </row>
    <row r="39" spans="2:10" x14ac:dyDescent="0.3">
      <c r="B39" s="1">
        <v>46109</v>
      </c>
      <c r="C39" t="s">
        <v>113</v>
      </c>
      <c r="D39">
        <f>SUMIFS(Table14[Debit], Table14[Date], Table5[[#This Row],[Date]], Table14[Party], "Rashan")</f>
        <v>0</v>
      </c>
      <c r="H39" s="1">
        <v>46109</v>
      </c>
      <c r="J39">
        <f>SUMIFS(Table14[Debit], Table14[Date], Table15[[#This Row],[Date]], Table14[Party], "Parts")</f>
        <v>1250</v>
      </c>
    </row>
    <row r="40" spans="2:10" x14ac:dyDescent="0.3">
      <c r="B40" s="1">
        <v>46110</v>
      </c>
      <c r="C40" t="s">
        <v>113</v>
      </c>
      <c r="D40">
        <f>SUMIFS(Table14[Debit], Table14[Date], Table5[[#This Row],[Date]], Table14[Party], "Rashan")</f>
        <v>0</v>
      </c>
      <c r="H40" s="1">
        <v>46110</v>
      </c>
      <c r="J40">
        <f>SUMIFS(Table14[Debit], Table14[Date], Table15[[#This Row],[Date]], Table14[Party], "Parts")</f>
        <v>0</v>
      </c>
    </row>
    <row r="41" spans="2:10" x14ac:dyDescent="0.3">
      <c r="B41" s="1">
        <v>46111</v>
      </c>
      <c r="C41" t="s">
        <v>113</v>
      </c>
      <c r="D41">
        <f>SUMIFS(Table14[Debit], Table14[Date], Table5[[#This Row],[Date]], Table14[Party], "Rashan")</f>
        <v>0</v>
      </c>
      <c r="H41" s="1">
        <v>46111</v>
      </c>
      <c r="J41">
        <f>SUMIFS(Table14[Debit], Table14[Date], Table15[[#This Row],[Date]], Table14[Party], "Parts")</f>
        <v>0</v>
      </c>
    </row>
    <row r="42" spans="2:10" x14ac:dyDescent="0.3">
      <c r="B42" s="1">
        <v>46112</v>
      </c>
      <c r="C42" t="s">
        <v>113</v>
      </c>
      <c r="D42">
        <f>SUMIFS(Table14[Debit], Table14[Date], Table5[[#This Row],[Date]], Table14[Party], "Rashan")</f>
        <v>0</v>
      </c>
      <c r="H42" s="1">
        <v>46112</v>
      </c>
      <c r="J42">
        <f>SUMIFS(Table14[Debit], Table14[Date], Table15[[#This Row],[Date]], Table14[Party], "Parts")</f>
        <v>0</v>
      </c>
    </row>
    <row r="43" spans="2:10" x14ac:dyDescent="0.3">
      <c r="B43" s="1">
        <v>46113</v>
      </c>
      <c r="C43" t="s">
        <v>113</v>
      </c>
      <c r="D43">
        <f>SUMIFS(Table14[Debit], Table14[Date], Table5[[#This Row],[Date]], Table14[Party], "Rashan")</f>
        <v>0</v>
      </c>
      <c r="H43" s="1">
        <v>46113</v>
      </c>
      <c r="J43">
        <f>SUMIFS(Table14[Debit], Table14[Date], Table15[[#This Row],[Date]], Table14[Party], "Parts")</f>
        <v>36025</v>
      </c>
    </row>
    <row r="44" spans="2:10" x14ac:dyDescent="0.3">
      <c r="B44" s="1">
        <v>46114</v>
      </c>
      <c r="C44" t="s">
        <v>113</v>
      </c>
      <c r="D44">
        <f>SUMIFS(Table14[Debit], Table14[Date], Table5[[#This Row],[Date]], Table14[Party], "Rashan")</f>
        <v>0</v>
      </c>
      <c r="H44" s="1">
        <v>46114</v>
      </c>
      <c r="J44">
        <f>SUMIFS(Table14[Debit], Table14[Date], Table15[[#This Row],[Date]], Table14[Party], "Parts")</f>
        <v>0</v>
      </c>
    </row>
    <row r="45" spans="2:10" x14ac:dyDescent="0.3">
      <c r="B45" s="1">
        <v>46115</v>
      </c>
      <c r="C45" t="s">
        <v>113</v>
      </c>
      <c r="D45">
        <f>SUMIFS(Table14[Debit], Table14[Date], Table5[[#This Row],[Date]], Table14[Party], "Rashan")</f>
        <v>0</v>
      </c>
      <c r="H45" s="1">
        <v>46115</v>
      </c>
      <c r="J45">
        <f>SUMIFS(Table14[Debit], Table14[Date], Table15[[#This Row],[Date]], Table14[Party], "Parts")</f>
        <v>0</v>
      </c>
    </row>
    <row r="46" spans="2:10" x14ac:dyDescent="0.3">
      <c r="B46" s="1">
        <v>46116</v>
      </c>
      <c r="C46" t="s">
        <v>113</v>
      </c>
      <c r="D46">
        <f>SUMIFS(Table14[Debit], Table14[Date], Table5[[#This Row],[Date]], Table14[Party], "Rashan")</f>
        <v>0</v>
      </c>
      <c r="H46" s="1">
        <v>46116</v>
      </c>
      <c r="J46">
        <f>SUMIFS(Table14[Debit], Table14[Date], Table15[[#This Row],[Date]], Table14[Party], "Parts")</f>
        <v>0</v>
      </c>
    </row>
    <row r="47" spans="2:10" x14ac:dyDescent="0.3">
      <c r="B47" s="1">
        <v>46117</v>
      </c>
      <c r="C47" t="s">
        <v>113</v>
      </c>
      <c r="D47">
        <f>SUMIFS(Table14[Debit], Table14[Date], Table5[[#This Row],[Date]], Table14[Party], "Rashan")</f>
        <v>0</v>
      </c>
      <c r="H47" s="1">
        <v>46117</v>
      </c>
      <c r="J47">
        <f>SUMIFS(Table14[Debit], Table14[Date], Table15[[#This Row],[Date]], Table14[Party], "Parts")</f>
        <v>0</v>
      </c>
    </row>
    <row r="48" spans="2:10" x14ac:dyDescent="0.3">
      <c r="B48" s="1">
        <v>46118</v>
      </c>
      <c r="C48" t="s">
        <v>113</v>
      </c>
      <c r="D48">
        <f>SUMIFS(Table14[Debit], Table14[Date], Table5[[#This Row],[Date]], Table14[Party], "Rashan")</f>
        <v>0</v>
      </c>
      <c r="H48" s="1">
        <v>46118</v>
      </c>
      <c r="J48">
        <f>SUMIFS(Table14[Debit], Table14[Date], Table15[[#This Row],[Date]], Table14[Party], "Parts")</f>
        <v>0</v>
      </c>
    </row>
    <row r="49" spans="2:10" x14ac:dyDescent="0.3">
      <c r="B49" s="1">
        <v>46119</v>
      </c>
      <c r="C49" t="s">
        <v>113</v>
      </c>
      <c r="D49">
        <f>SUMIFS(Table14[Debit], Table14[Date], Table5[[#This Row],[Date]], Table14[Party], "Rashan")</f>
        <v>0</v>
      </c>
      <c r="H49" s="1">
        <v>46119</v>
      </c>
      <c r="J49">
        <f>SUMIFS(Table14[Debit], Table14[Date], Table15[[#This Row],[Date]], Table14[Party], "Parts")</f>
        <v>0</v>
      </c>
    </row>
    <row r="50" spans="2:10" x14ac:dyDescent="0.3">
      <c r="B50" s="1">
        <v>46120</v>
      </c>
      <c r="C50" t="s">
        <v>113</v>
      </c>
      <c r="D50">
        <f>SUMIFS(Table14[Debit], Table14[Date], Table5[[#This Row],[Date]], Table14[Party], "Rashan")</f>
        <v>0</v>
      </c>
      <c r="H50" s="1">
        <v>46120</v>
      </c>
      <c r="J50">
        <f>SUMIFS(Table14[Debit], Table14[Date], Table15[[#This Row],[Date]], Table14[Party], "Parts")</f>
        <v>24473</v>
      </c>
    </row>
    <row r="51" spans="2:10" x14ac:dyDescent="0.3">
      <c r="B51" s="1">
        <v>46121</v>
      </c>
      <c r="C51" t="s">
        <v>113</v>
      </c>
      <c r="D51">
        <f>SUMIFS(Table14[Debit], Table14[Date], Table5[[#This Row],[Date]], Table14[Party], "Rashan")</f>
        <v>0</v>
      </c>
      <c r="H51" s="1">
        <v>46121</v>
      </c>
      <c r="J51">
        <f>SUMIFS(Table14[Debit], Table14[Date], Table15[[#This Row],[Date]], Table14[Party], "Parts")</f>
        <v>1300</v>
      </c>
    </row>
    <row r="52" spans="2:10" x14ac:dyDescent="0.3">
      <c r="B52" s="1">
        <v>46122</v>
      </c>
      <c r="C52" t="s">
        <v>113</v>
      </c>
      <c r="D52">
        <f>SUMIFS(Table14[Debit], Table14[Date], Table5[[#This Row],[Date]], Table14[Party], "Rashan")</f>
        <v>0</v>
      </c>
      <c r="H52" s="1">
        <v>46122</v>
      </c>
      <c r="J52">
        <f>SUMIFS(Table14[Debit], Table14[Date], Table15[[#This Row],[Date]], Table14[Party], "Parts")</f>
        <v>33400</v>
      </c>
    </row>
    <row r="53" spans="2:10" x14ac:dyDescent="0.3">
      <c r="B53" s="1">
        <v>46123</v>
      </c>
      <c r="C53" t="s">
        <v>113</v>
      </c>
      <c r="D53">
        <f>SUMIFS(Table14[Debit], Table14[Date], Table5[[#This Row],[Date]], Table14[Party], "Rashan")</f>
        <v>0</v>
      </c>
      <c r="H53" s="1">
        <v>46123</v>
      </c>
      <c r="J53">
        <f>SUMIFS(Table14[Debit], Table14[Date], Table15[[#This Row],[Date]], Table14[Party], "Parts")</f>
        <v>0</v>
      </c>
    </row>
    <row r="54" spans="2:10" x14ac:dyDescent="0.3">
      <c r="B54" s="1">
        <v>46124</v>
      </c>
      <c r="C54" t="s">
        <v>113</v>
      </c>
      <c r="D54">
        <f>SUMIFS(Table14[Debit], Table14[Date], Table5[[#This Row],[Date]], Table14[Party], "Rashan")</f>
        <v>0</v>
      </c>
      <c r="H54" s="1">
        <v>46124</v>
      </c>
      <c r="J54">
        <f>SUMIFS(Table14[Debit], Table14[Date], Table15[[#This Row],[Date]], Table14[Party], "Parts")</f>
        <v>11140</v>
      </c>
    </row>
    <row r="55" spans="2:10" x14ac:dyDescent="0.3">
      <c r="B55" s="1">
        <v>46125</v>
      </c>
      <c r="C55" t="s">
        <v>113</v>
      </c>
      <c r="D55">
        <f>SUMIFS(Table14[Debit], Table14[Date], Table5[[#This Row],[Date]], Table14[Party], "Rashan")</f>
        <v>65310</v>
      </c>
      <c r="H55" s="1">
        <v>46125</v>
      </c>
      <c r="J55">
        <f>SUMIFS(Table14[Debit], Table14[Date], Table15[[#This Row],[Date]], Table14[Party], "Parts")</f>
        <v>1000</v>
      </c>
    </row>
    <row r="56" spans="2:10" x14ac:dyDescent="0.3">
      <c r="B56" s="1">
        <v>46126</v>
      </c>
      <c r="C56" t="s">
        <v>113</v>
      </c>
      <c r="D56">
        <f>SUMIFS(Table14[Debit], Table14[Date], Table5[[#This Row],[Date]], Table14[Party], "Rashan")</f>
        <v>0</v>
      </c>
      <c r="H56" s="1">
        <v>46126</v>
      </c>
      <c r="J56">
        <f>SUMIFS(Table14[Debit], Table14[Date], Table15[[#This Row],[Date]], Table14[Party], "Parts")</f>
        <v>2600</v>
      </c>
    </row>
    <row r="57" spans="2:10" x14ac:dyDescent="0.3">
      <c r="B57" s="1">
        <v>46127</v>
      </c>
      <c r="C57" t="s">
        <v>113</v>
      </c>
      <c r="D57">
        <f>SUMIFS(Table14[Debit], Table14[Date], Table5[[#This Row],[Date]], Table14[Party], "Rashan")</f>
        <v>0</v>
      </c>
      <c r="H57" s="1">
        <v>46127</v>
      </c>
      <c r="J57">
        <f>SUMIFS(Table14[Debit], Table14[Date], Table15[[#This Row],[Date]], Table14[Party], "Parts")</f>
        <v>3210</v>
      </c>
    </row>
    <row r="58" spans="2:10" x14ac:dyDescent="0.3">
      <c r="B58" s="1">
        <v>46128</v>
      </c>
      <c r="C58" t="s">
        <v>113</v>
      </c>
      <c r="D58">
        <f>SUMIFS(Table14[Debit], Table14[Date], Table5[[#This Row],[Date]], Table14[Party], "Rashan")</f>
        <v>0</v>
      </c>
      <c r="H58" s="1">
        <v>46128</v>
      </c>
      <c r="J58">
        <f>SUMIFS(Table14[Debit], Table14[Date], Table15[[#This Row],[Date]], Table14[Party], "Parts")</f>
        <v>34035</v>
      </c>
    </row>
    <row r="59" spans="2:10" x14ac:dyDescent="0.3">
      <c r="B59" s="1">
        <v>46129</v>
      </c>
      <c r="C59" t="s">
        <v>113</v>
      </c>
      <c r="D59">
        <f>SUMIFS(Table14[Debit], Table14[Date], Table5[[#This Row],[Date]], Table14[Party], "Rashan")</f>
        <v>0</v>
      </c>
      <c r="H59" s="1">
        <v>46129</v>
      </c>
      <c r="J59">
        <f>SUMIFS(Table14[Debit], Table14[Date], Table15[[#This Row],[Date]], Table14[Party], "Parts")</f>
        <v>7320</v>
      </c>
    </row>
    <row r="60" spans="2:10" x14ac:dyDescent="0.3">
      <c r="B60" s="1">
        <v>46130</v>
      </c>
      <c r="C60" t="s">
        <v>113</v>
      </c>
      <c r="D60">
        <f>SUMIFS(Table14[Debit], Table14[Date], Table5[[#This Row],[Date]], Table14[Party], "Rashan")</f>
        <v>40000</v>
      </c>
      <c r="H60" s="1">
        <v>46130</v>
      </c>
      <c r="J60">
        <f>SUMIFS(Table14[Debit], Table14[Date], Table15[[#This Row],[Date]], Table14[Party], "Parts")</f>
        <v>4820</v>
      </c>
    </row>
    <row r="61" spans="2:10" x14ac:dyDescent="0.3">
      <c r="B61" s="1">
        <v>46131</v>
      </c>
      <c r="C61" t="s">
        <v>113</v>
      </c>
      <c r="D61">
        <f>SUMIFS(Table14[Debit], Table14[Date], Table5[[#This Row],[Date]], Table14[Party], "Rashan")</f>
        <v>0</v>
      </c>
      <c r="H61" s="1">
        <v>46131</v>
      </c>
      <c r="J61">
        <f>SUMIFS(Table14[Debit], Table14[Date], Table15[[#This Row],[Date]], Table14[Party], "Parts")</f>
        <v>5400</v>
      </c>
    </row>
    <row r="62" spans="2:10" x14ac:dyDescent="0.3">
      <c r="B62" s="1">
        <v>46132</v>
      </c>
      <c r="C62" t="s">
        <v>113</v>
      </c>
      <c r="D62">
        <f>SUMIFS(Table14[Debit], Table14[Date], Table5[[#This Row],[Date]], Table14[Party], "Rashan")</f>
        <v>19685</v>
      </c>
      <c r="H62" s="1">
        <v>46132</v>
      </c>
      <c r="J62">
        <f>SUMIFS(Table14[Debit], Table14[Date], Table15[[#This Row],[Date]], Table14[Party], "Parts")</f>
        <v>4000</v>
      </c>
    </row>
    <row r="63" spans="2:10" x14ac:dyDescent="0.3">
      <c r="B63" s="1">
        <v>46133</v>
      </c>
      <c r="C63" t="s">
        <v>113</v>
      </c>
      <c r="D63">
        <f>SUMIFS(Table14[Debit], Table14[Date], Table5[[#This Row],[Date]], Table14[Party], "Rashan")</f>
        <v>0</v>
      </c>
      <c r="H63" s="1">
        <v>46133</v>
      </c>
      <c r="J63">
        <f>SUMIFS(Table14[Debit], Table14[Date], Table15[[#This Row],[Date]], Table14[Party], "Parts")</f>
        <v>11610</v>
      </c>
    </row>
    <row r="64" spans="2:10" x14ac:dyDescent="0.3">
      <c r="B64" s="1">
        <v>46134</v>
      </c>
      <c r="C64" t="s">
        <v>113</v>
      </c>
      <c r="D64">
        <f>SUMIFS(Table14[Debit], Table14[Date], Table5[[#This Row],[Date]], Table14[Party], "Rashan")</f>
        <v>0</v>
      </c>
      <c r="H64" s="1">
        <v>46134</v>
      </c>
      <c r="J64">
        <f>SUMIFS(Table14[Debit], Table14[Date], Table15[[#This Row],[Date]], Table14[Party], "Parts")</f>
        <v>2400</v>
      </c>
    </row>
    <row r="65" spans="2:10" x14ac:dyDescent="0.3">
      <c r="B65" s="1">
        <v>46135</v>
      </c>
      <c r="C65" t="s">
        <v>113</v>
      </c>
      <c r="D65">
        <f>SUMIFS(Table14[Debit], Table14[Date], Table5[[#This Row],[Date]], Table14[Party], "Rashan")</f>
        <v>0</v>
      </c>
      <c r="H65" s="1">
        <v>46135</v>
      </c>
      <c r="J65">
        <f>SUMIFS(Table14[Debit], Table14[Date], Table15[[#This Row],[Date]], Table14[Party], "Parts")</f>
        <v>32062</v>
      </c>
    </row>
    <row r="66" spans="2:10" x14ac:dyDescent="0.3">
      <c r="B66" s="1">
        <v>46136</v>
      </c>
      <c r="C66" t="s">
        <v>113</v>
      </c>
      <c r="D66">
        <f>SUMIFS(Table14[Debit], Table14[Date], Table5[[#This Row],[Date]], Table14[Party], "Rashan")</f>
        <v>0</v>
      </c>
      <c r="H66" s="1">
        <v>46136</v>
      </c>
      <c r="J66">
        <f>SUMIFS(Table14[Debit], Table14[Date], Table15[[#This Row],[Date]], Table14[Party], "Parts")</f>
        <v>42656</v>
      </c>
    </row>
    <row r="67" spans="2:10" x14ac:dyDescent="0.3">
      <c r="B67" s="1">
        <v>46137</v>
      </c>
      <c r="C67" t="s">
        <v>113</v>
      </c>
      <c r="D67">
        <f>SUMIFS(Table14[Debit], Table14[Date], Table5[[#This Row],[Date]], Table14[Party], "Rashan")</f>
        <v>0</v>
      </c>
      <c r="H67" s="1">
        <v>46137</v>
      </c>
      <c r="J67">
        <f>SUMIFS(Table14[Debit], Table14[Date], Table15[[#This Row],[Date]], Table14[Party], "Parts")</f>
        <v>11346</v>
      </c>
    </row>
    <row r="68" spans="2:10" x14ac:dyDescent="0.3">
      <c r="B68" s="1">
        <v>46138</v>
      </c>
      <c r="C68" t="s">
        <v>113</v>
      </c>
      <c r="D68">
        <f>SUMIFS(Table14[Debit], Table14[Date], Table5[[#This Row],[Date]], Table14[Party], "Rashan")</f>
        <v>0</v>
      </c>
      <c r="H68" s="1">
        <v>46138</v>
      </c>
      <c r="J68">
        <f>SUMIFS(Table14[Debit], Table14[Date], Table15[[#This Row],[Date]], Table14[Party], "Parts")</f>
        <v>11456</v>
      </c>
    </row>
    <row r="69" spans="2:10" x14ac:dyDescent="0.3">
      <c r="B69" s="1">
        <v>46139</v>
      </c>
      <c r="C69" t="s">
        <v>113</v>
      </c>
      <c r="D69">
        <f>SUMIFS(Table14[Debit], Table14[Date], Table5[[#This Row],[Date]], Table14[Party], "Rashan")</f>
        <v>0</v>
      </c>
      <c r="H69" s="1">
        <v>46139</v>
      </c>
      <c r="J69">
        <f>SUMIFS(Table14[Debit], Table14[Date], Table15[[#This Row],[Date]], Table14[Party], "Parts")</f>
        <v>7660</v>
      </c>
    </row>
    <row r="70" spans="2:10" x14ac:dyDescent="0.3">
      <c r="B70" s="1">
        <v>46140</v>
      </c>
      <c r="C70" t="s">
        <v>113</v>
      </c>
      <c r="D70">
        <f>SUMIFS(Table14[Debit], Table14[Date], Table5[[#This Row],[Date]], Table14[Party], "Rashan")</f>
        <v>0</v>
      </c>
      <c r="H70" s="1">
        <v>46140</v>
      </c>
      <c r="J70">
        <f>SUMIFS(Table14[Debit], Table14[Date], Table15[[#This Row],[Date]], Table14[Party], "Parts")</f>
        <v>1640</v>
      </c>
    </row>
    <row r="71" spans="2:10" x14ac:dyDescent="0.3">
      <c r="B71" s="1">
        <v>46141</v>
      </c>
      <c r="C71" t="s">
        <v>113</v>
      </c>
      <c r="D71">
        <f>SUMIFS(Table14[Debit], Table14[Date], Table5[[#This Row],[Date]], Table14[Party], "Rashan")</f>
        <v>5000</v>
      </c>
      <c r="H71" s="1">
        <v>46141</v>
      </c>
      <c r="J71">
        <f>SUMIFS(Table14[Debit], Table14[Date], Table15[[#This Row],[Date]], Table14[Party], "Parts")</f>
        <v>34969</v>
      </c>
    </row>
    <row r="72" spans="2:10" x14ac:dyDescent="0.3">
      <c r="B72" s="1">
        <v>46142</v>
      </c>
      <c r="D72">
        <f>SUMIFS(Table14[Debit], Table14[Date], Table5[[#This Row],[Date]], Table14[Party], "Rashan")</f>
        <v>0</v>
      </c>
      <c r="H72" s="1">
        <v>46142</v>
      </c>
      <c r="J72">
        <f>SUMIFS(Table14[Debit], Table14[Date], Table15[[#This Row],[Date]], Table14[Party], "Parts")</f>
        <v>590</v>
      </c>
    </row>
    <row r="73" spans="2:10" x14ac:dyDescent="0.3">
      <c r="B73" s="1">
        <v>46143</v>
      </c>
      <c r="D73">
        <f>SUMIFS(Table14[Debit], Table14[Date], Table5[[#This Row],[Date]], Table14[Party], "Rashan")</f>
        <v>0</v>
      </c>
      <c r="H73" s="1">
        <v>46143</v>
      </c>
      <c r="J73">
        <f>SUMIFS(Table14[Debit], Table14[Date], Table15[[#This Row],[Date]], Table14[Party], "Parts")</f>
        <v>0</v>
      </c>
    </row>
    <row r="74" spans="2:10" x14ac:dyDescent="0.3">
      <c r="B74" s="1">
        <v>46144</v>
      </c>
      <c r="D74">
        <f>SUMIFS(Table14[Debit], Table14[Date], Table5[[#This Row],[Date]], Table14[Party], "Rashan")</f>
        <v>0</v>
      </c>
      <c r="H74" s="1">
        <v>46144</v>
      </c>
      <c r="J74">
        <f>SUMIFS(Table14[Debit], Table14[Date], Table15[[#This Row],[Date]], Table14[Party], "Parts")</f>
        <v>15120</v>
      </c>
    </row>
    <row r="75" spans="2:10" x14ac:dyDescent="0.3">
      <c r="B75" s="1">
        <v>46145</v>
      </c>
      <c r="D75">
        <f>SUMIFS(Table14[Debit], Table14[Date], Table5[[#This Row],[Date]], Table14[Party], "Rashan")</f>
        <v>0</v>
      </c>
      <c r="H75" s="1">
        <v>46145</v>
      </c>
      <c r="J75">
        <f>SUMIFS(Table14[Debit], Table14[Date], Table15[[#This Row],[Date]], Table14[Party], "Parts")</f>
        <v>21360</v>
      </c>
    </row>
    <row r="76" spans="2:10" x14ac:dyDescent="0.3">
      <c r="B76" s="1"/>
      <c r="D76">
        <f>SUM(Table5[Amount])</f>
        <v>245140</v>
      </c>
      <c r="H76" s="1">
        <v>46146</v>
      </c>
      <c r="J76">
        <f>SUMIFS(Table14[Debit], Table14[Date], Table15[[#This Row],[Date]], Table14[Party], "Parts")</f>
        <v>86240</v>
      </c>
    </row>
    <row r="77" spans="2:10" x14ac:dyDescent="0.3">
      <c r="H77" s="1"/>
      <c r="J77">
        <f>SUM(Table15[Amount])</f>
        <v>1279522</v>
      </c>
    </row>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FCD-38DA-4943-8A91-71F737A33574}">
  <sheetPr>
    <pageSetUpPr fitToPage="1"/>
  </sheetPr>
  <dimension ref="A1:C40"/>
  <sheetViews>
    <sheetView zoomScale="66" workbookViewId="0">
      <selection activeCell="I13" sqref="I13"/>
    </sheetView>
  </sheetViews>
  <sheetFormatPr defaultRowHeight="14.4" x14ac:dyDescent="0.3"/>
  <cols>
    <col min="1" max="1" width="19.33203125" customWidth="1"/>
    <col min="2" max="2" width="20.33203125" customWidth="1"/>
    <col min="3" max="3" width="18.77734375" customWidth="1"/>
  </cols>
  <sheetData>
    <row r="1" spans="1:3" x14ac:dyDescent="0.3">
      <c r="A1" t="s">
        <v>2</v>
      </c>
      <c r="B1" t="s">
        <v>17</v>
      </c>
      <c r="C1" s="99" t="s">
        <v>18</v>
      </c>
    </row>
    <row r="2" spans="1:3" ht="21" x14ac:dyDescent="0.4">
      <c r="A2" s="101" t="str">
        <f>Billing!R5</f>
        <v>BSC</v>
      </c>
      <c r="B2" s="104">
        <f>Billing!AF5</f>
        <v>19750734</v>
      </c>
      <c r="C2" s="102">
        <f>Billing!AG5</f>
        <v>24333190.491587423</v>
      </c>
    </row>
    <row r="3" spans="1:3" ht="21" x14ac:dyDescent="0.4">
      <c r="A3" s="101" t="str">
        <f>Billing!R38</f>
        <v>Rauf Khan</v>
      </c>
      <c r="B3" s="104">
        <f>Billing!AF38</f>
        <v>0</v>
      </c>
      <c r="C3" s="102">
        <f>Billing!AG38</f>
        <v>1117008.0468178494</v>
      </c>
    </row>
    <row r="4" spans="1:3" ht="21" x14ac:dyDescent="0.4">
      <c r="A4" s="101" t="str">
        <f>Billing!R25</f>
        <v>Shahid Qasayi</v>
      </c>
      <c r="B4" s="104">
        <f>Billing!AF25</f>
        <v>3845477</v>
      </c>
      <c r="C4" s="102">
        <f>Billing!AG25</f>
        <v>576552.9926847117</v>
      </c>
    </row>
    <row r="5" spans="1:3" ht="21" x14ac:dyDescent="0.4">
      <c r="A5" s="101" t="str">
        <f>Billing!R34</f>
        <v>Hafiz Shawl</v>
      </c>
      <c r="B5" s="104">
        <f>Billing!AF34</f>
        <v>55855</v>
      </c>
      <c r="C5" s="102">
        <f>Billing!AG34</f>
        <v>544044.41477688379</v>
      </c>
    </row>
    <row r="6" spans="1:3" ht="21" x14ac:dyDescent="0.4">
      <c r="A6" s="101" t="str">
        <f>Billing!R15</f>
        <v>Hafiz Qureshi</v>
      </c>
      <c r="B6" s="104">
        <f>Billing!AF15</f>
        <v>5825853</v>
      </c>
      <c r="C6" s="102">
        <f>Billing!AG15</f>
        <v>534243.01316752099</v>
      </c>
    </row>
    <row r="7" spans="1:3" ht="21" x14ac:dyDescent="0.4">
      <c r="A7" s="101" t="str">
        <f>Billing!R23</f>
        <v>Amjad sohail</v>
      </c>
      <c r="B7" s="104">
        <f>Billing!AF23</f>
        <v>4417830</v>
      </c>
      <c r="C7" s="102">
        <f>Billing!AG23</f>
        <v>451112.02633504104</v>
      </c>
    </row>
    <row r="8" spans="1:3" ht="21" x14ac:dyDescent="0.4">
      <c r="A8" s="101" t="str">
        <f>Billing!R36</f>
        <v>Faizan Kamoki</v>
      </c>
      <c r="B8" s="104">
        <f>Billing!AF36</f>
        <v>5245323.4930504756</v>
      </c>
      <c r="C8" s="102">
        <f>Billing!AG36</f>
        <v>380582.68836869113</v>
      </c>
    </row>
    <row r="9" spans="1:3" ht="21" x14ac:dyDescent="0.4">
      <c r="A9" s="101" t="str">
        <f>Billing!R27</f>
        <v>ibraheem behraam</v>
      </c>
      <c r="B9" s="104">
        <f>Billing!AF27</f>
        <v>1723500</v>
      </c>
      <c r="C9" s="102">
        <f>Billing!AG27</f>
        <v>182279.07827359205</v>
      </c>
    </row>
    <row r="10" spans="1:3" ht="21" x14ac:dyDescent="0.4">
      <c r="A10" s="101" t="str">
        <f>Billing!R13</f>
        <v>Ubaidullah</v>
      </c>
      <c r="B10" s="104">
        <f>Billing!AF13</f>
        <v>3009990</v>
      </c>
      <c r="C10" s="102">
        <f>Billing!AG13</f>
        <v>101613.8771031457</v>
      </c>
    </row>
    <row r="11" spans="1:3" ht="21" x14ac:dyDescent="0.4">
      <c r="A11" s="101" t="str">
        <f>Billing!R6</f>
        <v>Ejaz Sahab</v>
      </c>
      <c r="B11" s="104">
        <f>Billing!AF6</f>
        <v>7214622</v>
      </c>
      <c r="C11" s="102">
        <f>Billing!AG6</f>
        <v>270520.64813460223</v>
      </c>
    </row>
    <row r="12" spans="1:3" ht="21" x14ac:dyDescent="0.4">
      <c r="A12" s="101" t="str">
        <f>Billing!R7</f>
        <v>Arshad</v>
      </c>
      <c r="B12" s="104">
        <f>Billing!AF7</f>
        <v>9775501</v>
      </c>
      <c r="C12" s="103">
        <f>Billing!AG7</f>
        <v>37106.900512069464</v>
      </c>
    </row>
    <row r="13" spans="1:3" ht="21" x14ac:dyDescent="0.4">
      <c r="A13" s="101" t="str">
        <f>Billing!R11</f>
        <v>Raaz Fabrics</v>
      </c>
      <c r="B13" s="104">
        <f>Billing!AF11</f>
        <v>1726321</v>
      </c>
      <c r="C13" s="103">
        <f>Billing!AG11</f>
        <v>132704.23774689133</v>
      </c>
    </row>
    <row r="14" spans="1:3" ht="21" x14ac:dyDescent="0.4">
      <c r="A14" s="101" t="str">
        <f>Billing!R14</f>
        <v>Ashraf Zia</v>
      </c>
      <c r="B14" s="104">
        <f>Billing!AF14</f>
        <v>130000</v>
      </c>
      <c r="C14" s="102">
        <f>Billing!AG14</f>
        <v>125724.21360643749</v>
      </c>
    </row>
    <row r="15" spans="1:3" ht="21" x14ac:dyDescent="0.4">
      <c r="A15" s="101" t="str">
        <f>Billing!R16</f>
        <v>Badshah Fabrics</v>
      </c>
      <c r="B15" s="104">
        <f>Billing!AF16</f>
        <v>6545761</v>
      </c>
      <c r="C15" s="102">
        <f>Billing!AG16</f>
        <v>91938.341623995453</v>
      </c>
    </row>
    <row r="16" spans="1:3" ht="21" x14ac:dyDescent="0.4">
      <c r="A16" s="101" t="str">
        <f>Billing!R32</f>
        <v>Rehman Ali</v>
      </c>
      <c r="B16" s="104">
        <f>Billing!AF32</f>
        <v>550000</v>
      </c>
      <c r="C16" s="102">
        <f>Billing!AG32</f>
        <v>45924.46964155091</v>
      </c>
    </row>
    <row r="17" spans="1:3" ht="21" x14ac:dyDescent="0.4">
      <c r="A17" s="101" t="str">
        <f>Billing!R21</f>
        <v>Faizan</v>
      </c>
      <c r="B17" s="104">
        <f>Billing!AF21</f>
        <v>6728187</v>
      </c>
      <c r="C17" s="103">
        <f>Billing!AG21</f>
        <v>25885.787125092931</v>
      </c>
    </row>
    <row r="18" spans="1:3" ht="21" x14ac:dyDescent="0.4">
      <c r="A18" s="101" t="str">
        <f>Billing!R30</f>
        <v>Ahmad Javaid</v>
      </c>
      <c r="B18" s="104">
        <f>Billing!AF30</f>
        <v>130000</v>
      </c>
      <c r="C18" s="102">
        <f>Billing!AG30</f>
        <v>21504.206291148497</v>
      </c>
    </row>
    <row r="19" spans="1:3" ht="21" x14ac:dyDescent="0.4">
      <c r="A19" s="101" t="str">
        <f>Billing!R18</f>
        <v>Amjad 7up</v>
      </c>
      <c r="B19" s="104">
        <f>Billing!AF18</f>
        <v>480000</v>
      </c>
      <c r="C19" s="103">
        <f>Billing!AG18</f>
        <v>3851.4996342355735</v>
      </c>
    </row>
    <row r="20" spans="1:3" ht="21" x14ac:dyDescent="0.4">
      <c r="A20" s="101" t="str">
        <f>Billing!R37</f>
        <v>KK fabrics</v>
      </c>
      <c r="B20" s="104">
        <f>Billing!AF37</f>
        <v>544000</v>
      </c>
      <c r="C20" s="102">
        <f>Billing!AG37</f>
        <v>1345.6474030724494</v>
      </c>
    </row>
    <row r="21" spans="1:3" ht="21" x14ac:dyDescent="0.4">
      <c r="A21" s="101" t="str">
        <f>Billing!R8</f>
        <v>Shehzad Kamoki</v>
      </c>
      <c r="B21" s="104">
        <f>Billing!AF8</f>
        <v>1353710</v>
      </c>
      <c r="C21" s="103">
        <f>Billing!AG8</f>
        <v>531.99729334330186</v>
      </c>
    </row>
    <row r="22" spans="1:3" ht="21" x14ac:dyDescent="0.4">
      <c r="A22" s="101" t="str">
        <f>Billing!R12</f>
        <v>Azam</v>
      </c>
      <c r="B22" s="104">
        <f>Billing!AF12</f>
        <v>7402540</v>
      </c>
      <c r="C22" s="102">
        <f>Billing!AG12</f>
        <v>531.50694952532649</v>
      </c>
    </row>
    <row r="23" spans="1:3" ht="21" x14ac:dyDescent="0.4">
      <c r="A23" s="101" t="str">
        <f>Billing!R33</f>
        <v>Ahmad Shafique</v>
      </c>
      <c r="B23" s="104">
        <f>Billing!AF33</f>
        <v>636000</v>
      </c>
      <c r="C23" s="102">
        <f>Billing!AG33</f>
        <v>460.3145574250957</v>
      </c>
    </row>
    <row r="24" spans="1:3" ht="21" x14ac:dyDescent="0.4">
      <c r="A24" s="101" t="str">
        <f>Billing!R22</f>
        <v>Shafique Ansari</v>
      </c>
      <c r="B24" s="104">
        <f>Billing!AF22</f>
        <v>835660</v>
      </c>
      <c r="C24" s="103">
        <f>Billing!AG22</f>
        <v>356.82516459410544</v>
      </c>
    </row>
    <row r="25" spans="1:3" ht="21" x14ac:dyDescent="0.4">
      <c r="A25" s="101" t="str">
        <f>Billing!R10</f>
        <v>Sajad Khan</v>
      </c>
      <c r="B25" s="104">
        <f>Billing!AF10</f>
        <v>10448871</v>
      </c>
      <c r="C25" s="102">
        <f>Billing!AG10</f>
        <v>144.17922458052635</v>
      </c>
    </row>
    <row r="26" spans="1:3" ht="21" x14ac:dyDescent="0.4">
      <c r="A26" s="101" t="str">
        <f>Billing!R29</f>
        <v>ZA</v>
      </c>
      <c r="B26" s="104">
        <f>Billing!AF29</f>
        <v>385000</v>
      </c>
      <c r="C26" s="102">
        <f>Billing!AG29</f>
        <v>138.07607900514267</v>
      </c>
    </row>
    <row r="27" spans="1:3" ht="21" x14ac:dyDescent="0.4">
      <c r="A27" s="101" t="str">
        <f>Billing!R28</f>
        <v>Zia-ullah karachi</v>
      </c>
      <c r="B27" s="104">
        <f>Billing!AF28</f>
        <v>124560</v>
      </c>
      <c r="C27" s="102">
        <f>Billing!AG28</f>
        <v>1.0826627651840681</v>
      </c>
    </row>
    <row r="28" spans="1:3" ht="21" x14ac:dyDescent="0.4">
      <c r="A28" s="101" t="str">
        <f>Billing!R17</f>
        <v>Gauhar Kashif</v>
      </c>
      <c r="B28" s="104">
        <f>Billing!AF17</f>
        <v>1214045</v>
      </c>
      <c r="C28" s="102">
        <f>Billing!AG17</f>
        <v>0.35479151434265077</v>
      </c>
    </row>
    <row r="29" spans="1:3" ht="21" x14ac:dyDescent="0.4">
      <c r="A29" s="101" t="str">
        <f>Billing!R26</f>
        <v>Hameed corporation</v>
      </c>
      <c r="B29" s="104">
        <f>Billing!AF26</f>
        <v>424323</v>
      </c>
      <c r="C29" s="102">
        <f>Billing!AG26</f>
        <v>0.33577176299877465</v>
      </c>
    </row>
    <row r="30" spans="1:3" ht="21" x14ac:dyDescent="0.4">
      <c r="A30" s="101" t="str">
        <f>Billing!R9</f>
        <v>Sufi Nawaz Sahab</v>
      </c>
      <c r="B30" s="104">
        <f>Billing!AF9</f>
        <v>11478764</v>
      </c>
      <c r="C30" s="102">
        <f>Billing!AG9</f>
        <v>0.23847842030227184</v>
      </c>
    </row>
    <row r="31" spans="1:3" ht="21" x14ac:dyDescent="0.4">
      <c r="A31" s="101" t="str">
        <f>Billing!R39</f>
        <v>Farhaan ali</v>
      </c>
      <c r="B31" s="104">
        <f>Billing!AF39</f>
        <v>0</v>
      </c>
      <c r="C31" s="102">
        <f>Billing!AG39</f>
        <v>1798277.2494513534</v>
      </c>
    </row>
    <row r="32" spans="1:3" ht="21" x14ac:dyDescent="0.4">
      <c r="A32" s="101">
        <f>Billing!R40</f>
        <v>0</v>
      </c>
      <c r="B32" s="104">
        <f>Billing!AF40</f>
        <v>0</v>
      </c>
      <c r="C32" s="102">
        <f>Billing!AG40</f>
        <v>0</v>
      </c>
    </row>
    <row r="33" spans="1:3" ht="21" x14ac:dyDescent="0.4">
      <c r="A33" s="101">
        <f>Billing!R41</f>
        <v>0</v>
      </c>
      <c r="B33" s="104">
        <f>Billing!AF41</f>
        <v>0</v>
      </c>
      <c r="C33" s="102">
        <f>Billing!AG41</f>
        <v>0</v>
      </c>
    </row>
    <row r="34" spans="1:3" ht="21" x14ac:dyDescent="0.4">
      <c r="A34" s="101">
        <f>Billing!R42</f>
        <v>0</v>
      </c>
      <c r="B34" s="104">
        <f>Billing!AF42</f>
        <v>0</v>
      </c>
      <c r="C34" s="102">
        <f>Billing!AG42</f>
        <v>0</v>
      </c>
    </row>
    <row r="35" spans="1:3" ht="21" x14ac:dyDescent="0.4">
      <c r="A35" s="101">
        <f>Billing!R43</f>
        <v>0</v>
      </c>
      <c r="B35" s="104">
        <f>Billing!AF43</f>
        <v>0</v>
      </c>
      <c r="C35" s="102">
        <f>Billing!AG43</f>
        <v>0</v>
      </c>
    </row>
    <row r="36" spans="1:3" ht="21" x14ac:dyDescent="0.4">
      <c r="A36" s="101" t="str">
        <f>Billing!R31</f>
        <v>Shani Badshah</v>
      </c>
      <c r="B36" s="104">
        <f>Billing!AF31</f>
        <v>3116071</v>
      </c>
      <c r="C36" s="102">
        <f>Billing!AG31</f>
        <v>-0.22457937058061361</v>
      </c>
    </row>
    <row r="37" spans="1:3" ht="21" x14ac:dyDescent="0.4">
      <c r="A37" s="101" t="str">
        <f>Billing!R20</f>
        <v>Haseeb Shamsi</v>
      </c>
      <c r="B37" s="104">
        <f>Billing!AF20</f>
        <v>594405</v>
      </c>
      <c r="C37" s="102">
        <f>Billing!AG20</f>
        <v>-0.28163862461224198</v>
      </c>
    </row>
    <row r="38" spans="1:3" ht="21" x14ac:dyDescent="0.4">
      <c r="A38" s="101" t="str">
        <f>Billing!R19</f>
        <v>Hazrat Khan</v>
      </c>
      <c r="B38" s="104">
        <f>Billing!AF19</f>
        <v>95000</v>
      </c>
      <c r="C38" s="103">
        <f>Billing!AG19</f>
        <v>-5844.9158741770225</v>
      </c>
    </row>
    <row r="39" spans="1:3" ht="21" x14ac:dyDescent="0.4">
      <c r="A39" s="101" t="str">
        <f>Billing!R35</f>
        <v>Zahid Ejaz</v>
      </c>
      <c r="B39" s="104">
        <f>Billing!AF35</f>
        <v>169278</v>
      </c>
      <c r="C39" s="102">
        <f>Billing!AG35</f>
        <v>-7738.1316752011771</v>
      </c>
    </row>
    <row r="40" spans="1:3" ht="21" x14ac:dyDescent="0.4">
      <c r="A40" s="101" t="str">
        <f>Billing!R24</f>
        <v>Salman Zaffar</v>
      </c>
      <c r="B40" s="104">
        <f>Billing!AF24</f>
        <v>3296025</v>
      </c>
      <c r="C40" s="102">
        <f>Billing!AG24</f>
        <v>-26245.373079736717</v>
      </c>
    </row>
  </sheetData>
  <conditionalFormatting sqref="C2:C40">
    <cfRule type="cellIs" dxfId="5" priority="1" operator="lessThan">
      <formula>10</formula>
    </cfRule>
  </conditionalFormatting>
  <conditionalFormatting sqref="C2:C41">
    <cfRule type="cellIs" dxfId="4" priority="2" operator="greaterThan">
      <formula>10</formula>
    </cfRule>
  </conditionalFormatting>
  <pageMargins left="0.7" right="0.7" top="0.75" bottom="0.75" header="0.3" footer="0.3"/>
  <pageSetup fitToHeight="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DEE5-30F1-4E4F-B630-8B4E4FCA344C}">
  <dimension ref="A1:G38"/>
  <sheetViews>
    <sheetView topLeftCell="A23" zoomScale="146" workbookViewId="0">
      <selection activeCell="B28" sqref="B28"/>
    </sheetView>
  </sheetViews>
  <sheetFormatPr defaultRowHeight="14.4" x14ac:dyDescent="0.3"/>
  <cols>
    <col min="1" max="1" width="13.44140625" customWidth="1"/>
    <col min="2" max="2" width="15.5546875" customWidth="1"/>
  </cols>
  <sheetData>
    <row r="1" spans="1:7" x14ac:dyDescent="0.3">
      <c r="A1" t="s">
        <v>167</v>
      </c>
      <c r="B1" t="s">
        <v>69</v>
      </c>
    </row>
    <row r="2" spans="1:7" x14ac:dyDescent="0.3">
      <c r="A2" s="80" t="str">
        <f>G2</f>
        <v>BSC</v>
      </c>
      <c r="B2" s="10">
        <f>_xlfn.XLOOKUP($A2,[1]Billing!$Q$5:$Q$40,[1]Billing!$AD$5:$AD$40)</f>
        <v>19750734</v>
      </c>
      <c r="G2" t="str" cm="1">
        <f t="array" ref="G2:G37">_xlfn.UNIQUE(Table1[Party Name])</f>
        <v>BSC</v>
      </c>
    </row>
    <row r="3" spans="1:7" x14ac:dyDescent="0.3">
      <c r="A3" s="80" t="str">
        <f t="shared" ref="A3:A38" si="0">G3</f>
        <v>Ejaz Sahab</v>
      </c>
      <c r="B3" s="10">
        <f>_xlfn.XLOOKUP($A3,[1]Billing!$Q$5:$Q$40,[1]Billing!$AD$5:$AD$40)</f>
        <v>6067319</v>
      </c>
      <c r="G3" t="str">
        <v>Ejaz Sahab</v>
      </c>
    </row>
    <row r="4" spans="1:7" x14ac:dyDescent="0.3">
      <c r="A4" s="80" t="str">
        <f t="shared" si="0"/>
        <v>Arshad</v>
      </c>
      <c r="B4" s="10">
        <f>_xlfn.XLOOKUP($A4,[1]Billing!$Q$5:$Q$40,[1]Billing!$AD$5:$AD$40)</f>
        <v>8492501</v>
      </c>
      <c r="G4" t="str">
        <v>Arshad</v>
      </c>
    </row>
    <row r="5" spans="1:7" x14ac:dyDescent="0.3">
      <c r="A5" s="80" t="str">
        <f t="shared" si="0"/>
        <v>Shehzad Kamoki</v>
      </c>
      <c r="B5" s="10">
        <f>_xlfn.XLOOKUP($A5,[1]Billing!$Q$5:$Q$40,[1]Billing!$AD$5:$AD$40)</f>
        <v>1353710</v>
      </c>
      <c r="G5" t="str">
        <v>Shehzad Kamoki</v>
      </c>
    </row>
    <row r="6" spans="1:7" x14ac:dyDescent="0.3">
      <c r="A6" s="80" t="str">
        <f t="shared" si="0"/>
        <v>Sufi Nawaz Sahab</v>
      </c>
      <c r="B6" s="10">
        <f>_xlfn.XLOOKUP($A6,[1]Billing!$Q$5:$Q$40,[1]Billing!$AD$5:$AD$40)</f>
        <v>11478764</v>
      </c>
      <c r="G6" t="str">
        <v>Sufi Nawaz Sahab</v>
      </c>
    </row>
    <row r="7" spans="1:7" x14ac:dyDescent="0.3">
      <c r="A7" s="80" t="str">
        <f t="shared" si="0"/>
        <v>Sajad Khan</v>
      </c>
      <c r="B7" s="10">
        <f>_xlfn.XLOOKUP($A7,[1]Billing!$Q$5:$Q$40,[1]Billing!$AD$5:$AD$40)</f>
        <v>9609871</v>
      </c>
      <c r="G7" t="str">
        <v>Sajad Khan</v>
      </c>
    </row>
    <row r="8" spans="1:7" x14ac:dyDescent="0.3">
      <c r="A8" s="80" t="str">
        <f t="shared" si="0"/>
        <v>Raaz Fabrics</v>
      </c>
      <c r="B8" s="10">
        <f>_xlfn.XLOOKUP($A8,[1]Billing!$Q$5:$Q$40,[1]Billing!$AD$5:$AD$40)</f>
        <v>1526321</v>
      </c>
      <c r="G8" t="str">
        <v>Raaz Fabrics</v>
      </c>
    </row>
    <row r="9" spans="1:7" x14ac:dyDescent="0.3">
      <c r="A9" s="80" t="str">
        <f t="shared" si="0"/>
        <v>Azam</v>
      </c>
      <c r="B9" s="10">
        <f>_xlfn.XLOOKUP($A9,[1]Billing!$Q$5:$Q$40,[1]Billing!$AD$5:$AD$40)</f>
        <v>7402540</v>
      </c>
      <c r="G9" t="str">
        <v>Azam</v>
      </c>
    </row>
    <row r="10" spans="1:7" x14ac:dyDescent="0.3">
      <c r="A10" s="80" t="str">
        <f t="shared" si="0"/>
        <v>Ubaidullah</v>
      </c>
      <c r="B10" s="10">
        <f>_xlfn.XLOOKUP($A10,[1]Billing!$Q$5:$Q$40,[1]Billing!$AD$5:$AD$40)</f>
        <v>1908190</v>
      </c>
      <c r="G10" t="str">
        <v>Ubaidullah</v>
      </c>
    </row>
    <row r="11" spans="1:7" x14ac:dyDescent="0.3">
      <c r="A11" s="80" t="str">
        <f t="shared" si="0"/>
        <v>Ashraf Zia</v>
      </c>
      <c r="B11" s="10">
        <f>_xlfn.XLOOKUP($A11,[1]Billing!$Q$5:$Q$40,[1]Billing!$AD$5:$AD$40)</f>
        <v>130000</v>
      </c>
      <c r="G11" t="str">
        <v>Ashraf Zia</v>
      </c>
    </row>
    <row r="12" spans="1:7" x14ac:dyDescent="0.3">
      <c r="A12" s="80" t="str">
        <f t="shared" si="0"/>
        <v>Hafiz Qureshi</v>
      </c>
      <c r="B12" s="10">
        <f>_xlfn.XLOOKUP($A12,[1]Billing!$Q$5:$Q$40,[1]Billing!$AD$5:$AD$40)</f>
        <v>4146179</v>
      </c>
      <c r="G12" t="str">
        <v>Hafiz Qureshi</v>
      </c>
    </row>
    <row r="13" spans="1:7" x14ac:dyDescent="0.3">
      <c r="A13" s="80" t="str">
        <f t="shared" si="0"/>
        <v>Badshah Fabrics</v>
      </c>
      <c r="B13" s="10">
        <f>_xlfn.XLOOKUP($A13,[1]Billing!$Q$5:$Q$40,[1]Billing!$AD$5:$AD$40)</f>
        <v>6545761</v>
      </c>
      <c r="G13" t="str">
        <v>Badshah Fabrics</v>
      </c>
    </row>
    <row r="14" spans="1:7" x14ac:dyDescent="0.3">
      <c r="A14" s="80" t="str">
        <f t="shared" si="0"/>
        <v>Gauhar Kashif</v>
      </c>
      <c r="B14" s="10">
        <f>_xlfn.XLOOKUP($A14,[1]Billing!$Q$5:$Q$40,[1]Billing!$AD$5:$AD$40)</f>
        <v>1214045</v>
      </c>
      <c r="G14" t="str">
        <v>Gauhar Kashif</v>
      </c>
    </row>
    <row r="15" spans="1:7" x14ac:dyDescent="0.3">
      <c r="A15" s="80" t="str">
        <f t="shared" si="0"/>
        <v>Amjad 7up</v>
      </c>
      <c r="B15" s="10">
        <f>_xlfn.XLOOKUP($A15,[1]Billing!$Q$5:$Q$40,[1]Billing!$AD$5:$AD$40)</f>
        <v>480000</v>
      </c>
      <c r="G15" t="str">
        <v>Amjad 7up</v>
      </c>
    </row>
    <row r="16" spans="1:7" x14ac:dyDescent="0.3">
      <c r="A16" s="80" t="str">
        <f t="shared" si="0"/>
        <v>Hazrat Khan</v>
      </c>
      <c r="B16" s="10">
        <f>_xlfn.XLOOKUP($A16,[1]Billing!$Q$5:$Q$40,[1]Billing!$AD$5:$AD$40)</f>
        <v>95000</v>
      </c>
      <c r="G16" t="str">
        <v>Hazrat Khan</v>
      </c>
    </row>
    <row r="17" spans="1:7" x14ac:dyDescent="0.3">
      <c r="A17" s="80" t="str">
        <f t="shared" si="0"/>
        <v>Haseeb Shamsi</v>
      </c>
      <c r="B17" s="10">
        <f>_xlfn.XLOOKUP($A17,[1]Billing!$Q$5:$Q$40,[1]Billing!$AD$5:$AD$40)</f>
        <v>594405</v>
      </c>
      <c r="G17" t="str">
        <v>Haseeb Shamsi</v>
      </c>
    </row>
    <row r="18" spans="1:7" x14ac:dyDescent="0.3">
      <c r="A18" s="80" t="str">
        <f t="shared" si="0"/>
        <v>Faizan</v>
      </c>
      <c r="B18" s="10">
        <f>_xlfn.XLOOKUP($A18,[1]Billing!$Q$5:$Q$40,[1]Billing!$AD$5:$AD$40)</f>
        <v>6024187</v>
      </c>
      <c r="G18" t="str">
        <v>Faizan</v>
      </c>
    </row>
    <row r="19" spans="1:7" x14ac:dyDescent="0.3">
      <c r="A19" s="80" t="str">
        <f t="shared" si="0"/>
        <v>Shafique Ansari</v>
      </c>
      <c r="B19" s="10">
        <f>_xlfn.XLOOKUP($A19,[1]Billing!$Q$5:$Q$40,[1]Billing!$AD$5:$AD$40)</f>
        <v>835660</v>
      </c>
      <c r="G19" t="str">
        <v>Shafique Ansari</v>
      </c>
    </row>
    <row r="20" spans="1:7" x14ac:dyDescent="0.3">
      <c r="A20" s="80" t="str">
        <f t="shared" si="0"/>
        <v>Amjad sohail</v>
      </c>
      <c r="B20" s="10">
        <f>_xlfn.XLOOKUP($A20,[1]Billing!$Q$5:$Q$40,[1]Billing!$AD$5:$AD$40)</f>
        <v>4417830</v>
      </c>
      <c r="G20" t="str">
        <v>Amjad sohail</v>
      </c>
    </row>
    <row r="21" spans="1:7" x14ac:dyDescent="0.3">
      <c r="A21" s="80" t="str">
        <f t="shared" si="0"/>
        <v>Salman Zaffar</v>
      </c>
      <c r="B21" s="10">
        <f>_xlfn.XLOOKUP($A21,[1]Billing!$Q$5:$Q$40,[1]Billing!$AD$5:$AD$40)</f>
        <v>3296025</v>
      </c>
      <c r="G21" t="str">
        <v>Salman Zaffar</v>
      </c>
    </row>
    <row r="22" spans="1:7" x14ac:dyDescent="0.3">
      <c r="A22" s="80" t="str">
        <f t="shared" si="0"/>
        <v>Shahid Qasayi</v>
      </c>
      <c r="B22" s="10">
        <f>_xlfn.XLOOKUP($A22,[1]Billing!$Q$5:$Q$40,[1]Billing!$AD$5:$AD$40)</f>
        <v>3625137</v>
      </c>
      <c r="G22" t="str">
        <v>Shahid Qasayi</v>
      </c>
    </row>
    <row r="23" spans="1:7" x14ac:dyDescent="0.3">
      <c r="A23" s="80" t="str">
        <f t="shared" si="0"/>
        <v>Hameed corporation</v>
      </c>
      <c r="B23" s="10">
        <f>_xlfn.XLOOKUP($A23,[1]Billing!$Q$5:$Q$40,[1]Billing!$AD$5:$AD$40)</f>
        <v>424323</v>
      </c>
      <c r="G23" t="str">
        <v>Hameed corporation</v>
      </c>
    </row>
    <row r="24" spans="1:7" x14ac:dyDescent="0.3">
      <c r="A24" s="80" t="str">
        <f t="shared" si="0"/>
        <v>ibraheem behraam</v>
      </c>
      <c r="B24" s="10">
        <f>_xlfn.XLOOKUP($A24,[1]Billing!$Q$5:$Q$40,[1]Billing!$AD$5:$AD$40)</f>
        <v>1415500</v>
      </c>
      <c r="G24" t="str">
        <v>ibraheem behraam</v>
      </c>
    </row>
    <row r="25" spans="1:7" x14ac:dyDescent="0.3">
      <c r="A25" s="80" t="str">
        <f t="shared" si="0"/>
        <v>Zia-ullah karachi</v>
      </c>
      <c r="B25" s="10">
        <f>_xlfn.XLOOKUP($A25,[1]Billing!$Q$5:$Q$40,[1]Billing!$AD$5:$AD$40)</f>
        <v>124560</v>
      </c>
      <c r="G25" t="str">
        <v>Zia-ullah karachi</v>
      </c>
    </row>
    <row r="26" spans="1:7" x14ac:dyDescent="0.3">
      <c r="A26" s="80" t="str">
        <f t="shared" si="0"/>
        <v>ZA</v>
      </c>
      <c r="B26" s="10">
        <f>_xlfn.XLOOKUP($A26,[1]Billing!$Q$5:$Q$40,[1]Billing!$AD$5:$AD$40)</f>
        <v>250000</v>
      </c>
      <c r="G26" t="str">
        <v>ZA</v>
      </c>
    </row>
    <row r="27" spans="1:7" x14ac:dyDescent="0.3">
      <c r="A27" s="80" t="str">
        <f t="shared" si="0"/>
        <v>Ahmad Javaid</v>
      </c>
      <c r="B27" s="10">
        <f>_xlfn.XLOOKUP($A27,[1]Billing!$Q$5:$Q$40,[1]Billing!$AD$5:$AD$40)</f>
        <v>0</v>
      </c>
      <c r="G27" t="str">
        <v>Ahmad Javaid</v>
      </c>
    </row>
    <row r="28" spans="1:7" x14ac:dyDescent="0.3">
      <c r="A28" s="80" t="str">
        <f t="shared" si="0"/>
        <v>Shani Badshah</v>
      </c>
      <c r="B28" s="10">
        <f>_xlfn.XLOOKUP($A28,[1]Billing!$Q$5:$Q$40,[1]Billing!$AD$5:$AD$40)</f>
        <v>1300000</v>
      </c>
      <c r="G28" t="str">
        <v>Shani Badshah</v>
      </c>
    </row>
    <row r="29" spans="1:7" x14ac:dyDescent="0.3">
      <c r="A29" s="80" t="str">
        <f t="shared" si="0"/>
        <v>Rehman Ali</v>
      </c>
      <c r="B29" s="10">
        <f>_xlfn.XLOOKUP($A29,[1]Billing!$Q$5:$Q$40,[1]Billing!$AD$5:$AD$40)</f>
        <v>550000</v>
      </c>
      <c r="G29" t="str">
        <v>Rehman Ali</v>
      </c>
    </row>
    <row r="30" spans="1:7" x14ac:dyDescent="0.3">
      <c r="A30" s="80" t="str">
        <f t="shared" si="0"/>
        <v>Ahmad Shafique</v>
      </c>
      <c r="B30" s="10">
        <f>_xlfn.XLOOKUP($A30,[1]Billing!$Q$5:$Q$40,[1]Billing!$AD$5:$AD$40)</f>
        <v>636000</v>
      </c>
      <c r="G30" t="str">
        <v>Ahmad Shafique</v>
      </c>
    </row>
    <row r="31" spans="1:7" x14ac:dyDescent="0.3">
      <c r="A31" s="80" t="str">
        <f t="shared" si="0"/>
        <v>Hafiz Shawl</v>
      </c>
      <c r="B31" s="10">
        <f>_xlfn.XLOOKUP($A31,[1]Billing!$Q$5:$Q$40,[1]Billing!$AD$5:$AD$40)</f>
        <v>15855</v>
      </c>
      <c r="G31" t="str">
        <v>Hafiz Shawl</v>
      </c>
    </row>
    <row r="32" spans="1:7" x14ac:dyDescent="0.3">
      <c r="A32" s="80" t="str">
        <f t="shared" si="0"/>
        <v>Zahid Ejaz</v>
      </c>
      <c r="B32" s="10" t="e">
        <f>_xlfn.XLOOKUP($A32,[1]Billing!$Q$5:$Q$40,[1]Billing!$AD$5:$AD$40)</f>
        <v>#N/A</v>
      </c>
      <c r="G32" t="str">
        <v>Zahid Ejaz</v>
      </c>
    </row>
    <row r="33" spans="1:7" x14ac:dyDescent="0.3">
      <c r="A33" s="80" t="str">
        <f t="shared" si="0"/>
        <v>Faizan Kamoki</v>
      </c>
      <c r="B33" s="10" t="e">
        <f>_xlfn.XLOOKUP($A33,[1]Billing!$Q$5:$Q$40,[1]Billing!$AD$5:$AD$40)</f>
        <v>#N/A</v>
      </c>
      <c r="G33" t="str">
        <v>Faizan Kamoki</v>
      </c>
    </row>
    <row r="34" spans="1:7" x14ac:dyDescent="0.3">
      <c r="A34" s="80" t="str">
        <f t="shared" si="0"/>
        <v>KK fabrics</v>
      </c>
      <c r="B34" s="10" t="e">
        <f>_xlfn.XLOOKUP($A34,[1]Billing!$Q$5:$Q$40,[1]Billing!$AD$5:$AD$40)</f>
        <v>#N/A</v>
      </c>
      <c r="G34" t="str">
        <v>KK fabrics</v>
      </c>
    </row>
    <row r="35" spans="1:7" x14ac:dyDescent="0.3">
      <c r="A35" s="80" t="str">
        <f t="shared" si="0"/>
        <v>Rauf Khan</v>
      </c>
      <c r="B35" s="10" t="e">
        <f>_xlfn.XLOOKUP($A35,[1]Billing!$Q$5:$Q$40,[1]Billing!$AD$5:$AD$40)</f>
        <v>#N/A</v>
      </c>
      <c r="G35" t="str">
        <v>Rauf Khan</v>
      </c>
    </row>
    <row r="36" spans="1:7" x14ac:dyDescent="0.3">
      <c r="A36" s="80" t="str">
        <f t="shared" si="0"/>
        <v>Farhaan ali</v>
      </c>
      <c r="B36" s="10" t="e">
        <f>_xlfn.XLOOKUP($A36,[1]Billing!$Q$5:$Q$40,[1]Billing!$AD$5:$AD$40)</f>
        <v>#N/A</v>
      </c>
      <c r="G36" t="str">
        <v>Farhaan ali</v>
      </c>
    </row>
    <row r="37" spans="1:7" x14ac:dyDescent="0.3">
      <c r="A37" s="80">
        <f t="shared" si="0"/>
        <v>0</v>
      </c>
      <c r="B37" s="10" t="e">
        <f>_xlfn.XLOOKUP($A37,[1]Billing!$Q$5:$Q$40,[1]Billing!$AD$5:$AD$40)</f>
        <v>#N/A</v>
      </c>
      <c r="G37">
        <v>0</v>
      </c>
    </row>
    <row r="38" spans="1:7" x14ac:dyDescent="0.3">
      <c r="A38" s="80">
        <f t="shared" si="0"/>
        <v>0</v>
      </c>
      <c r="B38" s="10" t="e">
        <f>_xlfn.XLOOKUP($A38,[1]Billing!$Q$5:$Q$40,[1]Billing!$AD$5:$AD$40)</f>
        <v>#N/A</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653170-0ABA-4B0E-A63E-D518C3729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Billing</vt:lpstr>
      <vt:lpstr>Bill Print</vt:lpstr>
      <vt:lpstr>Expenses</vt:lpstr>
      <vt:lpstr>Profit</vt:lpstr>
      <vt:lpstr>Transport</vt:lpstr>
      <vt:lpstr>ledger</vt:lpstr>
      <vt:lpstr>Gray Khata</vt:lpstr>
      <vt:lpstr>Wood</vt:lpstr>
      <vt:lpstr>Cashbook</vt:lpstr>
      <vt:lpstr>Dyes</vt:lpstr>
      <vt:lpstr>Finish</vt:lpstr>
      <vt:lpstr>Electricity</vt:lpstr>
      <vt:lpstr>Miscellaneous</vt:lpstr>
      <vt:lpstr>Salary Acc</vt:lpstr>
      <vt:lpstr>Dc-m</vt:lpstr>
      <vt:lpstr>pivot </vt:lpstr>
      <vt:lpstr>Running Acc</vt:lpstr>
      <vt:lpstr>Balance</vt:lpstr>
      <vt:lpstr>Cashflow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Omer</dc:creator>
  <cp:keywords/>
  <dc:description/>
  <cp:lastModifiedBy>Muhammad  Omer</cp:lastModifiedBy>
  <cp:revision/>
  <cp:lastPrinted>2026-03-02T20:33:49Z</cp:lastPrinted>
  <dcterms:created xsi:type="dcterms:W3CDTF">2025-06-24T04:42:48Z</dcterms:created>
  <dcterms:modified xsi:type="dcterms:W3CDTF">2026-05-06T12:09:51Z</dcterms:modified>
  <cp:category/>
  <cp:contentStatus/>
</cp:coreProperties>
</file>