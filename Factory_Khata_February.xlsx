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483" documentId="8_{5FA7CF9A-3CD5-4319-9FC5-E34696581AAD}" xr6:coauthVersionLast="47" xr6:coauthVersionMax="47" xr10:uidLastSave="{184CACB1-92FB-49D1-99DE-E3E9C56B6036}"/>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40" r:id="rId21"/>
    <pivotCache cacheId="41" r:id="rId22"/>
    <pivotCache cacheId="42" r:id="rId23"/>
    <pivotCache cacheId="43" r:id="rId24"/>
    <pivotCache cacheId="44" r:id="rId25"/>
    <pivotCache cacheId="4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7" i="1" l="1"/>
  <c r="J157" i="1" a="1"/>
  <c r="J157" i="1" s="1"/>
  <c r="I158" i="1"/>
  <c r="J158" i="1" s="1" a="1"/>
  <c r="J158" i="1" s="1"/>
  <c r="I159" i="1"/>
  <c r="J159" i="1" a="1"/>
  <c r="J159" i="1" s="1"/>
  <c r="I160" i="1"/>
  <c r="J160" i="1" s="1" a="1"/>
  <c r="J160" i="1" s="1"/>
  <c r="I161" i="1"/>
  <c r="J161" i="1" a="1"/>
  <c r="J161" i="1" s="1"/>
  <c r="I162" i="1"/>
  <c r="J162" i="1" s="1" a="1"/>
  <c r="J162" i="1" s="1"/>
  <c r="I163" i="1"/>
  <c r="J163" i="1" a="1"/>
  <c r="J163" i="1" s="1"/>
  <c r="I164" i="1"/>
  <c r="J164" i="1" s="1" a="1"/>
  <c r="J164" i="1" s="1"/>
  <c r="I165" i="1"/>
  <c r="J165" i="1" a="1"/>
  <c r="J165" i="1" s="1"/>
  <c r="I166" i="1"/>
  <c r="J166" i="1" s="1" a="1"/>
  <c r="J166" i="1" s="1"/>
  <c r="I167" i="1"/>
  <c r="J167" i="1" a="1"/>
  <c r="J167" i="1" s="1"/>
  <c r="I168" i="1"/>
  <c r="J168" i="1" s="1" a="1"/>
  <c r="J168" i="1" s="1"/>
  <c r="I169" i="1"/>
  <c r="J169" i="1" a="1"/>
  <c r="J169" i="1" s="1"/>
  <c r="G168" i="1"/>
  <c r="H170" i="1"/>
  <c r="H171" i="1"/>
  <c r="H172" i="1"/>
  <c r="H173" i="1"/>
  <c r="H174" i="1"/>
  <c r="C289" i="17"/>
  <c r="I138" i="1" l="1"/>
  <c r="J138" i="1" a="1"/>
  <c r="J138" i="1" s="1"/>
  <c r="I139" i="1"/>
  <c r="J139" i="1" a="1"/>
  <c r="J139" i="1" s="1"/>
  <c r="I140" i="1"/>
  <c r="J140" i="1" a="1"/>
  <c r="J140" i="1" s="1"/>
  <c r="I141" i="1"/>
  <c r="J141" i="1" s="1" a="1"/>
  <c r="J141" i="1" s="1"/>
  <c r="I142" i="1"/>
  <c r="J142" i="1" s="1" a="1"/>
  <c r="J142" i="1" s="1"/>
  <c r="I143" i="1"/>
  <c r="J143" i="1" s="1" a="1"/>
  <c r="J143" i="1" s="1"/>
  <c r="I144" i="1"/>
  <c r="J144" i="1" s="1" a="1"/>
  <c r="J144" i="1" s="1"/>
  <c r="I145" i="1"/>
  <c r="J145" i="1" s="1" a="1"/>
  <c r="J145" i="1" s="1"/>
  <c r="I146" i="1"/>
  <c r="J146" i="1" s="1" a="1"/>
  <c r="J146" i="1" s="1"/>
  <c r="I147" i="1"/>
  <c r="J147" i="1" s="1" a="1"/>
  <c r="J147" i="1" s="1"/>
  <c r="I148" i="1"/>
  <c r="J148" i="1" a="1"/>
  <c r="J148" i="1" s="1"/>
  <c r="I149" i="1"/>
  <c r="J149" i="1" a="1"/>
  <c r="J149" i="1" s="1"/>
  <c r="I150" i="1"/>
  <c r="J150" i="1" a="1"/>
  <c r="J150" i="1" s="1"/>
  <c r="I151" i="1"/>
  <c r="J151" i="1" a="1"/>
  <c r="J151" i="1" s="1"/>
  <c r="I152" i="1"/>
  <c r="J152" i="1" a="1"/>
  <c r="J152" i="1" s="1"/>
  <c r="I153" i="1"/>
  <c r="J153" i="1" s="1" a="1"/>
  <c r="J153" i="1" s="1"/>
  <c r="I154" i="1"/>
  <c r="J154" i="1" a="1"/>
  <c r="J154" i="1" s="1"/>
  <c r="I155" i="1"/>
  <c r="J155" i="1" s="1" a="1"/>
  <c r="J155" i="1" s="1"/>
  <c r="I156" i="1"/>
  <c r="J156" i="1" s="1" a="1"/>
  <c r="J156" i="1" s="1"/>
  <c r="F151" i="1"/>
  <c r="F150" i="1"/>
  <c r="F97" i="1"/>
  <c r="G29" i="7"/>
  <c r="H29" i="7" s="1"/>
  <c r="G30" i="7"/>
  <c r="H30" i="7" s="1"/>
  <c r="C270" i="17"/>
  <c r="I137" i="1"/>
  <c r="J137" i="1" a="1"/>
  <c r="J137" i="1" s="1"/>
  <c r="I35" i="6"/>
  <c r="I36" i="6"/>
  <c r="I37" i="6"/>
  <c r="I38" i="6"/>
  <c r="I39" i="6"/>
  <c r="I40" i="6"/>
  <c r="I41" i="6"/>
  <c r="I42" i="6"/>
  <c r="I43" i="6"/>
  <c r="I44" i="6"/>
  <c r="I45" i="6"/>
  <c r="I46" i="6"/>
  <c r="I47" i="6"/>
  <c r="I48" i="6"/>
  <c r="I49" i="6"/>
  <c r="I50" i="6"/>
  <c r="I51" i="6"/>
  <c r="I52" i="6"/>
  <c r="I134" i="1"/>
  <c r="J134" i="1" a="1"/>
  <c r="J134" i="1" s="1"/>
  <c r="I135" i="1"/>
  <c r="J135" i="1" a="1"/>
  <c r="J135" i="1" s="1"/>
  <c r="I136" i="1"/>
  <c r="J136" i="1" a="1"/>
  <c r="J136" i="1" s="1"/>
  <c r="C249" i="17"/>
  <c r="C242" i="17"/>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a="1"/>
  <c r="J128" i="1" s="1"/>
  <c r="I129" i="1"/>
  <c r="J129" i="1" s="1" a="1"/>
  <c r="J129" i="1" s="1"/>
  <c r="I130" i="1"/>
  <c r="J130" i="1" s="1" a="1"/>
  <c r="J130" i="1" s="1"/>
  <c r="I131" i="1"/>
  <c r="J131" i="1" s="1" a="1"/>
  <c r="J131" i="1" s="1"/>
  <c r="I132" i="1"/>
  <c r="J132" i="1" s="1" a="1"/>
  <c r="J132" i="1" s="1"/>
  <c r="I133" i="1"/>
  <c r="J133" i="1" s="1" a="1"/>
  <c r="J133" i="1" s="1"/>
  <c r="C240" i="17"/>
  <c r="C16" i="10" s="1"/>
  <c r="I120" i="1"/>
  <c r="J120" i="1" a="1"/>
  <c r="J120" i="1" s="1"/>
  <c r="I121" i="1"/>
  <c r="J121" i="1" a="1"/>
  <c r="J121" i="1" s="1"/>
  <c r="I122" i="1"/>
  <c r="J122" i="1" a="1"/>
  <c r="J122" i="1" s="1"/>
  <c r="I123" i="1"/>
  <c r="J123" i="1" a="1"/>
  <c r="J123" i="1" s="1"/>
  <c r="I124" i="1"/>
  <c r="J124" i="1" a="1"/>
  <c r="J124" i="1" s="1"/>
  <c r="I125" i="1"/>
  <c r="J125" i="1" s="1" a="1"/>
  <c r="J125" i="1" s="1"/>
  <c r="I126" i="1"/>
  <c r="J126" i="1" s="1" a="1"/>
  <c r="J126" i="1" s="1"/>
  <c r="C144" i="17"/>
  <c r="F27" i="15"/>
  <c r="F28" i="15"/>
  <c r="G27" i="15"/>
  <c r="H27" i="15" s="1"/>
  <c r="G28" i="15"/>
  <c r="H28" i="15" s="1"/>
  <c r="F10" i="15"/>
  <c r="C208" i="17"/>
  <c r="F26" i="15"/>
  <c r="G26" i="15"/>
  <c r="H26" i="15" s="1"/>
  <c r="AD39" i="9" a="1"/>
  <c r="AD39" i="9" s="1"/>
  <c r="I112" i="1"/>
  <c r="J112" i="1" s="1"/>
  <c r="I113" i="1"/>
  <c r="J113" i="1" s="1"/>
  <c r="G25" i="6"/>
  <c r="I106" i="1"/>
  <c r="J106" i="1" s="1" a="1"/>
  <c r="J106" i="1" s="1"/>
  <c r="I107" i="1"/>
  <c r="J107" i="1" s="1" a="1"/>
  <c r="J107" i="1" s="1"/>
  <c r="I108" i="1"/>
  <c r="J108" i="1" s="1" a="1"/>
  <c r="J108" i="1" s="1"/>
  <c r="I109" i="1"/>
  <c r="J109" i="1" a="1"/>
  <c r="J109" i="1" s="1"/>
  <c r="I110" i="1"/>
  <c r="J110" i="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a="1"/>
  <c r="J119" i="1" s="1"/>
  <c r="D176" i="17"/>
  <c r="D120" i="17"/>
  <c r="C58" i="17"/>
  <c r="C162" i="17"/>
  <c r="I102" i="1"/>
  <c r="J102" i="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a="1"/>
  <c r="J88" i="1" s="1"/>
  <c r="I89" i="1"/>
  <c r="J89" i="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14" i="6"/>
  <c r="I122" i="6" s="1"/>
  <c r="G15" i="6"/>
  <c r="G16" i="6"/>
  <c r="G17" i="6"/>
  <c r="G18" i="6"/>
  <c r="G19" i="6"/>
  <c r="G20" i="6"/>
  <c r="G21" i="6"/>
  <c r="G22" i="6"/>
  <c r="G23" i="6"/>
  <c r="G24" i="6"/>
  <c r="G26" i="6"/>
  <c r="G122" i="6" s="1"/>
  <c r="G27" i="6"/>
  <c r="A37" i="20"/>
  <c r="A38" i="20"/>
  <c r="A39" i="20"/>
  <c r="A40" i="20"/>
  <c r="R5" i="9" a="1"/>
  <c r="F5" i="15"/>
  <c r="F6" i="15"/>
  <c r="F7" i="15"/>
  <c r="F8" i="15"/>
  <c r="F9" i="15"/>
  <c r="F23" i="15"/>
  <c r="F24" i="15"/>
  <c r="G8" i="7"/>
  <c r="G6" i="7"/>
  <c r="G7" i="7"/>
  <c r="G9" i="7"/>
  <c r="G14" i="6"/>
  <c r="A37" i="21"/>
  <c r="B37" i="21"/>
  <c r="A38" i="21"/>
  <c r="B38" i="21"/>
  <c r="G2" i="21" a="1"/>
  <c r="A10" i="21" s="1"/>
  <c r="I72" i="1"/>
  <c r="J72" i="1" s="1" a="1"/>
  <c r="J72" i="1" s="1"/>
  <c r="I73" i="1"/>
  <c r="J73" i="1" s="1" a="1"/>
  <c r="J73" i="1" s="1"/>
  <c r="I74" i="1"/>
  <c r="J74" i="1" a="1"/>
  <c r="J74" i="1" s="1"/>
  <c r="I75" i="1"/>
  <c r="J75" i="1" s="1" a="1"/>
  <c r="J75" i="1" s="1"/>
  <c r="I76" i="1"/>
  <c r="J76" i="1" s="1" a="1"/>
  <c r="J76" i="1" s="1"/>
  <c r="I77" i="1"/>
  <c r="J77" i="1" a="1"/>
  <c r="J77" i="1" s="1"/>
  <c r="I78" i="1"/>
  <c r="J78" i="1" s="1" a="1"/>
  <c r="J78" i="1" s="1"/>
  <c r="I79" i="1"/>
  <c r="J79" i="1" s="1" a="1"/>
  <c r="J79" i="1" s="1"/>
  <c r="I80" i="1"/>
  <c r="J80" i="1" s="1" a="1"/>
  <c r="J80" i="1" s="1"/>
  <c r="I81" i="1"/>
  <c r="J81" i="1" a="1"/>
  <c r="J81" i="1" s="1"/>
  <c r="I82" i="1"/>
  <c r="J82" i="1" s="1" a="1"/>
  <c r="J82" i="1" s="1"/>
  <c r="G23" i="15"/>
  <c r="H23" i="15" s="1"/>
  <c r="G24" i="15"/>
  <c r="H24" i="15" s="1"/>
  <c r="G25" i="15"/>
  <c r="H25" i="15" s="1"/>
  <c r="G22" i="7"/>
  <c r="H22" i="7" s="1"/>
  <c r="G23" i="7"/>
  <c r="H23" i="7" s="1"/>
  <c r="G24" i="7"/>
  <c r="H24" i="7" s="1"/>
  <c r="G25" i="7"/>
  <c r="H25" i="7" s="1"/>
  <c r="E21" i="7"/>
  <c r="C5" i="8" s="1"/>
  <c r="G21" i="7"/>
  <c r="I70" i="1"/>
  <c r="J70" i="1" s="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5" i="7"/>
  <c r="G3" i="7"/>
  <c r="G4" i="7"/>
  <c r="G8" i="6"/>
  <c r="G9" i="6"/>
  <c r="P35" i="7"/>
  <c r="P56" i="7"/>
  <c r="P36" i="7"/>
  <c r="P37" i="7"/>
  <c r="P38" i="7"/>
  <c r="P39" i="7"/>
  <c r="P40" i="7"/>
  <c r="P41" i="7"/>
  <c r="P42" i="7"/>
  <c r="P43" i="7"/>
  <c r="P44" i="7"/>
  <c r="P45" i="7"/>
  <c r="P46" i="7"/>
  <c r="P47" i="7"/>
  <c r="P48" i="7"/>
  <c r="P49" i="7"/>
  <c r="P50" i="7"/>
  <c r="P51" i="7"/>
  <c r="P52" i="7"/>
  <c r="P53" i="7"/>
  <c r="P54" i="7"/>
  <c r="P55" i="7"/>
  <c r="P34" i="7"/>
  <c r="K27" i="15"/>
  <c r="K26" i="15"/>
  <c r="K25" i="15"/>
  <c r="B49" i="9" a="1"/>
  <c r="I36" i="12"/>
  <c r="J35" i="14"/>
  <c r="J36" i="14"/>
  <c r="D35" i="14"/>
  <c r="D36" i="14"/>
  <c r="D35" i="18"/>
  <c r="D36" i="18"/>
  <c r="D37" i="18"/>
  <c r="E35" i="18"/>
  <c r="E36" i="18"/>
  <c r="E37" i="18"/>
  <c r="J25" i="15"/>
  <c r="J27" i="15"/>
  <c r="J30"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E40" i="7"/>
  <c r="E41" i="7"/>
  <c r="E42" i="7"/>
  <c r="E43" i="7"/>
  <c r="E44" i="7"/>
  <c r="E45" i="7"/>
  <c r="E46" i="7"/>
  <c r="E47" i="7"/>
  <c r="E48" i="7"/>
  <c r="E49" i="7"/>
  <c r="E50" i="7"/>
  <c r="E51" i="7"/>
  <c r="E52" i="7"/>
  <c r="E53" i="7"/>
  <c r="E54" i="7"/>
  <c r="E55" i="7"/>
  <c r="E56" i="7"/>
  <c r="E57" i="7"/>
  <c r="E58" i="7"/>
  <c r="E59" i="7"/>
  <c r="E60" i="7"/>
  <c r="E39" i="7"/>
  <c r="E65"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G57" i="2" s="1"/>
  <c r="H154" i="1" s="1"/>
  <c r="H57" i="2"/>
  <c r="I57" i="2" s="1"/>
  <c r="D57" i="2" s="1"/>
  <c r="E58" i="2"/>
  <c r="F58" i="2"/>
  <c r="H58" i="2"/>
  <c r="I58" i="2" s="1"/>
  <c r="D58" i="2" s="1"/>
  <c r="F27" i="2"/>
  <c r="H27" i="2" s="1"/>
  <c r="I27" i="2" s="1"/>
  <c r="D27" i="2" s="1"/>
  <c r="E27" i="2"/>
  <c r="E59" i="2"/>
  <c r="F59" i="2"/>
  <c r="H59" i="2" s="1"/>
  <c r="I59" i="2" s="1"/>
  <c r="D59" i="2" s="1"/>
  <c r="F28" i="2"/>
  <c r="H28" i="2"/>
  <c r="I28" i="2"/>
  <c r="D28" i="2" s="1"/>
  <c r="E28" i="2"/>
  <c r="E60" i="2"/>
  <c r="F60" i="2"/>
  <c r="H60" i="2" s="1"/>
  <c r="I60" i="2" s="1"/>
  <c r="D60" i="2" s="1"/>
  <c r="E61" i="2"/>
  <c r="F61" i="2"/>
  <c r="H61" i="2" s="1"/>
  <c r="I61" i="2" s="1"/>
  <c r="D61" i="2" s="1"/>
  <c r="E62" i="2"/>
  <c r="F62" i="2"/>
  <c r="H62" i="2" s="1"/>
  <c r="I62" i="2" s="1"/>
  <c r="D62" i="2" s="1"/>
  <c r="E63" i="2"/>
  <c r="F63" i="2"/>
  <c r="H63" i="2" s="1"/>
  <c r="I63" i="2" s="1"/>
  <c r="D63" i="2" s="1"/>
  <c r="E64" i="2"/>
  <c r="G64" i="2"/>
  <c r="F64" i="2"/>
  <c r="H64" i="2"/>
  <c r="I64" i="2" s="1"/>
  <c r="D64" i="2" s="1"/>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c r="H128" i="1" s="1"/>
  <c r="E46" i="2"/>
  <c r="F46" i="2"/>
  <c r="H46" i="2" s="1"/>
  <c r="I46" i="2" s="1"/>
  <c r="D46" i="2" s="1"/>
  <c r="E47" i="2"/>
  <c r="F47" i="2"/>
  <c r="G47" i="2" s="1"/>
  <c r="H132" i="1" s="1"/>
  <c r="E48" i="2"/>
  <c r="F48" i="2"/>
  <c r="G48" i="2"/>
  <c r="H48" i="2"/>
  <c r="I48" i="2" s="1"/>
  <c r="D48" i="2" s="1"/>
  <c r="F20" i="2"/>
  <c r="H20" i="2"/>
  <c r="I20" i="2" s="1"/>
  <c r="D20" i="2" s="1"/>
  <c r="E20" i="2"/>
  <c r="E49" i="2"/>
  <c r="F49" i="2"/>
  <c r="G49" i="2" s="1"/>
  <c r="H49" i="2"/>
  <c r="I49" i="2" s="1"/>
  <c r="D49" i="2" s="1"/>
  <c r="F21" i="2"/>
  <c r="H21" i="2"/>
  <c r="I21" i="2" s="1"/>
  <c r="D21" i="2" s="1"/>
  <c r="E21" i="2"/>
  <c r="E50" i="2"/>
  <c r="F50" i="2"/>
  <c r="G50" i="2" s="1"/>
  <c r="H138" i="1" s="1"/>
  <c r="E51" i="2"/>
  <c r="G51" i="2" s="1"/>
  <c r="F51" i="2"/>
  <c r="H51" i="2" s="1"/>
  <c r="I51" i="2" s="1"/>
  <c r="D51" i="2" s="1"/>
  <c r="E52" i="2"/>
  <c r="F52" i="2"/>
  <c r="H52" i="2" s="1"/>
  <c r="I52" i="2" s="1"/>
  <c r="D52" i="2" s="1"/>
  <c r="E53" i="2"/>
  <c r="F53" i="2"/>
  <c r="G53" i="2" s="1"/>
  <c r="E54" i="2"/>
  <c r="F54" i="2"/>
  <c r="H54" i="2" s="1"/>
  <c r="I54" i="2" s="1"/>
  <c r="D54" i="2" s="1"/>
  <c r="F24" i="2"/>
  <c r="H24" i="2"/>
  <c r="I24" i="2"/>
  <c r="D24" i="2" s="1"/>
  <c r="E24" i="2"/>
  <c r="E55" i="2"/>
  <c r="G55" i="2"/>
  <c r="F55" i="2"/>
  <c r="H55" i="2"/>
  <c r="I55" i="2" s="1"/>
  <c r="D55" i="2" s="1"/>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s="1"/>
  <c r="C4" i="8" s="1"/>
  <c r="C19" i="8"/>
  <c r="D16" i="14"/>
  <c r="J18" i="14"/>
  <c r="J19" i="14"/>
  <c r="J20" i="14"/>
  <c r="E33" i="2"/>
  <c r="F33" i="2"/>
  <c r="H33" i="2"/>
  <c r="I33" i="2"/>
  <c r="D33" i="2" s="1"/>
  <c r="F6" i="2"/>
  <c r="H6" i="2" s="1"/>
  <c r="I6" i="2" s="1"/>
  <c r="D6" i="2" s="1"/>
  <c r="E6" i="2"/>
  <c r="F5" i="2"/>
  <c r="H5" i="2" s="1"/>
  <c r="I5" i="2" s="1"/>
  <c r="D5" i="2" s="1"/>
  <c r="E5" i="2"/>
  <c r="E34" i="2"/>
  <c r="G34" i="2" s="1"/>
  <c r="H111" i="1" s="1"/>
  <c r="F34" i="2"/>
  <c r="H34" i="2"/>
  <c r="I34" i="2" s="1"/>
  <c r="D34" i="2" s="1"/>
  <c r="F18" i="2"/>
  <c r="E18" i="2"/>
  <c r="E35" i="2"/>
  <c r="F35" i="2"/>
  <c r="H35" i="2"/>
  <c r="I35" i="2" s="1"/>
  <c r="D35" i="2" s="1"/>
  <c r="E36" i="2"/>
  <c r="G36" i="2" s="1"/>
  <c r="F36" i="2"/>
  <c r="H36" i="2"/>
  <c r="I36" i="2" s="1"/>
  <c r="D36" i="2" s="1"/>
  <c r="F22" i="2"/>
  <c r="E22" i="2"/>
  <c r="F7" i="2"/>
  <c r="H7" i="2" s="1"/>
  <c r="I7" i="2" s="1"/>
  <c r="D7" i="2" s="1"/>
  <c r="E7" i="2"/>
  <c r="E37" i="2"/>
  <c r="G37" i="2" s="1"/>
  <c r="H116" i="1" s="1"/>
  <c r="F37" i="2"/>
  <c r="H37" i="2"/>
  <c r="I37" i="2" s="1"/>
  <c r="D37" i="2" s="1"/>
  <c r="E39" i="2"/>
  <c r="F39" i="2"/>
  <c r="E40" i="2"/>
  <c r="F40" i="2"/>
  <c r="H40" i="2"/>
  <c r="I40" i="2" s="1"/>
  <c r="D40" i="2" s="1"/>
  <c r="E41" i="2"/>
  <c r="G41" i="2" s="1"/>
  <c r="F41" i="2"/>
  <c r="E42" i="2"/>
  <c r="F42" i="2"/>
  <c r="G42" i="2" s="1"/>
  <c r="H125"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G23" i="2" s="1"/>
  <c r="H95" i="1" s="1"/>
  <c r="H23" i="2"/>
  <c r="I23" i="2" s="1"/>
  <c r="D23" i="2" s="1"/>
  <c r="E23" i="2"/>
  <c r="F15" i="2"/>
  <c r="H15" i="2" s="1"/>
  <c r="I15" i="2" s="1"/>
  <c r="D15" i="2" s="1"/>
  <c r="E15" i="2"/>
  <c r="F16" i="2"/>
  <c r="H16" i="2" s="1"/>
  <c r="I16" i="2" s="1"/>
  <c r="D16" i="2" s="1"/>
  <c r="E16" i="2"/>
  <c r="F26" i="2"/>
  <c r="E26" i="2"/>
  <c r="F29" i="2"/>
  <c r="E29" i="2"/>
  <c r="F30" i="2"/>
  <c r="F31" i="2"/>
  <c r="H31" i="2" s="1"/>
  <c r="I31" i="2" s="1"/>
  <c r="D31" i="2" s="1"/>
  <c r="E31" i="2"/>
  <c r="F32" i="2"/>
  <c r="G32" i="2" s="1"/>
  <c r="F14" i="2"/>
  <c r="H14" i="2" s="1"/>
  <c r="I14" i="2" s="1"/>
  <c r="D14" i="2" s="1"/>
  <c r="E14" i="2"/>
  <c r="E30" i="2"/>
  <c r="E32" i="2"/>
  <c r="N4" i="17"/>
  <c r="F12" i="2"/>
  <c r="G12" i="2" s="1"/>
  <c r="H79" i="1" s="1"/>
  <c r="E12" i="2"/>
  <c r="F11" i="2"/>
  <c r="H11" i="2"/>
  <c r="I11" i="2" s="1"/>
  <c r="E11" i="2"/>
  <c r="E17" i="2"/>
  <c r="F17" i="2"/>
  <c r="H17" i="2"/>
  <c r="I17" i="2"/>
  <c r="D17" i="2" s="1"/>
  <c r="F9" i="2"/>
  <c r="H9" i="2" s="1"/>
  <c r="I9" i="2" s="1"/>
  <c r="D9" i="2" s="1"/>
  <c r="E9" i="2"/>
  <c r="E8" i="2"/>
  <c r="F8" i="2"/>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G66" i="2"/>
  <c r="H76" i="2"/>
  <c r="I76" i="2"/>
  <c r="D76" i="2"/>
  <c r="G67" i="2"/>
  <c r="G68" i="2"/>
  <c r="G52" i="2"/>
  <c r="H160" i="1" s="1"/>
  <c r="G61" i="2"/>
  <c r="H166" i="1" s="1"/>
  <c r="G63" i="2"/>
  <c r="H169" i="1" s="1"/>
  <c r="G81" i="2"/>
  <c r="G65" i="2"/>
  <c r="H72" i="2"/>
  <c r="I72" i="2"/>
  <c r="D72" i="2"/>
  <c r="G59" i="2"/>
  <c r="H164" i="1" s="1"/>
  <c r="G75" i="2"/>
  <c r="G74" i="2"/>
  <c r="H71" i="2"/>
  <c r="I71" i="2"/>
  <c r="D71" i="2"/>
  <c r="G79" i="2"/>
  <c r="G60" i="2"/>
  <c r="H165" i="1" s="1"/>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G8" i="2"/>
  <c r="G58" i="2"/>
  <c r="H157" i="1" s="1"/>
  <c r="G22" i="2"/>
  <c r="H50" i="2"/>
  <c r="I50" i="2"/>
  <c r="D50" i="2"/>
  <c r="H148" i="1"/>
  <c r="H149" i="1"/>
  <c r="G54" i="2"/>
  <c r="H147" i="1"/>
  <c r="H41" i="2"/>
  <c r="I41" i="2"/>
  <c r="D41" i="2" s="1"/>
  <c r="H22" i="2"/>
  <c r="I22" i="2"/>
  <c r="D22" i="2" s="1"/>
  <c r="H144" i="1"/>
  <c r="H153" i="1"/>
  <c r="H136" i="1"/>
  <c r="G24" i="2"/>
  <c r="H96" i="1" s="1"/>
  <c r="G46" i="2"/>
  <c r="H131" i="1" s="1"/>
  <c r="G39" i="2"/>
  <c r="G30" i="2"/>
  <c r="H42" i="2"/>
  <c r="I42" i="2" s="1"/>
  <c r="D42" i="2" s="1"/>
  <c r="G7" i="2"/>
  <c r="H81" i="1" s="1"/>
  <c r="H86" i="1"/>
  <c r="H45" i="2"/>
  <c r="I45" i="2"/>
  <c r="D45" i="2" s="1"/>
  <c r="H30" i="2"/>
  <c r="I30" i="2" s="1"/>
  <c r="D30" i="2" s="1"/>
  <c r="H129" i="1"/>
  <c r="G29" i="2"/>
  <c r="H121" i="1" s="1"/>
  <c r="H47" i="2"/>
  <c r="I47" i="2"/>
  <c r="D47" i="2"/>
  <c r="G26" i="2"/>
  <c r="G43" i="2"/>
  <c r="H126" i="1" s="1"/>
  <c r="G40" i="2"/>
  <c r="H122" i="1"/>
  <c r="G33" i="2"/>
  <c r="G20" i="2"/>
  <c r="H163" i="1" s="1"/>
  <c r="G18" i="2"/>
  <c r="H89" i="1"/>
  <c r="G35" i="2"/>
  <c r="H113" i="1" s="1"/>
  <c r="G38" i="2"/>
  <c r="H161" i="1" s="1"/>
  <c r="H119" i="1"/>
  <c r="G4" i="2"/>
  <c r="G31" i="2"/>
  <c r="G15" i="2"/>
  <c r="K30" i="15"/>
  <c r="C6" i="8"/>
  <c r="F29" i="15"/>
  <c r="H18" i="2"/>
  <c r="I18" i="2"/>
  <c r="D18" i="2"/>
  <c r="H39" i="2"/>
  <c r="I39" i="2"/>
  <c r="D39" i="2"/>
  <c r="H4" i="2"/>
  <c r="I4" i="2" s="1"/>
  <c r="D4" i="2" s="1"/>
  <c r="G11" i="2"/>
  <c r="G17" i="2"/>
  <c r="H77" i="1" s="1"/>
  <c r="G21" i="2"/>
  <c r="H93" i="1"/>
  <c r="H29" i="2"/>
  <c r="I29" i="2" s="1"/>
  <c r="D29" i="2" s="1"/>
  <c r="G13" i="2"/>
  <c r="H151" i="1" s="1"/>
  <c r="H83" i="1"/>
  <c r="H82" i="1"/>
  <c r="G9" i="2"/>
  <c r="G19" i="2"/>
  <c r="G6" i="2"/>
  <c r="G25" i="2"/>
  <c r="H98" i="1" s="1"/>
  <c r="G14" i="2"/>
  <c r="H71" i="1" s="1"/>
  <c r="H26" i="2"/>
  <c r="I26" i="2" s="1"/>
  <c r="D26" i="2" s="1"/>
  <c r="G5" i="2"/>
  <c r="H139" i="1" s="1"/>
  <c r="H8" i="2"/>
  <c r="I8" i="2" s="1"/>
  <c r="D8" i="2" s="1"/>
  <c r="G28" i="2"/>
  <c r="H101" i="1"/>
  <c r="G16" i="2"/>
  <c r="H76" i="1" s="1"/>
  <c r="H91" i="1"/>
  <c r="H105" i="1"/>
  <c r="H117" i="1"/>
  <c r="H103" i="1"/>
  <c r="H78" i="1"/>
  <c r="H142" i="1"/>
  <c r="H90" i="1"/>
  <c r="H120" i="1"/>
  <c r="H88" i="1"/>
  <c r="H110" i="1"/>
  <c r="H85" i="1"/>
  <c r="H141" i="1"/>
  <c r="H97" i="1"/>
  <c r="H150" i="1"/>
  <c r="H99" i="1"/>
  <c r="H106" i="1"/>
  <c r="H75" i="1"/>
  <c r="H72" i="1"/>
  <c r="H107" i="1"/>
  <c r="H133" i="1"/>
  <c r="H104" i="1"/>
  <c r="H92" i="1"/>
  <c r="H87" i="1"/>
  <c r="H84" i="1"/>
  <c r="H94" i="1"/>
  <c r="H73" i="1"/>
  <c r="H74" i="1"/>
  <c r="C2" i="2"/>
  <c r="H115" i="1" l="1"/>
  <c r="H114" i="1"/>
  <c r="H145" i="1"/>
  <c r="H146" i="1"/>
  <c r="H140" i="1"/>
  <c r="H137" i="1"/>
  <c r="H167" i="1"/>
  <c r="H156" i="1"/>
  <c r="H152" i="1"/>
  <c r="H162" i="1"/>
  <c r="H118" i="1"/>
  <c r="H135" i="1"/>
  <c r="H109" i="1"/>
  <c r="H158" i="1"/>
  <c r="H127" i="1"/>
  <c r="H130" i="1"/>
  <c r="H155" i="1"/>
  <c r="H143" i="1"/>
  <c r="H123" i="1"/>
  <c r="H124" i="1"/>
  <c r="H112" i="1"/>
  <c r="G10" i="2"/>
  <c r="H80" i="1" s="1"/>
  <c r="H53" i="2"/>
  <c r="I53" i="2" s="1"/>
  <c r="D53" i="2" s="1"/>
  <c r="H159" i="1"/>
  <c r="H70" i="1"/>
  <c r="G27" i="2"/>
  <c r="H100" i="1" s="1"/>
  <c r="H12" i="2"/>
  <c r="I12" i="2" s="1"/>
  <c r="D12" i="2" s="1"/>
  <c r="H32" i="2"/>
  <c r="I32" i="2" s="1"/>
  <c r="D32" i="2" s="1"/>
  <c r="H44" i="2"/>
  <c r="I44" i="2" s="1"/>
  <c r="D44" i="2" s="1"/>
  <c r="H108" i="1"/>
  <c r="H102" i="1"/>
  <c r="G62" i="2"/>
  <c r="H168" i="1" s="1"/>
  <c r="H134" i="1"/>
  <c r="A5" i="21"/>
  <c r="A25" i="21"/>
  <c r="A7" i="21"/>
  <c r="A26" i="21"/>
  <c r="A19" i="21"/>
  <c r="A4" i="21"/>
  <c r="A16" i="21"/>
  <c r="A36" i="21"/>
  <c r="B36" i="21" s="1"/>
  <c r="A31" i="21"/>
  <c r="A21" i="21"/>
  <c r="A9" i="21"/>
  <c r="A12" i="20"/>
  <c r="A28" i="20"/>
  <c r="A15" i="20"/>
  <c r="A16" i="20"/>
  <c r="A11" i="20"/>
  <c r="A20" i="20"/>
  <c r="A32" i="20"/>
  <c r="A5" i="20"/>
  <c r="A15" i="21"/>
  <c r="A19" i="20"/>
  <c r="A18" i="21"/>
  <c r="A14" i="20"/>
  <c r="A21" i="20"/>
  <c r="A10" i="20"/>
  <c r="A36" i="20"/>
  <c r="A35" i="21"/>
  <c r="B35" i="21" s="1"/>
  <c r="A6" i="21"/>
  <c r="A20" i="21"/>
  <c r="A22" i="21"/>
  <c r="A12" i="21"/>
  <c r="A3" i="21"/>
  <c r="N81" i="9" a="1"/>
  <c r="N81" i="9" s="1"/>
  <c r="H62" i="9" a="1"/>
  <c r="H62" i="9" s="1"/>
  <c r="J67" i="9" a="1"/>
  <c r="J67" i="9" s="1"/>
  <c r="M75" i="9" a="1"/>
  <c r="M75" i="9" s="1"/>
  <c r="K73" i="9" a="1"/>
  <c r="K73" i="9" s="1"/>
  <c r="J78" i="9" a="1"/>
  <c r="J78" i="9" s="1"/>
  <c r="H64" i="9" a="1"/>
  <c r="H64" i="9" s="1"/>
  <c r="K55" i="9" a="1"/>
  <c r="K55" i="9" s="1"/>
  <c r="L71" i="9" a="1"/>
  <c r="L71" i="9" s="1"/>
  <c r="P72" i="9"/>
  <c r="G50" i="9" a="1"/>
  <c r="G50" i="9" s="1"/>
  <c r="H52" i="9" a="1"/>
  <c r="H52" i="9" s="1"/>
  <c r="J61" i="9" a="1"/>
  <c r="J61" i="9" s="1"/>
  <c r="L58" i="9" a="1"/>
  <c r="L58" i="9" s="1"/>
  <c r="H66" i="9" a="1"/>
  <c r="H66" i="9" s="1"/>
  <c r="H78" i="9" a="1"/>
  <c r="H78" i="9" s="1"/>
  <c r="J53" i="9" a="1"/>
  <c r="J53" i="9" s="1"/>
  <c r="T38" i="9" a="1"/>
  <c r="T38" i="9" s="1"/>
  <c r="P64" i="9"/>
  <c r="M66" i="9" a="1"/>
  <c r="M66" i="9" s="1"/>
  <c r="P73" i="9"/>
  <c r="K60" i="9" a="1"/>
  <c r="K60" i="9" s="1"/>
  <c r="I62" i="9" a="1"/>
  <c r="I62" i="9" s="1"/>
  <c r="J79" i="9" a="1"/>
  <c r="J79" i="9" s="1"/>
  <c r="L51" i="9" a="1"/>
  <c r="L51" i="9" s="1"/>
  <c r="J52" i="9" a="1"/>
  <c r="J52" i="9" s="1"/>
  <c r="K67" i="9" a="1"/>
  <c r="K67" i="9" s="1"/>
  <c r="G60" i="9" a="1"/>
  <c r="G60" i="9" s="1"/>
  <c r="M71" i="9" a="1"/>
  <c r="M71" i="9" s="1"/>
  <c r="L78" i="9" a="1"/>
  <c r="L78" i="9" s="1"/>
  <c r="B16" i="9"/>
  <c r="C16" i="9" s="1"/>
  <c r="Z38" i="9" a="1"/>
  <c r="Z38" i="9" s="1"/>
  <c r="H73" i="9" a="1"/>
  <c r="H73" i="9" s="1"/>
  <c r="X38" i="9" a="1"/>
  <c r="X38" i="9" s="1"/>
  <c r="J55" i="9" a="1"/>
  <c r="J55" i="9" s="1"/>
  <c r="I70" i="9" a="1"/>
  <c r="I70" i="9" s="1"/>
  <c r="A8" i="20"/>
  <c r="A24" i="20"/>
  <c r="A30" i="20"/>
  <c r="A18" i="20"/>
  <c r="J58" i="9" a="1"/>
  <c r="J58" i="9" s="1"/>
  <c r="L65" i="9" a="1"/>
  <c r="L65" i="9" s="1"/>
  <c r="K58" i="9" a="1"/>
  <c r="K58" i="9" s="1"/>
  <c r="B10" i="9"/>
  <c r="C10" i="9" s="1"/>
  <c r="K50" i="9" a="1"/>
  <c r="K50" i="9" s="1"/>
  <c r="H72" i="9" a="1"/>
  <c r="H72" i="9" s="1"/>
  <c r="B6" i="9"/>
  <c r="E6" i="9" s="1"/>
  <c r="A8" i="21"/>
  <c r="A13" i="21"/>
  <c r="C114" i="9"/>
  <c r="S35" i="9" s="1" a="1"/>
  <c r="S35" i="9" s="1"/>
  <c r="A29" i="20"/>
  <c r="H114" i="9"/>
  <c r="I68" i="9" a="1"/>
  <c r="I68" i="9" s="1"/>
  <c r="H79" i="9" a="1"/>
  <c r="H79" i="9" s="1"/>
  <c r="P66" i="9"/>
  <c r="P54" i="9"/>
  <c r="K56" i="9" a="1"/>
  <c r="K56" i="9" s="1"/>
  <c r="N60" i="9" a="1"/>
  <c r="N60" i="9" s="1"/>
  <c r="AD7" i="9" a="1"/>
  <c r="AD7" i="9" s="1"/>
  <c r="G71" i="9" a="1"/>
  <c r="G71" i="9" s="1"/>
  <c r="P77" i="9"/>
  <c r="L79" i="9" a="1"/>
  <c r="L79" i="9" s="1"/>
  <c r="L68" i="9" a="1"/>
  <c r="L68" i="9" s="1"/>
  <c r="K71" i="9" a="1"/>
  <c r="K71" i="9" s="1"/>
  <c r="I115" i="9"/>
  <c r="Y36" i="9" s="1" a="1"/>
  <c r="Y36" i="9" s="1"/>
  <c r="J56" i="9" a="1"/>
  <c r="J56" i="9" s="1"/>
  <c r="AD16" i="9" a="1"/>
  <c r="AD16" i="9" s="1"/>
  <c r="M54" i="9" a="1"/>
  <c r="M54" i="9" s="1"/>
  <c r="H55" i="9" a="1"/>
  <c r="H55" i="9" s="1"/>
  <c r="L53" i="9" a="1"/>
  <c r="L53" i="9" s="1"/>
  <c r="K77" i="9" a="1"/>
  <c r="K77" i="9" s="1"/>
  <c r="L75" i="9" a="1"/>
  <c r="L75" i="9" s="1"/>
  <c r="B13" i="9"/>
  <c r="C13" i="9" s="1"/>
  <c r="D115" i="9"/>
  <c r="T36" i="9" s="1" a="1"/>
  <c r="T36" i="9" s="1"/>
  <c r="I66" i="9" a="1"/>
  <c r="I66" i="9" s="1"/>
  <c r="M72" i="9" a="1"/>
  <c r="M72" i="9" s="1"/>
  <c r="I65" i="9" a="1"/>
  <c r="I65" i="9" s="1"/>
  <c r="A23" i="20"/>
  <c r="A31" i="20"/>
  <c r="A9" i="20"/>
  <c r="K64" i="9" a="1"/>
  <c r="K64" i="9" s="1"/>
  <c r="G63" i="9" a="1"/>
  <c r="G63" i="9" s="1"/>
  <c r="B17" i="9"/>
  <c r="C17" i="9" s="1"/>
  <c r="I50" i="9" a="1"/>
  <c r="I50" i="9" s="1"/>
  <c r="J73" i="9" a="1"/>
  <c r="J73" i="9" s="1"/>
  <c r="J50" i="9" a="1"/>
  <c r="J50" i="9" s="1"/>
  <c r="A6" i="20"/>
  <c r="K76" i="9" a="1"/>
  <c r="K76" i="9" s="1"/>
  <c r="L64" i="9" a="1"/>
  <c r="L64" i="9" s="1"/>
  <c r="M58" i="9" a="1"/>
  <c r="M58" i="9" s="1"/>
  <c r="K63" i="9" a="1"/>
  <c r="K63" i="9" s="1"/>
  <c r="B15" i="9"/>
  <c r="C15" i="9" s="1"/>
  <c r="P79" i="9"/>
  <c r="I79" i="9" a="1"/>
  <c r="I79" i="9" s="1"/>
  <c r="A27" i="20"/>
  <c r="P50" i="9"/>
  <c r="H74" i="9" a="1"/>
  <c r="H74" i="9" s="1"/>
  <c r="J74" i="9" a="1"/>
  <c r="J74" i="9" s="1"/>
  <c r="I75" i="9" a="1"/>
  <c r="I75" i="9" s="1"/>
  <c r="I73" i="9" a="1"/>
  <c r="I73" i="9" s="1"/>
  <c r="K81" i="9" a="1"/>
  <c r="K81" i="9" s="1"/>
  <c r="R5" i="9"/>
  <c r="D10" i="19" s="1" a="1"/>
  <c r="D10" i="19" s="1"/>
  <c r="I56" i="9" a="1"/>
  <c r="I56" i="9" s="1"/>
  <c r="L56" i="9" a="1"/>
  <c r="L56" i="9" s="1"/>
  <c r="AD32" i="9" a="1"/>
  <c r="AD32" i="9" s="1"/>
  <c r="H67" i="9" a="1"/>
  <c r="H67" i="9" s="1"/>
  <c r="G62" i="9" a="1"/>
  <c r="G62" i="9" s="1"/>
  <c r="I55" i="9" a="1"/>
  <c r="I55" i="9" s="1"/>
  <c r="AD23" i="9" a="1"/>
  <c r="AD23" i="9" s="1"/>
  <c r="L76" i="9" a="1"/>
  <c r="L76" i="9" s="1"/>
  <c r="K80" i="9" a="1"/>
  <c r="K80" i="9" s="1"/>
  <c r="AB38" i="9" a="1"/>
  <c r="AB38" i="9" s="1"/>
  <c r="A23" i="21"/>
  <c r="L52" i="9" a="1"/>
  <c r="L52" i="9" s="1"/>
  <c r="B12" i="9"/>
  <c r="E12" i="9" s="1"/>
  <c r="N65" i="9" a="1"/>
  <c r="N65" i="9" s="1"/>
  <c r="A27" i="21"/>
  <c r="A29" i="21"/>
  <c r="I77" i="9" a="1"/>
  <c r="I77" i="9" s="1"/>
  <c r="M114" i="9"/>
  <c r="M55" i="9" a="1"/>
  <c r="M55" i="9" s="1"/>
  <c r="P78" i="9"/>
  <c r="I63" i="9" a="1"/>
  <c r="I63" i="9" s="1"/>
  <c r="H57" i="9" a="1"/>
  <c r="H57" i="9" s="1"/>
  <c r="M115" i="9"/>
  <c r="AC36" i="9" s="1" a="1"/>
  <c r="AC36" i="9" s="1"/>
  <c r="I53" i="9" a="1"/>
  <c r="I53" i="9" s="1"/>
  <c r="P52" i="9"/>
  <c r="G78" i="9" a="1"/>
  <c r="G78" i="9" s="1"/>
  <c r="I59" i="9" a="1"/>
  <c r="I59" i="9" s="1"/>
  <c r="J57" i="9" a="1"/>
  <c r="J57" i="9" s="1"/>
  <c r="G61" i="9" a="1"/>
  <c r="G61" i="9" s="1"/>
  <c r="J75" i="9" a="1"/>
  <c r="J75" i="9" s="1"/>
  <c r="A35" i="20"/>
  <c r="AC37" i="9" a="1"/>
  <c r="AC37" i="9" s="1"/>
  <c r="N79" i="9" a="1"/>
  <c r="N79" i="9" s="1"/>
  <c r="N50" i="9" a="1"/>
  <c r="N50" i="9" s="1"/>
  <c r="A33" i="21"/>
  <c r="B33" i="21" s="1"/>
  <c r="A32" i="21"/>
  <c r="B32" i="21" s="1"/>
  <c r="G114" i="9"/>
  <c r="W35" i="9" s="1" a="1"/>
  <c r="W35" i="9" s="1"/>
  <c r="L59" i="9" a="1"/>
  <c r="L59" i="9" s="1"/>
  <c r="J115" i="9"/>
  <c r="Z36" i="9" s="1" a="1"/>
  <c r="Z36" i="9" s="1"/>
  <c r="C115" i="9"/>
  <c r="S36" i="9" s="1" a="1"/>
  <c r="S36" i="9" s="1"/>
  <c r="H60" i="9" a="1"/>
  <c r="H60" i="9" s="1"/>
  <c r="H63" i="9" a="1"/>
  <c r="H63" i="9" s="1"/>
  <c r="H70" i="9" a="1"/>
  <c r="H70" i="9" s="1"/>
  <c r="G56" i="9" a="1"/>
  <c r="G56" i="9" s="1"/>
  <c r="P53" i="9"/>
  <c r="G52" i="9" a="1"/>
  <c r="G52" i="9" s="1"/>
  <c r="L115" i="9"/>
  <c r="AB36" i="9" s="1" a="1"/>
  <c r="AB36" i="9" s="1"/>
  <c r="I64" i="9" a="1"/>
  <c r="I64" i="9" s="1"/>
  <c r="K69" i="9" a="1"/>
  <c r="K69" i="9" s="1"/>
  <c r="P59" i="9"/>
  <c r="P81" i="9"/>
  <c r="N59" i="9" a="1"/>
  <c r="N59" i="9" s="1"/>
  <c r="AD27" i="9" a="1"/>
  <c r="AD27" i="9" s="1"/>
  <c r="L66" i="9" a="1"/>
  <c r="L66" i="9" s="1"/>
  <c r="I74" i="9" a="1"/>
  <c r="I74" i="9" s="1"/>
  <c r="P60" i="9"/>
  <c r="J77" i="9" a="1"/>
  <c r="J77" i="9" s="1"/>
  <c r="W38" i="9" a="1"/>
  <c r="W38" i="9" s="1"/>
  <c r="AD19" i="9" a="1"/>
  <c r="AD19" i="9" s="1"/>
  <c r="AD20" i="9" a="1"/>
  <c r="AD20" i="9" s="1"/>
  <c r="M79" i="9" a="1"/>
  <c r="M79" i="9" s="1"/>
  <c r="J76" i="9" a="1"/>
  <c r="J76" i="9" s="1"/>
  <c r="G115" i="9"/>
  <c r="W36" i="9" s="1" a="1"/>
  <c r="W36" i="9" s="1"/>
  <c r="H75" i="9" a="1"/>
  <c r="H75" i="9" s="1"/>
  <c r="M77" i="9" a="1"/>
  <c r="M77" i="9" s="1"/>
  <c r="M74" i="9" a="1"/>
  <c r="M74" i="9" s="1"/>
  <c r="B4" i="9"/>
  <c r="E4" i="9" s="1"/>
  <c r="L57" i="9" a="1"/>
  <c r="L57" i="9" s="1"/>
  <c r="G65" i="9" a="1"/>
  <c r="G65" i="9" s="1"/>
  <c r="G2" i="21"/>
  <c r="A2" i="21" s="1"/>
  <c r="M69" i="9" a="1"/>
  <c r="M69" i="9" s="1"/>
  <c r="P58" i="9"/>
  <c r="K59" i="9" a="1"/>
  <c r="K59" i="9" s="1"/>
  <c r="J62" i="9" a="1"/>
  <c r="J62" i="9" s="1"/>
  <c r="I80" i="9" a="1"/>
  <c r="I80" i="9" s="1"/>
  <c r="U38" i="9" a="1"/>
  <c r="U38" i="9" s="1"/>
  <c r="AD31" i="9" a="1"/>
  <c r="AD31" i="9" s="1"/>
  <c r="H51" i="9" a="1"/>
  <c r="H51" i="9" s="1"/>
  <c r="L61" i="9" a="1"/>
  <c r="L61" i="9" s="1"/>
  <c r="K61" i="9" a="1"/>
  <c r="K61" i="9" s="1"/>
  <c r="P69" i="9"/>
  <c r="J65" i="9" a="1"/>
  <c r="J65" i="9" s="1"/>
  <c r="J64" i="9" a="1"/>
  <c r="J64" i="9" s="1"/>
  <c r="G57" i="9" a="1"/>
  <c r="G57" i="9" s="1"/>
  <c r="J51" i="9" a="1"/>
  <c r="J51" i="9" s="1"/>
  <c r="I71" i="9" a="1"/>
  <c r="I71" i="9" s="1"/>
  <c r="K70" i="9" a="1"/>
  <c r="K70" i="9" s="1"/>
  <c r="K52" i="9" a="1"/>
  <c r="K52" i="9" s="1"/>
  <c r="B3" i="9"/>
  <c r="M80" i="9" a="1"/>
  <c r="M80" i="9" s="1"/>
  <c r="AA37" i="9" a="1"/>
  <c r="AA37" i="9" s="1"/>
  <c r="N53" i="9" a="1"/>
  <c r="N53" i="9" s="1"/>
  <c r="M56" i="9" a="1"/>
  <c r="M56" i="9" s="1"/>
  <c r="H53" i="9" a="1"/>
  <c r="H53" i="9" s="1"/>
  <c r="H115" i="9"/>
  <c r="X36" i="9" s="1" a="1"/>
  <c r="X36" i="9" s="1"/>
  <c r="M52" i="9" a="1"/>
  <c r="M52" i="9" s="1"/>
  <c r="G64" i="9" a="1"/>
  <c r="G64" i="9" s="1"/>
  <c r="H77" i="9" a="1"/>
  <c r="H77" i="9" s="1"/>
  <c r="M67" i="9" a="1"/>
  <c r="M67" i="9" s="1"/>
  <c r="I58" i="9" a="1"/>
  <c r="I58" i="9" s="1"/>
  <c r="P51" i="9"/>
  <c r="F115" i="9"/>
  <c r="V36" i="9" s="1" a="1"/>
  <c r="V36" i="9" s="1"/>
  <c r="K54" i="9" a="1"/>
  <c r="K54" i="9" s="1"/>
  <c r="B5" i="9"/>
  <c r="Z37" i="9" a="1"/>
  <c r="Z37" i="9" s="1"/>
  <c r="N63" i="9" a="1"/>
  <c r="N63" i="9" s="1"/>
  <c r="B49" i="9"/>
  <c r="B2" i="9" s="1"/>
  <c r="D114" i="9"/>
  <c r="T35" i="9" s="1" a="1"/>
  <c r="T35" i="9" s="1"/>
  <c r="G77" i="9" a="1"/>
  <c r="G77" i="9" s="1"/>
  <c r="H69" i="9" a="1"/>
  <c r="H69" i="9" s="1"/>
  <c r="I76" i="9" a="1"/>
  <c r="I76" i="9" s="1"/>
  <c r="M51" i="9" a="1"/>
  <c r="M51" i="9" s="1"/>
  <c r="L73" i="9" a="1"/>
  <c r="L73" i="9" s="1"/>
  <c r="L114" i="9"/>
  <c r="AB35" i="9" s="1" a="1"/>
  <c r="AB35" i="9" s="1"/>
  <c r="K72" i="9" a="1"/>
  <c r="K72" i="9" s="1"/>
  <c r="P115" i="9"/>
  <c r="M70" i="9" a="1"/>
  <c r="M70" i="9" s="1"/>
  <c r="I69" i="9" a="1"/>
  <c r="I69" i="9" s="1"/>
  <c r="P68" i="9"/>
  <c r="P76" i="9"/>
  <c r="G68" i="9" a="1"/>
  <c r="G68" i="9" s="1"/>
  <c r="P55" i="9"/>
  <c r="M81" i="9" a="1"/>
  <c r="M81" i="9" s="1"/>
  <c r="N71" i="9" a="1"/>
  <c r="N71" i="9" s="1"/>
  <c r="N51" i="9" a="1"/>
  <c r="N51" i="9" s="1"/>
  <c r="D8" i="19" a="1"/>
  <c r="D8" i="19" s="1"/>
  <c r="L69" i="9" a="1"/>
  <c r="L69" i="9" s="1"/>
  <c r="M73" i="9" a="1"/>
  <c r="M73" i="9" s="1"/>
  <c r="P114" i="9"/>
  <c r="AF35" i="9" s="1"/>
  <c r="L50" i="9" a="1"/>
  <c r="L50" i="9" s="1"/>
  <c r="L54" i="9" a="1"/>
  <c r="L54" i="9" s="1"/>
  <c r="B7" i="9"/>
  <c r="C7" i="9" s="1"/>
  <c r="J68" i="9" a="1"/>
  <c r="J68" i="9" s="1"/>
  <c r="G70" i="9" a="1"/>
  <c r="G70" i="9" s="1"/>
  <c r="U37" i="9" a="1"/>
  <c r="U37" i="9" s="1"/>
  <c r="AD10" i="9" a="1"/>
  <c r="AD10" i="9" s="1"/>
  <c r="N56" i="9" a="1"/>
  <c r="N56" i="9" s="1"/>
  <c r="H68" i="9" a="1"/>
  <c r="H68" i="9" s="1"/>
  <c r="V38" i="9" a="1"/>
  <c r="V38" i="9" s="1"/>
  <c r="N77" i="9" a="1"/>
  <c r="N77" i="9" s="1"/>
  <c r="AD8" i="9" a="1"/>
  <c r="AD8" i="9" s="1"/>
  <c r="P71" i="9"/>
  <c r="J114" i="9"/>
  <c r="Z35" i="9" s="1" a="1"/>
  <c r="Z35" i="9" s="1"/>
  <c r="P70" i="9"/>
  <c r="K65" i="9" a="1"/>
  <c r="K65" i="9" s="1"/>
  <c r="H61" i="9" a="1"/>
  <c r="H61" i="9" s="1"/>
  <c r="I72" i="9" a="1"/>
  <c r="I72" i="9" s="1"/>
  <c r="P56" i="9"/>
  <c r="K68" i="9" a="1"/>
  <c r="K68" i="9" s="1"/>
  <c r="M61" i="9" a="1"/>
  <c r="M61" i="9" s="1"/>
  <c r="L60" i="9" a="1"/>
  <c r="L60" i="9" s="1"/>
  <c r="B18" i="9"/>
  <c r="C18" i="9" s="1"/>
  <c r="L81" i="9" a="1"/>
  <c r="L81" i="9" s="1"/>
  <c r="Y38" i="9" a="1"/>
  <c r="Y38" i="9" s="1"/>
  <c r="N58" i="9" a="1"/>
  <c r="N58" i="9" s="1"/>
  <c r="N74" i="9" a="1"/>
  <c r="N74" i="9" s="1"/>
  <c r="I78" i="9" a="1"/>
  <c r="I78" i="9" s="1"/>
  <c r="E115" i="9"/>
  <c r="U36" i="9" s="1" a="1"/>
  <c r="U36" i="9" s="1"/>
  <c r="F114" i="9"/>
  <c r="V35" i="9" s="1" a="1"/>
  <c r="V35" i="9" s="1"/>
  <c r="J66" i="9" a="1"/>
  <c r="J66" i="9" s="1"/>
  <c r="K74" i="9" a="1"/>
  <c r="K74" i="9" s="1"/>
  <c r="G66" i="9" a="1"/>
  <c r="G66" i="9" s="1"/>
  <c r="J54" i="9" a="1"/>
  <c r="J54" i="9" s="1"/>
  <c r="L63" i="9" a="1"/>
  <c r="L63" i="9" s="1"/>
  <c r="P61" i="9"/>
  <c r="X37" i="9" a="1"/>
  <c r="X37" i="9" s="1"/>
  <c r="AA38" i="9" a="1"/>
  <c r="AA38" i="9" s="1"/>
  <c r="N68" i="9" a="1"/>
  <c r="N68" i="9" s="1"/>
  <c r="N73" i="9" a="1"/>
  <c r="N73" i="9" s="1"/>
  <c r="C12" i="9"/>
  <c r="AF37" i="9"/>
  <c r="B34" i="20" s="1"/>
  <c r="S37" i="9" a="1"/>
  <c r="S37" i="9" s="1"/>
  <c r="AC38" i="9" a="1"/>
  <c r="AC38" i="9" s="1"/>
  <c r="AD11" i="9" a="1"/>
  <c r="AD11" i="9" s="1"/>
  <c r="AD14" i="9" a="1"/>
  <c r="AD14" i="9" s="1"/>
  <c r="N75" i="9" a="1"/>
  <c r="N75" i="9" s="1"/>
  <c r="AD29" i="9" a="1"/>
  <c r="AD29" i="9" s="1"/>
  <c r="AD38" i="9" a="1"/>
  <c r="AD38" i="9" s="1"/>
  <c r="AD34" i="9" a="1"/>
  <c r="AD34" i="9" s="1"/>
  <c r="AF38" i="9"/>
  <c r="B35" i="20" s="1"/>
  <c r="N72" i="9" a="1"/>
  <c r="N72" i="9" s="1"/>
  <c r="I81" i="9" a="1"/>
  <c r="I81" i="9" s="1"/>
  <c r="S38" i="9" a="1"/>
  <c r="S38" i="9" s="1"/>
  <c r="N66" i="9" a="1"/>
  <c r="N66" i="9" s="1"/>
  <c r="N64" i="9" a="1"/>
  <c r="N64" i="9" s="1"/>
  <c r="N61" i="9" a="1"/>
  <c r="N61" i="9" s="1"/>
  <c r="E15" i="9"/>
  <c r="G55" i="9" a="1"/>
  <c r="G55" i="9" s="1"/>
  <c r="A2" i="20"/>
  <c r="D89" i="17"/>
  <c r="P80" i="9" s="1"/>
  <c r="E10" i="9"/>
  <c r="E16" i="9"/>
  <c r="G67" i="9" a="1"/>
  <c r="G67" i="9" s="1"/>
  <c r="G51" i="9" a="1"/>
  <c r="G51" i="9" s="1"/>
  <c r="AD41" i="9" a="1"/>
  <c r="AD41" i="9" s="1"/>
  <c r="B84" i="9"/>
  <c r="AD40" i="9" s="1" a="1"/>
  <c r="AD40" i="9" s="1"/>
  <c r="E17" i="9"/>
  <c r="A28" i="21"/>
  <c r="A30" i="21"/>
  <c r="A34" i="21"/>
  <c r="B34" i="21" s="1"/>
  <c r="A11" i="21"/>
  <c r="A24" i="21"/>
  <c r="E13" i="9"/>
  <c r="N67" i="9" a="1"/>
  <c r="N67" i="9" s="1"/>
  <c r="N57" i="9" a="1"/>
  <c r="N57" i="9" s="1"/>
  <c r="N76" i="9" a="1"/>
  <c r="N76" i="9" s="1"/>
  <c r="AD21" i="9" a="1"/>
  <c r="AD21" i="9" s="1"/>
  <c r="N62" i="9" a="1"/>
  <c r="N62" i="9" s="1"/>
  <c r="AD35" i="9" a="1"/>
  <c r="AD35" i="9" s="1"/>
  <c r="G75" i="9" a="1"/>
  <c r="G75" i="9" s="1"/>
  <c r="H50" i="9" a="1"/>
  <c r="H50" i="9" s="1"/>
  <c r="A14" i="21"/>
  <c r="A17" i="21"/>
  <c r="A3" i="20"/>
  <c r="A13" i="20"/>
  <c r="A17" i="20"/>
  <c r="H76" i="9" a="1"/>
  <c r="H76" i="9" s="1"/>
  <c r="A34" i="20"/>
  <c r="A4" i="20"/>
  <c r="K79" i="9" a="1"/>
  <c r="K79" i="9" s="1"/>
  <c r="P62" i="9"/>
  <c r="H59" i="9" a="1"/>
  <c r="H59" i="9" s="1"/>
  <c r="G76" i="9" a="1"/>
  <c r="G76" i="9" s="1"/>
  <c r="K53" i="9" a="1"/>
  <c r="K53" i="9" s="1"/>
  <c r="K57" i="9" a="1"/>
  <c r="K57" i="9" s="1"/>
  <c r="J70" i="9" a="1"/>
  <c r="J70" i="9" s="1"/>
  <c r="G72" i="9" a="1"/>
  <c r="G72" i="9" s="1"/>
  <c r="M68" i="9" a="1"/>
  <c r="M68" i="9" s="1"/>
  <c r="K62" i="9" a="1"/>
  <c r="K62" i="9" s="1"/>
  <c r="E114" i="9"/>
  <c r="U35" i="9" s="1" a="1"/>
  <c r="U35" i="9" s="1"/>
  <c r="L72" i="9" a="1"/>
  <c r="L72" i="9" s="1"/>
  <c r="M62" i="9" a="1"/>
  <c r="M62" i="9" s="1"/>
  <c r="G74" i="9" a="1"/>
  <c r="G74" i="9" s="1"/>
  <c r="P74" i="9"/>
  <c r="J72" i="9" a="1"/>
  <c r="J72" i="9" s="1"/>
  <c r="I54" i="9" a="1"/>
  <c r="I54" i="9" s="1"/>
  <c r="B8" i="9"/>
  <c r="I52" i="9" a="1"/>
  <c r="I52" i="9" s="1"/>
  <c r="I60" i="9" a="1"/>
  <c r="I60" i="9" s="1"/>
  <c r="J81" i="9" a="1"/>
  <c r="J81" i="9" s="1"/>
  <c r="AB37" i="9" a="1"/>
  <c r="AB37" i="9" s="1"/>
  <c r="AD12" i="9" a="1"/>
  <c r="AD12" i="9" s="1"/>
  <c r="AD25" i="9" a="1"/>
  <c r="AD25" i="9" s="1"/>
  <c r="AD15" i="9" a="1"/>
  <c r="AD15" i="9" s="1"/>
  <c r="AD28" i="9" a="1"/>
  <c r="AD28" i="9" s="1"/>
  <c r="M78" i="9" a="1"/>
  <c r="M78" i="9" s="1"/>
  <c r="G80" i="9" a="1"/>
  <c r="G80" i="9" s="1"/>
  <c r="G58" i="9" a="1"/>
  <c r="G58" i="9" s="1"/>
  <c r="H81" i="9" a="1"/>
  <c r="H81" i="9" s="1"/>
  <c r="V37" i="9" a="1"/>
  <c r="V37" i="9" s="1"/>
  <c r="N78" i="9" a="1"/>
  <c r="N78" i="9" s="1"/>
  <c r="N69" i="9" a="1"/>
  <c r="N69" i="9" s="1"/>
  <c r="AD22" i="9" a="1"/>
  <c r="AD22" i="9" s="1"/>
  <c r="AD24" i="9" a="1"/>
  <c r="AD24" i="9" s="1"/>
  <c r="AD6" i="9" a="1"/>
  <c r="AD6" i="9" s="1"/>
  <c r="AD13" i="9" a="1"/>
  <c r="AD13" i="9" s="1"/>
  <c r="A7" i="20"/>
  <c r="A22" i="20"/>
  <c r="A25" i="20"/>
  <c r="I114" i="9"/>
  <c r="Y35" i="9" s="1" a="1"/>
  <c r="Y35" i="9" s="1"/>
  <c r="M63" i="9" a="1"/>
  <c r="M63" i="9" s="1"/>
  <c r="G53" i="9" a="1"/>
  <c r="G53" i="9" s="1"/>
  <c r="M60" i="9" a="1"/>
  <c r="M60" i="9" s="1"/>
  <c r="M57" i="9" a="1"/>
  <c r="M57" i="9" s="1"/>
  <c r="K115" i="9"/>
  <c r="AA36" i="9" s="1" a="1"/>
  <c r="AA36" i="9" s="1"/>
  <c r="P65" i="9"/>
  <c r="I61" i="9" a="1"/>
  <c r="I61" i="9" s="1"/>
  <c r="M50" i="9" a="1"/>
  <c r="M50" i="9" s="1"/>
  <c r="P63" i="9"/>
  <c r="K51" i="9" a="1"/>
  <c r="K51" i="9" s="1"/>
  <c r="L67" i="9" a="1"/>
  <c r="L67" i="9" s="1"/>
  <c r="J63" i="9" a="1"/>
  <c r="J63" i="9" s="1"/>
  <c r="M59" i="9" a="1"/>
  <c r="M59" i="9" s="1"/>
  <c r="G73" i="9" a="1"/>
  <c r="G73" i="9" s="1"/>
  <c r="J71" i="9" a="1"/>
  <c r="J71" i="9" s="1"/>
  <c r="H56" i="9" a="1"/>
  <c r="H56" i="9" s="1"/>
  <c r="P75" i="9"/>
  <c r="B14" i="9"/>
  <c r="M53" i="9" a="1"/>
  <c r="M53" i="9" s="1"/>
  <c r="P67" i="9"/>
  <c r="L55" i="9" a="1"/>
  <c r="L55" i="9" s="1"/>
  <c r="I51" i="9" a="1"/>
  <c r="I51" i="9" s="1"/>
  <c r="Y37" i="9" a="1"/>
  <c r="Y37" i="9" s="1"/>
  <c r="T37" i="9" a="1"/>
  <c r="T37" i="9" s="1"/>
  <c r="N70" i="9" a="1"/>
  <c r="N70" i="9" s="1"/>
  <c r="AD33" i="9" a="1"/>
  <c r="AD33" i="9" s="1"/>
  <c r="AD9" i="9" a="1"/>
  <c r="AD9" i="9" s="1"/>
  <c r="N52" i="9" a="1"/>
  <c r="N52" i="9" s="1"/>
  <c r="D12" i="19" a="1"/>
  <c r="D12" i="19" s="1"/>
  <c r="A26" i="20"/>
  <c r="A33" i="20"/>
  <c r="X35" i="9" a="1"/>
  <c r="X35" i="9" s="1"/>
  <c r="J60" i="9" a="1"/>
  <c r="J60" i="9" s="1"/>
  <c r="I67" i="9" a="1"/>
  <c r="I67" i="9" s="1"/>
  <c r="L74" i="9" a="1"/>
  <c r="L74" i="9" s="1"/>
  <c r="I57" i="9" a="1"/>
  <c r="I57" i="9" s="1"/>
  <c r="M65" i="9" a="1"/>
  <c r="M65" i="9" s="1"/>
  <c r="M76" i="9" a="1"/>
  <c r="M76" i="9" s="1"/>
  <c r="B11" i="9"/>
  <c r="P57" i="9"/>
  <c r="J69" i="9" a="1"/>
  <c r="J69" i="9" s="1"/>
  <c r="K66" i="9" a="1"/>
  <c r="K66" i="9" s="1"/>
  <c r="L70" i="9" a="1"/>
  <c r="L70" i="9" s="1"/>
  <c r="H54" i="9" a="1"/>
  <c r="H54" i="9" s="1"/>
  <c r="L77" i="9" a="1"/>
  <c r="L77" i="9" s="1"/>
  <c r="L62" i="9" a="1"/>
  <c r="L62" i="9" s="1"/>
  <c r="G69" i="9" a="1"/>
  <c r="G69" i="9" s="1"/>
  <c r="H58" i="9" a="1"/>
  <c r="H58" i="9" s="1"/>
  <c r="J59" i="9" a="1"/>
  <c r="J59" i="9" s="1"/>
  <c r="K75" i="9" a="1"/>
  <c r="K75" i="9" s="1"/>
  <c r="M64" i="9" a="1"/>
  <c r="M64" i="9" s="1"/>
  <c r="K78" i="9" a="1"/>
  <c r="K78" i="9" s="1"/>
  <c r="B9" i="9"/>
  <c r="J80" i="9" a="1"/>
  <c r="J80" i="9" s="1"/>
  <c r="K114" i="9"/>
  <c r="AA35" i="9" s="1" a="1"/>
  <c r="AA35" i="9" s="1"/>
  <c r="AD18" i="9" a="1"/>
  <c r="AD18" i="9" s="1"/>
  <c r="AD30" i="9" a="1"/>
  <c r="AD30" i="9" s="1"/>
  <c r="AD37" i="9" a="1"/>
  <c r="AD37" i="9" s="1"/>
  <c r="N55" i="9" a="1"/>
  <c r="N55" i="9" s="1"/>
  <c r="H71" i="9" a="1"/>
  <c r="H71" i="9" s="1"/>
  <c r="N54" i="9" a="1"/>
  <c r="N54" i="9" s="1"/>
  <c r="AD26" i="9" a="1"/>
  <c r="AD26" i="9" s="1"/>
  <c r="N80" i="9" a="1"/>
  <c r="N80" i="9" s="1"/>
  <c r="AD17" i="9" a="1"/>
  <c r="AD17" i="9" s="1"/>
  <c r="AD36" i="9" a="1"/>
  <c r="AD36" i="9" s="1"/>
  <c r="H21" i="7"/>
  <c r="C313" i="17"/>
  <c r="K4" i="17" s="1"/>
  <c r="L80" i="9" a="1"/>
  <c r="L80" i="9" s="1"/>
  <c r="G79" i="9" a="1"/>
  <c r="G79" i="9" s="1"/>
  <c r="AC35" i="9" a="1"/>
  <c r="AC35" i="9" s="1"/>
  <c r="G54" i="9" a="1"/>
  <c r="G54" i="9" s="1"/>
  <c r="W37" i="9" a="1"/>
  <c r="W37" i="9" s="1"/>
  <c r="G81" i="9" a="1"/>
  <c r="G81" i="9" s="1"/>
  <c r="G59" i="9" a="1"/>
  <c r="G59" i="9" s="1"/>
  <c r="H80" i="9" a="1"/>
  <c r="H80" i="9" s="1"/>
  <c r="H65" i="9" a="1"/>
  <c r="H65" i="9" s="1"/>
  <c r="K175" i="1"/>
  <c r="E31" i="7"/>
  <c r="J43" i="14"/>
  <c r="C12" i="8" s="1"/>
  <c r="E44" i="18"/>
  <c r="D44" i="18"/>
  <c r="D42" i="14"/>
  <c r="C10" i="8" s="1"/>
  <c r="I37" i="12"/>
  <c r="C43" i="12"/>
  <c r="G29" i="15"/>
  <c r="H31" i="7"/>
  <c r="H29" i="15"/>
  <c r="B32" i="20"/>
  <c r="D2" i="2"/>
  <c r="I49" i="9" l="1" a="1"/>
  <c r="I49" i="9" s="1"/>
  <c r="C6" i="9"/>
  <c r="G49" i="9" a="1"/>
  <c r="G49" i="9" s="1"/>
  <c r="L49" i="9" a="1"/>
  <c r="L49" i="9" s="1"/>
  <c r="J49" i="9" a="1"/>
  <c r="J49" i="9" s="1"/>
  <c r="H49" i="9" a="1"/>
  <c r="H49" i="9" s="1"/>
  <c r="AD5" i="9" a="1"/>
  <c r="AD5" i="9" s="1"/>
  <c r="D14" i="19" a="1"/>
  <c r="D14" i="19" s="1"/>
  <c r="E14" i="19" s="1"/>
  <c r="C12" i="19" a="1"/>
  <c r="C12" i="19" s="1"/>
  <c r="E12" i="19" s="1"/>
  <c r="E7" i="9" a="1"/>
  <c r="E7" i="9" s="1"/>
  <c r="O66" i="9"/>
  <c r="Q66" i="9" s="1"/>
  <c r="C49" i="9" a="1"/>
  <c r="C49" i="9" s="1"/>
  <c r="M49" i="9" a="1"/>
  <c r="M49" i="9" s="1"/>
  <c r="F49" i="9" a="1"/>
  <c r="F49" i="9" s="1"/>
  <c r="E49" i="9" a="1"/>
  <c r="E49" i="9" s="1"/>
  <c r="P49" i="9"/>
  <c r="D49" i="9" a="1"/>
  <c r="D49" i="9" s="1"/>
  <c r="N49" i="9" a="1"/>
  <c r="N49" i="9" s="1"/>
  <c r="O52" i="9"/>
  <c r="Q52" i="9" s="1"/>
  <c r="O61" i="9"/>
  <c r="Q61" i="9" s="1"/>
  <c r="O64" i="9"/>
  <c r="Q64" i="9" s="1"/>
  <c r="E5" i="9"/>
  <c r="C5" i="9"/>
  <c r="E3" i="9"/>
  <c r="C3" i="9"/>
  <c r="O73" i="9"/>
  <c r="Q73" i="9" s="1"/>
  <c r="E18" i="9"/>
  <c r="O68" i="9"/>
  <c r="Q68" i="9" s="1"/>
  <c r="O77" i="9"/>
  <c r="Q77" i="9" s="1"/>
  <c r="K49" i="9" a="1"/>
  <c r="K49" i="9" s="1"/>
  <c r="O56" i="9"/>
  <c r="Q56" i="9" s="1"/>
  <c r="C4" i="9"/>
  <c r="O75" i="9"/>
  <c r="Q75" i="9" s="1"/>
  <c r="O55" i="9"/>
  <c r="Q55" i="9" s="1"/>
  <c r="AE38" i="9"/>
  <c r="AG38" i="9" s="1"/>
  <c r="C35" i="20" s="1"/>
  <c r="O79" i="9"/>
  <c r="Q79" i="9" s="1"/>
  <c r="O74" i="9"/>
  <c r="Q74" i="9" s="1"/>
  <c r="O71" i="9"/>
  <c r="Q71" i="9" s="1"/>
  <c r="O51" i="9"/>
  <c r="Q51" i="9" s="1"/>
  <c r="O70" i="9"/>
  <c r="Q70" i="9" s="1"/>
  <c r="O69" i="9"/>
  <c r="Q69" i="9" s="1"/>
  <c r="O62" i="9"/>
  <c r="Q62" i="9" s="1"/>
  <c r="O67" i="9"/>
  <c r="Q67" i="9" s="1"/>
  <c r="O63" i="9"/>
  <c r="Q63" i="9" s="1"/>
  <c r="AE36" i="9"/>
  <c r="O76" i="9"/>
  <c r="Q76" i="9" s="1"/>
  <c r="O81" i="9"/>
  <c r="Q81" i="9" s="1"/>
  <c r="AF36" i="9"/>
  <c r="B33" i="20" s="1"/>
  <c r="O72" i="9"/>
  <c r="Q72" i="9" s="1"/>
  <c r="O54" i="9"/>
  <c r="Q54" i="9" s="1"/>
  <c r="O78" i="9"/>
  <c r="Q78" i="9" s="1"/>
  <c r="O57" i="9"/>
  <c r="Q57" i="9" s="1"/>
  <c r="O53" i="9"/>
  <c r="Q53" i="9" s="1"/>
  <c r="AE37" i="9"/>
  <c r="AG37" i="9" s="1"/>
  <c r="C34" i="20" s="1"/>
  <c r="O115" i="9"/>
  <c r="Q115" i="9" s="1"/>
  <c r="E2" i="9"/>
  <c r="C2" i="9"/>
  <c r="O80" i="9"/>
  <c r="Q80" i="9" s="1"/>
  <c r="O58" i="9"/>
  <c r="Q58" i="9" s="1"/>
  <c r="E8" i="9"/>
  <c r="C8" i="9"/>
  <c r="O65" i="9"/>
  <c r="Q65" i="9" s="1"/>
  <c r="O59" i="9"/>
  <c r="Q59" i="9" s="1"/>
  <c r="E9" i="9"/>
  <c r="C9" i="9"/>
  <c r="E11" i="9"/>
  <c r="C11" i="9"/>
  <c r="E14" i="9"/>
  <c r="C14" i="9"/>
  <c r="O114" i="9"/>
  <c r="Q114" i="9" s="1"/>
  <c r="O50" i="9"/>
  <c r="Q50" i="9" s="1"/>
  <c r="O60" i="9"/>
  <c r="Q60" i="9" s="1"/>
  <c r="AE35" i="9"/>
  <c r="AG35" i="9" s="1"/>
  <c r="C32" i="20" s="1"/>
  <c r="F44" i="18"/>
  <c r="C11" i="8"/>
  <c r="C14" i="8" s="1"/>
  <c r="C4" i="10" s="1"/>
  <c r="C15" i="10" s="1"/>
  <c r="C17" i="10" s="1"/>
  <c r="E16" i="19" l="1"/>
  <c r="O49" i="9"/>
  <c r="Q49" i="9" s="1"/>
  <c r="AG36" i="9"/>
  <c r="C33" i="20" s="1"/>
  <c r="C23" i="9" l="1"/>
  <c r="C3" i="10" s="1"/>
  <c r="C11" i="10" s="1"/>
  <c r="C21" i="9"/>
  <c r="C5" i="10" l="1"/>
  <c r="F21" i="10" s="1"/>
  <c r="D3" i="17"/>
  <c r="N6" i="17" s="1"/>
  <c r="C110" i="9"/>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C105" i="9"/>
  <c r="S26" i="9" s="1" a="1"/>
  <c r="S26"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C94" i="9"/>
  <c r="S15" i="9" s="1" a="1"/>
  <c r="S15" i="9" s="1"/>
  <c r="C99" i="9"/>
  <c r="S20" i="9" s="1" a="1"/>
  <c r="S20" i="9" s="1"/>
  <c r="I86" i="9"/>
  <c r="Y7" i="9" s="1" a="1"/>
  <c r="Y7" i="9" s="1"/>
  <c r="J111" i="9"/>
  <c r="Z32" i="9" s="1" a="1"/>
  <c r="Z32" i="9" s="1"/>
  <c r="K110" i="9"/>
  <c r="AA31" i="9" s="1" a="1"/>
  <c r="AA31" i="9" s="1"/>
  <c r="M84" i="9"/>
  <c r="AC5" i="9" s="1" a="1"/>
  <c r="AC5" i="9" s="1"/>
  <c r="K84" i="9"/>
  <c r="AA5" i="9" s="1" a="1"/>
  <c r="AA5" i="9" s="1"/>
  <c r="D84" i="9"/>
  <c r="T5" i="9" s="1" a="1"/>
  <c r="T5" i="9" s="1"/>
  <c r="I84" i="9"/>
  <c r="Y5" i="9" s="1" a="1"/>
  <c r="Y5" i="9" s="1"/>
  <c r="J84" i="9"/>
  <c r="Z5" i="9" s="1" a="1"/>
  <c r="Z5" i="9" s="1"/>
  <c r="C84" i="9"/>
  <c r="S5" i="9" s="1" a="1"/>
  <c r="S5" i="9" s="1"/>
  <c r="K108" i="9" l="1"/>
  <c r="AA29" i="9" s="1" a="1"/>
  <c r="AA29" i="9" s="1"/>
  <c r="J55" i="1"/>
  <c r="H106" i="9"/>
  <c r="X27" i="9" s="1" a="1"/>
  <c r="X27" i="9" s="1"/>
  <c r="J12" i="1"/>
  <c r="G94" i="9"/>
  <c r="I2" i="1"/>
  <c r="E84" i="9"/>
  <c r="U5" i="9" s="1" a="1"/>
  <c r="U5" i="9" s="1"/>
  <c r="J60" i="1"/>
  <c r="I100" i="9"/>
  <c r="Y21" i="9" s="1" a="1"/>
  <c r="Y21" i="9" s="1"/>
  <c r="I49" i="1"/>
  <c r="F111" i="9"/>
  <c r="V32" i="9" s="1" a="1"/>
  <c r="V32" i="9" s="1"/>
  <c r="J19" i="1"/>
  <c r="G101" i="9"/>
  <c r="I29" i="1"/>
  <c r="F84" i="9"/>
  <c r="V5" i="9" s="1" a="1"/>
  <c r="V5" i="9" s="1"/>
  <c r="I4" i="1"/>
  <c r="E86" i="9"/>
  <c r="U7" i="9" s="1" a="1"/>
  <c r="U7" i="9" s="1"/>
  <c r="I48" i="1"/>
  <c r="F103" i="9"/>
  <c r="V24" i="9" s="1" a="1"/>
  <c r="V24" i="9" s="1"/>
  <c r="P96" i="9"/>
  <c r="AF17" i="9" s="1"/>
  <c r="B14" i="20" s="1"/>
  <c r="B14" i="21"/>
  <c r="J14" i="1"/>
  <c r="G96" i="9"/>
  <c r="G112" i="9"/>
  <c r="J9" i="1"/>
  <c r="G91" i="9"/>
  <c r="K95" i="9"/>
  <c r="AA16" i="9" s="1" a="1"/>
  <c r="AA16" i="9" s="1"/>
  <c r="J69" i="1"/>
  <c r="M109" i="9"/>
  <c r="AC30" i="9" s="1" a="1"/>
  <c r="AC30" i="9" s="1"/>
  <c r="J21" i="1"/>
  <c r="G103" i="9"/>
  <c r="J109" i="9"/>
  <c r="Z30" i="9" s="1" a="1"/>
  <c r="Z30" i="9" s="1"/>
  <c r="I41" i="1"/>
  <c r="F96" i="9"/>
  <c r="V17" i="9" s="1" a="1"/>
  <c r="V17" i="9" s="1"/>
  <c r="I56" i="1"/>
  <c r="F107" i="9"/>
  <c r="V28" i="9" s="1" a="1"/>
  <c r="V28" i="9" s="1"/>
  <c r="I7" i="1"/>
  <c r="E89" i="9"/>
  <c r="U10" i="9" s="1" a="1"/>
  <c r="U10" i="9" s="1"/>
  <c r="I53" i="1"/>
  <c r="F104" i="9"/>
  <c r="V25" i="9" s="1" a="1"/>
  <c r="V25" i="9" s="1"/>
  <c r="I22" i="1"/>
  <c r="E104" i="9"/>
  <c r="U25" i="9" s="1" a="1"/>
  <c r="U25" i="9" s="1"/>
  <c r="I8" i="1"/>
  <c r="E90" i="9"/>
  <c r="U11" i="9" s="1" a="1"/>
  <c r="U11" i="9" s="1"/>
  <c r="C100" i="9"/>
  <c r="S21" i="9" s="1" a="1"/>
  <c r="S21" i="9" s="1"/>
  <c r="J23" i="1"/>
  <c r="G105" i="9"/>
  <c r="J17" i="1"/>
  <c r="G99" i="9"/>
  <c r="G113" i="9"/>
  <c r="I34" i="1"/>
  <c r="F89" i="9"/>
  <c r="V10" i="9" s="1" a="1"/>
  <c r="V10" i="9" s="1"/>
  <c r="J63" i="1"/>
  <c r="K103" i="9"/>
  <c r="AA24" i="9" s="1" a="1"/>
  <c r="AA24" i="9" s="1"/>
  <c r="J10" i="1"/>
  <c r="G92" i="9"/>
  <c r="J43" i="1"/>
  <c r="H98" i="9"/>
  <c r="X19" i="9" s="1" a="1"/>
  <c r="X19" i="9" s="1"/>
  <c r="I39" i="1"/>
  <c r="F94" i="9"/>
  <c r="V15" i="9" s="1" a="1"/>
  <c r="V15" i="9" s="1"/>
  <c r="J89" i="9"/>
  <c r="Z10" i="9" s="1" a="1"/>
  <c r="Z10" i="9" s="1"/>
  <c r="J39" i="1"/>
  <c r="H94" i="9"/>
  <c r="X15" i="9" s="1" a="1"/>
  <c r="X15" i="9" s="1"/>
  <c r="I5" i="1"/>
  <c r="E87" i="9"/>
  <c r="U8" i="9" s="1" a="1"/>
  <c r="U8" i="9" s="1"/>
  <c r="J54" i="1"/>
  <c r="H105" i="9"/>
  <c r="X26" i="9" s="1" a="1"/>
  <c r="X26" i="9" s="1"/>
  <c r="J30" i="1"/>
  <c r="H85" i="9"/>
  <c r="X6" i="9" s="1" a="1"/>
  <c r="X6" i="9" s="1"/>
  <c r="I107" i="9"/>
  <c r="Y28" i="9" s="1" a="1"/>
  <c r="Y28" i="9" s="1"/>
  <c r="I52" i="1"/>
  <c r="F113" i="9"/>
  <c r="V34" i="9" s="1" a="1"/>
  <c r="V34" i="9" s="1"/>
  <c r="J37" i="1"/>
  <c r="H92" i="9"/>
  <c r="X13" i="9" s="1" a="1"/>
  <c r="X13" i="9" s="1"/>
  <c r="I35" i="1"/>
  <c r="F90" i="9"/>
  <c r="V11" i="9" s="1" a="1"/>
  <c r="V11" i="9" s="1"/>
  <c r="J29" i="1"/>
  <c r="H84" i="9"/>
  <c r="X5" i="9" s="1" a="1"/>
  <c r="X5" i="9" s="1"/>
  <c r="J68" i="1"/>
  <c r="L84" i="9"/>
  <c r="AB5" i="9" s="1" a="1"/>
  <c r="AB5" i="9" s="1"/>
  <c r="J15" i="1"/>
  <c r="G97" i="9"/>
  <c r="I42" i="1"/>
  <c r="F97" i="9"/>
  <c r="V18" i="9" s="1" a="1"/>
  <c r="V18" i="9" s="1"/>
  <c r="I27" i="1"/>
  <c r="E109" i="9"/>
  <c r="U30" i="9" s="1" a="1"/>
  <c r="U30" i="9" s="1"/>
  <c r="P95" i="9"/>
  <c r="AF16" i="9" s="1"/>
  <c r="B13" i="20" s="1"/>
  <c r="B13" i="21"/>
  <c r="J27" i="1"/>
  <c r="G109" i="9"/>
  <c r="I40" i="1"/>
  <c r="F95" i="9"/>
  <c r="V16" i="9" s="1" a="1"/>
  <c r="V16" i="9" s="1"/>
  <c r="I50" i="1"/>
  <c r="F110" i="9"/>
  <c r="V31" i="9" s="1" a="1"/>
  <c r="V31" i="9" s="1"/>
  <c r="J58" i="1"/>
  <c r="H109" i="9"/>
  <c r="X30" i="9" s="1" a="1"/>
  <c r="X30" i="9" s="1"/>
  <c r="P93" i="9"/>
  <c r="AF14" i="9" s="1"/>
  <c r="B11" i="20" s="1"/>
  <c r="B11" i="21"/>
  <c r="I20" i="1"/>
  <c r="E102" i="9"/>
  <c r="U23" i="9" s="1" a="1"/>
  <c r="U23" i="9" s="1"/>
  <c r="J52" i="1"/>
  <c r="H113" i="9"/>
  <c r="X34" i="9" s="1" a="1"/>
  <c r="X34" i="9" s="1"/>
  <c r="J16" i="1"/>
  <c r="G98" i="9"/>
  <c r="I54" i="1"/>
  <c r="F105" i="9"/>
  <c r="V26" i="9" s="1" a="1"/>
  <c r="V26" i="9" s="1"/>
  <c r="I43" i="1"/>
  <c r="F98" i="9"/>
  <c r="V19" i="9" s="1" a="1"/>
  <c r="V19" i="9" s="1"/>
  <c r="J32" i="1"/>
  <c r="H87" i="9"/>
  <c r="X8" i="9" s="1" a="1"/>
  <c r="X8" i="9" s="1"/>
  <c r="I13" i="1"/>
  <c r="E95" i="9"/>
  <c r="U16" i="9" s="1" a="1"/>
  <c r="U16" i="9" s="1"/>
  <c r="I32" i="1"/>
  <c r="F87" i="9"/>
  <c r="V8" i="9" s="1" a="1"/>
  <c r="V8" i="9" s="1"/>
  <c r="J35" i="1"/>
  <c r="H90" i="9"/>
  <c r="X11" i="9" s="1" a="1"/>
  <c r="X11" i="9" s="1"/>
  <c r="I10" i="1"/>
  <c r="E92" i="9"/>
  <c r="U13" i="9" s="1" a="1"/>
  <c r="U13" i="9" s="1"/>
  <c r="J24" i="1"/>
  <c r="G106" i="9"/>
  <c r="I57" i="1"/>
  <c r="F108" i="9"/>
  <c r="V29" i="9" s="1" a="1"/>
  <c r="V29" i="9" s="1"/>
  <c r="J56" i="1"/>
  <c r="H107" i="9"/>
  <c r="X28" i="9" s="1" a="1"/>
  <c r="X28" i="9" s="1"/>
  <c r="I47" i="1"/>
  <c r="F102" i="9"/>
  <c r="V23" i="9" s="1" a="1"/>
  <c r="V23" i="9" s="1"/>
  <c r="J34" i="1"/>
  <c r="H89" i="9"/>
  <c r="X10" i="9" s="1" a="1"/>
  <c r="X10" i="9" s="1"/>
  <c r="I38" i="1"/>
  <c r="F93" i="9"/>
  <c r="V14" i="9" s="1" a="1"/>
  <c r="V14" i="9" s="1"/>
  <c r="I14" i="1"/>
  <c r="E96" i="9"/>
  <c r="U17" i="9" s="1" a="1"/>
  <c r="U17" i="9" s="1"/>
  <c r="P91" i="9"/>
  <c r="AF12" i="9" s="1"/>
  <c r="B9" i="20" s="1"/>
  <c r="B9" i="21"/>
  <c r="I30" i="1"/>
  <c r="F85" i="9"/>
  <c r="V6" i="9" s="1" a="1"/>
  <c r="V6" i="9" s="1"/>
  <c r="I36" i="1"/>
  <c r="F91" i="9"/>
  <c r="V12" i="9" s="1" a="1"/>
  <c r="V12" i="9" s="1"/>
  <c r="I44" i="1"/>
  <c r="F99" i="9"/>
  <c r="V20" i="9" s="1" a="1"/>
  <c r="V20" i="9" s="1"/>
  <c r="I21" i="1"/>
  <c r="E103" i="9"/>
  <c r="U24" i="9" s="1" a="1"/>
  <c r="U24" i="9" s="1"/>
  <c r="B10" i="21"/>
  <c r="P92" i="9"/>
  <c r="AF13" i="9" s="1"/>
  <c r="B10" i="20" s="1"/>
  <c r="P101" i="9"/>
  <c r="AF22" i="9" s="1"/>
  <c r="B19" i="20" s="1"/>
  <c r="B19" i="21"/>
  <c r="J41" i="1"/>
  <c r="H96" i="9"/>
  <c r="X17" i="9" s="1" a="1"/>
  <c r="X17" i="9" s="1"/>
  <c r="B2" i="21"/>
  <c r="P84" i="9"/>
  <c r="AF5" i="9" s="1"/>
  <c r="B2" i="20" s="1"/>
  <c r="P104" i="9"/>
  <c r="AF25" i="9" s="1"/>
  <c r="B22" i="20" s="1"/>
  <c r="B22" i="21"/>
  <c r="I112" i="9"/>
  <c r="Y33" i="9" s="1" a="1"/>
  <c r="Y33" i="9" s="1"/>
  <c r="J42" i="1"/>
  <c r="H97" i="9"/>
  <c r="X18" i="9" s="1" a="1"/>
  <c r="X18" i="9" s="1"/>
  <c r="J11" i="1"/>
  <c r="G93" i="9"/>
  <c r="L94" i="9"/>
  <c r="AB15" i="9" s="1" a="1"/>
  <c r="AB15" i="9" s="1"/>
  <c r="J40" i="1"/>
  <c r="H95" i="9"/>
  <c r="X16" i="9" s="1" a="1"/>
  <c r="X16" i="9" s="1"/>
  <c r="P97" i="9"/>
  <c r="AF18" i="9" s="1"/>
  <c r="B15" i="20" s="1"/>
  <c r="B15" i="21"/>
  <c r="P103" i="9"/>
  <c r="AF24" i="9" s="1"/>
  <c r="B21" i="20" s="1"/>
  <c r="B21" i="21"/>
  <c r="J64" i="1"/>
  <c r="K104" i="9"/>
  <c r="AA25" i="9" s="1" a="1"/>
  <c r="AA25" i="9" s="1"/>
  <c r="J5" i="1"/>
  <c r="G87" i="9"/>
  <c r="I58" i="1"/>
  <c r="F109" i="9"/>
  <c r="V30" i="9" s="1" a="1"/>
  <c r="V30" i="9" s="1"/>
  <c r="P87" i="9"/>
  <c r="AF8" i="9" s="1"/>
  <c r="B5" i="20" s="1"/>
  <c r="B5" i="21"/>
  <c r="P107" i="9"/>
  <c r="AF28" i="9" s="1"/>
  <c r="B25" i="20" s="1"/>
  <c r="B25" i="21"/>
  <c r="I25" i="1"/>
  <c r="E107" i="9"/>
  <c r="U28" i="9" s="1" a="1"/>
  <c r="U28" i="9" s="1"/>
  <c r="P111" i="9"/>
  <c r="AF32" i="9" s="1"/>
  <c r="B29" i="20" s="1"/>
  <c r="B29" i="21"/>
  <c r="I31" i="1"/>
  <c r="F86" i="9"/>
  <c r="V7" i="9" s="1" a="1"/>
  <c r="V7" i="9" s="1"/>
  <c r="J20" i="1"/>
  <c r="G102" i="9"/>
  <c r="I37" i="1"/>
  <c r="F92" i="9"/>
  <c r="V13" i="9" s="1" a="1"/>
  <c r="V13" i="9" s="1"/>
  <c r="J67" i="1"/>
  <c r="L104" i="9"/>
  <c r="AB25" i="9" s="1" a="1"/>
  <c r="AB25" i="9" s="1"/>
  <c r="I11" i="1"/>
  <c r="E93" i="9"/>
  <c r="U14" i="9" s="1" a="1"/>
  <c r="U14" i="9" s="1"/>
  <c r="P108" i="9"/>
  <c r="AF29" i="9" s="1"/>
  <c r="B26" i="20" s="1"/>
  <c r="B26" i="21"/>
  <c r="P88" i="9"/>
  <c r="AF9" i="9" s="1"/>
  <c r="B6" i="20" s="1"/>
  <c r="B6" i="21"/>
  <c r="P112" i="9"/>
  <c r="AF33" i="9" s="1"/>
  <c r="B30" i="20" s="1"/>
  <c r="B30" i="21"/>
  <c r="I3" i="1"/>
  <c r="E85" i="9"/>
  <c r="U6" i="9" s="1" a="1"/>
  <c r="U6" i="9" s="1"/>
  <c r="J61" i="1"/>
  <c r="J101" i="9"/>
  <c r="Z22" i="9" s="1" a="1"/>
  <c r="Z22" i="9" s="1"/>
  <c r="W32" i="9" a="1"/>
  <c r="W32" i="9" s="1"/>
  <c r="J53" i="1"/>
  <c r="H104" i="9"/>
  <c r="X25" i="9" s="1" a="1"/>
  <c r="X25" i="9" s="1"/>
  <c r="J3" i="1"/>
  <c r="G85" i="9"/>
  <c r="P98" i="9"/>
  <c r="AF19" i="9" s="1"/>
  <c r="B16" i="20" s="1"/>
  <c r="B16" i="21"/>
  <c r="J7" i="1"/>
  <c r="G89" i="9"/>
  <c r="P113" i="9"/>
  <c r="AF34" i="9" s="1"/>
  <c r="B31" i="20" s="1"/>
  <c r="B31" i="21"/>
  <c r="I18" i="1"/>
  <c r="E100" i="9"/>
  <c r="U21" i="9" s="1" a="1"/>
  <c r="U21" i="9" s="1"/>
  <c r="J46" i="1"/>
  <c r="H101" i="9"/>
  <c r="X22" i="9" s="1" a="1"/>
  <c r="X22" i="9" s="1"/>
  <c r="J38" i="1"/>
  <c r="H93" i="9"/>
  <c r="X14" i="9" s="1" a="1"/>
  <c r="X14" i="9" s="1"/>
  <c r="I23" i="1"/>
  <c r="E105" i="9"/>
  <c r="U26" i="9" s="1" a="1"/>
  <c r="U26" i="9" s="1"/>
  <c r="I55" i="1"/>
  <c r="F106" i="9"/>
  <c r="V27" i="9" s="1" a="1"/>
  <c r="V27" i="9" s="1"/>
  <c r="J8" i="1"/>
  <c r="G90" i="9"/>
  <c r="P100" i="9"/>
  <c r="AF21" i="9" s="1"/>
  <c r="B18" i="20" s="1"/>
  <c r="B18" i="21"/>
  <c r="I45" i="1"/>
  <c r="F100" i="9"/>
  <c r="V21" i="9" s="1" a="1"/>
  <c r="V21" i="9" s="1"/>
  <c r="J25" i="1"/>
  <c r="G107" i="9"/>
  <c r="P90" i="9"/>
  <c r="AF11" i="9" s="1"/>
  <c r="B8" i="20" s="1"/>
  <c r="B8" i="21"/>
  <c r="J6" i="1"/>
  <c r="G88" i="9"/>
  <c r="J66" i="1"/>
  <c r="L103" i="9"/>
  <c r="AB24" i="9" s="1" a="1"/>
  <c r="AB24" i="9" s="1"/>
  <c r="I19" i="1"/>
  <c r="E101" i="9"/>
  <c r="U22" i="9" s="1" a="1"/>
  <c r="U22" i="9" s="1"/>
  <c r="I16" i="1"/>
  <c r="E98" i="9"/>
  <c r="U19" i="9" s="1" a="1"/>
  <c r="U19" i="9" s="1"/>
  <c r="I12" i="1"/>
  <c r="E94" i="9"/>
  <c r="U15" i="9" s="1" a="1"/>
  <c r="U15" i="9" s="1"/>
  <c r="I6" i="1"/>
  <c r="E88" i="9"/>
  <c r="U9" i="9" s="1" a="1"/>
  <c r="U9" i="9" s="1"/>
  <c r="P110" i="9"/>
  <c r="AF31" i="9" s="1"/>
  <c r="B28" i="21"/>
  <c r="P102" i="9"/>
  <c r="AF23" i="9" s="1"/>
  <c r="B20" i="20" s="1"/>
  <c r="B20" i="21"/>
  <c r="I24" i="1"/>
  <c r="E106" i="9"/>
  <c r="U27" i="9" s="1" a="1"/>
  <c r="U27" i="9" s="1"/>
  <c r="J18" i="1"/>
  <c r="G100" i="9"/>
  <c r="I26" i="1"/>
  <c r="E108" i="9"/>
  <c r="U29" i="9" s="1" a="1"/>
  <c r="U29" i="9" s="1"/>
  <c r="I51" i="1"/>
  <c r="F112" i="9"/>
  <c r="V33" i="9" s="1" a="1"/>
  <c r="V33" i="9" s="1"/>
  <c r="J26" i="1"/>
  <c r="G108" i="9"/>
  <c r="I15" i="1"/>
  <c r="E97" i="9"/>
  <c r="U18" i="9" s="1" a="1"/>
  <c r="U18" i="9" s="1"/>
  <c r="J48" i="1"/>
  <c r="H103" i="9"/>
  <c r="X24" i="9" s="1" a="1"/>
  <c r="X24" i="9" s="1"/>
  <c r="I28" i="1"/>
  <c r="E110" i="9"/>
  <c r="U31" i="9" s="1" a="1"/>
  <c r="U31" i="9" s="1"/>
  <c r="I9" i="1"/>
  <c r="E91" i="9"/>
  <c r="U12" i="9" s="1" a="1"/>
  <c r="U12" i="9" s="1"/>
  <c r="J33" i="1"/>
  <c r="H88" i="9"/>
  <c r="X9" i="9" s="1" a="1"/>
  <c r="X9" i="9" s="1"/>
  <c r="J13" i="1"/>
  <c r="G95" i="9"/>
  <c r="P105" i="9"/>
  <c r="AF26" i="9" s="1"/>
  <c r="B23" i="20" s="1"/>
  <c r="B23" i="21"/>
  <c r="P94" i="9"/>
  <c r="AF15" i="9" s="1"/>
  <c r="B12" i="20" s="1"/>
  <c r="B12" i="21"/>
  <c r="P85" i="9"/>
  <c r="AF6" i="9" s="1"/>
  <c r="B3" i="20" s="1"/>
  <c r="B3" i="21"/>
  <c r="J44" i="1"/>
  <c r="H99" i="9"/>
  <c r="X20" i="9" s="1" a="1"/>
  <c r="X20" i="9" s="1"/>
  <c r="I46" i="1"/>
  <c r="F101" i="9"/>
  <c r="V22" i="9" s="1" a="1"/>
  <c r="V22" i="9" s="1"/>
  <c r="P109" i="9"/>
  <c r="AF30" i="9" s="1"/>
  <c r="B27" i="20" s="1"/>
  <c r="B27" i="21"/>
  <c r="J59" i="1"/>
  <c r="I89" i="9"/>
  <c r="Y10" i="9" s="1" a="1"/>
  <c r="Y10" i="9" s="1"/>
  <c r="P86" i="9"/>
  <c r="AF7" i="9" s="1"/>
  <c r="B4" i="20" s="1"/>
  <c r="B4" i="21"/>
  <c r="I17" i="1"/>
  <c r="E99" i="9"/>
  <c r="U20" i="9" s="1" a="1"/>
  <c r="U20" i="9" s="1"/>
  <c r="J62" i="1"/>
  <c r="J88" i="9"/>
  <c r="Z9" i="9" s="1" a="1"/>
  <c r="Z9" i="9" s="1"/>
  <c r="P99" i="9"/>
  <c r="AF20" i="9" s="1"/>
  <c r="B17" i="20" s="1"/>
  <c r="B17" i="21"/>
  <c r="P89" i="9"/>
  <c r="AF10" i="9" s="1"/>
  <c r="B7" i="20" s="1"/>
  <c r="B7" i="21"/>
  <c r="I33" i="1"/>
  <c r="F88" i="9"/>
  <c r="V9" i="9" s="1" a="1"/>
  <c r="V9" i="9" s="1"/>
  <c r="J57" i="1"/>
  <c r="H108" i="9"/>
  <c r="X29" i="9" s="1" a="1"/>
  <c r="X29" i="9" s="1"/>
  <c r="P106" i="9"/>
  <c r="AF27" i="9" s="1"/>
  <c r="B24" i="20" s="1"/>
  <c r="B24" i="21"/>
  <c r="W30" i="9" l="1" a="1"/>
  <c r="W30" i="9" s="1"/>
  <c r="AE30" i="9" s="1"/>
  <c r="AG30" i="9" s="1"/>
  <c r="C27" i="20" s="1"/>
  <c r="O109" i="9"/>
  <c r="Q109" i="9" s="1"/>
  <c r="J2" i="1"/>
  <c r="G84" i="9"/>
  <c r="W17" i="9" a="1"/>
  <c r="W17" i="9" s="1"/>
  <c r="AE17" i="9" s="1"/>
  <c r="AG17" i="9" s="1"/>
  <c r="C14" i="20" s="1"/>
  <c r="O96" i="9"/>
  <c r="Q96" i="9" s="1"/>
  <c r="J51" i="1"/>
  <c r="H112" i="9"/>
  <c r="X33" i="9" s="1" a="1"/>
  <c r="X33" i="9" s="1"/>
  <c r="W18" i="9" a="1"/>
  <c r="W18" i="9" s="1"/>
  <c r="AE18" i="9" s="1"/>
  <c r="AG18" i="9" s="1"/>
  <c r="C15" i="20" s="1"/>
  <c r="O97" i="9"/>
  <c r="Q97" i="9" s="1"/>
  <c r="W13" i="9" a="1"/>
  <c r="W13" i="9" s="1"/>
  <c r="AE13" i="9" s="1"/>
  <c r="AG13" i="9" s="1"/>
  <c r="C10" i="20" s="1"/>
  <c r="O92" i="9"/>
  <c r="Q92" i="9" s="1"/>
  <c r="W26" i="9" a="1"/>
  <c r="W26" i="9" s="1"/>
  <c r="AE26" i="9" s="1"/>
  <c r="AG26" i="9" s="1"/>
  <c r="C23" i="20" s="1"/>
  <c r="O105" i="9"/>
  <c r="Q105" i="9" s="1"/>
  <c r="D2" i="17"/>
  <c r="J47" i="1"/>
  <c r="H102" i="9"/>
  <c r="X23" i="9" s="1" a="1"/>
  <c r="X23" i="9" s="1"/>
  <c r="I175" i="1" a="1"/>
  <c r="I175" i="1" s="1"/>
  <c r="J36" i="1"/>
  <c r="H91" i="9"/>
  <c r="X12" i="9" s="1" a="1"/>
  <c r="X12" i="9" s="1"/>
  <c r="W22" i="9" a="1"/>
  <c r="W22" i="9" s="1"/>
  <c r="AE22" i="9" s="1"/>
  <c r="AG22" i="9" s="1"/>
  <c r="C19" i="20" s="1"/>
  <c r="O101" i="9"/>
  <c r="Q101" i="9" s="1"/>
  <c r="W15" i="9" a="1"/>
  <c r="W15" i="9" s="1"/>
  <c r="AE15" i="9" s="1"/>
  <c r="AG15" i="9" s="1"/>
  <c r="C12" i="20" s="1"/>
  <c r="O94" i="9"/>
  <c r="Q94" i="9" s="1"/>
  <c r="W14" i="9" a="1"/>
  <c r="W14" i="9" s="1"/>
  <c r="AE14" i="9" s="1"/>
  <c r="AG14" i="9" s="1"/>
  <c r="C11" i="20" s="1"/>
  <c r="O93" i="9"/>
  <c r="Q93" i="9" s="1"/>
  <c r="W28" i="9" a="1"/>
  <c r="W28" i="9" s="1"/>
  <c r="AE28" i="9" s="1"/>
  <c r="AG28" i="9" s="1"/>
  <c r="C25" i="20" s="1"/>
  <c r="O107" i="9"/>
  <c r="Q107" i="9" s="1"/>
  <c r="J45" i="1"/>
  <c r="H100" i="9"/>
  <c r="X21" i="9" s="1" a="1"/>
  <c r="X21" i="9" s="1"/>
  <c r="W10" i="9" a="1"/>
  <c r="W10" i="9" s="1"/>
  <c r="J22" i="1"/>
  <c r="G104" i="9"/>
  <c r="J28" i="1"/>
  <c r="G110" i="9"/>
  <c r="W11" i="9" a="1"/>
  <c r="W11" i="9" s="1"/>
  <c r="AE11" i="9" s="1"/>
  <c r="AG11" i="9" s="1"/>
  <c r="C8" i="20" s="1"/>
  <c r="O90" i="9"/>
  <c r="Q90" i="9" s="1"/>
  <c r="W29" i="9" a="1"/>
  <c r="W29" i="9" s="1"/>
  <c r="AE29" i="9" s="1"/>
  <c r="AG29" i="9" s="1"/>
  <c r="C26" i="20" s="1"/>
  <c r="O108" i="9"/>
  <c r="Q108" i="9" s="1"/>
  <c r="W23" i="9" a="1"/>
  <c r="W23" i="9" s="1"/>
  <c r="J49" i="1"/>
  <c r="H111" i="9"/>
  <c r="J31" i="1"/>
  <c r="H86" i="9"/>
  <c r="X7" i="9" s="1" a="1"/>
  <c r="X7" i="9" s="1"/>
  <c r="W21" i="9" a="1"/>
  <c r="W21" i="9" s="1"/>
  <c r="AE21" i="9" s="1"/>
  <c r="AG21" i="9" s="1"/>
  <c r="C18" i="20" s="1"/>
  <c r="O100" i="9"/>
  <c r="Q100" i="9" s="1"/>
  <c r="W12" i="9" a="1"/>
  <c r="W12" i="9" s="1"/>
  <c r="AE12" i="9" s="1"/>
  <c r="AG12" i="9" s="1"/>
  <c r="C9" i="20" s="1"/>
  <c r="O91" i="9"/>
  <c r="Q91" i="9" s="1"/>
  <c r="J50" i="1"/>
  <c r="H110" i="9"/>
  <c r="X31" i="9" s="1" a="1"/>
  <c r="X31" i="9" s="1"/>
  <c r="W27" i="9" a="1"/>
  <c r="W27" i="9" s="1"/>
  <c r="AE27" i="9" s="1"/>
  <c r="AG27" i="9" s="1"/>
  <c r="C24" i="20" s="1"/>
  <c r="O106" i="9"/>
  <c r="Q106" i="9" s="1"/>
  <c r="W16" i="9" a="1"/>
  <c r="W16" i="9" s="1"/>
  <c r="AE16" i="9" s="1"/>
  <c r="AG16" i="9" s="1"/>
  <c r="C13" i="20" s="1"/>
  <c r="O95" i="9"/>
  <c r="Q95" i="9" s="1"/>
  <c r="W19" i="9" a="1"/>
  <c r="W19" i="9" s="1"/>
  <c r="AE19" i="9" s="1"/>
  <c r="AG19" i="9" s="1"/>
  <c r="C16" i="20" s="1"/>
  <c r="O98" i="9"/>
  <c r="Q98" i="9" s="1"/>
  <c r="J4" i="1"/>
  <c r="G86" i="9"/>
  <c r="W34" i="9" a="1"/>
  <c r="W34" i="9" s="1"/>
  <c r="AE34" i="9" s="1"/>
  <c r="AG34" i="9" s="1"/>
  <c r="C31" i="20" s="1"/>
  <c r="O113" i="9"/>
  <c r="Q113" i="9" s="1"/>
  <c r="W6" i="9" a="1"/>
  <c r="W6" i="9" s="1"/>
  <c r="AE6" i="9" s="1"/>
  <c r="AG6" i="9" s="1"/>
  <c r="C3" i="20" s="1"/>
  <c r="O85" i="9"/>
  <c r="Q85" i="9" s="1"/>
  <c r="W8" i="9" a="1"/>
  <c r="W8" i="9" s="1"/>
  <c r="AE8" i="9" s="1"/>
  <c r="AG8" i="9" s="1"/>
  <c r="C5" i="20" s="1"/>
  <c r="O87" i="9"/>
  <c r="Q87" i="9" s="1"/>
  <c r="J65" i="1"/>
  <c r="K89" i="9"/>
  <c r="AA10" i="9" s="1" a="1"/>
  <c r="AA10" i="9" s="1"/>
  <c r="B28" i="20"/>
  <c r="E18" i="19" a="1"/>
  <c r="E18" i="19" s="1"/>
  <c r="W24" i="9" a="1"/>
  <c r="W24" i="9" s="1"/>
  <c r="AE24" i="9" s="1"/>
  <c r="AG24" i="9" s="1"/>
  <c r="C21" i="20" s="1"/>
  <c r="O103" i="9"/>
  <c r="Q103" i="9" s="1"/>
  <c r="W9" i="9" a="1"/>
  <c r="W9" i="9" s="1"/>
  <c r="AE9" i="9" s="1"/>
  <c r="AG9" i="9" s="1"/>
  <c r="C6" i="20" s="1"/>
  <c r="O88" i="9"/>
  <c r="Q88" i="9" s="1"/>
  <c r="W20" i="9" a="1"/>
  <c r="W20" i="9" s="1"/>
  <c r="AE20" i="9" s="1"/>
  <c r="AG20" i="9" s="1"/>
  <c r="C17" i="20" s="1"/>
  <c r="O99" i="9"/>
  <c r="Q99" i="9" s="1"/>
  <c r="O112" i="9"/>
  <c r="Q112" i="9" s="1"/>
  <c r="W33" i="9" a="1"/>
  <c r="W33" i="9" s="1"/>
  <c r="AE33" i="9" s="1"/>
  <c r="AG33" i="9" s="1"/>
  <c r="C30" i="20" s="1"/>
  <c r="E13" i="8" l="1"/>
  <c r="E5" i="8"/>
  <c r="E10" i="8"/>
  <c r="E8" i="8"/>
  <c r="E12" i="8"/>
  <c r="E7" i="8"/>
  <c r="E6" i="8"/>
  <c r="E9" i="8"/>
  <c r="E4" i="8"/>
  <c r="E11" i="8"/>
  <c r="W31" i="9" a="1"/>
  <c r="W31" i="9" s="1"/>
  <c r="AE31" i="9" s="1"/>
  <c r="AG31" i="9" s="1"/>
  <c r="O110" i="9"/>
  <c r="Q110" i="9" s="1"/>
  <c r="X32" i="9" a="1"/>
  <c r="X32" i="9" s="1"/>
  <c r="AE32" i="9" s="1"/>
  <c r="AG32" i="9" s="1"/>
  <c r="C29" i="20" s="1"/>
  <c r="O111" i="9"/>
  <c r="Q111" i="9" s="1"/>
  <c r="C12" i="10"/>
  <c r="C13" i="10" s="1"/>
  <c r="N5" i="17"/>
  <c r="N7" i="17" s="1"/>
  <c r="D313" i="17"/>
  <c r="W25" i="9" a="1"/>
  <c r="W25" i="9" s="1"/>
  <c r="AE25" i="9" s="1"/>
  <c r="AG25" i="9" s="1"/>
  <c r="C22" i="20" s="1"/>
  <c r="O104" i="9"/>
  <c r="Q104" i="9" s="1"/>
  <c r="W5" i="9" a="1"/>
  <c r="W5" i="9" s="1"/>
  <c r="AE5" i="9" s="1"/>
  <c r="AG5" i="9" s="1"/>
  <c r="C2" i="20" s="1"/>
  <c r="O84" i="9"/>
  <c r="Q84" i="9" s="1"/>
  <c r="J175" i="1" a="1"/>
  <c r="J175" i="1" s="1"/>
  <c r="AE23" i="9"/>
  <c r="AG23" i="9" s="1"/>
  <c r="C20" i="20" s="1"/>
  <c r="O89" i="9"/>
  <c r="Q89" i="9" s="1"/>
  <c r="W7" i="9" a="1"/>
  <c r="W7" i="9" s="1"/>
  <c r="AE7" i="9" s="1"/>
  <c r="AG7" i="9" s="1"/>
  <c r="C4" i="20" s="1"/>
  <c r="O86" i="9"/>
  <c r="Q86" i="9" s="1"/>
  <c r="O102" i="9"/>
  <c r="Q102" i="9" s="1"/>
  <c r="AE10" i="9"/>
  <c r="AG10" i="9" s="1"/>
  <c r="C7" i="20" s="1"/>
  <c r="E14" i="8" l="1"/>
  <c r="K5" i="17"/>
  <c r="K6" i="17" s="1"/>
  <c r="F313" i="17"/>
  <c r="P7" i="17"/>
  <c r="C19" i="10"/>
  <c r="C21" i="10"/>
  <c r="E20" i="19" a="1"/>
  <c r="E20" i="19" s="1"/>
  <c r="C28"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<sst xmlns="http://schemas.openxmlformats.org/spreadsheetml/2006/main" count="1907" uniqueCount="454">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</sst>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544045</xdr:colOff>
      <xdr:row>7</xdr:row>
      <xdr:rowOff>43181</xdr:rowOff>
    </xdr:from>
    <xdr:to>
      <xdr:col>13</xdr:col>
      <xdr:colOff>412080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242334</xdr:colOff>
      <xdr:row>12</xdr:row>
      <xdr:rowOff>138748</xdr:rowOff>
    </xdr:from>
    <xdr:to>
      <xdr:col>14</xdr:col>
      <xdr:colOff>547824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5962642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2662035" createdVersion="8" refreshedVersion="8" minRefreshableVersion="3" recordCount="173" xr:uid="{46CBB50D-3613-4E5B-8212-DD0313DCD05A}">
  <cacheSource type="worksheet">
    <worksheetSource name="Table1"/>
  </cacheSource>
  <cacheFields count="14">
    <cacheField name="Date" numFmtId="0">
      <sharedItems containsNonDate="0" containsDate="1" containsString="0" containsBlank="1" minDate="2026-02-19T00:00:00" maxDate="2026-03-12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Blank="1" containsMixedTypes="1" containsNumber="1" containsInteger="1" minValue="1509" maxValue="1607"/>
    </cacheField>
    <cacheField name="Quality" numFmtId="0">
      <sharedItems containsBlank="1"/>
    </cacheField>
    <cacheField name="Shipment Number" numFmtId="164">
      <sharedItems containsBlank="1" containsMixedTypes="1" containsNumber="1" containsInteger="1" minValue="1558" maxValue="17000" count="490">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356482" createdVersion="8" refreshedVersion="8" minRefreshableVersion="3" recordCount="311" xr:uid="{B5BDFB73-D93A-4A7A-8149-666BC190B09B}">
  <cacheSource type="worksheet">
    <worksheetSource name="Table14"/>
  </cacheSource>
  <cacheFields count="7">
    <cacheField name="Date" numFmtId="14">
      <sharedItems containsNonDate="0" containsDate="1" containsString="0" containsBlank="1" minDate="2025-12-23T00:00:00" maxDate="2026-03-14T00:00:00"/>
    </cacheField>
    <cacheField name="Party" numFmtId="0">
      <sharedItems containsBlank="1" count="97">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Raaz fabrics"/>
        <s v="altaf sahab"/>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596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58796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535798.28090709588"/>
    </cacheField>
    <cacheField name="Rate" numFmtId="0">
      <sharedItems containsString="0" containsBlank="1" containsNumber="1" minValue="10" maxValue="12"/>
    </cacheField>
    <cacheField name="Total" numFmtId="164">
      <sharedItems containsSemiMixedTypes="0" containsString="0" containsNumber="1" minValue="0" maxValue="3816953.18215069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703705" createdVersion="8" refreshedVersion="8" minRefreshableVersion="3" recordCount="29" xr:uid="{AC867DCC-CE64-4D1A-827D-F1F3EE10EE4E}">
  <cacheSource type="worksheet">
    <worksheetSource name="Table8"/>
  </cacheSource>
  <cacheFields count="9">
    <cacheField name="Date" numFmtId="0">
      <sharedItems containsNonDate="0" containsDate="1" containsString="0" containsBlank="1" minDate="2025-05-16T00:00:00" maxDate="2026-03-11T00:00:00" count="84">
        <d v="2026-02-19T00:00:00"/>
        <m/>
        <d v="2026-02-20T00:00:00"/>
        <d v="2026-02-22T00:00:00"/>
        <d v="2026-02-23T00:00:00"/>
        <d v="2026-02-24T00:00:00"/>
        <d v="2026-02-25T00:00:00"/>
        <d v="2026-02-26T00:00:00"/>
        <d v="2026-03-05T00:00:00"/>
        <d v="2026-03-10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819444"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5">
        <d v="2026-02-20T00:00:00"/>
        <m/>
        <d v="2026-02-21T00:00:00"/>
        <d v="2026-02-22T00:00:00"/>
        <d v="2026-02-23T00:00:00"/>
        <d v="2026-02-19T00:00:00"/>
        <d v="2026-02-24T00:00:00"/>
        <d v="2026-02-25T00:00:00"/>
        <d v="2026-02-27T00:00:00"/>
        <d v="2026-03-02T00:00:00"/>
        <d v="2026-03-03T00:00:00"/>
        <d v="2026-03-04T00:00:00"/>
        <d v="2026-03-05T00:00:00"/>
        <d v="2026-03-06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5.170403935183"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8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49.4715013144735"/>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18.798210309031305"/>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18.798210309031305"/>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18.798210309031305"/>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74.623018862041476"/>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30.094242590571596"/>
    <n v="6029.6269202633512"/>
    <n v="60296.269202633513"/>
    <m/>
  </r>
  <r>
    <d v="2026-03-10T00:00:00"/>
    <x v="18"/>
    <n v="1591"/>
    <s v="Silky"/>
    <x v="48"/>
    <n v="50958"/>
    <n v="5615"/>
    <n v="74.623018862041476"/>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30.094242590571596"/>
    <n v="5244.1477688368695"/>
    <n v="52441.477688368694"/>
    <m/>
  </r>
  <r>
    <d v="2026-03-10T00:00:00"/>
    <x v="0"/>
    <n v="1595"/>
    <s v="Chamki"/>
    <x v="54"/>
    <n v="13663"/>
    <n v="5660"/>
    <s v="NF"/>
    <m/>
    <m/>
    <m/>
  </r>
  <r>
    <d v="2026-03-10T00:00:00"/>
    <x v="0"/>
    <n v="1596"/>
    <s v="Chamki"/>
    <x v="27"/>
    <n v="22835"/>
    <n v="1458"/>
    <n v="18.798210309031305"/>
    <n v="1333.2114118507682"/>
    <n v="13332.114118507681"/>
    <m/>
  </r>
  <r>
    <d v="2026-03-10T00:00:00"/>
    <x v="0"/>
    <n v="1597"/>
    <s v="Kataan"/>
    <x v="12"/>
    <n v="83635"/>
    <n v="20744"/>
    <n v="49.4715013144735"/>
    <n v="18968.544257498172"/>
    <n v="208653.98683247989"/>
    <m/>
  </r>
  <r>
    <d v="2026-03-11T00:00:00"/>
    <x v="18"/>
    <n v="1598"/>
    <s v="Silky"/>
    <x v="48"/>
    <n v="20958"/>
    <n v="39271"/>
    <n v="74.623018862041476"/>
    <m/>
    <m/>
    <m/>
  </r>
  <r>
    <d v="2026-03-11T00:00:00"/>
    <x v="0"/>
    <n v="1599"/>
    <s v="Silky"/>
    <x v="33"/>
    <n v="18783"/>
    <n v="3308"/>
    <n v="18.495070232109597"/>
    <m/>
    <m/>
    <m/>
  </r>
  <r>
    <d v="2026-03-11T00:00:00"/>
    <x v="0"/>
    <n v="1600"/>
    <s v="Silky"/>
    <x v="27"/>
    <n v="22835"/>
    <n v="6435"/>
    <n v="18.798210309031305"/>
    <m/>
    <m/>
    <m/>
  </r>
  <r>
    <d v="2026-03-11T00:00:00"/>
    <x v="0"/>
    <n v="1601"/>
    <s v="Kataan"/>
    <x v="12"/>
    <n v="83635"/>
    <n v="1806"/>
    <n v="49.4715013144735"/>
    <m/>
    <m/>
    <m/>
  </r>
  <r>
    <d v="2026-03-11T00:00:00"/>
    <x v="0"/>
    <n v="1602"/>
    <s v="Chamki"/>
    <x v="55"/>
    <n v="12291"/>
    <n v="12924"/>
    <s v="NF"/>
    <m/>
    <m/>
    <m/>
  </r>
  <r>
    <d v="2026-03-11T00:00:00"/>
    <x v="0"/>
    <n v="1603"/>
    <s v="Chamki"/>
    <x v="56"/>
    <n v="9338"/>
    <n v="9739"/>
    <s v="NF"/>
    <m/>
    <m/>
    <m/>
  </r>
  <r>
    <d v="2026-03-11T00:00:00"/>
    <x v="0"/>
    <n v="1604"/>
    <s v="Chamki"/>
    <x v="57"/>
    <m/>
    <n v="8959"/>
    <s v="NF"/>
    <m/>
    <m/>
    <m/>
  </r>
  <r>
    <d v="2026-03-11T00:00:00"/>
    <x v="0"/>
    <n v="1605"/>
    <s v="Chamki"/>
    <x v="52"/>
    <n v="16029"/>
    <n v="4288"/>
    <n v="30.094242590571596"/>
    <m/>
    <m/>
    <m/>
  </r>
  <r>
    <d v="2026-03-11T00:00:00"/>
    <x v="0"/>
    <n v="1606"/>
    <s v="Chamki"/>
    <x v="58"/>
    <n v="5552"/>
    <n v="3923"/>
    <s v="NF"/>
    <m/>
    <m/>
    <m/>
  </r>
  <r>
    <d v="2026-03-11T00:00:00"/>
    <x v="0"/>
    <n v="1607"/>
    <s v="Chamki"/>
    <x v="59"/>
    <n v="1127"/>
    <n v="1095"/>
    <s v="NF"/>
    <m/>
    <m/>
    <m/>
  </r>
  <r>
    <d v="2026-03-11T00:00:00"/>
    <x v="33"/>
    <m/>
    <m/>
    <x v="0"/>
    <m/>
    <m/>
    <e v="#DIV/0!"/>
    <m/>
    <m/>
    <m/>
  </r>
  <r>
    <m/>
    <x v="33"/>
    <m/>
    <m/>
    <x v="0"/>
    <m/>
    <m/>
    <e v="#DIV/0!"/>
    <m/>
    <m/>
    <m/>
  </r>
  <r>
    <m/>
    <x v="33"/>
    <m/>
    <m/>
    <x v="0"/>
    <m/>
    <m/>
    <e v="#DIV/0!"/>
    <m/>
    <m/>
    <m/>
  </r>
  <r>
    <m/>
    <x v="33"/>
    <m/>
    <m/>
    <x v="0"/>
    <m/>
    <m/>
    <e v="#DIV/0!"/>
    <m/>
    <m/>
    <m/>
  </r>
  <r>
    <m/>
    <x v="33"/>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d v="2026-01-20T00:00:00"/>
    <x v="0"/>
    <m/>
    <n v="596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0"/>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3"/>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4"/>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3"/>
    <n v="35000"/>
    <m/>
    <s v="ghulam abbas"/>
    <s v="Bank"/>
    <m/>
  </r>
  <r>
    <d v="2026-03-13T00:00:00"/>
    <x v="33"/>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0"/>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m/>
    <x v="18"/>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35798.28090709588"/>
    <n v="10"/>
    <n v="3816953.182150695"/>
  </r>
  <r>
    <x v="1"/>
    <n v="33845.098756400883"/>
    <n v="10"/>
    <n v="406141.18507681059"/>
  </r>
  <r>
    <x v="2"/>
    <n v="66417.337234820778"/>
    <n v="10"/>
    <n v="702871.25091441115"/>
  </r>
  <r>
    <x v="3"/>
    <n v="0"/>
    <n v="10.5"/>
    <n v="0"/>
  </r>
  <r>
    <x v="4"/>
    <n v="0"/>
    <n v="10"/>
    <n v="0"/>
  </r>
  <r>
    <x v="5"/>
    <n v="63240.673006583762"/>
    <n v="10"/>
    <n v="632406.73006583762"/>
  </r>
  <r>
    <x v="6"/>
    <n v="23264.447695683983"/>
    <n v="10"/>
    <n v="232644.47695683982"/>
  </r>
  <r>
    <x v="7"/>
    <n v="0"/>
    <n v="10"/>
    <n v="0"/>
  </r>
  <r>
    <x v="8"/>
    <n v="0"/>
    <n v="10"/>
    <n v="0"/>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
    <m/>
    <m/>
    <m/>
    <m/>
    <x v="8"/>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550"/>
    <m/>
    <n v="70950"/>
    <m/>
    <n v="70950"/>
  </r>
  <r>
    <x v="13"/>
    <x v="2"/>
    <x v="1"/>
    <n v="121"/>
    <n v="820"/>
    <m/>
    <n v="99220"/>
    <m/>
    <n v="99220"/>
  </r>
  <r>
    <x v="13"/>
    <x v="2"/>
    <x v="1"/>
    <n v="192"/>
    <n v="820"/>
    <m/>
    <n v="157440"/>
    <m/>
    <n v="157440"/>
  </r>
  <r>
    <x v="13"/>
    <x v="4"/>
    <x v="1"/>
    <n v="275"/>
    <n v="830"/>
    <m/>
    <n v="228250"/>
    <m/>
    <n v="228250"/>
  </r>
  <r>
    <x v="13"/>
    <x v="2"/>
    <x v="1"/>
    <n v="182"/>
    <n v="820"/>
    <m/>
    <n v="149240"/>
    <m/>
    <n v="1492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8" firstHeaderRow="0" firstDataRow="1" firstDataCol="1" rowPageCount="1" colPageCount="1"/>
  <pivotFields count="9">
    <pivotField axis="axisRow" numFmtId="14" showAll="0">
      <items count="206">
        <item m="1" x="189"/>
        <item m="1" x="190"/>
        <item m="1" x="191"/>
        <item m="1" x="192"/>
        <item m="1" x="193"/>
        <item m="1" x="194"/>
        <item m="1" x="195"/>
        <item m="1" x="204"/>
        <item m="1" x="185"/>
        <item m="1" x="196"/>
        <item m="1" x="197"/>
        <item m="1" x="198"/>
        <item m="1" x="199"/>
        <item m="1" x="200"/>
        <item m="1" x="201"/>
        <item m="1" x="202"/>
        <item m="1" x="156"/>
        <item m="1" x="157"/>
        <item m="1" x="203"/>
        <item m="1" x="158"/>
        <item m="1" x="155"/>
        <item m="1" x="159"/>
        <item m="1" x="161"/>
        <item m="1" x="162"/>
        <item m="1" x="163"/>
        <item m="1" x="165"/>
        <item m="1" x="166"/>
        <item m="1" x="167"/>
        <item m="1" x="160"/>
        <item m="1" x="164"/>
        <item m="1" x="168"/>
        <item m="1" x="169"/>
        <item m="1" x="170"/>
        <item m="1" x="171"/>
        <item m="1" x="154"/>
        <item m="1" x="172"/>
        <item m="1" x="186"/>
        <item m="1" x="187"/>
        <item m="1" x="188"/>
        <item m="1" x="173"/>
        <item m="1" x="174"/>
        <item m="1" x="175"/>
        <item m="1" x="176"/>
        <item m="1" x="177"/>
        <item m="1" x="178"/>
        <item m="1" x="179"/>
        <item m="1" x="180"/>
        <item m="1" x="181"/>
        <item m="1" x="182"/>
        <item m="1" x="183"/>
        <item m="1" x="184"/>
        <item m="1" x="125"/>
        <item m="1" x="126"/>
        <item m="1" x="127"/>
        <item m="1" x="128"/>
        <item m="1" x="129"/>
        <item m="1" x="130"/>
        <item m="1" x="131"/>
        <item m="1" x="132"/>
        <item m="1" x="134"/>
        <item m="1" x="135"/>
        <item m="1" x="136"/>
        <item m="1" x="133"/>
        <item m="1" x="137"/>
        <item m="1" x="138"/>
        <item m="1" x="139"/>
        <item m="1" x="140"/>
        <item m="1" x="141"/>
        <item m="1" x="142"/>
        <item m="1" x="143"/>
        <item m="1" x="144"/>
        <item m="1" x="145"/>
        <item m="1" x="146"/>
        <item m="1" x="147"/>
        <item m="1" x="148"/>
        <item m="1" x="149"/>
        <item m="1" x="150"/>
        <item m="1" x="151"/>
        <item m="1" x="152"/>
        <item m="1" x="153"/>
        <item m="1" x="71"/>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72"/>
        <item m="1" x="75"/>
        <item m="1" x="73"/>
        <item m="1" x="74"/>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39"/>
        <item m="1" x="40"/>
        <item m="1" x="41"/>
        <item m="1" x="42"/>
        <item m="1" x="43"/>
        <item m="1" x="44"/>
        <item m="1" x="45"/>
        <item m="1" x="46"/>
        <item x="1"/>
        <item m="1" x="47"/>
        <item m="1" x="48"/>
        <item m="1" x="49"/>
        <item m="1" x="50"/>
        <item m="1" x="51"/>
        <item m="1" x="52"/>
        <item m="1" x="70"/>
        <item m="1" x="53"/>
        <item m="1" x="54"/>
        <item m="1" x="38"/>
        <item m="1" x="37"/>
        <item m="1" x="55"/>
        <item m="1" x="56"/>
        <item m="1" x="57"/>
        <item m="1" x="58"/>
        <item m="1" x="59"/>
        <item m="1" x="60"/>
        <item m="1" x="61"/>
        <item m="1" x="62"/>
        <item m="1" x="63"/>
        <item m="1" x="64"/>
        <item m="1" x="65"/>
        <item m="1" x="66"/>
        <item m="1" x="67"/>
        <item m="1" x="68"/>
        <item m="1" x="69"/>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5"/>
        <item x="0"/>
        <item x="2"/>
        <item x="3"/>
        <item x="4"/>
        <item x="6"/>
        <item x="7"/>
        <item x="8"/>
        <item x="9"/>
        <item x="10"/>
        <item x="11"/>
        <item x="12"/>
        <item x="13"/>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98">
        <item x="33"/>
        <item x="19"/>
        <item m="1" x="66"/>
        <item m="1" x="84"/>
        <item m="1" x="87"/>
        <item x="13"/>
        <item x="21"/>
        <item x="14"/>
        <item x="5"/>
        <item x="35"/>
        <item x="23"/>
        <item m="1" x="95"/>
        <item m="1" x="62"/>
        <item x="10"/>
        <item m="1" x="47"/>
        <item m="1" x="93"/>
        <item x="2"/>
        <item m="1" x="45"/>
        <item x="3"/>
        <item x="4"/>
        <item x="18"/>
        <item x="39"/>
        <item m="1" x="96"/>
        <item m="1" x="63"/>
        <item x="15"/>
        <item m="1" x="94"/>
        <item m="1" x="86"/>
        <item x="31"/>
        <item m="1" x="88"/>
        <item m="1" x="89"/>
        <item m="1" x="90"/>
        <item m="1" x="91"/>
        <item m="1" x="43"/>
        <item m="1" x="92"/>
        <item x="40"/>
        <item m="1" x="56"/>
        <item x="34"/>
        <item m="1" x="53"/>
        <item m="1" x="83"/>
        <item m="1" x="79"/>
        <item m="1" x="60"/>
        <item x="22"/>
        <item x="17"/>
        <item m="1" x="85"/>
        <item x="1"/>
        <item x="24"/>
        <item m="1" x="74"/>
        <item x="7"/>
        <item x="27"/>
        <item m="1" x="75"/>
        <item m="1" x="76"/>
        <item m="1" x="77"/>
        <item m="1" x="78"/>
        <item m="1" x="80"/>
        <item m="1" x="52"/>
        <item m="1" x="67"/>
        <item m="1" x="81"/>
        <item m="1" x="82"/>
        <item m="1" x="65"/>
        <item m="1" x="55"/>
        <item m="1" x="64"/>
        <item x="8"/>
        <item m="1" x="68"/>
        <item m="1" x="57"/>
        <item m="1" x="73"/>
        <item x="26"/>
        <item x="30"/>
        <item m="1" x="70"/>
        <item x="32"/>
        <item m="1" x="69"/>
        <item x="28"/>
        <item m="1" x="71"/>
        <item x="20"/>
        <item m="1" x="72"/>
        <item x="0"/>
        <item m="1" x="58"/>
        <item m="1" x="42"/>
        <item m="1" x="61"/>
        <item x="12"/>
        <item m="1" x="51"/>
        <item m="1" x="59"/>
        <item m="1" x="46"/>
        <item x="9"/>
        <item m="1" x="44"/>
        <item m="1" x="48"/>
        <item m="1" x="49"/>
        <item m="1" x="50"/>
        <item m="1" x="54"/>
        <item x="25"/>
        <item x="11"/>
        <item x="6"/>
        <item x="16"/>
        <item x="29"/>
        <item x="36"/>
        <item x="37"/>
        <item x="38"/>
        <item x="41"/>
        <item t="default"/>
      </items>
    </pivotField>
    <pivotField dataField="1" showAll="0"/>
    <pivotField dataField="1" showAll="0"/>
    <pivotField showAll="0"/>
    <pivotField showAll="0"/>
    <pivotField showAll="0"/>
  </pivotFields>
  <rowFields count="1">
    <field x="1"/>
  </rowFields>
  <rowItems count="43">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8"/>
    </i>
    <i>
      <x v="89"/>
    </i>
    <i>
      <x v="90"/>
    </i>
    <i>
      <x v="91"/>
    </i>
    <i>
      <x v="92"/>
    </i>
    <i>
      <x v="93"/>
    </i>
    <i>
      <x v="94"/>
    </i>
    <i>
      <x v="95"/>
    </i>
    <i>
      <x v="96"/>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0" firstHeaderRow="0" firstDataRow="1" firstDataCol="1" rowPageCount="1" colPageCount="1"/>
  <pivotFields count="9">
    <pivotField axis="axisRow" showAll="0">
      <items count="85">
        <item m="1" x="79"/>
        <item m="1" x="80"/>
        <item m="1" x="81"/>
        <item m="1" x="82"/>
        <item m="1" x="83"/>
        <item m="1" x="78"/>
        <item m="1" x="66"/>
        <item m="1" x="67"/>
        <item m="1" x="71"/>
        <item m="1" x="72"/>
        <item m="1" x="68"/>
        <item m="1" x="73"/>
        <item m="1" x="74"/>
        <item m="1" x="75"/>
        <item m="1" x="76"/>
        <item m="1" x="77"/>
        <item m="1" x="65"/>
        <item m="1" x="69"/>
        <item m="1" x="70"/>
        <item m="1" x="58"/>
        <item m="1" x="59"/>
        <item m="1" x="60"/>
        <item m="1" x="61"/>
        <item m="1" x="62"/>
        <item m="1" x="63"/>
        <item m="1" x="64"/>
        <item m="1" x="34"/>
        <item m="1" x="50"/>
        <item m="1" x="51"/>
        <item m="1" x="52"/>
        <item m="1" x="53"/>
        <item m="1" x="54"/>
        <item m="1" x="55"/>
        <item m="1" x="56"/>
        <item m="1" x="57"/>
        <item m="1" x="35"/>
        <item m="1" x="36"/>
        <item m="1" x="37"/>
        <item m="1" x="38"/>
        <item m="1" x="39"/>
        <item m="1" x="40"/>
        <item m="1" x="41"/>
        <item m="1" x="43"/>
        <item m="1" x="44"/>
        <item m="1" x="42"/>
        <item m="1" x="45"/>
        <item m="1" x="46"/>
        <item m="1" x="47"/>
        <item m="1" x="48"/>
        <item m="1" x="49"/>
        <item m="1" x="10"/>
        <item m="1" x="21"/>
        <item m="1" x="22"/>
        <item m="1" x="23"/>
        <item m="1" x="24"/>
        <item m="1" x="25"/>
        <item m="1" x="26"/>
        <item m="1" x="27"/>
        <item m="1" x="28"/>
        <item m="1" x="29"/>
        <item m="1" x="30"/>
        <item m="1" x="31"/>
        <item m="1" x="32"/>
        <item m="1" x="33"/>
        <item m="1" x="11"/>
        <item m="1" x="12"/>
        <item m="1" x="13"/>
        <item m="1" x="14"/>
        <item m="1" x="15"/>
        <item x="1"/>
        <item m="1" x="16"/>
        <item m="1" x="17"/>
        <item m="1" x="18"/>
        <item m="1" x="19"/>
        <item m="1" x="20"/>
        <item x="0"/>
        <item x="2"/>
        <item x="3"/>
        <item x="4"/>
        <item x="5"/>
        <item x="6"/>
        <item x="7"/>
        <item x="8"/>
        <item x="9"/>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1">
    <i>
      <x v="69"/>
    </i>
    <i>
      <x v="75"/>
    </i>
    <i>
      <x v="76"/>
    </i>
    <i>
      <x v="77"/>
    </i>
    <i>
      <x v="78"/>
    </i>
    <i>
      <x v="79"/>
    </i>
    <i>
      <x v="80"/>
    </i>
    <i>
      <x v="81"/>
    </i>
    <i>
      <x v="82"/>
    </i>
    <i>
      <x v="8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4"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1">
        <item m="1" x="473"/>
        <item m="1" x="474"/>
        <item m="1" x="472"/>
        <item m="1" x="471"/>
        <item m="1" x="475"/>
        <item m="1" x="477"/>
        <item m="1" x="476"/>
        <item m="1" x="478"/>
        <item m="1" x="479"/>
        <item m="1" x="480"/>
        <item m="1" x="481"/>
        <item m="1" x="482"/>
        <item m="1" x="483"/>
        <item m="1" x="484"/>
        <item m="1" x="409"/>
        <item m="1" x="431"/>
        <item m="1" x="485"/>
        <item m="1" x="486"/>
        <item m="1" x="487"/>
        <item m="1" x="439"/>
        <item m="1" x="438"/>
        <item m="1" x="488"/>
        <item m="1" x="489"/>
        <item m="1" x="448"/>
        <item m="1" x="440"/>
        <item m="1" x="441"/>
        <item m="1" x="442"/>
        <item m="1" x="443"/>
        <item m="1" x="444"/>
        <item m="1" x="445"/>
        <item m="1" x="446"/>
        <item m="1" x="447"/>
        <item m="1" x="449"/>
        <item m="1" x="469"/>
        <item m="1" x="450"/>
        <item m="1" x="470"/>
        <item m="1" x="451"/>
        <item m="1" x="452"/>
        <item m="1" x="453"/>
        <item m="1" x="454"/>
        <item m="1" x="455"/>
        <item m="1" x="386"/>
        <item m="1" x="456"/>
        <item m="1" x="457"/>
        <item m="1" x="458"/>
        <item m="1" x="459"/>
        <item m="1" x="460"/>
        <item m="1" x="461"/>
        <item m="1" x="462"/>
        <item m="1" x="463"/>
        <item m="1" x="464"/>
        <item m="1" x="465"/>
        <item m="1" x="466"/>
        <item m="1" x="467"/>
        <item m="1" x="468"/>
        <item x="0"/>
        <item m="1" x="385"/>
        <item m="1" x="387"/>
        <item m="1" x="388"/>
        <item m="1" x="389"/>
        <item m="1" x="390"/>
        <item m="1" x="391"/>
        <item m="1" x="392"/>
        <item m="1" x="393"/>
        <item m="1" x="394"/>
        <item m="1" x="395"/>
        <item m="1" x="396"/>
        <item m="1" x="397"/>
        <item m="1" x="398"/>
        <item m="1" x="399"/>
        <item m="1" x="124"/>
        <item m="1" x="400"/>
        <item m="1" x="401"/>
        <item m="1" x="402"/>
        <item m="1" x="403"/>
        <item m="1" x="404"/>
        <item m="1" x="405"/>
        <item m="1" x="406"/>
        <item m="1" x="407"/>
        <item m="1" x="40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2"/>
        <item m="1" x="433"/>
        <item m="1" x="434"/>
        <item m="1" x="435"/>
        <item m="1" x="436"/>
        <item m="1" x="437"/>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140"/>
        <item m="1" x="354"/>
        <item m="1" x="355"/>
        <item m="1" x="356"/>
        <item m="1" x="357"/>
        <item m="1" x="358"/>
        <item m="1" x="359"/>
        <item m="1" x="360"/>
        <item m="1" x="361"/>
        <item m="1" x="362"/>
        <item m="1" x="363"/>
        <item m="1" x="364"/>
        <item m="1" x="384"/>
        <item m="1" x="365"/>
        <item m="1" x="366"/>
        <item m="1" x="367"/>
        <item m="1" x="368"/>
        <item m="1" x="369"/>
        <item m="1" x="370"/>
        <item m="1" x="371"/>
        <item m="1" x="372"/>
        <item m="1" x="373"/>
        <item m="1" x="374"/>
        <item m="1" x="375"/>
        <item m="1" x="376"/>
        <item m="1" x="377"/>
        <item m="1" x="378"/>
        <item m="1" x="379"/>
        <item m="1" x="380"/>
        <item m="1" x="381"/>
        <item m="1" x="382"/>
        <item m="1" x="383"/>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180"/>
        <item m="1" x="303"/>
        <item m="1" x="171"/>
        <item m="1" x="172"/>
        <item m="1" x="173"/>
        <item m="1" x="174"/>
        <item m="1" x="175"/>
        <item m="1" x="176"/>
        <item m="1" x="177"/>
        <item m="1" x="178"/>
        <item m="1" x="179"/>
        <item m="1" x="181"/>
        <item m="1" x="182"/>
        <item m="1" x="183"/>
        <item m="1" x="184"/>
        <item m="1" x="185"/>
        <item m="1" x="186"/>
        <item m="1" x="187"/>
        <item m="1" x="188"/>
        <item m="1" x="189"/>
        <item m="1" x="190"/>
        <item m="1" x="191"/>
        <item m="1" x="192"/>
        <item m="1" x="193"/>
        <item m="1" x="194"/>
        <item m="1" x="121"/>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125"/>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122"/>
        <item m="1" x="246"/>
        <item m="1" x="247"/>
        <item m="1" x="119"/>
        <item m="1" x="128"/>
        <item m="1" x="120"/>
        <item m="1" x="123"/>
        <item m="1" x="126"/>
        <item m="1" x="127"/>
        <item m="1" x="129"/>
        <item m="1" x="130"/>
        <item m="1" x="131"/>
        <item m="1" x="132"/>
        <item m="1" x="133"/>
        <item m="1" x="134"/>
        <item m="1" x="135"/>
        <item m="1" x="136"/>
        <item m="1" x="137"/>
        <item m="1" x="138"/>
        <item x="46"/>
        <item m="1" x="139"/>
        <item m="1" x="141"/>
        <item m="1" x="142"/>
        <item m="1" x="143"/>
        <item m="1" x="99"/>
        <item m="1" x="75"/>
        <item m="1" x="144"/>
        <item m="1" x="145"/>
        <item m="1" x="146"/>
        <item m="1" x="67"/>
        <item m="1" x="147"/>
        <item m="1" x="148"/>
        <item m="1" x="149"/>
        <item m="1" x="150"/>
        <item m="1" x="115"/>
        <item m="1" x="151"/>
        <item m="1" x="152"/>
        <item m="1" x="153"/>
        <item m="1" x="154"/>
        <item m="1" x="155"/>
        <item m="1" x="156"/>
        <item m="1" x="157"/>
        <item m="1" x="158"/>
        <item m="1" x="159"/>
        <item m="1" x="160"/>
        <item m="1" x="161"/>
        <item m="1" x="162"/>
        <item m="1" x="170"/>
        <item m="1" x="163"/>
        <item m="1" x="164"/>
        <item m="1" x="64"/>
        <item m="1" x="65"/>
        <item m="1" x="165"/>
        <item m="1" x="76"/>
        <item m="1" x="166"/>
        <item m="1" x="167"/>
        <item m="1" x="168"/>
        <item m="1" x="169"/>
        <item m="1" x="63"/>
        <item m="1" x="61"/>
        <item m="1" x="60"/>
        <item m="1" x="62"/>
        <item m="1" x="66"/>
        <item x="13"/>
        <item x="9"/>
        <item m="1" x="68"/>
        <item m="1" x="69"/>
        <item m="1" x="70"/>
        <item m="1" x="71"/>
        <item m="1" x="72"/>
        <item m="1" x="73"/>
        <item m="1" x="74"/>
        <item m="1" x="77"/>
        <item m="1" x="78"/>
        <item m="1" x="79"/>
        <item m="1" x="80"/>
        <item m="1" x="81"/>
        <item m="1" x="82"/>
        <item m="1" x="83"/>
        <item m="1" x="84"/>
        <item m="1" x="85"/>
        <item m="1" x="86"/>
        <item m="1" x="87"/>
        <item m="1" x="88"/>
        <item m="1" x="89"/>
        <item m="1" x="90"/>
        <item x="2"/>
        <item m="1" x="91"/>
        <item m="1" x="92"/>
        <item m="1" x="93"/>
        <item x="10"/>
        <item m="1" x="94"/>
        <item m="1" x="95"/>
        <item m="1" x="96"/>
        <item m="1" x="97"/>
        <item m="1" x="98"/>
        <item m="1" x="100"/>
        <item m="1" x="101"/>
        <item m="1" x="102"/>
        <item m="1" x="103"/>
        <item x="8"/>
        <item m="1" x="104"/>
        <item m="1" x="105"/>
        <item m="1" x="106"/>
        <item m="1" x="107"/>
        <item m="1" x="108"/>
        <item m="1" x="109"/>
        <item x="15"/>
        <item m="1" x="110"/>
        <item m="1" x="111"/>
        <item m="1" x="112"/>
        <item x="7"/>
        <item m="1" x="113"/>
        <item m="1" x="114"/>
        <item x="19"/>
        <item m="1" x="116"/>
        <item m="1" x="117"/>
        <item m="1" x="118"/>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1">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0">
        <i x="44" s="1"/>
        <i x="45" s="1"/>
        <i x="42" s="1"/>
        <i x="46" s="1"/>
        <i x="5" s="1"/>
        <i x="41" s="1"/>
        <i x="34" s="1"/>
        <i x="23" s="1"/>
        <i x="13" s="1"/>
        <i x="9" s="1"/>
        <i x="10" s="1"/>
        <i x="3" s="1"/>
        <i x="6" s="1"/>
        <i x="4" s="1"/>
        <i x="8" s="1"/>
        <i x="2"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57" s="1"/>
        <i x="58" s="1"/>
        <i x="39" s="1"/>
        <i x="444" s="1" nd="1"/>
        <i x="473" s="1" nd="1"/>
        <i x="474" s="1" nd="1"/>
        <i x="482" s="1" nd="1"/>
        <i x="472" s="1" nd="1"/>
        <i x="471" s="1" nd="1"/>
        <i x="475" s="1" nd="1"/>
        <i x="486" s="1" nd="1"/>
        <i x="478" s="1" nd="1"/>
        <i x="479" s="1" nd="1"/>
        <i x="476" s="1" nd="1"/>
        <i x="477" s="1" nd="1"/>
        <i x="487" s="1" nd="1"/>
        <i x="480" s="1" nd="1"/>
        <i x="481" s="1" nd="1"/>
        <i x="484" s="1" nd="1"/>
        <i x="485" s="1" nd="1"/>
        <i x="483" s="1" nd="1"/>
        <i x="439" s="1" nd="1"/>
        <i x="489" s="1" nd="1"/>
        <i x="438" s="1" nd="1"/>
        <i x="488" s="1" nd="1"/>
        <i x="441" s="1" nd="1"/>
        <i x="402" s="1" nd="1"/>
        <i x="440" s="1" nd="1"/>
        <i x="442" s="1" nd="1"/>
        <i x="448" s="1" nd="1"/>
        <i x="443" s="1" nd="1"/>
        <i x="445" s="1" nd="1"/>
        <i x="461" s="1" nd="1"/>
        <i x="385" s="1" nd="1"/>
        <i x="449" s="1" nd="1"/>
        <i x="390" s="1" nd="1"/>
        <i x="455" s="1" nd="1"/>
        <i x="450" s="1" nd="1"/>
        <i x="453" s="1" nd="1"/>
        <i x="458" s="1" nd="1"/>
        <i x="469" s="1" nd="1"/>
        <i x="451" s="1" nd="1"/>
        <i x="463" s="1" nd="1"/>
        <i x="466" s="1" nd="1"/>
        <i x="457" s="1" nd="1"/>
        <i x="446" s="1" nd="1"/>
        <i x="454" s="1" nd="1"/>
        <i x="447" s="1" nd="1"/>
        <i x="452" s="1" nd="1"/>
        <i x="386" s="1" nd="1"/>
        <i x="456" s="1" nd="1"/>
        <i x="462" s="1" nd="1"/>
        <i x="124" s="1" nd="1"/>
        <i x="459" s="1" nd="1"/>
        <i x="464" s="1" nd="1"/>
        <i x="460" s="1" nd="1"/>
        <i x="426" s="1" nd="1"/>
        <i x="465" s="1" nd="1"/>
        <i x="467" s="1" nd="1"/>
        <i x="388" s="1" nd="1"/>
        <i x="395" s="1" nd="1"/>
        <i x="468" s="1" nd="1"/>
        <i x="392" s="1" nd="1"/>
        <i x="393" s="1" nd="1"/>
        <i x="387" s="1" nd="1"/>
        <i x="391" s="1" nd="1"/>
        <i x="279" s="1" nd="1"/>
        <i x="389" s="1" nd="1"/>
        <i x="398" s="1" nd="1"/>
        <i x="394" s="1" nd="1"/>
        <i x="396" s="1" nd="1"/>
        <i x="399" s="1" nd="1"/>
        <i x="406" s="1" nd="1"/>
        <i x="397" s="1" nd="1"/>
        <i x="405" s="1" nd="1"/>
        <i x="410" s="1" nd="1"/>
        <i x="404" s="1" nd="1"/>
        <i x="407" s="1" nd="1"/>
        <i x="417" s="1" nd="1"/>
        <i x="403" s="1" nd="1"/>
        <i x="400" s="1" nd="1"/>
        <i x="401" s="1" nd="1"/>
        <i x="416" s="1" nd="1"/>
        <i x="275" s="1" nd="1"/>
        <i x="409" s="1" nd="1"/>
        <i x="420" s="1" nd="1"/>
        <i x="415" s="1" nd="1"/>
        <i x="408" s="1" nd="1"/>
        <i x="432" s="1" nd="1"/>
        <i x="413" s="1" nd="1"/>
        <i x="423" s="1" nd="1"/>
        <i x="421" s="1" nd="1"/>
        <i x="411" s="1" nd="1"/>
        <i x="419" s="1" nd="1"/>
        <i x="418" s="1" nd="1"/>
        <i x="414" s="1" nd="1"/>
        <i x="424" s="1" nd="1"/>
        <i x="422" s="1" nd="1"/>
        <i x="425" s="1" nd="1"/>
        <i x="412" s="1" nd="1"/>
        <i x="354" s="1" nd="1"/>
        <i x="427" s="1" nd="1"/>
        <i x="428" s="1" nd="1"/>
        <i x="313" s="1" nd="1"/>
        <i x="315" s="1" nd="1"/>
        <i x="435" s="1" nd="1"/>
        <i x="309" s="1" nd="1"/>
        <i x="355" s="1" nd="1"/>
        <i x="429" s="1" nd="1"/>
        <i x="430" s="1" nd="1"/>
        <i x="312" s="1" nd="1"/>
        <i x="437" s="1" nd="1"/>
        <i x="311" s="1" nd="1"/>
        <i x="326" s="1" nd="1"/>
        <i x="436" s="1" nd="1"/>
        <i x="431" s="1" nd="1"/>
        <i x="330" s="1" nd="1"/>
        <i x="434" s="1" nd="1"/>
        <i x="433" s="1" nd="1"/>
        <i x="351" s="1" nd="1"/>
        <i x="304" s="1" nd="1"/>
        <i x="316" s="1" nd="1"/>
        <i x="352" s="1" nd="1"/>
        <i x="350" s="1" nd="1"/>
        <i x="308" s="1" nd="1"/>
        <i x="310" s="1" nd="1"/>
        <i x="143" s="1" nd="1"/>
        <i x="314" s="1" nd="1"/>
        <i x="305" s="1" nd="1"/>
        <i x="340" s="1" nd="1"/>
        <i x="345" s="1" nd="1"/>
        <i x="306" s="1" nd="1"/>
        <i x="307" s="1" nd="1"/>
        <i x="317" s="1" nd="1"/>
        <i x="320" s="1" nd="1"/>
        <i x="327" s="1" nd="1"/>
        <i x="319" s="1" nd="1"/>
        <i x="322" s="1" nd="1"/>
        <i x="321" s="1" nd="1"/>
        <i x="363" s="1" nd="1"/>
        <i x="318" s="1" nd="1"/>
        <i x="343" s="1" nd="1"/>
        <i x="358" s="1" nd="1"/>
        <i x="323" s="1" nd="1"/>
        <i x="348" s="1" nd="1"/>
        <i x="360" s="1" nd="1"/>
        <i x="332" s="1" nd="1"/>
        <i x="372" s="1" nd="1"/>
        <i x="331" s="1" nd="1"/>
        <i x="328" s="1" nd="1"/>
        <i x="324" s="1" nd="1"/>
        <i x="325" s="1" nd="1"/>
        <i x="344" s="1" nd="1"/>
        <i x="333" s="1" nd="1"/>
        <i x="256" s="1" nd="1"/>
        <i x="334" s="1" nd="1"/>
        <i x="329" s="1" nd="1"/>
        <i x="336" s="1" nd="1"/>
        <i x="337" s="1" nd="1"/>
        <i x="365" s="1" nd="1"/>
        <i x="335" s="1" nd="1"/>
        <i x="353" s="1" nd="1"/>
        <i x="341" s="1" nd="1"/>
        <i x="338" s="1" nd="1"/>
        <i x="342" s="1" nd="1"/>
        <i x="339" s="1" nd="1"/>
        <i x="346" s="1" nd="1"/>
        <i x="364" s="1" nd="1"/>
        <i x="359" s="1" nd="1"/>
        <i x="378" s="1" nd="1"/>
        <i x="347" s="1" nd="1"/>
        <i x="249" s="1" nd="1"/>
        <i x="357" s="1" nd="1"/>
        <i x="349" s="1" nd="1"/>
        <i x="373" s="1" nd="1"/>
        <i x="356" s="1" nd="1"/>
        <i x="371" s="1" nd="1"/>
        <i x="257" s="1" nd="1"/>
        <i x="362" s="1" nd="1"/>
        <i x="361" s="1" nd="1"/>
        <i x="377" s="1" nd="1"/>
        <i x="374" s="1" nd="1"/>
        <i x="268" s="1" nd="1"/>
        <i x="382" s="1" nd="1"/>
        <i x="366" s="1" nd="1"/>
        <i x="375" s="1" nd="1"/>
        <i x="380" s="1" nd="1"/>
        <i x="259" s="1" nd="1"/>
        <i x="285" s="1" nd="1"/>
        <i x="384" s="1" nd="1"/>
        <i x="381" s="1" nd="1"/>
        <i x="250" s="1" nd="1"/>
        <i x="270" s="1" nd="1"/>
        <i x="376" s="1" nd="1"/>
        <i x="252" s="1" nd="1"/>
        <i x="367" s="1" nd="1"/>
        <i x="370" s="1" nd="1"/>
        <i x="267" s="1" nd="1"/>
        <i x="379" s="1" nd="1"/>
        <i x="368" s="1" nd="1"/>
        <i x="369" s="1" nd="1"/>
        <i x="254" s="1" nd="1"/>
        <i x="272" s="1" nd="1"/>
        <i x="273" s="1" nd="1"/>
        <i x="286" s="1" nd="1"/>
        <i x="383" s="1" nd="1"/>
        <i x="248" s="1" nd="1"/>
        <i x="271" s="1" nd="1"/>
        <i x="264" s="1" nd="1"/>
        <i x="251" s="1" nd="1"/>
        <i x="255" s="1" nd="1"/>
        <i x="261" s="1" nd="1"/>
        <i x="253" s="1" nd="1"/>
        <i x="277" s="1" nd="1"/>
        <i x="281" s="1" nd="1"/>
        <i x="282" s="1" nd="1"/>
        <i x="274" s="1" nd="1"/>
        <i x="258" s="1" nd="1"/>
        <i x="123" s="1" nd="1"/>
        <i x="260" s="1" nd="1"/>
        <i x="262" s="1" nd="1"/>
        <i x="265" s="1" nd="1"/>
        <i x="278" s="1" nd="1"/>
        <i x="263" s="1" nd="1"/>
        <i x="284" s="1" nd="1"/>
        <i x="216" s="1" nd="1"/>
        <i x="195" s="1" nd="1"/>
        <i x="299" s="1" nd="1"/>
        <i x="266" s="1" nd="1"/>
        <i x="287" s="1" nd="1"/>
        <i x="283" s="1" nd="1"/>
        <i x="269" s="1" nd="1"/>
        <i x="291" s="1" nd="1"/>
        <i x="227" s="1" nd="1"/>
        <i x="190" s="1" nd="1"/>
        <i x="276" s="1" nd="1"/>
        <i x="300" s="1" nd="1"/>
        <i x="280" s="1" nd="1"/>
        <i x="303" s="1" nd="1"/>
        <i x="290" s="1" nd="1"/>
        <i x="295" s="1" nd="1"/>
        <i x="172" s="1" nd="1"/>
        <i x="292" s="1" nd="1"/>
        <i x="294" s="1" nd="1"/>
        <i x="212" s="1" nd="1"/>
        <i x="180" s="1" nd="1"/>
        <i x="289" s="1" nd="1"/>
        <i x="177" s="1" nd="1"/>
        <i x="288" s="1" nd="1"/>
        <i x="189" s="1" nd="1"/>
        <i x="173" s="1" nd="1"/>
        <i x="171" s="1" nd="1"/>
        <i x="293" s="1" nd="1"/>
        <i x="187" s="1" nd="1"/>
        <i x="181" s="1" nd="1"/>
        <i x="192" s="1" nd="1"/>
        <i x="209" s="1" nd="1"/>
        <i x="186" s="1" nd="1"/>
        <i x="197" s="1" nd="1"/>
        <i x="191" s="1" nd="1"/>
        <i x="188" s="1" nd="1"/>
        <i x="301" s="1" nd="1"/>
        <i x="245" s="1" nd="1"/>
        <i x="199" s="1" nd="1"/>
        <i x="200" s="1" nd="1"/>
        <i x="297" s="1" nd="1"/>
        <i x="296" s="1" nd="1"/>
        <i x="174" s="1" nd="1"/>
        <i x="176" s="1" nd="1"/>
        <i x="207" s="1" nd="1"/>
        <i x="183" s="1" nd="1"/>
        <i x="302" s="1" nd="1"/>
        <i x="241" s="1" nd="1"/>
        <i x="232" s="1" nd="1"/>
        <i x="220" s="1" nd="1"/>
        <i x="194" s="1" nd="1"/>
        <i x="179" s="1" nd="1"/>
        <i x="210" s="1" nd="1"/>
        <i x="229" s="1" nd="1"/>
        <i x="221" s="1" nd="1"/>
        <i x="217" s="1" nd="1"/>
        <i x="185" s="1" nd="1"/>
        <i x="205" s="1" nd="1"/>
        <i x="204" s="1" nd="1"/>
        <i x="219" s="1" nd="1"/>
        <i x="206" s="1" nd="1"/>
        <i x="298" s="1" nd="1"/>
        <i x="182" s="1" nd="1"/>
        <i x="178" s="1" nd="1"/>
        <i x="208" s="1" nd="1"/>
        <i x="175" s="1" nd="1"/>
        <i x="213" s="1" nd="1"/>
        <i x="214" s="1" nd="1"/>
        <i x="218" s="1" nd="1"/>
        <i x="122" s="1" nd="1"/>
        <i x="198" s="1" nd="1"/>
        <i x="193" s="1" nd="1"/>
        <i x="226" s="1" nd="1"/>
        <i x="225" s="1" nd="1"/>
        <i x="230" s="1" nd="1"/>
        <i x="184" s="1" nd="1"/>
        <i x="228" s="1" nd="1"/>
        <i x="215" s="1" nd="1"/>
        <i x="121" s="1" nd="1"/>
        <i x="196" s="1" nd="1"/>
        <i x="201" s="1" nd="1"/>
        <i x="202" s="1" nd="1"/>
        <i x="211" s="1" nd="1"/>
        <i x="203" s="1" nd="1"/>
        <i x="222" s="1" nd="1"/>
        <i x="139" s="1" nd="1"/>
        <i x="233" s="1" nd="1"/>
        <i x="223" s="1" nd="1"/>
        <i x="239" s="1" nd="1"/>
        <i x="236" s="1" nd="1"/>
        <i x="234" s="1" nd="1"/>
        <i x="134" s="1" nd="1"/>
        <i x="133" s="1" nd="1"/>
        <i x="246" s="1" nd="1"/>
        <i x="120" s="1" nd="1"/>
        <i x="132" s="1" nd="1"/>
        <i x="240" s="1" nd="1"/>
        <i x="247" s="1" nd="1"/>
        <i x="125" s="1" nd="1"/>
        <i x="242" s="1" nd="1"/>
        <i x="243" s="1" nd="1"/>
        <i x="224" s="1" nd="1"/>
        <i x="237" s="1" nd="1"/>
        <i x="244" s="1" nd="1"/>
        <i x="235" s="1" nd="1"/>
        <i x="155" s="1" nd="1"/>
        <i x="238" s="1" nd="1"/>
        <i x="119" s="1" nd="1"/>
        <i x="128" s="1" nd="1"/>
        <i x="127" s="1" nd="1"/>
        <i x="231" s="1" nd="1"/>
        <i x="115" s="1" nd="1"/>
        <i x="108" s="1" nd="1"/>
        <i x="79" s="1" nd="1"/>
        <i x="114" s="1" nd="1"/>
        <i x="131" s="1" nd="1"/>
        <i x="129" s="1" nd="1"/>
        <i x="136" s="1" nd="1"/>
        <i x="137" s="1" nd="1"/>
        <i x="135" s="1" nd="1"/>
        <i x="130" s="1" nd="1"/>
        <i x="126" s="1" nd="1"/>
        <i x="75" s="1" nd="1"/>
        <i x="99" s="1" nd="1"/>
        <i x="152" s="1" nd="1"/>
        <i x="142" s="1" nd="1"/>
        <i x="138" s="1" nd="1"/>
        <i x="156" s="1" nd="1"/>
        <i x="141" s="1" nd="1"/>
        <i x="151" s="1" nd="1"/>
        <i x="153" s="1" nd="1"/>
        <i x="140" s="1" nd="1"/>
        <i x="144" s="1" nd="1"/>
        <i x="154" s="1" nd="1"/>
        <i x="147" s="1" nd="1"/>
        <i x="145" s="1" nd="1"/>
        <i x="146" s="1" nd="1"/>
        <i x="67" s="1" nd="1"/>
        <i x="150" s="1" nd="1"/>
        <i x="148" s="1" nd="1"/>
        <i x="149" s="1" nd="1"/>
        <i x="158" s="1" nd="1"/>
        <i x="157" s="1" nd="1"/>
        <i x="76" s="1" nd="1"/>
        <i x="167" s="1" nd="1"/>
        <i x="166" s="1" nd="1"/>
        <i x="77" s="1" nd="1"/>
        <i x="165" s="1" nd="1"/>
        <i x="170" s="1" nd="1"/>
        <i x="163" s="1" nd="1"/>
        <i x="169" s="1" nd="1"/>
        <i x="68" s="1" nd="1"/>
        <i x="73" s="1" nd="1"/>
        <i x="159" s="1" nd="1"/>
        <i x="61" s="1" nd="1"/>
        <i x="60" s="1" nd="1"/>
        <i x="62" s="1" nd="1"/>
        <i x="65" s="1" nd="1"/>
        <i x="160" s="1" nd="1"/>
        <i x="161" s="1" nd="1"/>
        <i x="162" s="1" nd="1"/>
        <i x="164" s="1" nd="1"/>
        <i x="168" s="1" nd="1"/>
        <i x="72" s="1" nd="1"/>
        <i x="71" s="1" nd="1"/>
        <i x="69" s="1" nd="1"/>
        <i x="86" s="1" nd="1"/>
        <i x="64" s="1" nd="1"/>
        <i x="63" s="1" nd="1"/>
        <i x="66" s="1" nd="1"/>
        <i x="85" s="1" nd="1"/>
        <i x="80" s="1" nd="1"/>
        <i x="81" s="1" nd="1"/>
        <i x="111" s="1" nd="1"/>
        <i x="70" s="1" nd="1"/>
        <i x="93" s="1" nd="1"/>
        <i x="116" s="1" nd="1"/>
        <i x="82" s="1" nd="1"/>
        <i x="84" s="1" nd="1"/>
        <i x="74" s="1" nd="1"/>
        <i x="90" s="1" nd="1"/>
        <i x="94" s="1" nd="1"/>
        <i x="88" s="1" nd="1"/>
        <i x="87" s="1" nd="1"/>
        <i x="83" s="1" nd="1"/>
        <i x="78" s="1" nd="1"/>
        <i x="101" s="1" nd="1"/>
        <i x="102" s="1" nd="1"/>
        <i x="100" s="1" nd="1"/>
        <i x="89" s="1" nd="1"/>
        <i x="112" s="1" nd="1"/>
        <i x="92" s="1" nd="1"/>
        <i x="91" s="1" nd="1"/>
        <i x="98" s="1" nd="1"/>
        <i x="103" s="1" nd="1"/>
        <i x="107" s="1" nd="1"/>
        <i x="118" s="1" nd="1"/>
        <i x="117" s="1" nd="1"/>
        <i x="97" s="1" nd="1"/>
        <i x="96" s="1" nd="1"/>
        <i x="110" s="1" nd="1"/>
        <i x="106" s="1" nd="1"/>
        <i x="95" s="1" nd="1"/>
        <i x="105" s="1" nd="1"/>
        <i x="104" s="1" nd="1"/>
        <i x="109" s="1" nd="1"/>
        <i x="113" s="1" nd="1"/>
        <i x="47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75" totalsRowCount="1" headerRowDxfId="134" dataDxfId="133" headerRowCellStyle="Comma" dataCellStyle="Comma">
  <autoFilter ref="A1:K174"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6" totalsRowDxfId="11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13" totalsRowCount="1">
  <autoFilter ref="A1:G312" xr:uid="{CB032221-B416-47A8-9A76-693DE76CFD04}"/>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1" totalsRowCount="1" headerRowDxfId="42" headerRowBorderDxfId="41">
  <autoFilter ref="A1:I3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37" headerRowBorderDxfId="36">
  <autoFilter ref="A4:H28"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8">
      <calculatedColumnFormula>Billing!R5</calculatedColumnFormula>
    </tableColumn>
    <tableColumn id="2" xr3:uid="{7093A59E-B58F-487D-888A-9AA8156B5F9A}" name="Amount Paid" dataDxfId="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6">
      <calculatedColumnFormula>G2</calculatedColumnFormula>
    </tableColumn>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535798.28090709588</v>
      </c>
      <c r="D2">
        <v>10</v>
      </c>
      <c r="E2" s="14">
        <f>(SUMIFS(ledger!G:G, ledger!B:B, B2, ledger!E:E, "&lt;&gt;*RD*",ledger!D:D, "Silky") / 1.0936)*12 + (SUMIFS(ledger!G:G, ledger!B:B, B2, ledger!E:E, "&lt;&gt;*RD*",ledger!D:D, "Chamki") / 1.0936)*10</f>
        <v>3816953.182150695</v>
      </c>
      <c r="I2" t="s">
        <v>21</v>
      </c>
      <c r="R2" t="s">
        <v>1</v>
      </c>
    </row>
    <row r="3" spans="2:35" x14ac:dyDescent="0.3">
      <c r="B3" t="str">
        <f t="shared" si="0"/>
        <v>Ejaz Sahab</v>
      </c>
      <c r="C3" s="18">
        <f>SUMIFS(ledger!G:G, ledger!B:B, B3, ledger!E:E, "&lt;&gt;*RD*") / 1.0936</f>
        <v>33845.098756400883</v>
      </c>
      <c r="D3">
        <v>10</v>
      </c>
      <c r="E3" s="14">
        <f>(SUMIFS(ledger!G:G, ledger!B:B, B3, ledger!E:E, "&lt;&gt;*RD*",ledger!D:D, "Silky") / 1.0936)*12 + (SUMIFS(ledger!G:G, ledger!B:B, B3, ledger!E:E, "&lt;&gt;*RD*",ledger!D:D, "Chamki") / 1.0936)*10</f>
        <v>406141.18507681059</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4238715.8824000005</v>
      </c>
      <c r="T5" s="22" cm="1">
        <f t="array" ref="T5">_xlfn.BYROW(B49, _xlfn.LAMBDA(_xlpm.party, SUMIFS(ledger!G:G, ledger!B:B, _xlpm.party, ledger!E:E, "&lt;&gt;*RD*") / 1.0936 ))+_xlfn.IFNA(D84,0)</f>
        <v>3875928.9341623997</v>
      </c>
      <c r="U5" s="22" cm="1">
        <f t="array" ref="U5">(_xlfn.BYROW(B49,_xlfn.LAMBDA(_xlpm.party,SUMIFS(ledger!G:G,ledger!B:B,_xlpm.party,ledger!E:E,"&lt;&gt;*RD*",ledger!D:D,"Chamki")+SUMIFS(ledger!G:G, ledger!B:B, _xlpm.party, ledger!E:E, "&lt;&gt;*RD*", ledger!D:D, "Crinkle")))/1.0936)+_xlfn.IFNA(E84,0)</f>
        <v>3128020.1923920996</v>
      </c>
      <c r="V5" s="70" cm="1">
        <f t="array" ref="V5">(_xlfn.BYROW(B49,_xlfn.LAMBDA(_xlpm.party,SUMIFS(ledger!G:G,ledger!B:B,_xlpm.party,ledger!E:E,"&lt;&gt;*RD*",ledger!D:D,"Silky")))/1.0936)+_xlfn.IFNA(F84,0)</f>
        <v>653108.08339429414</v>
      </c>
      <c r="W5" s="22" cm="1">
        <f t="array" ref="W5">(_xlfn.BYROW(B49,_xlfn.LAMBDA(_xlpm.party,
(SUMIFS(ledger!J:J,ledger!B:B,_xlpm.party,ledger!E:E,"&lt;&gt;*RD*",ledger!D:D,"Chamki",ledger!C:C,"&lt;&gt;January Closing CF")+
SUMIFS(ledger!J:J,ledger!B:B,_xlpm.party,ledger!E:E,"&lt;&gt;*RD*",ledger!D:D,"Crinkle",ledger!C:C,"&lt;&gt;January Closing CF")
)+_xlfn.IFNA(G84,0))))</f>
        <v>31280201.923921004</v>
      </c>
      <c r="X5" s="70" cm="1">
        <f t="array" ref="X5">_xlfn.BYROW(B49, _xlfn.LAMBDA(_xlpm.party,
   SUMIFS(ledger!J:J, ledger!B:B, _xlpm.party, ledger!E:E, "&lt;&gt;*RD*", ledger!D:D, "Silky", ledger!C:C, "&lt;&gt;January Closing CF")
)) + _xlfn.IFNA(H84, 0)</f>
        <v>8402049.1953182165</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1042807.2421360645</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40725058.36137528</v>
      </c>
      <c r="AF5" s="22">
        <f>(SUMIF(Table14[Party],#REF!,Table14[Credit]))+_xlfn.IFNA(P84,0)</f>
        <v>19750734</v>
      </c>
      <c r="AG5" s="33">
        <f>AE5-AF5</f>
        <v>20974324.36137528</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617492</v>
      </c>
      <c r="T6" s="22" cm="1">
        <f t="array" ref="T6">_xlfn.BYROW(B50, _xlfn.LAMBDA(_xlpm.party, SUMIFS(ledger!G:G, ledger!B:B, _xlpm.party, ledger!E:E, "&lt;&gt;*RD*") / 1.0936 ))+_xlfn.IFNA(D85,0)</f>
        <v>564641.55084125826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416495.97659107536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5355303.5844915882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6836759.326993417</v>
      </c>
      <c r="AF6" s="22">
        <f>(SUMIF(Table14[Party],R6,Table14[Credit]))+_xlfn.IFNA(P85,0)</f>
        <v>6753987</v>
      </c>
      <c r="AG6" s="33">
        <f t="shared" ref="AG6:AG36" si="2">AE6-AF6</f>
        <v>82772.326993416995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9052501</v>
      </c>
      <c r="AG7" s="33">
        <f t="shared" si="2"/>
        <v>273713.33796634898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9984871</v>
      </c>
      <c r="AG10" s="33">
        <f t="shared" si="2"/>
        <v>464144.17922458053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5339259</v>
      </c>
      <c r="AG15" s="33">
        <f t="shared" si="2"/>
        <v>494510.20263350476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15063196.78127286</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15063196.78127286</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1545500</v>
      </c>
      <c r="AG27" s="33">
        <f t="shared" si="2"/>
        <v>81366.313094367506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2365000</v>
      </c>
      <c r="AG31" s="33">
        <f t="shared" si="2"/>
        <v>751070.77542062942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585949</v>
      </c>
      <c r="D49" s="22" cm="1">
        <f t="array" ref="D49:D82">_xlfn.BYROW(_xlfn.ANCHORARRAY(B49), _xlfn.LAMBDA(_xlpm.party, SUMIFS(ledger!G:G, ledger!B:B, _xlpm.party, ledger!E:E, "&lt;&gt;*RD*") / 1.0936 ))</f>
        <v>535798.28090709588</v>
      </c>
      <c r="E49" s="63" cm="1">
        <f t="array" ref="E49:E82">(_xlfn.BYROW(_xlfn.ANCHORARRAY(B49),_xlfn.LAMBDA(_xlpm.party,SUMIFS(ledger!G:G,ledger!B:B,_xlpm.party,ledger!E:E,"&lt;&gt;*RD*",ledger!D:D,"Chamki")+SUMIFS(ledger!G:G, ledger!B:B, _xlpm.party, ledger!E:E, "&lt;&gt;*RD*", ledger!D:D, "Crinkle")))/1.0936)</f>
        <v>360436.17410387716</v>
      </c>
      <c r="F49" s="63" cm="1">
        <f t="array" ref="F49:F82">(_xlfn.BYROW(_xlfn.ANCHORARRAY(B49),_xlfn.LAMBDA(_xlpm.party,SUMIFS(ledger!G:G,ledger!B:B,_xlpm.party,ledger!E:E,"&lt;&gt;*RD*",ledger!D:D,"Silky")))/1.0936)</f>
        <v>92076.627651792252</v>
      </c>
      <c r="G49" s="22" cm="1">
        <f t="array" ref="G49">(_xlfn.BYROW(B49,_xlfn.LAMBDA(_xlpm.party,
(SUMIFS(ledger!J:J,ledger!B:B,_xlpm.party,ledger!E:E,"&lt;&gt;*RD*",ledger!D:D,"Chamki",ledger!C:C,"&lt;&gt;January Closing CF")+
SUMIFS(ledger!J:J,ledger!B:B,_xlpm.party,ledger!E:E,"&lt;&gt;*RD*",ledger!D:D,"Crinkle",ledger!C:C,"&lt;&gt;January Closing CF")
))))</f>
        <v>3604361.7410387713</v>
      </c>
      <c r="H49" s="22" cm="1">
        <f t="array" ref="H49">_xlfn.BYROW(B49, _xlfn.LAMBDA(_xlpm.party,
   SUMIFS(ledger!J:J, ledger!B:B, _xlpm.party, ledger!E:E, "&lt;&gt;*RD*", ledger!D:D, "Silky", ledger!C:C, "&lt;&gt;January Closing CF")
))</f>
        <v>1196996.1594732993</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916140.27066569135</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5717498.1711777616</v>
      </c>
      <c r="P49" s="22">
        <f>(SUMIF(Table14[Party],B49,Table14[Credit]))</f>
        <v>0</v>
      </c>
      <c r="Q49" s="37">
        <f t="shared" ref="Q49:Q80" si="6">O49-P49</f>
        <v>5717498.1711777616</v>
      </c>
      <c r="R49" s="21">
        <v>10</v>
      </c>
      <c r="S49" s="21">
        <v>12</v>
      </c>
    </row>
    <row r="50" spans="1:24" x14ac:dyDescent="0.3">
      <c r="B50" s="24" t="str">
        <v>Ejaz Sahab</v>
      </c>
      <c r="C50" s="22">
        <v>37013</v>
      </c>
      <c r="D50" s="22">
        <v>33845.098756400883</v>
      </c>
      <c r="E50" s="63">
        <v>0</v>
      </c>
      <c r="F50" s="63">
        <v>33845.098756400883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439986.28383321146</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439986.28383321146</v>
      </c>
      <c r="P50" s="22">
        <f>(SUMIF(Table14[Party],B50,Table14[Credit]))</f>
        <v>686668</v>
      </c>
      <c r="Q50" s="37">
        <f t="shared" si="6"/>
        <v>-246681.71616678854</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560000</v>
      </c>
      <c r="Q51" s="37">
        <f t="shared" si="6"/>
        <v>162220.19019751286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375000</v>
      </c>
      <c r="Q54" s="37">
        <f t="shared" si="6"/>
        <v>257406.73006583774</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535798.28090709588</v>
      </c>
      <c r="X58" s="18">
        <v>3816953.182150695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1193080</v>
      </c>
      <c r="Q59" s="37">
        <f t="shared" si="6"/>
        <v>483529.36356986128</v>
      </c>
      <c r="R59" s="21">
        <v>10</v>
      </c>
      <c r="S59" s="21">
        <v>12</v>
      </c>
      <c r="V59" s="4" t="s">
        <v>22</v>
      </c>
      <c r="W59" s="5">
        <v>33845.098756400883</v>
      </c>
      <c r="X59" s="18">
        <v>406141.18507681059</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1"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130000</v>
      </c>
      <c r="Q71" s="37">
        <f t="shared" si="6"/>
        <v>42021.762984637928</v>
      </c>
      <c r="V71" s="4" t="s">
        <v>170</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175</v>
      </c>
      <c r="W74" s="5">
        <v>50968.361375274326</v>
      </c>
      <c r="X74" s="18">
        <v>611620.33650329197</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1065000</v>
      </c>
      <c r="Q75" s="37">
        <f t="shared" si="6"/>
        <v>-38235.186539868242</v>
      </c>
      <c r="V75" s="4" t="s">
        <v>28</v>
      </c>
      <c r="W75" s="14">
        <v>941195.13533284585</v>
      </c>
      <c r="X75" s="14">
        <v>8079246.5252377484</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2365000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751070.77542062942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5202370</v>
      </c>
      <c r="D4" t="s">
        <v>189</v>
      </c>
      <c r="E4" s="43">
        <f ca="1">Table12[[#This Row],[Amount]]/Table1[[#Totals],[tiyar/meters]]</f>
        <v>3.8017961028546976</v>
      </c>
    </row>
    <row r="5" spans="1:5" x14ac:dyDescent="0.3">
      <c r="B5" t="s">
        <v>48</v>
      </c>
      <c r="C5" s="11">
        <f>SUM(Table8[Price])+(301660)</f>
        <v>565785</v>
      </c>
      <c r="E5" s="43">
        <f ca="1">Table12[[#This Row],[Amount]]/Table1[[#Totals],[tiyar/meters]]</f>
        <v>0.41346524911792992</v>
      </c>
    </row>
    <row r="6" spans="1:5" x14ac:dyDescent="0.3">
      <c r="B6" t="s">
        <v>49</v>
      </c>
      <c r="C6" s="11">
        <f>SUM(Table2[Price])</f>
        <v>282500</v>
      </c>
      <c r="D6" t="s">
        <v>188</v>
      </c>
      <c r="E6" s="43">
        <f ca="1">Table12[[#This Row],[Amount]]/Table1[[#Totals],[tiyar/meters]]</f>
        <v>0.20644579279375594</v>
      </c>
    </row>
    <row r="7" spans="1:5" x14ac:dyDescent="0.3">
      <c r="B7" t="s">
        <v>50</v>
      </c>
      <c r="C7" s="11">
        <f>SUMIFS(Table14[Debit], Table14[Party],Table12[[#This Row],[Type]])</f>
        <v>8040</v>
      </c>
      <c r="E7" s="43">
        <f ca="1">Table12[[#This Row],[Amount]]/Table1[[#Totals],[tiyar/meters]]</f>
        <v>5.8754838019886646E-3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1194360</v>
      </c>
      <c r="E9" s="43">
        <f ca="1">Table12[[#This Row],[Amount]]/Table1[[#Totals],[tiyar/meters]]</f>
        <v>0.8728162728536295</v>
      </c>
    </row>
    <row r="10" spans="1:5" x14ac:dyDescent="0.3">
      <c r="B10" t="s">
        <v>53</v>
      </c>
      <c r="C10" s="11">
        <f>Table5[[#Totals],[Amount]]</f>
        <v>70415</v>
      </c>
      <c r="E10" s="43">
        <f ca="1">Table12[[#This Row],[Amount]]/Table1[[#Totals],[tiyar/meters]]</f>
        <v>5.1457984069282564E-2</v>
      </c>
    </row>
    <row r="11" spans="1:5" x14ac:dyDescent="0.3">
      <c r="B11" t="s">
        <v>54</v>
      </c>
      <c r="C11" s="11">
        <f>Table13[[#Totals],[Debit]]</f>
        <v>99975</v>
      </c>
      <c r="E11" s="43">
        <f ca="1">Table12[[#This Row],[Amount]]/Table1[[#Totals],[tiyar/meters]]</f>
        <v>7.3059887201967252E-2</v>
      </c>
    </row>
    <row r="12" spans="1:5" x14ac:dyDescent="0.3">
      <c r="B12" t="s">
        <v>55</v>
      </c>
      <c r="C12" s="11">
        <f>Table15[[#Totals],[Amount]]</f>
        <v>709894</v>
      </c>
      <c r="E12" s="43">
        <f ca="1">Table12[[#This Row],[Amount]]/Table1[[#Totals],[tiyar/meters]]</f>
        <v>0.51877745001603748</v>
      </c>
    </row>
    <row r="13" spans="1:5" x14ac:dyDescent="0.3">
      <c r="C13" s="11"/>
      <c r="E13" s="43">
        <f ca="1">Table12[[#This Row],[Amount]]/Table1[[#Totals],[tiyar/meters]]</f>
        <v>0</v>
      </c>
    </row>
    <row r="14" spans="1:5" x14ac:dyDescent="0.3">
      <c r="C14" s="14">
        <f>SUM(Table12[Amount])</f>
        <v>8133339</v>
      </c>
      <c r="E14" s="43">
        <f ca="1">SUM(Table12[cost per meter])</f>
        <v>5.943694222709289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15063196.78127286</v>
      </c>
    </row>
    <row r="4" spans="1:3" x14ac:dyDescent="0.3">
      <c r="B4" s="11" t="s">
        <v>44</v>
      </c>
      <c r="C4" s="11">
        <f>Table12[[#Totals],[Amount]]</f>
        <v>8133339</v>
      </c>
    </row>
    <row r="5" spans="1:3" x14ac:dyDescent="0.3">
      <c r="A5" s="6"/>
      <c r="B5" s="15" t="s">
        <v>68</v>
      </c>
      <c r="C5" s="15">
        <f>C3-C4</f>
        <v>6929857.7812728602</v>
      </c>
    </row>
    <row r="10" spans="1:3" ht="15" thickBot="1" x14ac:dyDescent="0.35">
      <c r="B10" t="s">
        <v>66</v>
      </c>
      <c r="C10" s="14" t="s">
        <v>67</v>
      </c>
    </row>
    <row r="11" spans="1:3" x14ac:dyDescent="0.3">
      <c r="B11" s="56" t="s">
        <v>0</v>
      </c>
      <c r="C11" s="57">
        <f>C3</f>
        <v>15063196.78127286</v>
      </c>
    </row>
    <row r="12" spans="1:3" x14ac:dyDescent="0.3">
      <c r="B12" s="58" t="s">
        <v>69</v>
      </c>
      <c r="C12" s="59">
        <f>SUM(Table14[Credit])</f>
        <v>18887046.493050475</v>
      </c>
    </row>
    <row r="13" spans="1:3" ht="15" thickBot="1" x14ac:dyDescent="0.35">
      <c r="B13" s="74" t="s">
        <v>93</v>
      </c>
      <c r="C13" s="73">
        <f>(C11-C12)</f>
        <v>-3823849.7117776144</v>
      </c>
    </row>
    <row r="14" spans="1:3" ht="15" thickBot="1" x14ac:dyDescent="0.35">
      <c r="B14" s="58"/>
      <c r="C14" s="59"/>
    </row>
    <row r="15" spans="1:3" x14ac:dyDescent="0.3">
      <c r="B15" s="56" t="s">
        <v>44</v>
      </c>
      <c r="C15" s="57">
        <f>C4</f>
        <v>8133339</v>
      </c>
    </row>
    <row r="16" spans="1:3" x14ac:dyDescent="0.3">
      <c r="B16" s="58" t="s">
        <v>70</v>
      </c>
      <c r="C16" s="59">
        <f>SUM(Table14[Debit])</f>
        <v>18319092</v>
      </c>
    </row>
    <row r="17" spans="2:6" ht="15" thickBot="1" x14ac:dyDescent="0.35">
      <c r="B17" s="74" t="s">
        <v>71</v>
      </c>
      <c r="C17" s="73">
        <f>C15-C16</f>
        <v>-10185753</v>
      </c>
    </row>
    <row r="18" spans="2:6" ht="15" thickBot="1" x14ac:dyDescent="0.35">
      <c r="B18" s="58"/>
      <c r="C18" s="59"/>
    </row>
    <row r="19" spans="2:6" ht="15" thickBot="1" x14ac:dyDescent="0.35">
      <c r="B19" s="75" t="s">
        <v>72</v>
      </c>
      <c r="C19" s="76">
        <f>Table18[[#Totals],[amount]]</f>
        <v>567954.49305047467</v>
      </c>
    </row>
    <row r="20" spans="2:6" ht="15" thickBot="1" x14ac:dyDescent="0.35">
      <c r="B20" s="71"/>
      <c r="C20" s="72"/>
    </row>
    <row r="21" spans="2:6" ht="15" thickBot="1" x14ac:dyDescent="0.35">
      <c r="B21" s="60" t="s">
        <v>73</v>
      </c>
      <c r="C21" s="61">
        <f>(C13-C17)+C19</f>
        <v>6929857.7812728602</v>
      </c>
      <c r="E21" s="79" t="s">
        <v>74</v>
      </c>
      <c r="F21" s="80">
        <f>C5*0.05</f>
        <v>346492.88906364306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99975</v>
      </c>
      <c r="E44">
        <f>SUBTOTAL(109,Table13[Credit])</f>
        <v>0</v>
      </c>
      <c r="F44">
        <f>Table13[[#Totals],[Debit]]-Table13[[#Totals],[Credit]]</f>
        <v>99975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75"/>
  <sheetViews>
    <sheetView topLeftCell="A129" zoomScale="107" zoomScaleNormal="107" workbookViewId="0">
      <selection activeCell="J128" sqref="J12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5">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5"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4"/>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M35" s="10">
        <v>0</v>
      </c>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4" t="s">
        <v>227</v>
      </c>
      <c r="C49" s="108" t="s">
        <v>289</v>
      </c>
      <c r="D49" s="124" t="s">
        <v>86</v>
      </c>
      <c r="E49" s="84"/>
      <c r="F49" s="84"/>
      <c r="G49" s="84"/>
      <c r="H49" s="125"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4"/>
      <c r="P49"/>
      <c r="Q49"/>
      <c r="R49"/>
      <c r="S49"/>
      <c r="T49"/>
      <c r="U49"/>
      <c r="V49"/>
      <c r="W49"/>
      <c r="X49"/>
      <c r="Y49"/>
    </row>
    <row r="50" spans="1:25" x14ac:dyDescent="0.3">
      <c r="A50" s="107">
        <v>46072</v>
      </c>
      <c r="B50" s="124" t="s">
        <v>228</v>
      </c>
      <c r="C50" s="108" t="s">
        <v>289</v>
      </c>
      <c r="D50" s="124" t="s">
        <v>86</v>
      </c>
      <c r="E50" s="84"/>
      <c r="F50" s="84"/>
      <c r="G50" s="84"/>
      <c r="H50" s="125"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4"/>
      <c r="P50"/>
      <c r="Q50"/>
      <c r="R50"/>
      <c r="S50"/>
      <c r="T50"/>
      <c r="U50"/>
      <c r="V50"/>
      <c r="W50"/>
      <c r="X50"/>
      <c r="Y50"/>
    </row>
    <row r="51" spans="1:25" x14ac:dyDescent="0.3">
      <c r="A51" s="107">
        <v>46072</v>
      </c>
      <c r="B51" s="124" t="s">
        <v>244</v>
      </c>
      <c r="C51" s="108" t="s">
        <v>289</v>
      </c>
      <c r="D51" s="124" t="s">
        <v>86</v>
      </c>
      <c r="E51" s="84"/>
      <c r="F51" s="84"/>
      <c r="G51" s="84"/>
      <c r="H51" s="125"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4"/>
      <c r="P51"/>
      <c r="Q51"/>
      <c r="R51"/>
      <c r="S51"/>
      <c r="T51"/>
      <c r="U51"/>
      <c r="V51"/>
      <c r="W51"/>
      <c r="X51"/>
      <c r="Y51"/>
    </row>
    <row r="52" spans="1:25" x14ac:dyDescent="0.3">
      <c r="A52" s="107">
        <v>46072</v>
      </c>
      <c r="B52" s="124" t="s">
        <v>248</v>
      </c>
      <c r="C52" s="108" t="s">
        <v>289</v>
      </c>
      <c r="D52" s="124" t="s">
        <v>86</v>
      </c>
      <c r="E52" s="84"/>
      <c r="F52" s="84"/>
      <c r="G52" s="84"/>
      <c r="H52" s="125"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4"/>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5" t="e">
        <f>_xlfn.XLOOKUP(Table1[[#This Row],[Shipment Number]], 'pivot '!A:A,'pivot '!G:G, "NF")</f>
        <v>#DIV/0!</v>
      </c>
      <c r="I65" s="125"/>
      <c r="J65" s="110">
        <f>_xlfn.XLOOKUP(Table1[[#This Row],[Party Name]],
[1]Billing!$Q$5:$Q$40,
[1]Billing!$Z$5:$Z$40)</f>
        <v>322297.00073152891</v>
      </c>
      <c r="K65" s="124"/>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3">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3">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3">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3">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3">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3">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3">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3">
        <v>46074</v>
      </c>
      <c r="B77" s="121" t="s">
        <v>21</v>
      </c>
      <c r="C77" s="118">
        <v>1516</v>
      </c>
      <c r="D77" s="118" t="s">
        <v>233</v>
      </c>
      <c r="E77" s="11">
        <v>1809</v>
      </c>
      <c r="F77" s="11">
        <v>13927</v>
      </c>
      <c r="G77" s="11">
        <v>6913</v>
      </c>
      <c r="H77" s="119">
        <f>_xlfn.XLOOKUP(Table1[[#This Row],[Shipment Number]], 'pivot '!A:A,'pivot '!G:G, "NF")</f>
        <v>5.4795543005121914</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3">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3">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3">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3">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3">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3">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3">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3">
        <v>46076</v>
      </c>
      <c r="B85" s="121" t="s">
        <v>21</v>
      </c>
      <c r="C85" s="118">
        <v>1524</v>
      </c>
      <c r="D85" s="118" t="s">
        <v>207</v>
      </c>
      <c r="E85" s="11">
        <v>2082</v>
      </c>
      <c r="F85" s="11">
        <v>83635</v>
      </c>
      <c r="G85" s="11">
        <v>25471</v>
      </c>
      <c r="H85" s="119">
        <f>_xlfn.XLOOKUP(Table1[[#This Row],[Shipment Number]], 'pivot '!A:A,'pivot '!G:G, "NF")</f>
        <v>47.49693745801865</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3">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3">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3">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3">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3">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3">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3">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3">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3">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3">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3">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3">
        <v>46078</v>
      </c>
      <c r="B97" s="121" t="s">
        <v>21</v>
      </c>
      <c r="C97" s="118">
        <v>1536</v>
      </c>
      <c r="D97" s="118" t="s">
        <v>85</v>
      </c>
      <c r="E97" s="11">
        <v>2096</v>
      </c>
      <c r="F97" s="11">
        <f>100801-24845-2486</f>
        <v>73470</v>
      </c>
      <c r="G97" s="11">
        <v>11908</v>
      </c>
      <c r="H97" s="119">
        <f>_xlfn.XLOOKUP(Table1[[#This Row],[Shipment Number]], 'pivot '!A:A,'pivot '!G:G, "NF")</f>
        <v>7.5532474277255375</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3">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3">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3">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3">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3">
        <v>46080</v>
      </c>
      <c r="B102" s="121" t="s">
        <v>21</v>
      </c>
      <c r="C102" s="118">
        <v>1541</v>
      </c>
      <c r="D102" s="118" t="s">
        <v>86</v>
      </c>
      <c r="E102" s="11">
        <v>2113</v>
      </c>
      <c r="F102" s="11">
        <v>46469</v>
      </c>
      <c r="G102" s="11">
        <v>9555</v>
      </c>
      <c r="H102" s="119">
        <f>_xlfn.XLOOKUP(Table1[[#This Row],[Shipment Number]], 'pivot '!A:A,'pivot '!G:G, "NF")</f>
        <v>3.5154490121652202</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3">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3">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3">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3">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3">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3">
        <v>46083</v>
      </c>
      <c r="B108" s="121" t="s">
        <v>21</v>
      </c>
      <c r="C108" s="118">
        <v>1547</v>
      </c>
      <c r="D108" s="118" t="s">
        <v>86</v>
      </c>
      <c r="E108" s="11">
        <v>2113</v>
      </c>
      <c r="F108" s="11">
        <v>46469</v>
      </c>
      <c r="G108" s="11">
        <v>6890</v>
      </c>
      <c r="H108" s="119">
        <f>_xlfn.XLOOKUP(Table1[[#This Row],[Shipment Number]], 'pivot '!A:A,'pivot '!G:G, "NF")</f>
        <v>3.5154490121652202</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3">
        <v>46083</v>
      </c>
      <c r="B109" s="121" t="s">
        <v>21</v>
      </c>
      <c r="C109" s="118">
        <v>1548</v>
      </c>
      <c r="D109" s="118" t="s">
        <v>86</v>
      </c>
      <c r="E109" s="11">
        <v>2114</v>
      </c>
      <c r="F109" s="11">
        <v>22835</v>
      </c>
      <c r="G109" s="11">
        <v>3207</v>
      </c>
      <c r="H109" s="119">
        <f>_xlfn.XLOOKUP(Table1[[#This Row],[Shipment Number]], 'pivot '!A:A,'pivot '!G:G, "NF")</f>
        <v>-6.9702834606394646</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3">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3">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3">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3">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3">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3">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3">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3">
        <v>46083</v>
      </c>
      <c r="B117" s="121" t="s">
        <v>21</v>
      </c>
      <c r="C117" s="118">
        <v>1555</v>
      </c>
      <c r="D117" s="118" t="s">
        <v>86</v>
      </c>
      <c r="E117" s="11">
        <v>2115</v>
      </c>
      <c r="F117" s="11">
        <v>18783</v>
      </c>
      <c r="G117" s="11">
        <v>16742</v>
      </c>
      <c r="H117" s="119">
        <f>_xlfn.XLOOKUP(Table1[[#This Row],[Shipment Number]], 'pivot '!A:A,'pivot '!G:G, "NF")</f>
        <v>2.3907632393858194</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3">
        <v>46083</v>
      </c>
      <c r="B118" s="121" t="s">
        <v>21</v>
      </c>
      <c r="C118" s="118">
        <v>1556</v>
      </c>
      <c r="D118" s="118" t="s">
        <v>86</v>
      </c>
      <c r="E118" s="11">
        <v>2114</v>
      </c>
      <c r="F118" s="11">
        <v>22835</v>
      </c>
      <c r="G118" s="11">
        <v>2504</v>
      </c>
      <c r="H118" s="119">
        <f>_xlfn.XLOOKUP(Table1[[#This Row],[Shipment Number]], 'pivot '!A:A,'pivot '!G:G, "NF")</f>
        <v>-6.9702834606394646</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3">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3">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3">
        <v>46084</v>
      </c>
      <c r="B121" s="121" t="s">
        <v>402</v>
      </c>
      <c r="C121" s="118">
        <v>1559</v>
      </c>
      <c r="D121" s="118" t="s">
        <v>86</v>
      </c>
      <c r="E121" s="11">
        <v>2113</v>
      </c>
      <c r="F121" s="11">
        <v>46469</v>
      </c>
      <c r="G121" s="11">
        <v>11528</v>
      </c>
      <c r="H121" s="119">
        <f>_xlfn.XLOOKUP(Table1[[#This Row],[Shipment Number]], 'pivot '!A:A,'pivot '!G:G, "NF")</f>
        <v>3.5154490121652202</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3">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3">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3">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3">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3">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3">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3">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3">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3">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3">
        <v>46086</v>
      </c>
      <c r="B131" s="121" t="s">
        <v>21</v>
      </c>
      <c r="C131" s="118">
        <v>1569</v>
      </c>
      <c r="D131" s="118" t="s">
        <v>233</v>
      </c>
      <c r="E131" s="11">
        <v>1810</v>
      </c>
      <c r="F131" s="11">
        <v>14038</v>
      </c>
      <c r="G131" s="11">
        <v>11418</v>
      </c>
      <c r="H131" s="119">
        <f>_xlfn.XLOOKUP(Table1[[#This Row],[Shipment Number]], 'pivot '!A:A,'pivot '!G:G, "NF")</f>
        <v>9.1190772501392132</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3">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3">
        <v>46086</v>
      </c>
      <c r="B133" s="121" t="s">
        <v>21</v>
      </c>
      <c r="C133" s="118">
        <v>1571</v>
      </c>
      <c r="D133" s="118" t="s">
        <v>233</v>
      </c>
      <c r="E133" s="11">
        <v>1809</v>
      </c>
      <c r="F133" s="11">
        <v>13927</v>
      </c>
      <c r="G133" s="11">
        <v>1124</v>
      </c>
      <c r="H133" s="119">
        <f>_xlfn.XLOOKUP(Table1[[#This Row],[Shipment Number]], 'pivot '!A:A,'pivot '!G:G, "NF")</f>
        <v>5.4795543005121914</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s="123">
        <v>46087</v>
      </c>
      <c r="B134" s="121" t="s">
        <v>21</v>
      </c>
      <c r="C134" s="118">
        <v>1572</v>
      </c>
      <c r="D134" s="118" t="s">
        <v>86</v>
      </c>
      <c r="E134" s="11">
        <v>2113</v>
      </c>
      <c r="F134" s="11">
        <v>46469</v>
      </c>
      <c r="G134" s="11">
        <v>21059</v>
      </c>
      <c r="H134" s="119">
        <f>_xlfn.XLOOKUP(Table1[[#This Row],[Shipment Number]], 'pivot '!A:A,'pivot '!G:G, "NF")</f>
        <v>3.5154490121652202</v>
      </c>
      <c r="I134" s="120">
        <f>Table1[[#This Row],[Tiyaar/gaz]]/1.0936</f>
        <v>19256.583760058526</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8"/>
    </row>
    <row r="135" spans="1:17" x14ac:dyDescent="0.3">
      <c r="A135" s="123">
        <v>46087</v>
      </c>
      <c r="B135" s="121" t="s">
        <v>21</v>
      </c>
      <c r="C135" s="118">
        <v>1573</v>
      </c>
      <c r="D135" s="118" t="s">
        <v>86</v>
      </c>
      <c r="E135" s="11">
        <v>2114</v>
      </c>
      <c r="F135" s="11">
        <v>22835</v>
      </c>
      <c r="G135" s="11">
        <v>13109</v>
      </c>
      <c r="H135" s="119">
        <f>_xlfn.XLOOKUP(Table1[[#This Row],[Shipment Number]], 'pivot '!A:A,'pivot '!G:G, "NF")</f>
        <v>-6.9702834606394646</v>
      </c>
      <c r="I135" s="120">
        <f>Table1[[#This Row],[Tiyaar/gaz]]/1.0936</f>
        <v>11987.015362106804</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8"/>
    </row>
    <row r="136" spans="1:17" x14ac:dyDescent="0.3">
      <c r="A136" s="123">
        <v>46087</v>
      </c>
      <c r="B136" s="121" t="s">
        <v>192</v>
      </c>
      <c r="C136" s="118">
        <v>1574</v>
      </c>
      <c r="D136" s="118" t="s">
        <v>86</v>
      </c>
      <c r="E136" s="11">
        <v>2125</v>
      </c>
      <c r="F136" s="11">
        <v>6940</v>
      </c>
      <c r="G136" s="11">
        <v>7232</v>
      </c>
      <c r="H136" s="119">
        <f>_xlfn.XLOOKUP(Table1[[#This Row],[Shipment Number]], 'pivot '!A:A,'pivot '!G:G, "NF")</f>
        <v>4.7115098798563793</v>
      </c>
      <c r="I136" s="120">
        <f>Table1[[#This Row],[Tiyaar/gaz]]/1.0936</f>
        <v>6613.0212143379667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8"/>
    </row>
    <row r="137" spans="1:17" x14ac:dyDescent="0.3">
      <c r="A137" s="123">
        <v>46087</v>
      </c>
      <c r="B137" s="121" t="s">
        <v>21</v>
      </c>
      <c r="C137" s="118">
        <v>1575</v>
      </c>
      <c r="D137" s="118" t="s">
        <v>233</v>
      </c>
      <c r="E137" s="11">
        <v>1702</v>
      </c>
      <c r="F137" s="11">
        <v>11866</v>
      </c>
      <c r="G137" s="11">
        <v>8122</v>
      </c>
      <c r="H137" s="119">
        <f>_xlfn.XLOOKUP(Table1[[#This Row],[Shipment Number]], 'pivot '!A:A,'pivot '!G:G, "NF")</f>
        <v>6.1237463798073719</v>
      </c>
      <c r="I137" s="120">
        <f>Table1[[#This Row],[Tiyaar/gaz]]/1.0936</f>
        <v>7426.8471104608634</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8"/>
    </row>
    <row r="138" spans="1:17" x14ac:dyDescent="0.3">
      <c r="A138" s="123">
        <v>46088</v>
      </c>
      <c r="B138" s="121" t="s">
        <v>21</v>
      </c>
      <c r="C138" s="118">
        <v>1576</v>
      </c>
      <c r="D138" s="118" t="s">
        <v>233</v>
      </c>
      <c r="E138" s="11">
        <v>1742</v>
      </c>
      <c r="F138" s="11">
        <v>12026</v>
      </c>
      <c r="G138" s="11">
        <v>11659</v>
      </c>
      <c r="H138" s="119">
        <f>_xlfn.XLOOKUP(Table1[[#This Row],[Shipment Number]], 'pivot '!A:A,'pivot '!G:G, "NF")</f>
        <v>11.349415938716533</v>
      </c>
      <c r="I138" s="120">
        <f>Table1[[#This Row],[Tiyaar/gaz]]/1.0936</f>
        <v>10661.119239209949</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8"/>
    </row>
    <row r="139" spans="1:17" x14ac:dyDescent="0.3">
      <c r="A139" s="123">
        <v>46088</v>
      </c>
      <c r="B139" s="121" t="s">
        <v>21</v>
      </c>
      <c r="C139" s="118">
        <v>1577</v>
      </c>
      <c r="D139" s="118" t="s">
        <v>233</v>
      </c>
      <c r="E139" s="11">
        <v>1775</v>
      </c>
      <c r="F139" s="11">
        <v>11886</v>
      </c>
      <c r="G139" s="11">
        <v>7064</v>
      </c>
      <c r="H139" s="119">
        <f>_xlfn.XLOOKUP(Table1[[#This Row],[Shipment Number]], 'pivot '!A:A,'pivot '!G:G, "NF")</f>
        <v>45.655391668300695</v>
      </c>
      <c r="I139" s="120">
        <f>Table1[[#This Row],[Tiyaar/gaz]]/1.0936</f>
        <v>6459.4001463057793</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8"/>
    </row>
    <row r="140" spans="1:17" x14ac:dyDescent="0.3">
      <c r="A140" s="123">
        <v>46088</v>
      </c>
      <c r="B140" s="121" t="s">
        <v>21</v>
      </c>
      <c r="C140" s="118">
        <v>1578</v>
      </c>
      <c r="D140" s="118" t="s">
        <v>233</v>
      </c>
      <c r="E140" s="11">
        <v>1702</v>
      </c>
      <c r="F140" s="11">
        <v>11866</v>
      </c>
      <c r="G140" s="11">
        <v>4060</v>
      </c>
      <c r="H140" s="119">
        <f>_xlfn.XLOOKUP(Table1[[#This Row],[Shipment Number]], 'pivot '!A:A,'pivot '!G:G, "NF")</f>
        <v>6.1237463798073719</v>
      </c>
      <c r="I140" s="120">
        <f>Table1[[#This Row],[Tiyaar/gaz]]/1.0936</f>
        <v>3712.5091441111927</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8"/>
    </row>
    <row r="141" spans="1:17" x14ac:dyDescent="0.3">
      <c r="A141" s="123">
        <v>46088</v>
      </c>
      <c r="B141" s="121" t="s">
        <v>21</v>
      </c>
      <c r="C141" s="118">
        <v>1579</v>
      </c>
      <c r="D141" s="118" t="s">
        <v>233</v>
      </c>
      <c r="E141" s="11">
        <v>1810</v>
      </c>
      <c r="F141" s="11">
        <v>14038</v>
      </c>
      <c r="G141" s="11">
        <v>2534</v>
      </c>
      <c r="H141" s="119">
        <f>_xlfn.XLOOKUP(Table1[[#This Row],[Shipment Number]], 'pivot '!A:A,'pivot '!G:G, "NF")</f>
        <v>9.1190772501392132</v>
      </c>
      <c r="I141" s="120">
        <f>Table1[[#This Row],[Tiyaar/gaz]]/1.0936</f>
        <v>2317.1177761521581</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8"/>
    </row>
    <row r="142" spans="1:17" x14ac:dyDescent="0.3">
      <c r="A142" s="123">
        <v>46088</v>
      </c>
      <c r="B142" s="121" t="s">
        <v>21</v>
      </c>
      <c r="C142" s="118">
        <v>1580</v>
      </c>
      <c r="D142" s="118" t="s">
        <v>233</v>
      </c>
      <c r="E142" s="11">
        <v>1809</v>
      </c>
      <c r="F142" s="11">
        <v>13927</v>
      </c>
      <c r="G142" s="11">
        <v>6359</v>
      </c>
      <c r="H142" s="119">
        <f>_xlfn.XLOOKUP(Table1[[#This Row],[Shipment Number]], 'pivot '!A:A,'pivot '!G:G, "NF")</f>
        <v>5.4795543005121914</v>
      </c>
      <c r="I142" s="120">
        <f>Table1[[#This Row],[Tiyaar/gaz]]/1.0936</f>
        <v>5814.7403072421366</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8"/>
    </row>
    <row r="143" spans="1:17" x14ac:dyDescent="0.3">
      <c r="A143" s="123">
        <v>46088</v>
      </c>
      <c r="B143" s="121" t="s">
        <v>192</v>
      </c>
      <c r="C143" s="118">
        <v>1581</v>
      </c>
      <c r="D143" s="118" t="s">
        <v>86</v>
      </c>
      <c r="E143" s="11">
        <v>2126</v>
      </c>
      <c r="F143" s="11">
        <v>6713</v>
      </c>
      <c r="G143" s="11">
        <v>5729</v>
      </c>
      <c r="H143" s="119">
        <f>_xlfn.XLOOKUP(Table1[[#This Row],[Shipment Number]], 'pivot '!A:A,'pivot '!G:G, "NF")</f>
        <v>1.3939804532602125</v>
      </c>
      <c r="I143" s="120">
        <f>Table1[[#This Row],[Tiyaar/gaz]]/1.0936</f>
        <v>5238.6613021214343</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8"/>
    </row>
    <row r="144" spans="1:17" x14ac:dyDescent="0.3">
      <c r="A144" s="123">
        <v>46088</v>
      </c>
      <c r="B144" s="121" t="s">
        <v>178</v>
      </c>
      <c r="C144" s="118">
        <v>1582</v>
      </c>
      <c r="D144" s="118" t="s">
        <v>86</v>
      </c>
      <c r="E144" s="11">
        <v>2120</v>
      </c>
      <c r="F144" s="11">
        <v>50958</v>
      </c>
      <c r="G144" s="11">
        <v>8527</v>
      </c>
      <c r="H144" s="119">
        <f>_xlfn.XLOOKUP(Table1[[#This Row],[Shipment Number]], 'pivot '!A:A,'pivot '!G:G, "NF")</f>
        <v>4.1535360258959741</v>
      </c>
      <c r="I144" s="120">
        <f>Table1[[#This Row],[Tiyaar/gaz]]/1.0936</f>
        <v>7797.1836137527443</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8"/>
    </row>
    <row r="145" spans="1:11" x14ac:dyDescent="0.3">
      <c r="A145" s="123">
        <v>46090</v>
      </c>
      <c r="B145" s="121" t="s">
        <v>27</v>
      </c>
      <c r="C145" s="118">
        <v>1583</v>
      </c>
      <c r="D145" s="118" t="s">
        <v>85</v>
      </c>
      <c r="E145" s="11">
        <v>2128</v>
      </c>
      <c r="F145" s="11">
        <v>50106</v>
      </c>
      <c r="G145" s="11">
        <v>37548</v>
      </c>
      <c r="H145" s="119">
        <f>_xlfn.XLOOKUP(Table1[[#This Row],[Shipment Number]], 'pivot '!A:A,'pivot '!G:G, "NF")</f>
        <v>3.9253315524124588</v>
      </c>
      <c r="I145" s="120">
        <f>Table1[[#This Row],[Tiyaar/gaz]]/1.0936</f>
        <v>34334.308705193856</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8"/>
    </row>
    <row r="146" spans="1:11" x14ac:dyDescent="0.3">
      <c r="A146" s="123">
        <v>46090</v>
      </c>
      <c r="B146" s="121" t="s">
        <v>27</v>
      </c>
      <c r="C146" s="118">
        <v>1584</v>
      </c>
      <c r="D146" s="118" t="s">
        <v>85</v>
      </c>
      <c r="E146" s="11">
        <v>2128</v>
      </c>
      <c r="F146" s="11">
        <v>50106</v>
      </c>
      <c r="G146" s="11">
        <v>15097</v>
      </c>
      <c r="H146" s="119">
        <f>_xlfn.XLOOKUP(Table1[[#This Row],[Shipment Number]], 'pivot '!A:A,'pivot '!G:G, "NF")</f>
        <v>3.9253315524124588</v>
      </c>
      <c r="I146" s="120">
        <f>Table1[[#This Row],[Tiyaar/gaz]]/1.0936</f>
        <v>13804.864667154354</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8"/>
    </row>
    <row r="147" spans="1:11" x14ac:dyDescent="0.3">
      <c r="A147" s="123">
        <v>46090</v>
      </c>
      <c r="B147" s="121" t="s">
        <v>25</v>
      </c>
      <c r="C147" s="118">
        <v>1585</v>
      </c>
      <c r="D147" s="118" t="s">
        <v>85</v>
      </c>
      <c r="E147" s="11">
        <v>2123</v>
      </c>
      <c r="F147" s="11">
        <v>28681</v>
      </c>
      <c r="G147" s="11">
        <v>30821</v>
      </c>
      <c r="H147" s="119">
        <f>_xlfn.XLOOKUP(Table1[[#This Row],[Shipment Number]], 'pivot '!A:A,'pivot '!G:G, "NF")</f>
        <v>1.7361141310564818</v>
      </c>
      <c r="I147" s="120">
        <f>Table1[[#This Row],[Tiyaar/gaz]]/1.0936</f>
        <v>28183.065106071692</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8"/>
    </row>
    <row r="148" spans="1:11" x14ac:dyDescent="0.3">
      <c r="A148" s="123">
        <v>46090</v>
      </c>
      <c r="B148" s="121" t="s">
        <v>25</v>
      </c>
      <c r="C148" s="118">
        <v>1586</v>
      </c>
      <c r="D148" s="118" t="s">
        <v>85</v>
      </c>
      <c r="E148" s="11">
        <v>2122</v>
      </c>
      <c r="F148" s="11">
        <v>35746</v>
      </c>
      <c r="G148" s="11">
        <v>23303</v>
      </c>
      <c r="H148" s="119">
        <f>_xlfn.XLOOKUP(Table1[[#This Row],[Shipment Number]], 'pivot '!A:A,'pivot '!G:G, "NF")</f>
        <v>1.9257877790184352</v>
      </c>
      <c r="I148" s="120">
        <f>Table1[[#This Row],[Tiyaar/gaz]]/1.0936</f>
        <v>21308.52231163131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8"/>
    </row>
    <row r="149" spans="1:11" x14ac:dyDescent="0.3">
      <c r="A149" s="123">
        <v>46090</v>
      </c>
      <c r="B149" s="121" t="s">
        <v>25</v>
      </c>
      <c r="C149" s="118">
        <v>1587</v>
      </c>
      <c r="D149" s="118" t="s">
        <v>85</v>
      </c>
      <c r="E149" s="11">
        <v>2122</v>
      </c>
      <c r="F149" s="11">
        <v>35746</v>
      </c>
      <c r="G149" s="11">
        <v>15036</v>
      </c>
      <c r="H149" s="119">
        <f>_xlfn.XLOOKUP(Table1[[#This Row],[Shipment Number]], 'pivot '!A:A,'pivot '!G:G, "NF")</f>
        <v>1.9257877790184352</v>
      </c>
      <c r="I149" s="120">
        <f>Table1[[#This Row],[Tiyaar/gaz]]/1.0936</f>
        <v>13749.085588880762</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8"/>
    </row>
    <row r="150" spans="1:11" x14ac:dyDescent="0.3">
      <c r="A150" s="123">
        <v>46090</v>
      </c>
      <c r="B150" s="121" t="s">
        <v>21</v>
      </c>
      <c r="C150" s="118">
        <v>1588</v>
      </c>
      <c r="D150" s="118" t="s">
        <v>85</v>
      </c>
      <c r="E150" s="11">
        <v>2096</v>
      </c>
      <c r="F150" s="11">
        <f t="shared" ref="F150:F151" si="0">100801-24845-2486</f>
        <v>73470</v>
      </c>
      <c r="G150" s="11">
        <v>20434</v>
      </c>
      <c r="H150" s="119">
        <f>_xlfn.XLOOKUP(Table1[[#This Row],[Shipment Number]], 'pivot '!A:A,'pivot '!G:G, "NF")</f>
        <v>7.5532474277255375</v>
      </c>
      <c r="I150" s="120">
        <f>Table1[[#This Row],[Tiyaar/gaz]]/1.0936</f>
        <v>18685.076810534018</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8"/>
    </row>
    <row r="151" spans="1:11" x14ac:dyDescent="0.3">
      <c r="A151" s="123">
        <v>46090</v>
      </c>
      <c r="B151" s="121" t="s">
        <v>21</v>
      </c>
      <c r="C151" s="118">
        <v>1589</v>
      </c>
      <c r="D151" s="118" t="s">
        <v>85</v>
      </c>
      <c r="E151" s="11">
        <v>2096</v>
      </c>
      <c r="F151" s="11">
        <f t="shared" si="0"/>
        <v>73470</v>
      </c>
      <c r="G151" s="11">
        <v>41936</v>
      </c>
      <c r="H151" s="119">
        <f>_xlfn.XLOOKUP(Table1[[#This Row],[Shipment Number]], 'pivot '!A:A,'pivot '!G:G, "NF")</f>
        <v>7.5532474277255375</v>
      </c>
      <c r="I151" s="120">
        <f>Table1[[#This Row],[Tiyaar/gaz]]/1.0936</f>
        <v>38346.74469641551</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8"/>
    </row>
    <row r="152" spans="1:11" x14ac:dyDescent="0.3">
      <c r="A152" s="123">
        <v>46090</v>
      </c>
      <c r="B152" s="121" t="s">
        <v>21</v>
      </c>
      <c r="C152" s="118">
        <v>1590</v>
      </c>
      <c r="D152" s="118" t="s">
        <v>85</v>
      </c>
      <c r="E152" s="11">
        <v>2116</v>
      </c>
      <c r="F152" s="11">
        <v>16029</v>
      </c>
      <c r="G152" s="11">
        <v>6594</v>
      </c>
      <c r="H152" s="119">
        <f>_xlfn.XLOOKUP(Table1[[#This Row],[Shipment Number]], 'pivot '!A:A,'pivot '!G:G, "NF")</f>
        <v>5.2045070285235937</v>
      </c>
      <c r="I152" s="120">
        <f>Table1[[#This Row],[Tiyaar/gaz]]/1.0936</f>
        <v>6029.6269202633512</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8"/>
    </row>
    <row r="153" spans="1:11" x14ac:dyDescent="0.3">
      <c r="A153" s="123">
        <v>46091</v>
      </c>
      <c r="B153" s="121" t="s">
        <v>178</v>
      </c>
      <c r="C153" s="118">
        <v>1591</v>
      </c>
      <c r="D153" s="118" t="s">
        <v>86</v>
      </c>
      <c r="E153" s="11">
        <v>2120</v>
      </c>
      <c r="F153" s="11">
        <v>50958</v>
      </c>
      <c r="G153" s="11">
        <v>5615</v>
      </c>
      <c r="H153" s="119">
        <f>_xlfn.XLOOKUP(Table1[[#This Row],[Shipment Number]], 'pivot '!A:A,'pivot '!G:G, "NF")</f>
        <v>4.1535360258959741</v>
      </c>
      <c r="I153" s="120">
        <f>Table1[[#This Row],[Tiyaar/gaz]]/1.0936</f>
        <v>5134.4184345281647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8"/>
    </row>
    <row r="154" spans="1:11" x14ac:dyDescent="0.3">
      <c r="A154" s="123">
        <v>46091</v>
      </c>
      <c r="B154" s="121" t="s">
        <v>22</v>
      </c>
      <c r="C154" s="118">
        <v>1592</v>
      </c>
      <c r="D154" s="118" t="s">
        <v>86</v>
      </c>
      <c r="E154" s="11">
        <v>2130</v>
      </c>
      <c r="F154" s="11">
        <v>6402</v>
      </c>
      <c r="G154" s="11">
        <v>6963</v>
      </c>
      <c r="H154" s="119">
        <f>_xlfn.XLOOKUP(Table1[[#This Row],[Shipment Number]], 'pivot '!A:A,'pivot '!G:G, "NF")</f>
        <v>0.54600713429209691</v>
      </c>
      <c r="I154" s="120">
        <f>Table1[[#This Row],[Tiyaar/gaz]]/1.0936</f>
        <v>6367.0446232626191</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8"/>
    </row>
    <row r="155" spans="1:11" x14ac:dyDescent="0.3">
      <c r="A155" s="123">
        <v>46091</v>
      </c>
      <c r="B155" s="121" t="s">
        <v>192</v>
      </c>
      <c r="C155" s="118">
        <v>1593</v>
      </c>
      <c r="D155" s="118" t="s">
        <v>86</v>
      </c>
      <c r="E155" s="11">
        <v>2126</v>
      </c>
      <c r="F155" s="11">
        <v>6713</v>
      </c>
      <c r="G155" s="11">
        <v>1510</v>
      </c>
      <c r="H155" s="119">
        <f>_xlfn.XLOOKUP(Table1[[#This Row],[Shipment Number]], 'pivot '!A:A,'pivot '!G:G, "NF")</f>
        <v>1.3939804532602125</v>
      </c>
      <c r="I155" s="120">
        <f>Table1[[#This Row],[Tiyaar/gaz]]/1.0936</f>
        <v>1380.7607900512071</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8"/>
    </row>
    <row r="156" spans="1:11" x14ac:dyDescent="0.3">
      <c r="A156" s="123">
        <v>46091</v>
      </c>
      <c r="B156" s="121" t="s">
        <v>21</v>
      </c>
      <c r="C156" s="118">
        <v>1594</v>
      </c>
      <c r="D156" s="118" t="s">
        <v>85</v>
      </c>
      <c r="E156" s="11">
        <v>2116</v>
      </c>
      <c r="F156" s="11">
        <v>16029</v>
      </c>
      <c r="G156" s="11">
        <v>5735</v>
      </c>
      <c r="H156" s="119">
        <f>_xlfn.XLOOKUP(Table1[[#This Row],[Shipment Number]], 'pivot '!A:A,'pivot '!G:G, "NF")</f>
        <v>5.2045070285235937</v>
      </c>
      <c r="I156" s="120">
        <f>Table1[[#This Row],[Tiyaar/gaz]]/1.0936</f>
        <v>5244.1477688368695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8"/>
    </row>
    <row r="157" spans="1:11" x14ac:dyDescent="0.3">
      <c r="A157" s="123">
        <v>46091</v>
      </c>
      <c r="B157" s="121" t="s">
        <v>21</v>
      </c>
      <c r="C157" s="118">
        <v>1595</v>
      </c>
      <c r="D157" s="118" t="s">
        <v>85</v>
      </c>
      <c r="E157" s="11">
        <v>2129</v>
      </c>
      <c r="F157" s="11">
        <v>13663</v>
      </c>
      <c r="G157" s="11">
        <v>5660</v>
      </c>
      <c r="H157" s="119">
        <f>_xlfn.XLOOKUP(Table1[[#This Row],[Shipment Number]], 'pivot '!A:A,'pivot '!G:G, "NF")</f>
        <v>62.119835066281723</v>
      </c>
      <c r="I157" s="120">
        <f>Table1[[#This Row],[Tiyaar/gaz]]/1.0936</f>
        <v>5175.5669348939291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8"/>
    </row>
    <row r="158" spans="1:11" x14ac:dyDescent="0.3">
      <c r="A158" s="123">
        <v>46091</v>
      </c>
      <c r="B158" s="121" t="s">
        <v>21</v>
      </c>
      <c r="C158" s="118">
        <v>1596</v>
      </c>
      <c r="D158" s="118" t="s">
        <v>85</v>
      </c>
      <c r="E158" s="11">
        <v>2114</v>
      </c>
      <c r="F158" s="11">
        <v>22835</v>
      </c>
      <c r="G158" s="11">
        <v>1458</v>
      </c>
      <c r="H158" s="119">
        <f>_xlfn.XLOOKUP(Table1[[#This Row],[Shipment Number]], 'pivot '!A:A,'pivot '!G:G, "NF")</f>
        <v>-6.9702834606394646</v>
      </c>
      <c r="I158" s="120">
        <f>Table1[[#This Row],[Tiyaar/gaz]]/1.0936</f>
        <v>1333.2114118507682</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13332.114118507681</v>
      </c>
      <c r="K158" s="118"/>
    </row>
    <row r="159" spans="1:11" x14ac:dyDescent="0.3">
      <c r="A159" s="123">
        <v>46091</v>
      </c>
      <c r="B159" s="121" t="s">
        <v>21</v>
      </c>
      <c r="C159" s="118">
        <v>1597</v>
      </c>
      <c r="D159" s="118" t="s">
        <v>207</v>
      </c>
      <c r="E159" s="11">
        <v>2082</v>
      </c>
      <c r="F159" s="11">
        <v>83635</v>
      </c>
      <c r="G159" s="11">
        <v>20744</v>
      </c>
      <c r="H159" s="119">
        <f>_xlfn.XLOOKUP(Table1[[#This Row],[Shipment Number]], 'pivot '!A:A,'pivot '!G:G, "NF")</f>
        <v>47.49693745801865</v>
      </c>
      <c r="I159" s="120">
        <f>Table1[[#This Row],[Tiyaar/gaz]]/1.0936</f>
        <v>18968.544257498172</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8"/>
    </row>
    <row r="160" spans="1:11" x14ac:dyDescent="0.3">
      <c r="A160" s="123">
        <v>46092</v>
      </c>
      <c r="B160" s="121" t="s">
        <v>178</v>
      </c>
      <c r="C160" s="118">
        <v>1598</v>
      </c>
      <c r="D160" s="118" t="s">
        <v>86</v>
      </c>
      <c r="E160" s="11">
        <v>2120</v>
      </c>
      <c r="F160" s="11">
        <v>20958</v>
      </c>
      <c r="G160" s="11">
        <v>39271</v>
      </c>
      <c r="H160" s="119">
        <f>_xlfn.XLOOKUP(Table1[[#This Row],[Shipment Number]], 'pivot '!A:A,'pivot '!G:G, "NF")</f>
        <v>4.1535360258959741</v>
      </c>
      <c r="I160" s="120">
        <f>Table1[[#This Row],[Tiyaar/gaz]]/1.0936</f>
        <v>35909.839063643019</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8"/>
    </row>
    <row r="161" spans="1:12" x14ac:dyDescent="0.3">
      <c r="A161" s="123">
        <v>46092</v>
      </c>
      <c r="B161" s="121" t="s">
        <v>21</v>
      </c>
      <c r="C161" s="118">
        <v>1599</v>
      </c>
      <c r="D161" s="118" t="s">
        <v>86</v>
      </c>
      <c r="E161" s="11">
        <v>2115</v>
      </c>
      <c r="F161" s="11">
        <v>18783</v>
      </c>
      <c r="G161" s="11">
        <v>3308</v>
      </c>
      <c r="H161" s="119">
        <f>_xlfn.XLOOKUP(Table1[[#This Row],[Shipment Number]], 'pivot '!A:A,'pivot '!G:G, "NF")</f>
        <v>2.3907632393858194</v>
      </c>
      <c r="I161" s="120">
        <f>Table1[[#This Row],[Tiyaar/gaz]]/1.0936</f>
        <v>3024.8719824433069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8"/>
    </row>
    <row r="162" spans="1:12" x14ac:dyDescent="0.3">
      <c r="A162" s="123">
        <v>46092</v>
      </c>
      <c r="B162" s="121" t="s">
        <v>21</v>
      </c>
      <c r="C162" s="118">
        <v>1600</v>
      </c>
      <c r="D162" s="118" t="s">
        <v>86</v>
      </c>
      <c r="E162" s="11">
        <v>2114</v>
      </c>
      <c r="F162" s="11">
        <v>22835</v>
      </c>
      <c r="G162" s="11">
        <v>6435</v>
      </c>
      <c r="H162" s="119">
        <f>_xlfn.XLOOKUP(Table1[[#This Row],[Shipment Number]], 'pivot '!A:A,'pivot '!G:G, "NF")</f>
        <v>-6.9702834606394646</v>
      </c>
      <c r="I162" s="120">
        <f>Table1[[#This Row],[Tiyaar/gaz]]/1.0936</f>
        <v>5884.2355523043161</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8"/>
    </row>
    <row r="163" spans="1:12" x14ac:dyDescent="0.3">
      <c r="A163" s="123">
        <v>46092</v>
      </c>
      <c r="B163" s="121" t="s">
        <v>21</v>
      </c>
      <c r="C163" s="118">
        <v>1601</v>
      </c>
      <c r="D163" s="118" t="s">
        <v>207</v>
      </c>
      <c r="E163" s="11">
        <v>2082</v>
      </c>
      <c r="F163" s="11">
        <v>83635</v>
      </c>
      <c r="G163" s="11">
        <v>1806</v>
      </c>
      <c r="H163" s="119">
        <f>_xlfn.XLOOKUP(Table1[[#This Row],[Shipment Number]], 'pivot '!A:A,'pivot '!G:G, "NF")</f>
        <v>47.49693745801865</v>
      </c>
      <c r="I163" s="120">
        <f>Table1[[#This Row],[Tiyaar/gaz]]/1.0936</f>
        <v>1651.4264813460134</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8"/>
      <c r="L163"/>
    </row>
    <row r="164" spans="1:12" x14ac:dyDescent="0.3">
      <c r="A164" s="123">
        <v>46092</v>
      </c>
      <c r="B164" s="121" t="s">
        <v>21</v>
      </c>
      <c r="C164" s="118">
        <v>1602</v>
      </c>
      <c r="D164" s="118" t="s">
        <v>85</v>
      </c>
      <c r="E164" s="11">
        <v>2132</v>
      </c>
      <c r="F164" s="11">
        <v>12291</v>
      </c>
      <c r="G164" s="11">
        <v>12924</v>
      </c>
      <c r="H164" s="119">
        <f>_xlfn.XLOOKUP(Table1[[#This Row],[Shipment Number]], 'pivot '!A:A,'pivot '!G:G, "NF")</f>
        <v>3.849570376311533</v>
      </c>
      <c r="I164" s="120">
        <f>Table1[[#This Row],[Tiyaar/gaz]]/1.0936</f>
        <v>11817.84930504755</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8"/>
    </row>
    <row r="165" spans="1:12" x14ac:dyDescent="0.3">
      <c r="A165" s="123">
        <v>46092</v>
      </c>
      <c r="B165" s="121" t="s">
        <v>21</v>
      </c>
      <c r="C165" s="118">
        <v>1603</v>
      </c>
      <c r="D165" s="118" t="s">
        <v>85</v>
      </c>
      <c r="E165" s="11">
        <v>2097</v>
      </c>
      <c r="F165" s="11">
        <v>9338</v>
      </c>
      <c r="G165" s="11">
        <v>9739</v>
      </c>
      <c r="H165" s="119">
        <f>_xlfn.XLOOKUP(Table1[[#This Row],[Shipment Number]], 'pivot '!A:A,'pivot '!G:G, "NF")</f>
        <v>4.632149386692376</v>
      </c>
      <c r="I165" s="120">
        <f>Table1[[#This Row],[Tiyaar/gaz]]/1.0936</f>
        <v>8905.4498902706673</v>
      </c>
      <c r="J165" s="120"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8"/>
    </row>
    <row r="166" spans="1:12" x14ac:dyDescent="0.3">
      <c r="A166" s="123">
        <v>46092</v>
      </c>
      <c r="B166" s="121" t="s">
        <v>21</v>
      </c>
      <c r="C166" s="118">
        <v>1604</v>
      </c>
      <c r="D166" s="118" t="s">
        <v>85</v>
      </c>
      <c r="E166" s="11">
        <v>2139</v>
      </c>
      <c r="F166" s="11"/>
      <c r="G166" s="11">
        <v>8959</v>
      </c>
      <c r="H166" s="119" t="e">
        <f>_xlfn.XLOOKUP(Table1[[#This Row],[Shipment Number]], 'pivot '!A:A,'pivot '!G:G, "NF")</f>
        <v>#DIV/0!</v>
      </c>
      <c r="I166" s="120">
        <f>Table1[[#This Row],[Tiyaar/gaz]]/1.0936</f>
        <v>8192.2092172640823</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8"/>
    </row>
    <row r="167" spans="1:12" x14ac:dyDescent="0.3">
      <c r="A167" s="123">
        <v>46092</v>
      </c>
      <c r="B167" s="121" t="s">
        <v>21</v>
      </c>
      <c r="C167" s="118">
        <v>1605</v>
      </c>
      <c r="D167" s="118" t="s">
        <v>85</v>
      </c>
      <c r="E167" s="11">
        <v>2116</v>
      </c>
      <c r="F167" s="11">
        <v>16029</v>
      </c>
      <c r="G167" s="11">
        <v>4288</v>
      </c>
      <c r="H167" s="119">
        <f>_xlfn.XLOOKUP(Table1[[#This Row],[Shipment Number]], 'pivot '!A:A,'pivot '!G:G, "NF")</f>
        <v>5.2045070285235937</v>
      </c>
      <c r="I167" s="120">
        <f>Table1[[#This Row],[Tiyaar/gaz]]/1.0936</f>
        <v>3920.9948792977325</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8"/>
    </row>
    <row r="168" spans="1:12" x14ac:dyDescent="0.3">
      <c r="A168" s="123">
        <v>46092</v>
      </c>
      <c r="B168" s="121" t="s">
        <v>21</v>
      </c>
      <c r="C168" s="118">
        <v>1606</v>
      </c>
      <c r="D168" s="118" t="s">
        <v>85</v>
      </c>
      <c r="E168" s="11">
        <v>2145</v>
      </c>
      <c r="F168" s="11">
        <v>5552</v>
      </c>
      <c r="G168" s="11">
        <f>1928+1995</f>
        <v>3923</v>
      </c>
      <c r="H168" s="119">
        <f>_xlfn.XLOOKUP(Table1[[#This Row],[Shipment Number]], 'pivot '!A:A,'pivot '!G:G, "NF")</f>
        <v>35.388421816004666</v>
      </c>
      <c r="I168" s="120">
        <f>Table1[[#This Row],[Tiyaar/gaz]]/1.0936</f>
        <v>3587.2348207754208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8"/>
    </row>
    <row r="169" spans="1:12" x14ac:dyDescent="0.3">
      <c r="A169" s="123">
        <v>46092</v>
      </c>
      <c r="B169" s="121" t="s">
        <v>21</v>
      </c>
      <c r="C169" s="118">
        <v>1607</v>
      </c>
      <c r="D169" s="118" t="s">
        <v>85</v>
      </c>
      <c r="E169" s="11">
        <v>2098</v>
      </c>
      <c r="F169" s="11">
        <v>1127</v>
      </c>
      <c r="G169" s="11">
        <v>1095</v>
      </c>
      <c r="H169" s="119">
        <f>_xlfn.XLOOKUP(Table1[[#This Row],[Shipment Number]], 'pivot '!A:A,'pivot '!G:G, "NF")</f>
        <v>11.155263924850473</v>
      </c>
      <c r="I169" s="120">
        <f>Table1[[#This Row],[Tiyaar/gaz]]/1.0936</f>
        <v>1001.280175566935</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8"/>
    </row>
    <row r="170" spans="1:12" x14ac:dyDescent="0.3">
      <c r="A170" s="123">
        <v>46092</v>
      </c>
      <c r="B170" s="121"/>
      <c r="C170" s="118"/>
      <c r="D170" s="118"/>
      <c r="E170" s="11"/>
      <c r="F170" s="11"/>
      <c r="G170" s="11"/>
      <c r="H170" s="119" t="e">
        <f>_xlfn.XLOOKUP(Table1[[#This Row],[Shipment Number]], 'pivot '!A:A,'pivot '!G:G, "NF")</f>
        <v>#DIV/0!</v>
      </c>
      <c r="I170" s="120"/>
      <c r="J170" s="120"/>
      <c r="K170" s="118"/>
    </row>
    <row r="171" spans="1:12" x14ac:dyDescent="0.3">
      <c r="A171" s="118"/>
      <c r="B171" s="121"/>
      <c r="C171" s="118"/>
      <c r="D171" s="118"/>
      <c r="E171" s="11"/>
      <c r="F171" s="11"/>
      <c r="G171" s="11"/>
      <c r="H171" s="119" t="e">
        <f>_xlfn.XLOOKUP(Table1[[#This Row],[Shipment Number]], 'pivot '!A:A,'pivot '!G:G, "NF")</f>
        <v>#DIV/0!</v>
      </c>
      <c r="I171" s="120"/>
      <c r="J171" s="120"/>
      <c r="K171" s="118"/>
    </row>
    <row r="172" spans="1:12" x14ac:dyDescent="0.3">
      <c r="A172" s="118"/>
      <c r="B172" s="121"/>
      <c r="C172" s="118"/>
      <c r="D172" s="118"/>
      <c r="E172" s="11"/>
      <c r="F172" s="11"/>
      <c r="G172" s="11"/>
      <c r="H172" s="119" t="e">
        <f>_xlfn.XLOOKUP(Table1[[#This Row],[Shipment Number]], 'pivot '!A:A,'pivot '!G:G, "NF")</f>
        <v>#DIV/0!</v>
      </c>
      <c r="I172" s="120"/>
      <c r="J172" s="120"/>
      <c r="K172" s="118"/>
    </row>
    <row r="173" spans="1:12" x14ac:dyDescent="0.3">
      <c r="A173" s="118"/>
      <c r="B173" s="121"/>
      <c r="C173" s="118"/>
      <c r="D173" s="118"/>
      <c r="E173" s="11"/>
      <c r="F173" s="11"/>
      <c r="G173" s="11"/>
      <c r="H173" s="119" t="e">
        <f>_xlfn.XLOOKUP(Table1[[#This Row],[Shipment Number]], 'pivot '!A:A,'pivot '!G:G, "NF")</f>
        <v>#DIV/0!</v>
      </c>
      <c r="I173" s="120"/>
      <c r="J173" s="120"/>
      <c r="K173" s="118"/>
    </row>
    <row r="174" spans="1:12" x14ac:dyDescent="0.3">
      <c r="A174" s="118"/>
      <c r="B174" s="121"/>
      <c r="C174" s="118"/>
      <c r="D174" s="118"/>
      <c r="E174" s="11"/>
      <c r="F174" s="11"/>
      <c r="G174" s="11"/>
      <c r="H174" s="119" t="e">
        <f>_xlfn.XLOOKUP(Table1[[#This Row],[Shipment Number]], 'pivot '!A:A,'pivot '!G:G, "NF")</f>
        <v>#DIV/0!</v>
      </c>
      <c r="I174" s="120"/>
      <c r="J174" s="120"/>
      <c r="K174" s="118"/>
    </row>
    <row r="175" spans="1:12" x14ac:dyDescent="0.3">
      <c r="A175"/>
      <c r="B175"/>
      <c r="C175"/>
      <c r="D175"/>
      <c r="E175" s="14"/>
      <c r="F175" s="14"/>
      <c r="G175" s="14"/>
      <c r="H175" s="43"/>
      <c r="I175" s="94" cm="1">
        <f t="array" aca="1" ref="I175" ca="1">SUMPRODUCT( SUBTOTAL(109, OFFSET(Table1[tiyar/meters], ROW(Table1[tiyar/meters])-MIN(ROW(Table1[tiyar/meters])), 0, 1)), --(Table1[Bill Number]&lt;&gt;"January Closing CF") )</f>
        <v>1368397.9517190934</v>
      </c>
      <c r="J175" s="43" cm="1">
        <f t="array" aca="1" ref="J175" ca="1">SUMPRODUCT( SUBTOTAL(109, OFFSET(Table1[billing], ROW(Table1[billing])-MIN(ROW(Table1[billing])), 0, 1)), --(Table1[Bill Number]&lt;&gt;"January Closing CF") )</f>
        <v>15114833.577176299</v>
      </c>
      <c r="K175" s="14">
        <f>SUMIFS(Table1[billing], Table1[Bill Number], "&lt;&gt;January Closing CF")</f>
        <v>15114833.577176299</v>
      </c>
    </row>
  </sheetData>
  <phoneticPr fontId="7" alignment="center"/>
  <conditionalFormatting sqref="H2:H1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B35" zoomScale="145" zoomScaleNormal="90" workbookViewId="0">
      <selection activeCell="F26" sqref="F2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4392370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386210</v>
      </c>
      <c r="O34" s="14"/>
      <c r="P34" s="14">
        <v>386210</v>
      </c>
    </row>
    <row r="35" spans="1:16" x14ac:dyDescent="0.3">
      <c r="A35" s="1">
        <v>46087</v>
      </c>
      <c r="B35" t="s">
        <v>218</v>
      </c>
      <c r="D35" s="11">
        <v>121</v>
      </c>
      <c r="E35" s="11">
        <v>820</v>
      </c>
      <c r="F35" s="11"/>
      <c r="G35" s="11">
        <f t="shared" si="2"/>
        <v>99220</v>
      </c>
      <c r="H35" s="11"/>
      <c r="I35" s="11">
        <f>(D35*E35)-Table3[[#This Row],[Paid]]</f>
        <v>99220</v>
      </c>
      <c r="L35" s="42" t="s">
        <v>103</v>
      </c>
      <c r="M35" s="14">
        <v>596</v>
      </c>
      <c r="N35" s="14">
        <v>386210</v>
      </c>
      <c r="O35" s="14"/>
      <c r="P35" s="14">
        <v>386210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t="s">
        <v>28</v>
      </c>
      <c r="M38" s="14">
        <v>5534</v>
      </c>
      <c r="N38" s="14">
        <v>4078270</v>
      </c>
      <c r="O38" s="14">
        <v>0</v>
      </c>
      <c r="P38" s="14">
        <v>8132296</v>
      </c>
    </row>
    <row r="39" spans="1:16" x14ac:dyDescent="0.3">
      <c r="A39" s="1">
        <v>46090</v>
      </c>
      <c r="B39" t="s">
        <v>169</v>
      </c>
      <c r="D39" s="11">
        <v>246</v>
      </c>
      <c r="E39" s="11">
        <v>580</v>
      </c>
      <c r="F39" s="11"/>
      <c r="G39" s="11">
        <f t="shared" si="2"/>
        <v>142680</v>
      </c>
      <c r="H39" s="11"/>
      <c r="I39" s="11">
        <f>(D39*E39)-Table3[[#This Row],[Paid]]</f>
        <v>142680</v>
      </c>
    </row>
    <row r="40" spans="1:16" x14ac:dyDescent="0.3">
      <c r="A40" s="1">
        <v>46090</v>
      </c>
      <c r="B40" t="s">
        <v>169</v>
      </c>
      <c r="D40" s="11">
        <v>260</v>
      </c>
      <c r="E40" s="11">
        <v>830</v>
      </c>
      <c r="F40" s="11"/>
      <c r="G40" s="11">
        <f t="shared" si="2"/>
        <v>215800</v>
      </c>
      <c r="H40" s="11"/>
      <c r="I40" s="11">
        <f>(D40*E40)-Table3[[#This Row],[Paid]]</f>
        <v>215800</v>
      </c>
    </row>
    <row r="41" spans="1:16" x14ac:dyDescent="0.3">
      <c r="A41" s="1">
        <v>46092</v>
      </c>
      <c r="B41" t="s">
        <v>169</v>
      </c>
      <c r="D41" s="11">
        <v>272</v>
      </c>
      <c r="E41" s="11">
        <v>580</v>
      </c>
      <c r="F41" s="11"/>
      <c r="G41" s="11">
        <f t="shared" si="2"/>
        <v>157760</v>
      </c>
      <c r="H41" s="11"/>
      <c r="I41" s="11">
        <f>(D41*E41)-Table3[[#This Row],[Paid]]</f>
        <v>157760</v>
      </c>
    </row>
    <row r="42" spans="1:16" x14ac:dyDescent="0.3">
      <c r="A42" s="1"/>
      <c r="D42" s="11"/>
      <c r="E42" s="11"/>
      <c r="F42" s="11"/>
      <c r="G42" s="11">
        <f t="shared" si="2"/>
        <v>0</v>
      </c>
      <c r="H42" s="11"/>
      <c r="I42" s="11">
        <f>(D42*E42)-Table3[[#This Row],[Paid]]</f>
        <v>0</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4392370</v>
      </c>
      <c r="H122" s="14">
        <f>SUBTOTAL(109,Table3[Paid])</f>
        <v>0</v>
      </c>
      <c r="I122" s="14">
        <f>SUBTOTAL(109,Table3[balance])</f>
        <v>8446396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97" zoomScale="121" zoomScaleNormal="85" workbookViewId="0">
      <selection activeCell="E317" sqref="E31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5962642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18319092</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18887046.493050475</v>
      </c>
      <c r="M5" s="45" t="s">
        <v>108</v>
      </c>
      <c r="N5" s="46">
        <f>(SUMIFS(Table14[Credit],Table14[Mode],"Bank")-SUMIFS(Table14[Debit],Table14[Mode],"Bank")-SUMIFS(Table14[Withdrawal],Table14[Mode],"Transfer"))</f>
        <v>1178870.4930504747</v>
      </c>
      <c r="O5">
        <v>360000</v>
      </c>
    </row>
    <row r="6" spans="1:16" x14ac:dyDescent="0.3">
      <c r="A6" s="115">
        <v>46014</v>
      </c>
      <c r="B6" s="81" t="s">
        <v>212</v>
      </c>
      <c r="C6" s="11"/>
      <c r="D6" s="11">
        <v>658663</v>
      </c>
      <c r="E6" s="81" t="s">
        <v>223</v>
      </c>
      <c r="F6" s="88" t="s">
        <v>108</v>
      </c>
      <c r="J6" s="52" t="s">
        <v>43</v>
      </c>
      <c r="K6" s="53">
        <f>(K5-K4)</f>
        <v>567954.49305047467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567954.49305047467</v>
      </c>
      <c r="O7" s="90">
        <f>SUM(O5,O6)</f>
        <v>410000</v>
      </c>
      <c r="P7" s="14">
        <f>Table18[[#Totals],[amount]]-Table18[[#Totals],[Actual]]</f>
        <v>157954.49305047467</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108000</v>
      </c>
      <c r="N164">
        <v>45600</v>
      </c>
      <c r="O164">
        <v>9200</v>
      </c>
    </row>
    <row r="165" spans="1:15" x14ac:dyDescent="0.3">
      <c r="A165" s="38">
        <v>46083</v>
      </c>
      <c r="B165" t="s">
        <v>282</v>
      </c>
      <c r="C165" s="11"/>
      <c r="D165" s="11"/>
      <c r="E165" t="s">
        <v>359</v>
      </c>
      <c r="F165" s="111" t="s">
        <v>108</v>
      </c>
      <c r="J165" s="4" t="s">
        <v>9</v>
      </c>
      <c r="K165" s="14">
        <v>560000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709894</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1086360</v>
      </c>
      <c r="N171">
        <v>13670</v>
      </c>
      <c r="O171">
        <v>1000</v>
      </c>
    </row>
    <row r="172" spans="1:15" x14ac:dyDescent="0.3">
      <c r="A172" s="38">
        <v>46083</v>
      </c>
      <c r="B172" t="s">
        <v>282</v>
      </c>
      <c r="C172" s="11"/>
      <c r="D172" s="11"/>
      <c r="E172" t="s">
        <v>363</v>
      </c>
      <c r="F172" s="111" t="s">
        <v>108</v>
      </c>
      <c r="J172" s="4" t="s">
        <v>54</v>
      </c>
      <c r="K172" s="14"/>
      <c r="L172" s="14">
        <v>99975</v>
      </c>
      <c r="N172">
        <v>18120</v>
      </c>
      <c r="O172">
        <v>35000</v>
      </c>
    </row>
    <row r="173" spans="1:15" x14ac:dyDescent="0.3">
      <c r="A173" s="38">
        <v>46082</v>
      </c>
      <c r="B173" t="s">
        <v>282</v>
      </c>
      <c r="C173" s="11"/>
      <c r="D173" s="11"/>
      <c r="E173" t="s">
        <v>364</v>
      </c>
      <c r="F173" s="111" t="s">
        <v>108</v>
      </c>
      <c r="J173" s="4" t="s">
        <v>221</v>
      </c>
      <c r="K173" s="14"/>
      <c r="L173" s="14">
        <v>796154</v>
      </c>
      <c r="N173">
        <v>7650</v>
      </c>
      <c r="O173">
        <v>29600</v>
      </c>
    </row>
    <row r="174" spans="1:15" x14ac:dyDescent="0.3">
      <c r="A174" s="38">
        <v>46083</v>
      </c>
      <c r="B174" t="s">
        <v>282</v>
      </c>
      <c r="C174" s="11"/>
      <c r="D174" s="11"/>
      <c r="E174" t="s">
        <v>364</v>
      </c>
      <c r="F174" s="111" t="s">
        <v>108</v>
      </c>
      <c r="J174" s="4" t="s">
        <v>212</v>
      </c>
      <c r="K174" s="14">
        <v>668663</v>
      </c>
      <c r="L174" s="14">
        <v>28743</v>
      </c>
      <c r="N174">
        <v>25000</v>
      </c>
      <c r="O174">
        <v>20000</v>
      </c>
    </row>
    <row r="175" spans="1:15" x14ac:dyDescent="0.3">
      <c r="A175" s="38">
        <v>46083</v>
      </c>
      <c r="B175" t="s">
        <v>358</v>
      </c>
      <c r="C175" s="11">
        <v>12000</v>
      </c>
      <c r="D175" s="11"/>
      <c r="E175" t="s">
        <v>361</v>
      </c>
      <c r="F175" s="111" t="s">
        <v>108</v>
      </c>
      <c r="J175" s="4" t="s">
        <v>225</v>
      </c>
      <c r="K175" s="14">
        <v>686668</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375000</v>
      </c>
      <c r="L177" s="14"/>
      <c r="N177">
        <v>22650</v>
      </c>
    </row>
    <row r="178" spans="1:15" x14ac:dyDescent="0.3">
      <c r="A178" s="38">
        <v>46083</v>
      </c>
      <c r="B178" t="s">
        <v>298</v>
      </c>
      <c r="C178" s="11">
        <v>23000</v>
      </c>
      <c r="D178" s="11"/>
      <c r="E178" t="s">
        <v>368</v>
      </c>
      <c r="F178" s="111" t="s">
        <v>108</v>
      </c>
      <c r="J178" s="4" t="s">
        <v>245</v>
      </c>
      <c r="K178" s="14">
        <v>1193080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423</v>
      </c>
      <c r="K180" s="14">
        <v>200000</v>
      </c>
      <c r="L180" s="14"/>
      <c r="N180">
        <v>22650</v>
      </c>
      <c r="O180">
        <v>16630</v>
      </c>
    </row>
    <row r="181" spans="1:15" x14ac:dyDescent="0.3">
      <c r="A181" s="38">
        <v>46083</v>
      </c>
      <c r="B181" t="s">
        <v>225</v>
      </c>
      <c r="C181" s="11"/>
      <c r="D181" s="11">
        <v>100000</v>
      </c>
      <c r="E181" t="s">
        <v>370</v>
      </c>
      <c r="F181" s="111" t="s">
        <v>108</v>
      </c>
      <c r="J181" s="4" t="s">
        <v>298</v>
      </c>
      <c r="K181" s="14"/>
      <c r="L181" s="14">
        <v>152125</v>
      </c>
      <c r="N181">
        <v>25000</v>
      </c>
      <c r="O181">
        <v>16630</v>
      </c>
    </row>
    <row r="182" spans="1:15" x14ac:dyDescent="0.3">
      <c r="A182" s="38">
        <v>46083</v>
      </c>
      <c r="B182" t="s">
        <v>55</v>
      </c>
      <c r="C182" s="11">
        <v>1600</v>
      </c>
      <c r="D182" s="11"/>
      <c r="E182" t="s">
        <v>371</v>
      </c>
      <c r="F182" s="111" t="s">
        <v>108</v>
      </c>
      <c r="J182" s="4" t="s">
        <v>169</v>
      </c>
      <c r="K182" s="14"/>
      <c r="L182" s="14">
        <v>1210460</v>
      </c>
      <c r="N182">
        <v>20000</v>
      </c>
      <c r="O182">
        <v>7650</v>
      </c>
    </row>
    <row r="183" spans="1:15" x14ac:dyDescent="0.3">
      <c r="A183" s="38">
        <v>46083</v>
      </c>
      <c r="B183" t="s">
        <v>282</v>
      </c>
      <c r="C183" s="11"/>
      <c r="D183" s="11"/>
      <c r="E183" t="s">
        <v>372</v>
      </c>
      <c r="F183" s="111" t="s">
        <v>108</v>
      </c>
      <c r="J183" s="4" t="s">
        <v>273</v>
      </c>
      <c r="K183" s="14"/>
      <c r="L183" s="14">
        <v>251000</v>
      </c>
      <c r="N183">
        <v>16650</v>
      </c>
      <c r="O183">
        <v>17000</v>
      </c>
    </row>
    <row r="184" spans="1:15" x14ac:dyDescent="0.3">
      <c r="A184" s="38">
        <v>46083</v>
      </c>
      <c r="B184" t="s">
        <v>55</v>
      </c>
      <c r="C184" s="11">
        <v>2120</v>
      </c>
      <c r="D184" s="11"/>
      <c r="E184" t="s">
        <v>373</v>
      </c>
      <c r="F184" s="111" t="s">
        <v>108</v>
      </c>
      <c r="J184" s="4" t="s">
        <v>220</v>
      </c>
      <c r="K184" s="14">
        <v>4979500</v>
      </c>
      <c r="L184" s="14">
        <v>7822648</v>
      </c>
      <c r="N184">
        <v>29600</v>
      </c>
      <c r="O184">
        <v>16650</v>
      </c>
    </row>
    <row r="185" spans="1:15" x14ac:dyDescent="0.3">
      <c r="A185" s="38">
        <v>46083</v>
      </c>
      <c r="B185" t="s">
        <v>358</v>
      </c>
      <c r="C185" s="11">
        <v>5000</v>
      </c>
      <c r="D185" s="11"/>
      <c r="E185" t="s">
        <v>374</v>
      </c>
      <c r="F185" s="111" t="s">
        <v>108</v>
      </c>
      <c r="J185" s="4" t="s">
        <v>165</v>
      </c>
      <c r="K185" s="14"/>
      <c r="L185" s="14">
        <v>65000</v>
      </c>
      <c r="N185">
        <v>16630</v>
      </c>
      <c r="O185">
        <v>24400</v>
      </c>
    </row>
    <row r="186" spans="1:15" x14ac:dyDescent="0.3">
      <c r="A186" s="38">
        <v>46083</v>
      </c>
      <c r="B186" t="s">
        <v>358</v>
      </c>
      <c r="C186" s="11">
        <v>10000</v>
      </c>
      <c r="D186" s="11"/>
      <c r="E186" t="s">
        <v>275</v>
      </c>
      <c r="F186" s="111" t="s">
        <v>108</v>
      </c>
      <c r="J186" s="4" t="s">
        <v>175</v>
      </c>
      <c r="K186" s="14">
        <v>704000</v>
      </c>
      <c r="L186" s="14"/>
      <c r="N186">
        <v>16650</v>
      </c>
      <c r="O186">
        <v>15000</v>
      </c>
    </row>
    <row r="187" spans="1:15" x14ac:dyDescent="0.3">
      <c r="A187" s="38">
        <v>46083</v>
      </c>
      <c r="B187" t="s">
        <v>220</v>
      </c>
      <c r="C187" s="11"/>
      <c r="D187" s="11">
        <v>175000</v>
      </c>
      <c r="E187" t="s">
        <v>375</v>
      </c>
      <c r="F187" s="111" t="s">
        <v>108</v>
      </c>
      <c r="J187" s="4" t="s">
        <v>176</v>
      </c>
      <c r="K187" s="14"/>
      <c r="L187" s="14">
        <v>35000</v>
      </c>
      <c r="N187">
        <v>160000</v>
      </c>
      <c r="O187">
        <v>16650</v>
      </c>
    </row>
    <row r="188" spans="1:15" x14ac:dyDescent="0.3">
      <c r="A188" s="38">
        <v>46083</v>
      </c>
      <c r="B188" t="s">
        <v>222</v>
      </c>
      <c r="C188" s="96">
        <v>125000</v>
      </c>
      <c r="D188" s="96"/>
      <c r="E188" t="s">
        <v>376</v>
      </c>
      <c r="F188" s="111" t="s">
        <v>108</v>
      </c>
      <c r="J188" s="4" t="s">
        <v>51</v>
      </c>
      <c r="K188" s="14"/>
      <c r="L188" s="14">
        <v>2222081</v>
      </c>
      <c r="N188">
        <v>17000</v>
      </c>
      <c r="O188">
        <v>13650</v>
      </c>
    </row>
    <row r="189" spans="1:15" x14ac:dyDescent="0.3">
      <c r="A189" s="115">
        <v>46083</v>
      </c>
      <c r="B189" t="s">
        <v>246</v>
      </c>
      <c r="C189" s="11">
        <v>430</v>
      </c>
      <c r="D189" s="11"/>
      <c r="E189" t="s">
        <v>377</v>
      </c>
      <c r="F189" s="111" t="s">
        <v>108</v>
      </c>
      <c r="J189" s="4" t="s">
        <v>295</v>
      </c>
      <c r="K189" s="14"/>
      <c r="L189" s="14">
        <v>10000</v>
      </c>
      <c r="N189">
        <v>19200</v>
      </c>
      <c r="O189">
        <v>12000</v>
      </c>
    </row>
    <row r="190" spans="1:15" x14ac:dyDescent="0.3">
      <c r="A190" s="38">
        <v>46083</v>
      </c>
      <c r="B190" t="s">
        <v>221</v>
      </c>
      <c r="C190" s="96">
        <v>1000</v>
      </c>
      <c r="D190" s="96"/>
      <c r="E190" t="s">
        <v>351</v>
      </c>
      <c r="F190" s="111" t="s">
        <v>108</v>
      </c>
      <c r="J190" s="4" t="s">
        <v>192</v>
      </c>
      <c r="K190" s="14">
        <v>130000</v>
      </c>
      <c r="L190" s="14"/>
      <c r="N190">
        <v>20000</v>
      </c>
      <c r="O190">
        <v>14000</v>
      </c>
    </row>
    <row r="191" spans="1:15" x14ac:dyDescent="0.3">
      <c r="A191" s="115">
        <v>46083</v>
      </c>
      <c r="B191" t="s">
        <v>313</v>
      </c>
      <c r="C191" s="11"/>
      <c r="D191" s="11">
        <v>8701</v>
      </c>
      <c r="E191" t="s">
        <v>379</v>
      </c>
      <c r="F191" s="111" t="s">
        <v>108</v>
      </c>
      <c r="J191" s="4" t="s">
        <v>190</v>
      </c>
      <c r="K191" s="14">
        <v>20340</v>
      </c>
      <c r="L191" s="14"/>
      <c r="N191">
        <v>20850</v>
      </c>
      <c r="O191">
        <v>25000</v>
      </c>
    </row>
    <row r="192" spans="1:15" x14ac:dyDescent="0.3">
      <c r="A192" s="115">
        <v>46083</v>
      </c>
      <c r="B192" t="s">
        <v>54</v>
      </c>
      <c r="C192" s="11">
        <v>8701</v>
      </c>
      <c r="D192" s="11"/>
      <c r="E192" t="s">
        <v>267</v>
      </c>
      <c r="F192" s="111" t="s">
        <v>108</v>
      </c>
      <c r="J192" s="4" t="s">
        <v>299</v>
      </c>
      <c r="K192" s="14"/>
      <c r="L192" s="14">
        <v>451000</v>
      </c>
      <c r="N192">
        <v>16650</v>
      </c>
      <c r="O192">
        <v>20000</v>
      </c>
    </row>
    <row r="193" spans="1:15" x14ac:dyDescent="0.3">
      <c r="A193" s="115">
        <v>46083</v>
      </c>
      <c r="B193" t="s">
        <v>228</v>
      </c>
      <c r="C193" s="11"/>
      <c r="D193" s="11">
        <v>90000</v>
      </c>
      <c r="E193" t="s">
        <v>380</v>
      </c>
      <c r="F193" s="111" t="s">
        <v>108</v>
      </c>
      <c r="J193" s="4" t="s">
        <v>277</v>
      </c>
      <c r="K193" s="14"/>
      <c r="L193" s="14">
        <v>240000</v>
      </c>
      <c r="N193">
        <v>14000</v>
      </c>
      <c r="O193">
        <v>25000</v>
      </c>
    </row>
    <row r="194" spans="1:15" x14ac:dyDescent="0.3">
      <c r="A194" s="38">
        <v>46083</v>
      </c>
      <c r="B194" t="s">
        <v>220</v>
      </c>
      <c r="C194" s="96">
        <v>90000</v>
      </c>
      <c r="D194" s="96"/>
      <c r="E194" t="s">
        <v>264</v>
      </c>
      <c r="F194" s="111" t="s">
        <v>108</v>
      </c>
      <c r="J194" s="4" t="s">
        <v>211</v>
      </c>
      <c r="K194" s="14">
        <v>5351726</v>
      </c>
      <c r="L194" s="14"/>
      <c r="N194">
        <v>3900</v>
      </c>
      <c r="O194">
        <v>3900</v>
      </c>
    </row>
    <row r="195" spans="1:15" x14ac:dyDescent="0.3">
      <c r="A195" s="115">
        <v>46084</v>
      </c>
      <c r="B195" t="s">
        <v>9</v>
      </c>
      <c r="C195" s="11"/>
      <c r="D195" s="11">
        <v>60000</v>
      </c>
      <c r="E195" t="s">
        <v>386</v>
      </c>
      <c r="F195" s="111" t="s">
        <v>108</v>
      </c>
      <c r="J195" s="4" t="s">
        <v>222</v>
      </c>
      <c r="K195" s="14"/>
      <c r="L195" s="14">
        <v>1074255</v>
      </c>
      <c r="N195">
        <v>35000</v>
      </c>
      <c r="O195">
        <v>18120</v>
      </c>
    </row>
    <row r="196" spans="1:15" x14ac:dyDescent="0.3">
      <c r="A196" s="115">
        <v>46084</v>
      </c>
      <c r="B196" t="s">
        <v>165</v>
      </c>
      <c r="C196" s="11">
        <v>2500</v>
      </c>
      <c r="D196" s="11"/>
      <c r="E196" t="s">
        <v>387</v>
      </c>
      <c r="F196" s="111" t="s">
        <v>108</v>
      </c>
      <c r="J196" s="4" t="s">
        <v>228</v>
      </c>
      <c r="K196" s="14">
        <v>1065000</v>
      </c>
      <c r="L196" s="14"/>
      <c r="O196">
        <v>22650</v>
      </c>
    </row>
    <row r="197" spans="1:15" x14ac:dyDescent="0.3">
      <c r="A197" s="115">
        <v>46084</v>
      </c>
      <c r="B197" t="s">
        <v>257</v>
      </c>
      <c r="C197" s="11">
        <v>100000</v>
      </c>
      <c r="D197" s="11"/>
      <c r="E197" t="s">
        <v>388</v>
      </c>
      <c r="F197" s="111" t="s">
        <v>108</v>
      </c>
      <c r="J197" s="4" t="s">
        <v>249</v>
      </c>
      <c r="K197" s="14"/>
      <c r="L197" s="14">
        <v>103375</v>
      </c>
      <c r="O197">
        <v>22650</v>
      </c>
    </row>
    <row r="198" spans="1:15" x14ac:dyDescent="0.3">
      <c r="A198" s="115">
        <v>46084</v>
      </c>
      <c r="B198" t="s">
        <v>313</v>
      </c>
      <c r="C198" s="11"/>
      <c r="D198" s="11">
        <v>500000</v>
      </c>
      <c r="E198" t="s">
        <v>389</v>
      </c>
      <c r="F198" s="111" t="s">
        <v>108</v>
      </c>
      <c r="J198" s="4" t="s">
        <v>252</v>
      </c>
      <c r="K198" s="14"/>
      <c r="L198" s="14">
        <v>100000</v>
      </c>
      <c r="O198">
        <v>160000</v>
      </c>
    </row>
    <row r="199" spans="1:15" x14ac:dyDescent="0.3">
      <c r="A199" s="115">
        <v>46084</v>
      </c>
      <c r="B199" t="s">
        <v>55</v>
      </c>
      <c r="C199" s="11">
        <v>10500</v>
      </c>
      <c r="D199" s="11"/>
      <c r="E199" t="s">
        <v>390</v>
      </c>
      <c r="F199" s="111" t="s">
        <v>108</v>
      </c>
      <c r="J199" s="4" t="s">
        <v>257</v>
      </c>
      <c r="K199" s="14"/>
      <c r="L199" s="14">
        <v>221490</v>
      </c>
    </row>
    <row r="200" spans="1:15" x14ac:dyDescent="0.3">
      <c r="A200" s="115">
        <v>46084</v>
      </c>
      <c r="B200" t="s">
        <v>273</v>
      </c>
      <c r="C200" s="11">
        <v>150000</v>
      </c>
      <c r="D200" s="11"/>
      <c r="E200" t="s">
        <v>391</v>
      </c>
      <c r="F200" s="111" t="s">
        <v>108</v>
      </c>
      <c r="J200" s="4" t="s">
        <v>232</v>
      </c>
      <c r="K200" s="14">
        <v>169278</v>
      </c>
      <c r="L200" s="14"/>
    </row>
    <row r="201" spans="1:15" x14ac:dyDescent="0.3">
      <c r="A201" s="115">
        <v>46084</v>
      </c>
      <c r="B201" t="s">
        <v>222</v>
      </c>
      <c r="C201" s="11">
        <v>100210</v>
      </c>
      <c r="D201" s="11"/>
      <c r="E201" t="s">
        <v>392</v>
      </c>
      <c r="F201" s="111" t="s">
        <v>108</v>
      </c>
      <c r="J201" s="4" t="s">
        <v>313</v>
      </c>
      <c r="K201" s="14">
        <v>2526791.4930504756</v>
      </c>
      <c r="L201" s="14"/>
    </row>
    <row r="202" spans="1:15" x14ac:dyDescent="0.3">
      <c r="A202" s="115">
        <v>46084</v>
      </c>
      <c r="B202" t="s">
        <v>313</v>
      </c>
      <c r="C202" s="11"/>
      <c r="D202" s="11">
        <v>500000</v>
      </c>
      <c r="E202" t="s">
        <v>393</v>
      </c>
      <c r="F202" s="111" t="s">
        <v>108</v>
      </c>
      <c r="J202" s="4" t="s">
        <v>378</v>
      </c>
      <c r="K202" s="14">
        <v>257000</v>
      </c>
      <c r="L202" s="14"/>
    </row>
    <row r="203" spans="1:15" x14ac:dyDescent="0.3">
      <c r="A203" s="115">
        <v>46084</v>
      </c>
      <c r="B203" t="s">
        <v>113</v>
      </c>
      <c r="C203" s="11">
        <v>70415</v>
      </c>
      <c r="D203" s="11"/>
      <c r="E203" t="s">
        <v>216</v>
      </c>
      <c r="F203" s="111" t="s">
        <v>108</v>
      </c>
      <c r="J203" s="4" t="s">
        <v>226</v>
      </c>
      <c r="K203" s="14"/>
      <c r="L203" s="14">
        <v>88500</v>
      </c>
    </row>
    <row r="204" spans="1:15" x14ac:dyDescent="0.3">
      <c r="A204" s="115">
        <v>46084</v>
      </c>
      <c r="B204" t="s">
        <v>169</v>
      </c>
      <c r="C204" s="11">
        <v>250000</v>
      </c>
      <c r="D204" s="11"/>
      <c r="E204" t="s">
        <v>394</v>
      </c>
      <c r="F204" s="111" t="s">
        <v>108</v>
      </c>
      <c r="J204" s="4" t="s">
        <v>229</v>
      </c>
      <c r="K204" s="14"/>
      <c r="L204" s="14">
        <v>400000</v>
      </c>
    </row>
    <row r="205" spans="1:15" x14ac:dyDescent="0.3">
      <c r="A205" s="115">
        <v>46084</v>
      </c>
      <c r="B205" t="s">
        <v>299</v>
      </c>
      <c r="C205" s="11">
        <v>150000</v>
      </c>
      <c r="D205" s="11"/>
      <c r="E205" t="s">
        <v>395</v>
      </c>
      <c r="F205" s="111" t="s">
        <v>108</v>
      </c>
      <c r="J205" s="4" t="s">
        <v>445</v>
      </c>
      <c r="K205" s="14"/>
      <c r="L205" s="14">
        <v>5000</v>
      </c>
    </row>
    <row r="206" spans="1:15" x14ac:dyDescent="0.3">
      <c r="A206" s="115">
        <v>46084</v>
      </c>
      <c r="B206" t="s">
        <v>222</v>
      </c>
      <c r="C206" s="11">
        <v>31000</v>
      </c>
      <c r="D206" s="11"/>
      <c r="E206" t="s">
        <v>242</v>
      </c>
      <c r="F206" s="111" t="s">
        <v>108</v>
      </c>
      <c r="J206" s="4" t="s">
        <v>28</v>
      </c>
      <c r="K206" s="14">
        <v>18887046.493050475</v>
      </c>
      <c r="L206" s="14">
        <v>18319092</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46088</v>
      </c>
      <c r="B242" t="s">
        <v>54</v>
      </c>
      <c r="C242" s="11">
        <f>5000+3000+3000</f>
        <v>11000</v>
      </c>
      <c r="D242" s="11"/>
      <c r="E242" t="s">
        <v>291</v>
      </c>
      <c r="F242" s="111" t="s">
        <v>108</v>
      </c>
    </row>
    <row r="243" spans="1:6" x14ac:dyDescent="0.3">
      <c r="A243" s="115">
        <v>46088</v>
      </c>
      <c r="B243" t="s">
        <v>55</v>
      </c>
      <c r="C243" s="11">
        <v>2600</v>
      </c>
      <c r="D243" s="11"/>
      <c r="E243" t="s">
        <v>417</v>
      </c>
      <c r="F243" s="111" t="s">
        <v>108</v>
      </c>
    </row>
    <row r="244" spans="1:6" x14ac:dyDescent="0.3">
      <c r="A244" s="115">
        <v>46088</v>
      </c>
      <c r="B244" t="s">
        <v>358</v>
      </c>
      <c r="C244" s="11">
        <v>3000</v>
      </c>
      <c r="D244" s="11"/>
      <c r="E244" t="s">
        <v>281</v>
      </c>
      <c r="F244" s="111" t="s">
        <v>108</v>
      </c>
    </row>
    <row r="245" spans="1:6" x14ac:dyDescent="0.3">
      <c r="A245" s="115">
        <v>46088</v>
      </c>
      <c r="B245" t="s">
        <v>249</v>
      </c>
      <c r="C245" s="11">
        <v>7200</v>
      </c>
      <c r="D245" s="11"/>
      <c r="E245" t="s">
        <v>418</v>
      </c>
      <c r="F245" s="111" t="s">
        <v>108</v>
      </c>
    </row>
    <row r="246" spans="1:6" x14ac:dyDescent="0.3">
      <c r="A246" s="115">
        <v>46088</v>
      </c>
      <c r="B246" t="s">
        <v>245</v>
      </c>
      <c r="C246" s="11"/>
      <c r="D246" s="11">
        <v>508900</v>
      </c>
      <c r="E246" t="s">
        <v>419</v>
      </c>
      <c r="F246" s="111" t="s">
        <v>108</v>
      </c>
    </row>
    <row r="247" spans="1:6" x14ac:dyDescent="0.3">
      <c r="A247" s="115">
        <v>46088</v>
      </c>
      <c r="B247" t="s">
        <v>222</v>
      </c>
      <c r="C247" s="11">
        <v>1000</v>
      </c>
      <c r="D247" s="11"/>
      <c r="E247" t="s">
        <v>342</v>
      </c>
      <c r="F247" s="111" t="s">
        <v>108</v>
      </c>
    </row>
    <row r="248" spans="1:6" x14ac:dyDescent="0.3">
      <c r="A248" s="115">
        <v>46088</v>
      </c>
      <c r="B248" t="s">
        <v>282</v>
      </c>
      <c r="C248" s="11"/>
      <c r="D248" s="11"/>
      <c r="F248" s="111" t="s">
        <v>108</v>
      </c>
    </row>
    <row r="249" spans="1:6" x14ac:dyDescent="0.3">
      <c r="A249" s="115">
        <v>46088</v>
      </c>
      <c r="B249" t="s">
        <v>55</v>
      </c>
      <c r="C249" s="11">
        <f>2880+470</f>
        <v>3350</v>
      </c>
      <c r="D249" s="11"/>
      <c r="E249" t="s">
        <v>420</v>
      </c>
      <c r="F249" s="111" t="s">
        <v>108</v>
      </c>
    </row>
    <row r="250" spans="1:6" x14ac:dyDescent="0.3">
      <c r="A250" s="115">
        <v>46088</v>
      </c>
      <c r="B250" t="s">
        <v>169</v>
      </c>
      <c r="C250" s="11">
        <v>200310</v>
      </c>
      <c r="D250" s="11"/>
      <c r="E250" t="s">
        <v>421</v>
      </c>
      <c r="F250" s="111" t="s">
        <v>108</v>
      </c>
    </row>
    <row r="251" spans="1:6" x14ac:dyDescent="0.3">
      <c r="A251" s="115">
        <v>46088</v>
      </c>
      <c r="B251" t="s">
        <v>249</v>
      </c>
      <c r="C251" s="11">
        <v>29000</v>
      </c>
      <c r="D251" s="11"/>
      <c r="E251" t="s">
        <v>422</v>
      </c>
      <c r="F251" s="111" t="s">
        <v>108</v>
      </c>
    </row>
    <row r="252" spans="1:6" x14ac:dyDescent="0.3">
      <c r="A252" s="115">
        <v>46088</v>
      </c>
      <c r="B252" t="s">
        <v>277</v>
      </c>
      <c r="C252" s="11">
        <v>50000</v>
      </c>
      <c r="D252" s="11"/>
      <c r="F252" s="111" t="s">
        <v>108</v>
      </c>
    </row>
    <row r="253" spans="1:6" x14ac:dyDescent="0.3">
      <c r="A253" s="115">
        <v>46088</v>
      </c>
      <c r="B253" t="s">
        <v>423</v>
      </c>
      <c r="C253" s="11"/>
      <c r="D253" s="11">
        <v>50000</v>
      </c>
      <c r="F253" s="111" t="s">
        <v>108</v>
      </c>
    </row>
    <row r="254" spans="1:6" x14ac:dyDescent="0.3">
      <c r="A254" s="115">
        <v>46088</v>
      </c>
      <c r="B254" t="s">
        <v>299</v>
      </c>
      <c r="C254" s="11">
        <v>100000</v>
      </c>
      <c r="D254" s="11"/>
      <c r="F254" s="111" t="s">
        <v>108</v>
      </c>
    </row>
    <row r="255" spans="1:6" x14ac:dyDescent="0.3">
      <c r="A255" s="115">
        <v>46088</v>
      </c>
      <c r="B255" t="s">
        <v>313</v>
      </c>
      <c r="C255" s="11"/>
      <c r="D255" s="11">
        <v>500000</v>
      </c>
      <c r="E255" t="s">
        <v>424</v>
      </c>
      <c r="F255" s="111" t="s">
        <v>108</v>
      </c>
    </row>
    <row r="256" spans="1:6" x14ac:dyDescent="0.3">
      <c r="A256" s="115">
        <v>46088</v>
      </c>
      <c r="B256" t="s">
        <v>282</v>
      </c>
      <c r="C256" s="11">
        <v>30000</v>
      </c>
      <c r="D256" s="11"/>
      <c r="E256" t="s">
        <v>405</v>
      </c>
      <c r="F256" s="111" t="s">
        <v>108</v>
      </c>
    </row>
    <row r="257" spans="1:6" x14ac:dyDescent="0.3">
      <c r="A257" s="115">
        <v>46088</v>
      </c>
      <c r="B257" t="s">
        <v>192</v>
      </c>
      <c r="C257" s="11"/>
      <c r="D257" s="11">
        <v>100000</v>
      </c>
      <c r="E257" t="s">
        <v>425</v>
      </c>
      <c r="F257" s="111" t="s">
        <v>108</v>
      </c>
    </row>
    <row r="258" spans="1:6" x14ac:dyDescent="0.3">
      <c r="A258" s="115">
        <v>46088</v>
      </c>
      <c r="B258" t="s">
        <v>212</v>
      </c>
      <c r="C258" s="11">
        <v>1890</v>
      </c>
      <c r="D258" s="11"/>
      <c r="F258" s="111" t="s">
        <v>108</v>
      </c>
    </row>
    <row r="259" spans="1:6" x14ac:dyDescent="0.3">
      <c r="A259" s="115">
        <v>46089</v>
      </c>
      <c r="B259" t="s">
        <v>54</v>
      </c>
      <c r="C259" s="11">
        <v>2700</v>
      </c>
      <c r="D259" s="11"/>
      <c r="E259" t="s">
        <v>426</v>
      </c>
      <c r="F259" s="111" t="s">
        <v>108</v>
      </c>
    </row>
    <row r="260" spans="1:6" x14ac:dyDescent="0.3">
      <c r="A260" s="115">
        <v>46089</v>
      </c>
      <c r="B260" t="s">
        <v>55</v>
      </c>
      <c r="C260" s="11">
        <v>10121</v>
      </c>
      <c r="D260" s="11"/>
      <c r="E260" t="s">
        <v>427</v>
      </c>
      <c r="F260" s="111" t="s">
        <v>108</v>
      </c>
    </row>
    <row r="261" spans="1:6" x14ac:dyDescent="0.3">
      <c r="A261" s="115">
        <v>46089</v>
      </c>
      <c r="B261" t="s">
        <v>358</v>
      </c>
      <c r="C261" s="11">
        <v>10000</v>
      </c>
      <c r="D261" s="11"/>
      <c r="E261" t="s">
        <v>281</v>
      </c>
      <c r="F261" s="111" t="s">
        <v>108</v>
      </c>
    </row>
    <row r="262" spans="1:6" x14ac:dyDescent="0.3">
      <c r="A262" s="115">
        <v>46089</v>
      </c>
      <c r="B262" t="s">
        <v>212</v>
      </c>
      <c r="C262" s="11">
        <v>250</v>
      </c>
      <c r="D262" s="11"/>
      <c r="F262" s="111" t="s">
        <v>108</v>
      </c>
    </row>
    <row r="263" spans="1:6" x14ac:dyDescent="0.3">
      <c r="A263" s="115">
        <v>46090</v>
      </c>
      <c r="B263" t="s">
        <v>249</v>
      </c>
      <c r="C263" s="11">
        <v>7200</v>
      </c>
      <c r="D263" s="11"/>
      <c r="E263" t="s">
        <v>429</v>
      </c>
      <c r="F263" s="111" t="s">
        <v>108</v>
      </c>
    </row>
    <row r="264" spans="1:6" x14ac:dyDescent="0.3">
      <c r="A264" s="115">
        <v>46090</v>
      </c>
      <c r="B264" t="s">
        <v>225</v>
      </c>
      <c r="C264" s="96"/>
      <c r="D264" s="96">
        <v>52214</v>
      </c>
      <c r="E264" t="s">
        <v>430</v>
      </c>
      <c r="F264" s="111" t="s">
        <v>108</v>
      </c>
    </row>
    <row r="265" spans="1:6" x14ac:dyDescent="0.3">
      <c r="A265" s="115">
        <v>46090</v>
      </c>
      <c r="B265" t="s">
        <v>55</v>
      </c>
      <c r="C265" s="11">
        <v>500</v>
      </c>
      <c r="D265" s="11"/>
      <c r="E265" t="s">
        <v>431</v>
      </c>
      <c r="F265" s="111" t="s">
        <v>108</v>
      </c>
    </row>
    <row r="266" spans="1:6" x14ac:dyDescent="0.3">
      <c r="A266" s="115">
        <v>46090</v>
      </c>
      <c r="B266" t="s">
        <v>432</v>
      </c>
      <c r="C266" s="11"/>
      <c r="D266" s="11">
        <v>75000</v>
      </c>
      <c r="E266" t="s">
        <v>433</v>
      </c>
      <c r="F266" s="111" t="s">
        <v>108</v>
      </c>
    </row>
    <row r="267" spans="1:6" x14ac:dyDescent="0.3">
      <c r="A267" s="115">
        <v>46090</v>
      </c>
      <c r="B267" t="s">
        <v>55</v>
      </c>
      <c r="C267" s="11">
        <v>8407</v>
      </c>
      <c r="D267" s="11"/>
      <c r="E267" t="s">
        <v>434</v>
      </c>
      <c r="F267" s="111" t="s">
        <v>108</v>
      </c>
    </row>
    <row r="268" spans="1:6" x14ac:dyDescent="0.3">
      <c r="A268" s="115">
        <v>46090</v>
      </c>
      <c r="B268" t="s">
        <v>222</v>
      </c>
      <c r="C268" s="11">
        <v>100000</v>
      </c>
      <c r="D268" s="11"/>
      <c r="E268" t="s">
        <v>435</v>
      </c>
      <c r="F268" s="111" t="s">
        <v>108</v>
      </c>
    </row>
    <row r="269" spans="1:6" x14ac:dyDescent="0.3">
      <c r="A269" s="115">
        <v>46090</v>
      </c>
      <c r="B269" t="s">
        <v>282</v>
      </c>
      <c r="C269" s="11"/>
      <c r="D269" s="11"/>
      <c r="E269" t="s">
        <v>330</v>
      </c>
      <c r="F269" s="111" t="s">
        <v>108</v>
      </c>
    </row>
    <row r="270" spans="1:6" x14ac:dyDescent="0.3">
      <c r="A270" s="115">
        <v>46090</v>
      </c>
      <c r="B270" t="s">
        <v>212</v>
      </c>
      <c r="C270" s="11">
        <f>1800+1100+585+500</f>
        <v>3985</v>
      </c>
      <c r="D270" s="11"/>
      <c r="F270" s="111" t="s">
        <v>108</v>
      </c>
    </row>
    <row r="271" spans="1:6" x14ac:dyDescent="0.3">
      <c r="A271" s="115">
        <v>46091</v>
      </c>
      <c r="B271" t="s">
        <v>55</v>
      </c>
      <c r="C271" s="11">
        <v>6550</v>
      </c>
      <c r="D271" s="11"/>
      <c r="E271" t="s">
        <v>436</v>
      </c>
      <c r="F271" s="111" t="s">
        <v>108</v>
      </c>
    </row>
    <row r="272" spans="1:6" x14ac:dyDescent="0.3">
      <c r="A272" s="115">
        <v>46091</v>
      </c>
      <c r="B272" t="s">
        <v>55</v>
      </c>
      <c r="C272" s="11">
        <v>3900</v>
      </c>
      <c r="D272" s="11"/>
      <c r="E272" t="s">
        <v>437</v>
      </c>
      <c r="F272" s="111" t="s">
        <v>108</v>
      </c>
    </row>
    <row r="273" spans="1:6" x14ac:dyDescent="0.3">
      <c r="A273" s="115">
        <v>46091</v>
      </c>
      <c r="B273" t="s">
        <v>64</v>
      </c>
      <c r="C273" s="11">
        <v>129125</v>
      </c>
      <c r="D273" s="11"/>
      <c r="F273" s="111" t="s">
        <v>108</v>
      </c>
    </row>
    <row r="274" spans="1:6" x14ac:dyDescent="0.3">
      <c r="A274" s="115">
        <v>46091</v>
      </c>
      <c r="B274" t="s">
        <v>249</v>
      </c>
      <c r="C274" s="11">
        <v>3600</v>
      </c>
      <c r="D274" s="11"/>
      <c r="E274" t="s">
        <v>438</v>
      </c>
      <c r="F274" s="111" t="s">
        <v>108</v>
      </c>
    </row>
    <row r="275" spans="1:6" x14ac:dyDescent="0.3">
      <c r="A275" s="115">
        <v>46091</v>
      </c>
      <c r="B275" t="s">
        <v>169</v>
      </c>
      <c r="C275" s="11">
        <v>200250</v>
      </c>
      <c r="D275" s="11"/>
      <c r="E275" t="s">
        <v>439</v>
      </c>
      <c r="F275" s="111" t="s">
        <v>108</v>
      </c>
    </row>
    <row r="276" spans="1:6" x14ac:dyDescent="0.3">
      <c r="A276" s="115">
        <v>46091</v>
      </c>
      <c r="B276" t="s">
        <v>221</v>
      </c>
      <c r="C276" s="11">
        <v>4482</v>
      </c>
      <c r="D276" s="11"/>
      <c r="E276" t="s">
        <v>440</v>
      </c>
      <c r="F276" s="111" t="s">
        <v>108</v>
      </c>
    </row>
    <row r="277" spans="1:6" x14ac:dyDescent="0.3">
      <c r="A277" s="115">
        <v>46091</v>
      </c>
      <c r="B277" t="s">
        <v>54</v>
      </c>
      <c r="C277" s="11">
        <v>5000</v>
      </c>
      <c r="D277" s="11"/>
      <c r="E277" t="s">
        <v>441</v>
      </c>
      <c r="F277" s="111" t="s">
        <v>108</v>
      </c>
    </row>
    <row r="278" spans="1:6" x14ac:dyDescent="0.3">
      <c r="A278" s="115">
        <v>46092</v>
      </c>
      <c r="B278" t="s">
        <v>410</v>
      </c>
      <c r="C278" s="11"/>
      <c r="D278" s="11">
        <v>175000</v>
      </c>
      <c r="E278" t="s">
        <v>442</v>
      </c>
      <c r="F278" s="111" t="s">
        <v>108</v>
      </c>
    </row>
    <row r="279" spans="1:6" x14ac:dyDescent="0.3">
      <c r="A279" s="115">
        <v>46092</v>
      </c>
      <c r="B279" t="s">
        <v>55</v>
      </c>
      <c r="C279" s="11">
        <v>9000</v>
      </c>
      <c r="D279" s="11"/>
      <c r="E279" t="s">
        <v>443</v>
      </c>
      <c r="F279" s="111" t="s">
        <v>108</v>
      </c>
    </row>
    <row r="280" spans="1:6" x14ac:dyDescent="0.3">
      <c r="A280" s="115">
        <v>46092</v>
      </c>
      <c r="B280" t="s">
        <v>445</v>
      </c>
      <c r="C280" s="11">
        <v>5000</v>
      </c>
      <c r="D280" s="11"/>
      <c r="E280" t="s">
        <v>444</v>
      </c>
      <c r="F280" s="111" t="s">
        <v>108</v>
      </c>
    </row>
    <row r="281" spans="1:6" x14ac:dyDescent="0.3">
      <c r="A281" s="115">
        <v>46093</v>
      </c>
      <c r="B281" t="s">
        <v>55</v>
      </c>
      <c r="C281" s="11">
        <v>500</v>
      </c>
      <c r="D281" s="11"/>
      <c r="E281" t="s">
        <v>446</v>
      </c>
      <c r="F281" s="111" t="s">
        <v>108</v>
      </c>
    </row>
    <row r="282" spans="1:6" x14ac:dyDescent="0.3">
      <c r="A282" s="115">
        <v>46093</v>
      </c>
      <c r="B282" t="s">
        <v>55</v>
      </c>
      <c r="C282" s="11">
        <v>2400</v>
      </c>
      <c r="D282" s="11"/>
      <c r="E282" t="s">
        <v>446</v>
      </c>
      <c r="F282" s="111" t="s">
        <v>108</v>
      </c>
    </row>
    <row r="283" spans="1:6" x14ac:dyDescent="0.3">
      <c r="A283" s="115">
        <v>46093</v>
      </c>
      <c r="B283" t="s">
        <v>55</v>
      </c>
      <c r="C283" s="11">
        <v>400</v>
      </c>
      <c r="D283" s="11"/>
      <c r="E283" t="s">
        <v>447</v>
      </c>
      <c r="F283" s="111" t="s">
        <v>108</v>
      </c>
    </row>
    <row r="284" spans="1:6" x14ac:dyDescent="0.3">
      <c r="A284" s="115">
        <v>46093</v>
      </c>
      <c r="B284" t="s">
        <v>249</v>
      </c>
      <c r="C284" s="11">
        <v>10000</v>
      </c>
      <c r="D284" s="11"/>
      <c r="E284" t="s">
        <v>448</v>
      </c>
      <c r="F284" s="111" t="s">
        <v>108</v>
      </c>
    </row>
    <row r="285" spans="1:6" x14ac:dyDescent="0.3">
      <c r="A285" s="115">
        <v>46093</v>
      </c>
      <c r="B285" t="s">
        <v>55</v>
      </c>
      <c r="C285" s="11">
        <v>11121</v>
      </c>
      <c r="D285" s="11"/>
      <c r="E285" t="s">
        <v>427</v>
      </c>
      <c r="F285" s="111" t="s">
        <v>108</v>
      </c>
    </row>
    <row r="286" spans="1:6" x14ac:dyDescent="0.3">
      <c r="A286" s="115">
        <v>46093</v>
      </c>
      <c r="B286" t="s">
        <v>282</v>
      </c>
      <c r="C286" s="11"/>
      <c r="D286" s="11"/>
      <c r="E286" t="s">
        <v>449</v>
      </c>
      <c r="F286" s="111" t="s">
        <v>108</v>
      </c>
    </row>
    <row r="287" spans="1:6" x14ac:dyDescent="0.3">
      <c r="A287" s="115">
        <v>46093</v>
      </c>
      <c r="B287" t="s">
        <v>220</v>
      </c>
      <c r="C287" s="11"/>
      <c r="D287" s="11">
        <v>200400</v>
      </c>
      <c r="E287" t="s">
        <v>450</v>
      </c>
      <c r="F287" s="111" t="s">
        <v>108</v>
      </c>
    </row>
    <row r="288" spans="1:6" x14ac:dyDescent="0.3">
      <c r="A288" s="115">
        <v>46093</v>
      </c>
      <c r="B288" t="s">
        <v>54</v>
      </c>
      <c r="C288" s="11">
        <v>7236</v>
      </c>
      <c r="D288" s="11"/>
      <c r="E288" t="s">
        <v>291</v>
      </c>
      <c r="F288" s="111" t="s">
        <v>108</v>
      </c>
    </row>
    <row r="289" spans="1:9" x14ac:dyDescent="0.3">
      <c r="A289" s="115">
        <v>46093</v>
      </c>
      <c r="B289" t="s">
        <v>212</v>
      </c>
      <c r="C289" s="11">
        <f>878+900+1000+1800</f>
        <v>4578</v>
      </c>
      <c r="D289" s="11"/>
      <c r="F289" s="111" t="s">
        <v>108</v>
      </c>
    </row>
    <row r="290" spans="1:9" x14ac:dyDescent="0.3">
      <c r="A290" s="115">
        <v>46094</v>
      </c>
      <c r="B290" t="s">
        <v>282</v>
      </c>
      <c r="C290" s="11">
        <v>16000</v>
      </c>
      <c r="D290" s="11"/>
      <c r="E290" t="s">
        <v>328</v>
      </c>
      <c r="F290" s="111" t="s">
        <v>108</v>
      </c>
    </row>
    <row r="291" spans="1:9" x14ac:dyDescent="0.3">
      <c r="A291" s="115">
        <v>46094</v>
      </c>
      <c r="B291" t="s">
        <v>277</v>
      </c>
      <c r="C291" s="11">
        <v>50000</v>
      </c>
      <c r="D291" s="11"/>
      <c r="E291" t="s">
        <v>451</v>
      </c>
      <c r="F291" s="111" t="s">
        <v>108</v>
      </c>
    </row>
    <row r="292" spans="1:9" x14ac:dyDescent="0.3">
      <c r="A292" s="115">
        <v>46094</v>
      </c>
      <c r="B292" t="s">
        <v>9</v>
      </c>
      <c r="C292" s="11"/>
      <c r="D292" s="11">
        <v>100000</v>
      </c>
      <c r="E292" t="s">
        <v>452</v>
      </c>
      <c r="F292" s="111" t="s">
        <v>108</v>
      </c>
    </row>
    <row r="293" spans="1:9" x14ac:dyDescent="0.3">
      <c r="A293" s="115">
        <v>46094</v>
      </c>
      <c r="B293" t="s">
        <v>358</v>
      </c>
      <c r="C293" s="11">
        <v>35000</v>
      </c>
      <c r="D293" s="11"/>
      <c r="E293" t="s">
        <v>404</v>
      </c>
      <c r="F293" s="111" t="s">
        <v>108</v>
      </c>
    </row>
    <row r="294" spans="1:9" x14ac:dyDescent="0.3">
      <c r="A294" s="115">
        <v>46094</v>
      </c>
      <c r="B294" t="s">
        <v>358</v>
      </c>
      <c r="C294" s="11">
        <v>8000</v>
      </c>
      <c r="D294" s="11"/>
      <c r="E294" t="s">
        <v>453</v>
      </c>
      <c r="F294" s="111" t="s">
        <v>108</v>
      </c>
    </row>
    <row r="295" spans="1:9" x14ac:dyDescent="0.3">
      <c r="A295" s="115">
        <v>46094</v>
      </c>
      <c r="B295" t="s">
        <v>169</v>
      </c>
      <c r="C295" s="11">
        <v>1000</v>
      </c>
      <c r="D295" s="11"/>
      <c r="E295" t="s">
        <v>342</v>
      </c>
      <c r="F295" s="111" t="s">
        <v>108</v>
      </c>
    </row>
    <row r="296" spans="1:9" x14ac:dyDescent="0.3">
      <c r="A296" s="115">
        <v>46094</v>
      </c>
      <c r="B296" t="s">
        <v>222</v>
      </c>
      <c r="C296" s="11">
        <v>1000</v>
      </c>
      <c r="D296" s="11"/>
      <c r="E296" t="s">
        <v>342</v>
      </c>
      <c r="F296" s="111" t="s">
        <v>108</v>
      </c>
    </row>
    <row r="297" spans="1:9" x14ac:dyDescent="0.3">
      <c r="A297" s="115">
        <v>46094</v>
      </c>
      <c r="B297" t="s">
        <v>220</v>
      </c>
      <c r="C297" s="11"/>
      <c r="D297" s="11">
        <v>980000</v>
      </c>
      <c r="F297" s="111" t="s">
        <v>108</v>
      </c>
    </row>
    <row r="298" spans="1:9" x14ac:dyDescent="0.3">
      <c r="A298" s="115">
        <v>46094</v>
      </c>
      <c r="B298" t="s">
        <v>282</v>
      </c>
      <c r="C298" s="11">
        <v>60000</v>
      </c>
      <c r="D298" s="11"/>
      <c r="E298" t="s">
        <v>364</v>
      </c>
      <c r="F298" s="111" t="s">
        <v>108</v>
      </c>
      <c r="I298">
        <v>80000</v>
      </c>
    </row>
    <row r="299" spans="1:9" x14ac:dyDescent="0.3">
      <c r="A299" s="115">
        <v>46094</v>
      </c>
      <c r="B299" t="s">
        <v>282</v>
      </c>
      <c r="C299" s="11">
        <v>970360</v>
      </c>
      <c r="D299" s="11"/>
      <c r="E299" t="s">
        <v>353</v>
      </c>
      <c r="F299" s="111" t="s">
        <v>108</v>
      </c>
      <c r="I299">
        <v>50000</v>
      </c>
    </row>
    <row r="300" spans="1:9" x14ac:dyDescent="0.3">
      <c r="A300" s="115">
        <v>46090</v>
      </c>
      <c r="B300" t="s">
        <v>432</v>
      </c>
      <c r="C300" s="11"/>
      <c r="D300" s="11">
        <v>55000</v>
      </c>
      <c r="E300" t="s">
        <v>366</v>
      </c>
      <c r="F300" s="111" t="s">
        <v>108</v>
      </c>
      <c r="I300">
        <v>6000</v>
      </c>
    </row>
    <row r="301" spans="1:9" x14ac:dyDescent="0.3">
      <c r="A301" s="115">
        <v>46090</v>
      </c>
      <c r="B301" t="s">
        <v>228</v>
      </c>
      <c r="C301" s="11"/>
      <c r="D301" s="11">
        <v>50000</v>
      </c>
      <c r="E301" t="s">
        <v>366</v>
      </c>
      <c r="F301" s="111" t="s">
        <v>108</v>
      </c>
      <c r="I301">
        <v>1000</v>
      </c>
    </row>
    <row r="302" spans="1:9" x14ac:dyDescent="0.3">
      <c r="A302" s="115">
        <v>46091</v>
      </c>
      <c r="B302" t="s">
        <v>228</v>
      </c>
      <c r="C302" s="11"/>
      <c r="D302" s="11">
        <v>65000</v>
      </c>
      <c r="E302" t="s">
        <v>366</v>
      </c>
      <c r="F302" s="111" t="s">
        <v>108</v>
      </c>
      <c r="I302">
        <v>42000</v>
      </c>
    </row>
    <row r="303" spans="1:9" x14ac:dyDescent="0.3">
      <c r="A303" s="115">
        <v>46093</v>
      </c>
      <c r="B303" t="s">
        <v>228</v>
      </c>
      <c r="C303" s="11"/>
      <c r="D303" s="11">
        <v>50000</v>
      </c>
      <c r="E303" t="s">
        <v>366</v>
      </c>
      <c r="F303" s="111" t="s">
        <v>108</v>
      </c>
      <c r="I303">
        <v>22800</v>
      </c>
    </row>
    <row r="304" spans="1:9" x14ac:dyDescent="0.3">
      <c r="A304" s="115">
        <v>46094</v>
      </c>
      <c r="B304" t="s">
        <v>228</v>
      </c>
      <c r="C304" s="11"/>
      <c r="D304" s="11">
        <v>50000</v>
      </c>
      <c r="E304" t="s">
        <v>366</v>
      </c>
      <c r="F304" s="111" t="s">
        <v>108</v>
      </c>
      <c r="I304">
        <v>11600</v>
      </c>
    </row>
    <row r="305" spans="1:9" x14ac:dyDescent="0.3">
      <c r="A305" s="115">
        <v>46094</v>
      </c>
      <c r="B305" t="s">
        <v>423</v>
      </c>
      <c r="C305" s="11"/>
      <c r="D305" s="11">
        <v>150000</v>
      </c>
      <c r="E305" t="s">
        <v>109</v>
      </c>
      <c r="F305" s="111" t="s">
        <v>108</v>
      </c>
      <c r="I305">
        <v>20800</v>
      </c>
    </row>
    <row r="306" spans="1:9" x14ac:dyDescent="0.3">
      <c r="A306" s="115">
        <v>46090</v>
      </c>
      <c r="B306" t="s">
        <v>220</v>
      </c>
      <c r="C306" s="11">
        <v>55000</v>
      </c>
      <c r="D306" s="96"/>
      <c r="E306" t="s">
        <v>432</v>
      </c>
      <c r="F306" s="111" t="s">
        <v>108</v>
      </c>
      <c r="I306">
        <v>37000</v>
      </c>
    </row>
    <row r="307" spans="1:9" x14ac:dyDescent="0.3">
      <c r="A307" s="115">
        <v>46090</v>
      </c>
      <c r="B307" t="s">
        <v>220</v>
      </c>
      <c r="C307" s="11">
        <v>50000</v>
      </c>
      <c r="D307" s="11"/>
      <c r="E307" t="s">
        <v>228</v>
      </c>
      <c r="F307" s="111" t="s">
        <v>108</v>
      </c>
      <c r="I307">
        <v>25200</v>
      </c>
    </row>
    <row r="308" spans="1:9" x14ac:dyDescent="0.3">
      <c r="A308" s="115">
        <v>46091</v>
      </c>
      <c r="B308" t="s">
        <v>220</v>
      </c>
      <c r="C308" s="11">
        <v>65000</v>
      </c>
      <c r="D308" s="11"/>
      <c r="E308" t="s">
        <v>228</v>
      </c>
      <c r="F308" s="111" t="s">
        <v>108</v>
      </c>
      <c r="I308">
        <v>30000</v>
      </c>
    </row>
    <row r="309" spans="1:9" x14ac:dyDescent="0.3">
      <c r="A309" s="115">
        <v>46093</v>
      </c>
      <c r="B309" t="s">
        <v>220</v>
      </c>
      <c r="C309" s="11">
        <v>50000</v>
      </c>
      <c r="D309" s="11"/>
      <c r="E309" t="s">
        <v>228</v>
      </c>
      <c r="F309" s="111" t="s">
        <v>108</v>
      </c>
      <c r="I309">
        <v>33600</v>
      </c>
    </row>
    <row r="310" spans="1:9" x14ac:dyDescent="0.3">
      <c r="A310" s="115">
        <v>46094</v>
      </c>
      <c r="B310" t="s">
        <v>220</v>
      </c>
      <c r="C310" s="11">
        <v>50000</v>
      </c>
      <c r="D310" s="11"/>
      <c r="E310" t="s">
        <v>228</v>
      </c>
      <c r="F310" s="111" t="s">
        <v>108</v>
      </c>
      <c r="I310">
        <v>13000</v>
      </c>
    </row>
    <row r="311" spans="1:9" x14ac:dyDescent="0.3">
      <c r="A311" s="115">
        <v>46094</v>
      </c>
      <c r="B311" t="s">
        <v>220</v>
      </c>
      <c r="C311" s="11">
        <v>150000</v>
      </c>
      <c r="D311" s="11"/>
      <c r="E311" t="s">
        <v>423</v>
      </c>
      <c r="F311" s="111" t="s">
        <v>108</v>
      </c>
      <c r="I311">
        <v>13650</v>
      </c>
    </row>
    <row r="312" spans="1:9" x14ac:dyDescent="0.3">
      <c r="A312" s="115"/>
      <c r="C312" s="11"/>
      <c r="D312" s="11"/>
      <c r="F312" s="111"/>
      <c r="I312">
        <v>20800</v>
      </c>
    </row>
    <row r="313" spans="1:9" x14ac:dyDescent="0.3">
      <c r="A313" s="38"/>
      <c r="C313" s="14">
        <f>SUBTOTAL(109,Table14[Debit])</f>
        <v>18319092</v>
      </c>
      <c r="D313" s="14">
        <f>SUBTOTAL(109,Table14[Credit])</f>
        <v>18887046.493050475</v>
      </c>
      <c r="F313" s="54">
        <f>(Table14[[#Totals],[Credit]]-Table14[[#Totals],[Debit]])</f>
        <v>567954.49305047467</v>
      </c>
      <c r="I313">
        <v>20000</v>
      </c>
    </row>
    <row r="314" spans="1:9" x14ac:dyDescent="0.3">
      <c r="I314">
        <v>13300</v>
      </c>
    </row>
    <row r="315" spans="1:9" x14ac:dyDescent="0.3">
      <c r="I315">
        <v>13650</v>
      </c>
    </row>
    <row r="316" spans="1:9" x14ac:dyDescent="0.3">
      <c r="I316">
        <v>12000</v>
      </c>
    </row>
    <row r="317" spans="1:9" x14ac:dyDescent="0.3">
      <c r="I317">
        <v>11650</v>
      </c>
    </row>
    <row r="318" spans="1:9" x14ac:dyDescent="0.3">
      <c r="I318">
        <v>20200</v>
      </c>
    </row>
    <row r="319" spans="1:9" x14ac:dyDescent="0.3">
      <c r="I319">
        <v>22650</v>
      </c>
    </row>
    <row r="320" spans="1:9" x14ac:dyDescent="0.3">
      <c r="I320">
        <v>14650</v>
      </c>
    </row>
    <row r="321" spans="9:9" x14ac:dyDescent="0.3">
      <c r="I321">
        <v>24800</v>
      </c>
    </row>
    <row r="322" spans="9:9" x14ac:dyDescent="0.3">
      <c r="I322">
        <v>10650</v>
      </c>
    </row>
    <row r="323" spans="9:9" x14ac:dyDescent="0.3">
      <c r="I323">
        <v>14400</v>
      </c>
    </row>
    <row r="324" spans="9:9" x14ac:dyDescent="0.3">
      <c r="I324">
        <v>14800</v>
      </c>
    </row>
    <row r="325" spans="9:9" x14ac:dyDescent="0.3">
      <c r="I325">
        <v>12800</v>
      </c>
    </row>
    <row r="326" spans="9:9" x14ac:dyDescent="0.3">
      <c r="I326">
        <v>18000</v>
      </c>
    </row>
    <row r="327" spans="9:9" x14ac:dyDescent="0.3">
      <c r="I327">
        <v>14000</v>
      </c>
    </row>
    <row r="328" spans="9:9" x14ac:dyDescent="0.3">
      <c r="I328">
        <v>14000</v>
      </c>
    </row>
    <row r="329" spans="9:9" x14ac:dyDescent="0.3">
      <c r="I329">
        <v>55000</v>
      </c>
    </row>
    <row r="330" spans="9:9" x14ac:dyDescent="0.3">
      <c r="I330">
        <v>35000</v>
      </c>
    </row>
    <row r="331" spans="9:9" x14ac:dyDescent="0.3">
      <c r="I331">
        <v>14650</v>
      </c>
    </row>
    <row r="332" spans="9:9" x14ac:dyDescent="0.3">
      <c r="I332">
        <v>23000</v>
      </c>
    </row>
    <row r="333" spans="9:9" x14ac:dyDescent="0.3">
      <c r="I333">
        <v>2650</v>
      </c>
    </row>
    <row r="334" spans="9:9" x14ac:dyDescent="0.3">
      <c r="I334">
        <v>17060</v>
      </c>
    </row>
    <row r="335" spans="9:9" x14ac:dyDescent="0.3">
      <c r="I335">
        <v>10000</v>
      </c>
    </row>
    <row r="336" spans="9:9" x14ac:dyDescent="0.3">
      <c r="I336">
        <v>154000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12" zoomScale="107" zoomScaleNormal="210" workbookViewId="0">
      <selection activeCell="E30" sqref="E3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c r="M10">
        <v>0</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2"/>
      <c r="K14" s="26">
        <v>46076</v>
      </c>
      <c r="L14">
        <v>7800</v>
      </c>
      <c r="M14">
        <v>0</v>
      </c>
    </row>
    <row r="15" spans="1:14" x14ac:dyDescent="0.3">
      <c r="A15" s="122"/>
      <c r="K15" s="26">
        <v>46077</v>
      </c>
      <c r="L15">
        <v>27200</v>
      </c>
      <c r="M15">
        <v>-100000</v>
      </c>
    </row>
    <row r="16" spans="1:14" x14ac:dyDescent="0.3">
      <c r="A16" s="122"/>
      <c r="K16" s="26">
        <v>46078</v>
      </c>
      <c r="M16">
        <v>-150000</v>
      </c>
    </row>
    <row r="17" spans="1:13" x14ac:dyDescent="0.3">
      <c r="A17" s="122"/>
      <c r="K17" s="26">
        <v>46079</v>
      </c>
      <c r="M17">
        <v>-150000</v>
      </c>
    </row>
    <row r="18" spans="1:13" x14ac:dyDescent="0.3">
      <c r="A18" s="122"/>
      <c r="K18" s="26">
        <v>46086</v>
      </c>
      <c r="M18">
        <v>-400000</v>
      </c>
    </row>
    <row r="19" spans="1:13" x14ac:dyDescent="0.3">
      <c r="A19" s="122"/>
      <c r="K19" s="26">
        <v>46091</v>
      </c>
      <c r="L19">
        <v>129125</v>
      </c>
      <c r="M19">
        <v>0</v>
      </c>
    </row>
    <row r="20" spans="1:13" x14ac:dyDescent="0.3">
      <c r="A20" s="122"/>
      <c r="K20" s="4" t="s">
        <v>28</v>
      </c>
      <c r="L20">
        <v>264125</v>
      </c>
      <c r="M20">
        <v>447375</v>
      </c>
    </row>
    <row r="21" spans="1:13" x14ac:dyDescent="0.3">
      <c r="A21" s="122">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2">
        <v>46075</v>
      </c>
      <c r="B22" t="s">
        <v>64</v>
      </c>
      <c r="F22" t="s">
        <v>229</v>
      </c>
      <c r="G22">
        <f>SUMIFS(Table14[Debit], Table14[Date], Table8[[#This Row],[Date]], Table14[Party], Table8[[#This Row],[Party]])</f>
        <v>0</v>
      </c>
      <c r="H22">
        <f>Table8[[#This Row],[Price]]-Table8[[#This Row],[Paid]]</f>
        <v>0</v>
      </c>
    </row>
    <row r="23" spans="1:13" x14ac:dyDescent="0.3">
      <c r="A23" s="122">
        <v>46076</v>
      </c>
      <c r="B23" t="s">
        <v>64</v>
      </c>
      <c r="E23">
        <v>7800</v>
      </c>
      <c r="F23" t="s">
        <v>176</v>
      </c>
      <c r="G23">
        <f>SUMIFS(Table14[Debit], Table14[Date], Table8[[#This Row],[Date]], Table14[Party], Table8[[#This Row],[Party]])</f>
        <v>7800</v>
      </c>
      <c r="H23">
        <f>Table8[[#This Row],[Price]]-Table8[[#This Row],[Paid]]</f>
        <v>0</v>
      </c>
    </row>
    <row r="24" spans="1:13" x14ac:dyDescent="0.3">
      <c r="A24" s="122">
        <v>46077</v>
      </c>
      <c r="B24" t="s">
        <v>315</v>
      </c>
      <c r="E24">
        <v>27200</v>
      </c>
      <c r="F24" t="s">
        <v>176</v>
      </c>
      <c r="G24">
        <f>SUMIFS(Table14[Debit], Table14[Date], Table8[[#This Row],[Date]], Table14[Party], Table8[[#This Row],[Party]])</f>
        <v>27200</v>
      </c>
      <c r="H24">
        <f>Table8[[#This Row],[Price]]-Table8[[#This Row],[Paid]]</f>
        <v>0</v>
      </c>
    </row>
    <row r="25" spans="1:13" x14ac:dyDescent="0.3">
      <c r="A25" s="122">
        <v>46077</v>
      </c>
      <c r="B25" t="s">
        <v>341</v>
      </c>
      <c r="F25" t="s">
        <v>115</v>
      </c>
      <c r="G25">
        <f>SUMIFS(Table14[Debit], Table14[Date], Table8[[#This Row],[Date]], Table14[Party], Table8[[#This Row],[Party]])</f>
        <v>100000</v>
      </c>
      <c r="H25">
        <f>Table8[[#This Row],[Price]]-Table8[[#This Row],[Paid]]</f>
        <v>-100000</v>
      </c>
    </row>
    <row r="26" spans="1:13" x14ac:dyDescent="0.3">
      <c r="A26" s="122">
        <v>46078</v>
      </c>
      <c r="B26" t="s">
        <v>341</v>
      </c>
      <c r="F26" t="s">
        <v>115</v>
      </c>
      <c r="G26">
        <f>SUMIFS(Table14[Debit], Table14[Date], Table8[[#This Row],[Date]], Table14[Party], Table8[[#This Row],[Party]])</f>
        <v>150000</v>
      </c>
      <c r="H26">
        <f>Table8[[#This Row],[Price]]-Table8[[#This Row],[Paid]]</f>
        <v>-150000</v>
      </c>
    </row>
    <row r="27" spans="1:13" x14ac:dyDescent="0.3">
      <c r="A27" s="122">
        <v>46079</v>
      </c>
      <c r="B27" t="s">
        <v>341</v>
      </c>
      <c r="F27" t="s">
        <v>115</v>
      </c>
      <c r="G27">
        <f>SUMIFS(Table14[Debit], Table14[Date], Table8[[#This Row],[Date]], Table14[Party], Table8[[#This Row],[Party]])</f>
        <v>150000</v>
      </c>
      <c r="H27">
        <f>Table8[[#This Row],[Price]]-Table8[[#This Row],[Paid]]</f>
        <v>-150000</v>
      </c>
    </row>
    <row r="28" spans="1:13" x14ac:dyDescent="0.3">
      <c r="A28" s="122">
        <v>46086</v>
      </c>
      <c r="B28" t="s">
        <v>341</v>
      </c>
      <c r="F28" t="s">
        <v>229</v>
      </c>
      <c r="G28">
        <f>SUMIFS(Table14[Debit], Table14[Date], Table8[[#This Row],[Date]], Table14[Party], Table8[[#This Row],[Party]])</f>
        <v>400000</v>
      </c>
      <c r="H28">
        <f>Table8[[#This Row],[Price]]-Table8[[#This Row],[Paid]]</f>
        <v>-400000</v>
      </c>
    </row>
    <row r="29" spans="1:13" x14ac:dyDescent="0.3">
      <c r="A29" s="122">
        <v>46091</v>
      </c>
      <c r="B29" t="s">
        <v>64</v>
      </c>
      <c r="E29">
        <v>129125</v>
      </c>
      <c r="F29" t="s">
        <v>298</v>
      </c>
      <c r="G29">
        <f>SUMIFS(Table14[Debit], Table14[Date], Table8[[#This Row],[Date]], Table14[Party], Table8[[#This Row],[Party]])</f>
        <v>129125</v>
      </c>
      <c r="H29">
        <f>Table8[[#This Row],[Price]]-Table8[[#This Row],[Paid]]</f>
        <v>0</v>
      </c>
    </row>
    <row r="30" spans="1:13" x14ac:dyDescent="0.3">
      <c r="G30">
        <f>SUMIFS(Table14[Debit], Table14[Date], Table8[[#This Row],[Date]], Table14[Party], Table8[[#This Row],[Party]])</f>
        <v>0</v>
      </c>
      <c r="H30">
        <f>Table8[[#This Row],[Price]]-Table8[[#This Row],[Paid]]</f>
        <v>0</v>
      </c>
    </row>
    <row r="31" spans="1:13" x14ac:dyDescent="0.3">
      <c r="E31">
        <f>SUBTOTAL(109,Table8[Price])</f>
        <v>264125</v>
      </c>
      <c r="H31">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9" sqref="A2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120000</v>
      </c>
      <c r="L8">
        <v>65000</v>
      </c>
      <c r="M8">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428</v>
      </c>
      <c r="K12">
        <v>0</v>
      </c>
      <c r="L12">
        <v>0</v>
      </c>
      <c r="M12">
        <v>0</v>
      </c>
    </row>
    <row r="13" spans="1:13" x14ac:dyDescent="0.3">
      <c r="A13" s="1"/>
      <c r="B13" s="1"/>
      <c r="J13" s="4" t="s">
        <v>28</v>
      </c>
      <c r="K13">
        <v>282500</v>
      </c>
      <c r="L13">
        <v>231500</v>
      </c>
      <c r="M13">
        <v>86500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1526269</v>
      </c>
      <c r="C2" s="32">
        <f>GETPIVOTDATA("Sum of Tiyaar/gaz",$A$3)</f>
        <v>1496480</v>
      </c>
      <c r="D2" s="31">
        <f>((B2*48)+((C2/1.0936)*10))/C2</f>
        <v>58.099601409434761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48021</v>
      </c>
      <c r="D20" s="28">
        <f t="shared" si="1"/>
        <v>92.742536881153271</v>
      </c>
      <c r="E20" s="11">
        <f>B20 * 1.0936</f>
        <v>91463.23599999999</v>
      </c>
      <c r="F20" s="11">
        <f t="shared" si="0"/>
        <v>48021</v>
      </c>
      <c r="G20" s="78">
        <f t="shared" si="6"/>
        <v>47.49693745801865</v>
      </c>
      <c r="H20" s="28">
        <f t="shared" si="3"/>
        <v>43910.936356986102</v>
      </c>
      <c r="I20" s="28">
        <f t="shared" si="5"/>
        <v>92.742536881153271</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416</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t="s">
        <v>28</v>
      </c>
      <c r="B64" s="30">
        <v>101030</v>
      </c>
      <c r="C64" s="30">
        <v>1496480</v>
      </c>
      <c r="D64" s="28">
        <f t="shared" si="25"/>
        <v>12.384675717143519</v>
      </c>
      <c r="E64" s="11">
        <f t="shared" si="26"/>
        <v>110486.408</v>
      </c>
      <c r="F64" s="11">
        <f t="shared" si="27"/>
        <v>1496480</v>
      </c>
      <c r="G64" s="78">
        <f t="shared" si="28"/>
        <v>-1254.4471461141175</v>
      </c>
      <c r="H64" s="28">
        <f t="shared" si="29"/>
        <v>1368397.9517190931</v>
      </c>
      <c r="I64" s="28">
        <f t="shared" si="30"/>
        <v>12.384675717143519</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709894</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20974324.36137528</v>
      </c>
    </row>
    <row r="3" spans="1:3" ht="21" x14ac:dyDescent="0.4">
      <c r="A3" s="102" t="str">
        <f>Billing!R6</f>
        <v>Ejaz Sahab</v>
      </c>
      <c r="B3" s="105">
        <f>Billing!AF6</f>
        <v>6753987</v>
      </c>
      <c r="C3" s="103">
        <f>Billing!AG6</f>
        <v>82772.326993416995</v>
      </c>
    </row>
    <row r="4" spans="1:3" ht="21" x14ac:dyDescent="0.4">
      <c r="A4" s="102" t="str">
        <f>Billing!R7</f>
        <v>Arshad</v>
      </c>
      <c r="B4" s="105">
        <f>Billing!AF7</f>
        <v>9052501</v>
      </c>
      <c r="C4" s="104">
        <f>Billing!AG7</f>
        <v>273713.33796634898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9984871</v>
      </c>
      <c r="C7" s="103">
        <f>Billing!AG10</f>
        <v>464144.17922458053</v>
      </c>
    </row>
    <row r="8" spans="1:3" ht="21" x14ac:dyDescent="0.4">
      <c r="A8" s="102" t="str">
        <f>Billing!R11</f>
        <v>Raaz Fabrics</v>
      </c>
      <c r="B8" s="105">
        <f>Billing!AF11</f>
        <v>1726321</v>
      </c>
      <c r="C8" s="104">
        <f>Billing!AG11</f>
        <v>132704.23774689133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5339259</v>
      </c>
      <c r="C12" s="103">
        <f>Billing!AG15</f>
        <v>494510.20263350476</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451112.02633504104</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1545500</v>
      </c>
      <c r="C24" s="103">
        <f>Billing!AG27</f>
        <v>81366.313094367506</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2365000</v>
      </c>
      <c r="C28" s="103">
        <f>Billing!AG31</f>
        <v>751070.77542062942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169278</v>
      </c>
      <c r="C32" s="103">
        <f>Billing!AG35</f>
        <v>-7738.1316752011771</v>
      </c>
    </row>
    <row r="33" spans="1:3" ht="21" x14ac:dyDescent="0.4">
      <c r="A33" s="102" t="str">
        <f>Billing!R36</f>
        <v>Faizan Kamoki</v>
      </c>
      <c r="B33" s="105">
        <f>Billing!AF36</f>
        <v>2526791.4930504756</v>
      </c>
      <c r="C33" s="103">
        <f>Billing!AG36</f>
        <v>179406.38551572803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5">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c r="G35">
        <v>0</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2026-03-13T23:21:43Z</dcterms:modified>
  <cp:category/>
  <cp:contentStatus/>
</cp:coreProperties>
</file>