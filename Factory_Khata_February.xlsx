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128" documentId="8_{5FA7CF9A-3CD5-4319-9FC5-E34696581AAD}" xr6:coauthVersionLast="47" xr6:coauthVersionMax="47" xr10:uidLastSave="{D30A3F81-AC2B-46C8-9242-33870E4438AA}"/>
  <bookViews>
    <workbookView xWindow="-108" yWindow="-108" windowWidth="23256" windowHeight="12456" tabRatio="597" firstSheet="8"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3" r:id="rId20"/>
    <pivotCache cacheId="99" r:id="rId21"/>
    <pivotCache cacheId="104" r:id="rId22"/>
    <pivotCache cacheId="108" r:id="rId23"/>
    <pivotCache cacheId="112" r:id="rId24"/>
    <pivotCache cacheId="117"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0" i="9" l="1"/>
  <c r="O51" i="9"/>
  <c r="O52" i="9"/>
  <c r="O53" i="9"/>
  <c r="O54" i="9"/>
  <c r="O55" i="9"/>
  <c r="O56" i="9"/>
  <c r="O57" i="9"/>
  <c r="O58" i="9"/>
  <c r="O59" i="9"/>
  <c r="O60" i="9"/>
  <c r="O61" i="9"/>
  <c r="O62" i="9"/>
  <c r="O63" i="9"/>
  <c r="O64" i="9"/>
  <c r="O65" i="9"/>
  <c r="O66" i="9"/>
  <c r="O67" i="9"/>
  <c r="O68" i="9"/>
  <c r="O69" i="9"/>
  <c r="O70" i="9"/>
  <c r="O71" i="9"/>
  <c r="O72" i="9"/>
  <c r="O73" i="9"/>
  <c r="O74" i="9"/>
  <c r="O75" i="9"/>
  <c r="O76" i="9"/>
  <c r="O77" i="9"/>
  <c r="O78" i="9"/>
  <c r="O79" i="9"/>
  <c r="O80" i="9"/>
  <c r="O81" i="9"/>
  <c r="O82" i="9"/>
  <c r="O83" i="9"/>
  <c r="O49" i="9"/>
  <c r="G51" i="6"/>
  <c r="G52" i="6"/>
  <c r="G53" i="6"/>
  <c r="G54" i="6"/>
  <c r="G55" i="6"/>
  <c r="I51" i="6"/>
  <c r="I52" i="6"/>
  <c r="I53" i="6"/>
  <c r="I54" i="6"/>
  <c r="I55" i="6"/>
  <c r="I205" i="1"/>
  <c r="J205" i="1" a="1"/>
  <c r="J205" i="1" s="1"/>
  <c r="I206" i="1"/>
  <c r="J206" i="1" s="1" a="1"/>
  <c r="J206" i="1" s="1"/>
  <c r="I207" i="1"/>
  <c r="J207" i="1" a="1"/>
  <c r="J207" i="1" s="1"/>
  <c r="I208" i="1"/>
  <c r="J208" i="1" a="1"/>
  <c r="J208" i="1"/>
  <c r="I209" i="1"/>
  <c r="J209" i="1" a="1"/>
  <c r="J209" i="1" s="1"/>
  <c r="I210" i="1"/>
  <c r="J210" i="1" s="1" a="1"/>
  <c r="J210" i="1" s="1"/>
  <c r="I211" i="1"/>
  <c r="J211" i="1" a="1"/>
  <c r="J211" i="1" s="1"/>
  <c r="I212" i="1"/>
  <c r="J212" i="1" a="1"/>
  <c r="J212" i="1"/>
  <c r="I213" i="1"/>
  <c r="J213" i="1" a="1"/>
  <c r="J213" i="1" s="1"/>
  <c r="J204" i="1" a="1"/>
  <c r="J204" i="1" s="1"/>
  <c r="I204" i="1"/>
  <c r="J203" i="1" a="1"/>
  <c r="J203" i="1" s="1"/>
  <c r="I200" i="1"/>
  <c r="J200" i="1" a="1"/>
  <c r="J200" i="1" s="1"/>
  <c r="I201" i="1"/>
  <c r="J201" i="1" a="1"/>
  <c r="J201" i="1" s="1"/>
  <c r="I202" i="1"/>
  <c r="J202" i="1" a="1"/>
  <c r="J202" i="1" s="1"/>
  <c r="I203" i="1"/>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6" i="17"/>
  <c r="C640" i="17"/>
  <c r="J65" i="14" s="1"/>
  <c r="C639" i="17"/>
  <c r="G25" i="7"/>
  <c r="H25" i="7" s="1"/>
  <c r="G26" i="7"/>
  <c r="H26" i="7" s="1"/>
  <c r="G27" i="7"/>
  <c r="H27" i="7" s="1"/>
  <c r="G28" i="7"/>
  <c r="H28" i="7" s="1"/>
  <c r="I184" i="1"/>
  <c r="I185" i="1"/>
  <c r="J185" i="1" s="1" a="1"/>
  <c r="J185" i="1" s="1"/>
  <c r="I186" i="1"/>
  <c r="J186" i="1" s="1" a="1"/>
  <c r="J186" i="1" s="1"/>
  <c r="I187" i="1"/>
  <c r="J187" i="1" s="1" a="1"/>
  <c r="J187" i="1" s="1"/>
  <c r="I188" i="1"/>
  <c r="J188" i="1" s="1" a="1"/>
  <c r="J188" i="1" s="1"/>
  <c r="I189" i="1"/>
  <c r="J189" i="1" s="1" a="1"/>
  <c r="J189" i="1" s="1"/>
  <c r="I190" i="1"/>
  <c r="J190" i="1" s="1" a="1"/>
  <c r="J190" i="1" s="1"/>
  <c r="I191" i="1"/>
  <c r="J191" i="1" s="1" a="1"/>
  <c r="J191" i="1" s="1"/>
  <c r="I192" i="1"/>
  <c r="J192" i="1" s="1" a="1"/>
  <c r="J192" i="1" s="1"/>
  <c r="I193" i="1"/>
  <c r="J193" i="1" s="1" a="1"/>
  <c r="J193" i="1" s="1"/>
  <c r="I194" i="1"/>
  <c r="J194" i="1" s="1" a="1"/>
  <c r="J194" i="1" s="1"/>
  <c r="I195" i="1"/>
  <c r="J195" i="1" s="1" a="1"/>
  <c r="J195" i="1" s="1"/>
  <c r="I196" i="1"/>
  <c r="J196" i="1" s="1" a="1"/>
  <c r="J196" i="1" s="1"/>
  <c r="I197" i="1"/>
  <c r="J197" i="1" s="1" a="1"/>
  <c r="J197" i="1" s="1"/>
  <c r="I198" i="1"/>
  <c r="J198" i="1" s="1" a="1"/>
  <c r="J198" i="1" s="1"/>
  <c r="I199" i="1"/>
  <c r="J199" i="1" s="1" a="1"/>
  <c r="J199" i="1" s="1"/>
  <c r="G24" i="7"/>
  <c r="H24" i="7" s="1"/>
  <c r="G22" i="7"/>
  <c r="H22" i="7" s="1"/>
  <c r="G36" i="7"/>
  <c r="H36" i="7" s="1"/>
  <c r="G37" i="7"/>
  <c r="H37" i="7" s="1"/>
  <c r="G38" i="7"/>
  <c r="H38" i="7" s="1"/>
  <c r="G39" i="7"/>
  <c r="H39" i="7" s="1"/>
  <c r="G40" i="7"/>
  <c r="H40" i="7" s="1"/>
  <c r="G41" i="7"/>
  <c r="H41" i="7" s="1"/>
  <c r="F40" i="15"/>
  <c r="F41" i="15"/>
  <c r="F42" i="15"/>
  <c r="G37" i="15"/>
  <c r="H37" i="15" s="1"/>
  <c r="G38" i="15"/>
  <c r="H38" i="15" s="1"/>
  <c r="G39" i="15"/>
  <c r="G40" i="15"/>
  <c r="G41" i="15"/>
  <c r="G42" i="15"/>
  <c r="H42" i="15" s="1"/>
  <c r="I62" i="6"/>
  <c r="I63" i="6"/>
  <c r="I64" i="6"/>
  <c r="I65" i="6"/>
  <c r="I66" i="6"/>
  <c r="I67" i="6"/>
  <c r="I68" i="6"/>
  <c r="I69" i="6"/>
  <c r="G62" i="6"/>
  <c r="G63" i="6"/>
  <c r="G64" i="6"/>
  <c r="G65" i="6"/>
  <c r="G66" i="6"/>
  <c r="G67" i="6"/>
  <c r="G68" i="6"/>
  <c r="G69" i="6"/>
  <c r="I57" i="6"/>
  <c r="I58" i="6"/>
  <c r="I59" i="6"/>
  <c r="I60" i="6"/>
  <c r="I61" i="6"/>
  <c r="G58" i="6"/>
  <c r="G59" i="6"/>
  <c r="G60" i="6"/>
  <c r="G61" i="6"/>
  <c r="H41" i="15" l="1"/>
  <c r="H40" i="15"/>
  <c r="H39" i="15"/>
  <c r="I182" i="1" l="1"/>
  <c r="J182" i="1" s="1" a="1"/>
  <c r="J182" i="1" s="1"/>
  <c r="I183" i="1"/>
  <c r="J183" i="1" s="1" a="1"/>
  <c r="J183" i="1" s="1"/>
  <c r="J184" i="1" a="1"/>
  <c r="J184" i="1" s="1"/>
  <c r="G23" i="7"/>
  <c r="H23" i="7" s="1"/>
  <c r="I181" i="1"/>
  <c r="J181" i="1" s="1" a="1"/>
  <c r="J181" i="1" s="1"/>
  <c r="I175" i="1"/>
  <c r="J175" i="1" s="1" a="1"/>
  <c r="J175" i="1" s="1"/>
  <c r="I176" i="1"/>
  <c r="J176" i="1" s="1" a="1"/>
  <c r="J176" i="1" s="1"/>
  <c r="I177" i="1"/>
  <c r="J177" i="1" s="1" a="1"/>
  <c r="J177" i="1" s="1"/>
  <c r="I178" i="1"/>
  <c r="J178" i="1" s="1" a="1"/>
  <c r="J178" i="1" s="1"/>
  <c r="I179" i="1"/>
  <c r="J179" i="1" s="1" a="1"/>
  <c r="J179" i="1" s="1"/>
  <c r="I180" i="1"/>
  <c r="J180" i="1" s="1" a="1"/>
  <c r="J180" i="1" s="1"/>
  <c r="F27" i="15"/>
  <c r="C425" i="17"/>
  <c r="C424" i="17"/>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G21" i="7"/>
  <c r="H21" i="7" s="1"/>
  <c r="C363" i="17"/>
  <c r="C410" i="17"/>
  <c r="D413" i="17"/>
  <c r="C411" i="17"/>
  <c r="C383" i="17"/>
  <c r="C358" i="17"/>
  <c r="C351" i="17"/>
  <c r="F30" i="15"/>
  <c r="F32" i="15"/>
  <c r="F34" i="15"/>
  <c r="F35" i="15"/>
  <c r="G30" i="15"/>
  <c r="G31" i="15"/>
  <c r="H31" i="15" s="1"/>
  <c r="G32" i="15"/>
  <c r="G33" i="15"/>
  <c r="H33" i="15" s="1"/>
  <c r="G34" i="15"/>
  <c r="G35" i="15"/>
  <c r="G36" i="15"/>
  <c r="H36" i="15" s="1"/>
  <c r="I170" i="1"/>
  <c r="J170" i="1" s="1" a="1"/>
  <c r="J170" i="1" s="1"/>
  <c r="I171" i="1"/>
  <c r="J171" i="1" s="1" a="1"/>
  <c r="J171" i="1" s="1"/>
  <c r="I172" i="1"/>
  <c r="J172" i="1" s="1" a="1"/>
  <c r="J172" i="1" s="1"/>
  <c r="I173" i="1"/>
  <c r="J173" i="1" s="1" a="1"/>
  <c r="J173" i="1" s="1"/>
  <c r="I174" i="1"/>
  <c r="J174" i="1" s="1" a="1"/>
  <c r="J174" i="1" s="1"/>
  <c r="D156" i="17"/>
  <c r="C340" i="17"/>
  <c r="C334" i="17"/>
  <c r="D320" i="17"/>
  <c r="I157" i="1"/>
  <c r="J157" i="1" s="1" a="1"/>
  <c r="J157" i="1" s="1"/>
  <c r="I158" i="1"/>
  <c r="J158" i="1" s="1" a="1"/>
  <c r="J158" i="1" s="1"/>
  <c r="I159" i="1"/>
  <c r="J159" i="1" s="1" a="1"/>
  <c r="J159" i="1" s="1"/>
  <c r="I160" i="1"/>
  <c r="J160" i="1" s="1" a="1"/>
  <c r="J160" i="1" s="1"/>
  <c r="I161" i="1"/>
  <c r="J161" i="1" s="1" a="1"/>
  <c r="J161" i="1" s="1"/>
  <c r="I162" i="1"/>
  <c r="J162" i="1" s="1" a="1"/>
  <c r="J162" i="1" s="1"/>
  <c r="I163" i="1"/>
  <c r="J163" i="1" s="1" a="1"/>
  <c r="J163" i="1" s="1"/>
  <c r="I164" i="1"/>
  <c r="J164" i="1" s="1" a="1"/>
  <c r="J164" i="1" s="1"/>
  <c r="I165" i="1"/>
  <c r="J165" i="1" s="1" a="1"/>
  <c r="J165" i="1" s="1"/>
  <c r="I166" i="1"/>
  <c r="J166" i="1" s="1" a="1"/>
  <c r="J166" i="1" s="1"/>
  <c r="I167" i="1"/>
  <c r="J167" i="1" s="1" a="1"/>
  <c r="J167" i="1" s="1"/>
  <c r="I169" i="1"/>
  <c r="J169" i="1" s="1" a="1"/>
  <c r="J169" i="1" s="1"/>
  <c r="G168" i="1"/>
  <c r="I168" i="1" s="1"/>
  <c r="J168" i="1" s="1" a="1"/>
  <c r="J168" i="1" s="1"/>
  <c r="C291" i="17"/>
  <c r="I138" i="1"/>
  <c r="J138" i="1" s="1" a="1"/>
  <c r="J138" i="1" s="1"/>
  <c r="I139" i="1"/>
  <c r="J139" i="1" s="1" a="1"/>
  <c r="J139" i="1" s="1"/>
  <c r="I140" i="1"/>
  <c r="J140" i="1" s="1" a="1"/>
  <c r="J140"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I156" i="1"/>
  <c r="J156" i="1" s="1" a="1"/>
  <c r="J156" i="1" s="1"/>
  <c r="F151" i="1"/>
  <c r="F150" i="1"/>
  <c r="F97" i="1"/>
  <c r="C266" i="17"/>
  <c r="I137" i="1"/>
  <c r="J137" i="1" s="1" a="1"/>
  <c r="J137" i="1" s="1"/>
  <c r="I35" i="6"/>
  <c r="I36" i="6"/>
  <c r="I37" i="6"/>
  <c r="I38" i="6"/>
  <c r="I39" i="6"/>
  <c r="I40" i="6"/>
  <c r="I41" i="6"/>
  <c r="I42" i="6"/>
  <c r="I43" i="6"/>
  <c r="I44" i="6"/>
  <c r="I45" i="6"/>
  <c r="I46" i="6"/>
  <c r="I47" i="6"/>
  <c r="I48" i="6"/>
  <c r="I49" i="6"/>
  <c r="I50" i="6"/>
  <c r="I56" i="6"/>
  <c r="I134" i="1"/>
  <c r="J134" i="1" s="1" a="1"/>
  <c r="J134" i="1" s="1"/>
  <c r="I135" i="1"/>
  <c r="J135" i="1" s="1" a="1"/>
  <c r="J135" i="1" s="1"/>
  <c r="I136" i="1"/>
  <c r="J136" i="1" s="1" a="1"/>
  <c r="J136" i="1" s="1"/>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6" i="6"/>
  <c r="G57" i="6"/>
  <c r="I127" i="1"/>
  <c r="J127" i="1" s="1" a="1"/>
  <c r="J127" i="1" s="1"/>
  <c r="I128" i="1"/>
  <c r="J128" i="1" s="1" a="1"/>
  <c r="J128" i="1" s="1"/>
  <c r="I129" i="1"/>
  <c r="J129" i="1" s="1" a="1"/>
  <c r="J129" i="1" s="1"/>
  <c r="I130" i="1"/>
  <c r="J130" i="1" s="1" a="1"/>
  <c r="J130" i="1" s="1"/>
  <c r="I131" i="1"/>
  <c r="J131" i="1" s="1" a="1"/>
  <c r="J131" i="1" s="1"/>
  <c r="I132" i="1"/>
  <c r="J132" i="1" s="1" a="1"/>
  <c r="J132" i="1" s="1"/>
  <c r="I133" i="1"/>
  <c r="J133" i="1" s="1" a="1"/>
  <c r="J133" i="1" s="1"/>
  <c r="C236" i="17"/>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C137" i="17"/>
  <c r="F28" i="15"/>
  <c r="F29" i="15"/>
  <c r="F5" i="15"/>
  <c r="F6" i="15"/>
  <c r="F7" i="15"/>
  <c r="F8" i="15"/>
  <c r="F9" i="15"/>
  <c r="F10" i="15"/>
  <c r="H10" i="15" s="1"/>
  <c r="F23" i="15"/>
  <c r="F25" i="15"/>
  <c r="G28" i="15"/>
  <c r="G29" i="15"/>
  <c r="C204" i="17"/>
  <c r="G27" i="15"/>
  <c r="H27" i="15" s="1"/>
  <c r="AD39" i="9" a="1"/>
  <c r="AD39" i="9" s="1"/>
  <c r="I112" i="1"/>
  <c r="J112" i="1" s="1"/>
  <c r="I113" i="1"/>
  <c r="J113" i="1" s="1"/>
  <c r="G25" i="6"/>
  <c r="I106" i="1"/>
  <c r="J106" i="1" s="1" a="1"/>
  <c r="J106" i="1" s="1"/>
  <c r="I107" i="1"/>
  <c r="J107" i="1" s="1" a="1"/>
  <c r="J107" i="1" s="1"/>
  <c r="I108" i="1"/>
  <c r="J108" i="1" s="1" a="1"/>
  <c r="J108" i="1" s="1"/>
  <c r="I109" i="1"/>
  <c r="J109" i="1" s="1" a="1"/>
  <c r="J109" i="1" s="1"/>
  <c r="I110" i="1"/>
  <c r="J110" i="1" s="1" a="1"/>
  <c r="J110" i="1" s="1"/>
  <c r="I111" i="1"/>
  <c r="J111" i="1" s="1" a="1"/>
  <c r="J111" i="1" s="1"/>
  <c r="I114" i="1"/>
  <c r="J114" i="1" s="1" a="1"/>
  <c r="J114" i="1" s="1"/>
  <c r="I115" i="1"/>
  <c r="J115" i="1" s="1" a="1"/>
  <c r="J115" i="1" s="1"/>
  <c r="I116" i="1"/>
  <c r="J116" i="1" s="1" a="1"/>
  <c r="J116" i="1" s="1"/>
  <c r="I117" i="1"/>
  <c r="J117" i="1" s="1" a="1"/>
  <c r="J117" i="1" s="1"/>
  <c r="I118" i="1"/>
  <c r="J118" i="1" s="1" a="1"/>
  <c r="J118" i="1" s="1"/>
  <c r="I119" i="1"/>
  <c r="J119" i="1" s="1" a="1"/>
  <c r="J119" i="1" s="1"/>
  <c r="D161" i="17"/>
  <c r="D103" i="17"/>
  <c r="C54" i="17"/>
  <c r="C155" i="17"/>
  <c r="I102" i="1"/>
  <c r="J102" i="1" s="1" a="1"/>
  <c r="J102" i="1" s="1"/>
  <c r="I103" i="1"/>
  <c r="J103" i="1" s="1" a="1"/>
  <c r="J103" i="1" s="1"/>
  <c r="I104" i="1"/>
  <c r="J104" i="1" s="1" a="1"/>
  <c r="J104" i="1" s="1"/>
  <c r="I105" i="1"/>
  <c r="J105" i="1" s="1" a="1"/>
  <c r="J105" i="1" s="1"/>
  <c r="I95" i="1"/>
  <c r="J95" i="1" s="1" a="1"/>
  <c r="J95" i="1" s="1"/>
  <c r="I96" i="1"/>
  <c r="J96" i="1" s="1" a="1"/>
  <c r="J96" i="1" s="1"/>
  <c r="I97" i="1"/>
  <c r="J97" i="1" s="1" a="1"/>
  <c r="J97" i="1" s="1"/>
  <c r="I98" i="1"/>
  <c r="J98" i="1" s="1" a="1"/>
  <c r="J98" i="1" s="1"/>
  <c r="I99" i="1"/>
  <c r="J99" i="1" s="1" a="1"/>
  <c r="J99" i="1" s="1"/>
  <c r="I100" i="1"/>
  <c r="J100" i="1" s="1" a="1"/>
  <c r="J100" i="1" s="1"/>
  <c r="I101" i="1"/>
  <c r="J101" i="1" s="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8" i="20"/>
  <c r="A39" i="20"/>
  <c r="A40" i="20"/>
  <c r="R5" i="9" a="1"/>
  <c r="G14" i="6"/>
  <c r="A38" i="21"/>
  <c r="B38" i="21" s="1"/>
  <c r="G2" i="21" a="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5" i="15"/>
  <c r="G26" i="15"/>
  <c r="H26" i="15" s="1"/>
  <c r="E10" i="7"/>
  <c r="C5" i="8" s="1"/>
  <c r="I70" i="1"/>
  <c r="J70" i="1" a="1"/>
  <c r="J70" i="1" s="1"/>
  <c r="I71" i="1"/>
  <c r="J71" i="1" s="1" a="1"/>
  <c r="J71" i="1"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6" i="20"/>
  <c r="C36" i="20"/>
  <c r="B37" i="20"/>
  <c r="B38" i="20"/>
  <c r="B39" i="20"/>
  <c r="C39" i="20"/>
  <c r="B40" i="20"/>
  <c r="C40" i="20"/>
  <c r="D28" i="18"/>
  <c r="C9" i="8"/>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B49" i="9" a="1"/>
  <c r="I36" i="12"/>
  <c r="J35" i="14"/>
  <c r="J36" i="14"/>
  <c r="D35" i="14"/>
  <c r="D36" i="14"/>
  <c r="D35" i="18"/>
  <c r="D36" i="18"/>
  <c r="D37" i="18"/>
  <c r="E35" i="18"/>
  <c r="E36" i="18"/>
  <c r="E37" i="18"/>
  <c r="J25" i="15"/>
  <c r="J27" i="15"/>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AD40" i="9" s="1" a="1"/>
  <c r="AD40" i="9" s="1"/>
  <c r="E51" i="7"/>
  <c r="E52" i="7"/>
  <c r="E53" i="7"/>
  <c r="E54" i="7"/>
  <c r="E55" i="7"/>
  <c r="E56" i="7"/>
  <c r="E57" i="7"/>
  <c r="E58" i="7"/>
  <c r="E59" i="7"/>
  <c r="E60" i="7"/>
  <c r="E61" i="7"/>
  <c r="E62" i="7"/>
  <c r="E63" i="7"/>
  <c r="E64" i="7"/>
  <c r="E65" i="7"/>
  <c r="E66" i="7"/>
  <c r="E67" i="7"/>
  <c r="E68" i="7"/>
  <c r="E69" i="7"/>
  <c r="E70" i="7"/>
  <c r="E71" i="7"/>
  <c r="E50" i="7"/>
  <c r="E83" i="2"/>
  <c r="F83" i="2"/>
  <c r="H83" i="2" s="1"/>
  <c r="I83" i="2" s="1"/>
  <c r="D83" i="2" s="1"/>
  <c r="E84" i="2"/>
  <c r="F84" i="2"/>
  <c r="H84" i="2"/>
  <c r="I84" i="2" s="1"/>
  <c r="D84" i="2" s="1"/>
  <c r="E85" i="2"/>
  <c r="F85" i="2"/>
  <c r="E86" i="2"/>
  <c r="F86" i="2"/>
  <c r="H86" i="2" s="1"/>
  <c r="I86" i="2" s="1"/>
  <c r="D86" i="2" s="1"/>
  <c r="E87" i="2"/>
  <c r="F87" i="2"/>
  <c r="G87" i="2" s="1"/>
  <c r="H207" i="1" s="1"/>
  <c r="H87" i="2"/>
  <c r="I87" i="2" s="1"/>
  <c r="D87" i="2" s="1"/>
  <c r="E88" i="2"/>
  <c r="F88" i="2"/>
  <c r="E89" i="2"/>
  <c r="F89" i="2"/>
  <c r="H89" i="2" s="1"/>
  <c r="I89" i="2" s="1"/>
  <c r="D89" i="2" s="1"/>
  <c r="E90" i="2"/>
  <c r="F90" i="2"/>
  <c r="E91" i="2"/>
  <c r="F91" i="2"/>
  <c r="H91" i="2" s="1"/>
  <c r="I91" i="2" s="1"/>
  <c r="D91" i="2" s="1"/>
  <c r="E92" i="2"/>
  <c r="F92" i="2"/>
  <c r="H92" i="2"/>
  <c r="I92" i="2" s="1"/>
  <c r="D92" i="2" s="1"/>
  <c r="E93" i="2"/>
  <c r="F93" i="2"/>
  <c r="G93" i="2"/>
  <c r="H213" i="1" s="1"/>
  <c r="E94" i="2"/>
  <c r="F94" i="2"/>
  <c r="H94" i="2" s="1"/>
  <c r="I94" i="2" s="1"/>
  <c r="D94" i="2" s="1"/>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s="1"/>
  <c r="I75" i="2" s="1"/>
  <c r="D75" i="2" s="1"/>
  <c r="E76" i="2"/>
  <c r="F76" i="2"/>
  <c r="E77" i="2"/>
  <c r="G77" i="2" s="1"/>
  <c r="H194" i="1" s="1"/>
  <c r="F77" i="2"/>
  <c r="E78" i="2"/>
  <c r="F78" i="2"/>
  <c r="G78" i="2" s="1"/>
  <c r="H195" i="1" s="1"/>
  <c r="E79" i="2"/>
  <c r="F79" i="2"/>
  <c r="H79" i="2" s="1"/>
  <c r="I79" i="2" s="1"/>
  <c r="D79" i="2" s="1"/>
  <c r="E80" i="2"/>
  <c r="F80" i="2"/>
  <c r="E81" i="2"/>
  <c r="F81" i="2"/>
  <c r="E82" i="2"/>
  <c r="F82" i="2"/>
  <c r="G82" i="2" s="1"/>
  <c r="H201" i="1"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F27" i="2"/>
  <c r="E27" i="2"/>
  <c r="E59" i="2"/>
  <c r="F59" i="2"/>
  <c r="H59" i="2" s="1"/>
  <c r="I59" i="2" s="1"/>
  <c r="D59" i="2" s="1"/>
  <c r="F28" i="2"/>
  <c r="H28" i="2" s="1"/>
  <c r="I28" i="2" s="1"/>
  <c r="D28" i="2" s="1"/>
  <c r="E28" i="2"/>
  <c r="E60" i="2"/>
  <c r="F60" i="2"/>
  <c r="H60" i="2" s="1"/>
  <c r="I60" i="2" s="1"/>
  <c r="D60" i="2" s="1"/>
  <c r="E61" i="2"/>
  <c r="F61" i="2"/>
  <c r="H61" i="2" s="1"/>
  <c r="I61" i="2" s="1"/>
  <c r="D61" i="2" s="1"/>
  <c r="E62" i="2"/>
  <c r="F62" i="2"/>
  <c r="H62" i="2" s="1"/>
  <c r="I62" i="2" s="1"/>
  <c r="D62" i="2" s="1"/>
  <c r="E63" i="2"/>
  <c r="F63" i="2"/>
  <c r="H63" i="2" s="1"/>
  <c r="I63" i="2" s="1"/>
  <c r="D63" i="2" s="1"/>
  <c r="E64" i="2"/>
  <c r="F64" i="2"/>
  <c r="E65" i="2"/>
  <c r="F65" i="2"/>
  <c r="H65" i="2" s="1"/>
  <c r="I65" i="2" s="1"/>
  <c r="D65" i="2" s="1"/>
  <c r="E66" i="2"/>
  <c r="F66" i="2"/>
  <c r="E67" i="2"/>
  <c r="F67" i="2"/>
  <c r="H67" i="2" s="1"/>
  <c r="I67" i="2" s="1"/>
  <c r="D67" i="2" s="1"/>
  <c r="E68" i="2"/>
  <c r="F68" i="2"/>
  <c r="G68" i="2" s="1"/>
  <c r="H178" i="1" s="1"/>
  <c r="E69" i="2"/>
  <c r="F69" i="2"/>
  <c r="H69" i="2" s="1"/>
  <c r="I69" i="2" s="1"/>
  <c r="D69" i="2" s="1"/>
  <c r="E70" i="2"/>
  <c r="F70" i="2"/>
  <c r="E71" i="2"/>
  <c r="F71" i="2"/>
  <c r="E72" i="2"/>
  <c r="F72" i="2"/>
  <c r="G72" i="2"/>
  <c r="H184" i="1" s="1"/>
  <c r="E73" i="2"/>
  <c r="F73" i="2"/>
  <c r="H73" i="2"/>
  <c r="I73" i="2" s="1"/>
  <c r="D73" i="2" s="1"/>
  <c r="E45" i="2"/>
  <c r="F45" i="2"/>
  <c r="H45" i="2" s="1"/>
  <c r="I45" i="2" s="1"/>
  <c r="D45" i="2" s="1"/>
  <c r="E46" i="2"/>
  <c r="F46" i="2"/>
  <c r="H46" i="2" s="1"/>
  <c r="I46" i="2" s="1"/>
  <c r="D46" i="2" s="1"/>
  <c r="E47" i="2"/>
  <c r="F47" i="2"/>
  <c r="H47" i="2" s="1"/>
  <c r="I47" i="2" s="1"/>
  <c r="D47" i="2" s="1"/>
  <c r="E48" i="2"/>
  <c r="F48" i="2"/>
  <c r="H48" i="2" s="1"/>
  <c r="I48" i="2" s="1"/>
  <c r="D48" i="2" s="1"/>
  <c r="F20" i="2"/>
  <c r="H20" i="2" s="1"/>
  <c r="I20" i="2" s="1"/>
  <c r="D20" i="2" s="1"/>
  <c r="E20" i="2"/>
  <c r="E49" i="2"/>
  <c r="F49" i="2"/>
  <c r="H49" i="2" s="1"/>
  <c r="I49" i="2" s="1"/>
  <c r="D49" i="2" s="1"/>
  <c r="F21" i="2"/>
  <c r="H21" i="2" s="1"/>
  <c r="I21" i="2" s="1"/>
  <c r="D21" i="2" s="1"/>
  <c r="E21" i="2"/>
  <c r="E50" i="2"/>
  <c r="F50" i="2"/>
  <c r="H50" i="2" s="1"/>
  <c r="I50" i="2" s="1"/>
  <c r="D50" i="2" s="1"/>
  <c r="E51" i="2"/>
  <c r="F51" i="2"/>
  <c r="H51" i="2" s="1"/>
  <c r="I51" i="2" s="1"/>
  <c r="D51" i="2" s="1"/>
  <c r="E52" i="2"/>
  <c r="F52" i="2"/>
  <c r="H52" i="2" s="1"/>
  <c r="I52" i="2" s="1"/>
  <c r="D52" i="2" s="1"/>
  <c r="E53" i="2"/>
  <c r="F53" i="2"/>
  <c r="E54" i="2"/>
  <c r="F54" i="2"/>
  <c r="H54" i="2" s="1"/>
  <c r="I54" i="2" s="1"/>
  <c r="D54" i="2" s="1"/>
  <c r="F24" i="2"/>
  <c r="E24" i="2"/>
  <c r="E55" i="2"/>
  <c r="F55" i="2"/>
  <c r="H55" i="2" s="1"/>
  <c r="I55" i="2" s="1"/>
  <c r="D55" i="2" s="1"/>
  <c r="F25" i="2"/>
  <c r="H25" i="2" s="1"/>
  <c r="I25" i="2" s="1"/>
  <c r="D25" i="2" s="1"/>
  <c r="E25" i="2"/>
  <c r="G25" i="2" s="1"/>
  <c r="H98" i="1" s="1"/>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c r="I5" i="2" s="1"/>
  <c r="D5" i="2" s="1"/>
  <c r="E5" i="2"/>
  <c r="E34" i="2"/>
  <c r="F34" i="2"/>
  <c r="H34" i="2" s="1"/>
  <c r="I34" i="2" s="1"/>
  <c r="D34" i="2" s="1"/>
  <c r="F18" i="2"/>
  <c r="H18" i="2" s="1"/>
  <c r="I18" i="2" s="1"/>
  <c r="D18" i="2" s="1"/>
  <c r="E18" i="2"/>
  <c r="E35" i="2"/>
  <c r="F35" i="2"/>
  <c r="E36" i="2"/>
  <c r="F36" i="2"/>
  <c r="H36" i="2" s="1"/>
  <c r="I36" i="2" s="1"/>
  <c r="D36" i="2" s="1"/>
  <c r="F22" i="2"/>
  <c r="E22" i="2"/>
  <c r="F7" i="2"/>
  <c r="H7" i="2" s="1"/>
  <c r="I7" i="2" s="1"/>
  <c r="D7" i="2" s="1"/>
  <c r="E7" i="2"/>
  <c r="E37" i="2"/>
  <c r="F37" i="2"/>
  <c r="H37" i="2" s="1"/>
  <c r="I37" i="2" s="1"/>
  <c r="D37" i="2" s="1"/>
  <c r="E39" i="2"/>
  <c r="F39" i="2"/>
  <c r="E40" i="2"/>
  <c r="F40" i="2"/>
  <c r="H40" i="2" s="1"/>
  <c r="I40" i="2" s="1"/>
  <c r="D40" i="2" s="1"/>
  <c r="E41" i="2"/>
  <c r="F41" i="2"/>
  <c r="H41" i="2" s="1"/>
  <c r="I41" i="2" s="1"/>
  <c r="D41" i="2" s="1"/>
  <c r="E42" i="2"/>
  <c r="F42" i="2"/>
  <c r="E43" i="2"/>
  <c r="F43" i="2"/>
  <c r="E44" i="2"/>
  <c r="F44" i="2"/>
  <c r="H44" i="2" s="1"/>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H16" i="2" s="1"/>
  <c r="I16" i="2" s="1"/>
  <c r="D16" i="2" s="1"/>
  <c r="E16" i="2"/>
  <c r="F26" i="2"/>
  <c r="H26" i="2" s="1"/>
  <c r="I26" i="2" s="1"/>
  <c r="D26" i="2" s="1"/>
  <c r="E26"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E9" i="2"/>
  <c r="E8" i="2"/>
  <c r="F8" i="2"/>
  <c r="H8" i="2" s="1"/>
  <c r="I8" i="2" s="1"/>
  <c r="D8" i="2" s="1"/>
  <c r="E10" i="2"/>
  <c r="E4" i="2"/>
  <c r="F10" i="2"/>
  <c r="H10" i="2" s="1"/>
  <c r="I10" i="2" s="1"/>
  <c r="D10" i="2" s="1"/>
  <c r="F4" i="2"/>
  <c r="H4" i="2" s="1"/>
  <c r="I4" i="2" s="1"/>
  <c r="D4" i="2" s="1"/>
  <c r="N3" i="7"/>
  <c r="N5" i="7"/>
  <c r="E6" i="11"/>
  <c r="D6" i="11"/>
  <c r="F3" i="2"/>
  <c r="J15" i="14"/>
  <c r="H98" i="2"/>
  <c r="I98" i="2"/>
  <c r="D98" i="2"/>
  <c r="H93" i="2"/>
  <c r="I93" i="2"/>
  <c r="D93" i="2"/>
  <c r="H95" i="2"/>
  <c r="I95" i="2"/>
  <c r="D95" i="2"/>
  <c r="H97" i="2"/>
  <c r="I97" i="2"/>
  <c r="D97" i="2"/>
  <c r="B2" i="2"/>
  <c r="H88" i="2"/>
  <c r="I88" i="2" s="1"/>
  <c r="D88" i="2" s="1"/>
  <c r="H127" i="6"/>
  <c r="G69" i="2"/>
  <c r="H193" i="1" s="1"/>
  <c r="H77" i="2"/>
  <c r="I77" i="2" s="1"/>
  <c r="D77" i="2" s="1"/>
  <c r="H72" i="2"/>
  <c r="I72" i="2" s="1"/>
  <c r="D72" i="2"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H42" i="2"/>
  <c r="I42" i="2" s="1"/>
  <c r="D42" i="2" s="1"/>
  <c r="D4" i="17"/>
  <c r="N6" i="17" s="1"/>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3" i="17"/>
  <c r="J47" i="1"/>
  <c r="J36" i="1"/>
  <c r="J45" i="1"/>
  <c r="J22" i="1"/>
  <c r="J28" i="1"/>
  <c r="J49" i="1"/>
  <c r="J31" i="1"/>
  <c r="J50" i="1"/>
  <c r="J4" i="1"/>
  <c r="J65" i="1"/>
  <c r="H64" i="2"/>
  <c r="I64" i="2" s="1"/>
  <c r="D64" i="2" s="1"/>
  <c r="C2" i="2"/>
  <c r="H78" i="2" l="1"/>
  <c r="I78" i="2" s="1"/>
  <c r="D78" i="2" s="1"/>
  <c r="G88" i="2"/>
  <c r="H208" i="1" s="1"/>
  <c r="G75" i="2"/>
  <c r="H190" i="1" s="1"/>
  <c r="G92" i="2"/>
  <c r="H82" i="2"/>
  <c r="I82" i="2" s="1"/>
  <c r="D82" i="2" s="1"/>
  <c r="G89" i="2"/>
  <c r="H209" i="1" s="1"/>
  <c r="G84" i="2"/>
  <c r="H203" i="1" s="1"/>
  <c r="G33" i="2"/>
  <c r="H110" i="1" s="1"/>
  <c r="G74" i="2"/>
  <c r="G91" i="2"/>
  <c r="G39" i="2"/>
  <c r="H119" i="1" s="1"/>
  <c r="G18" i="2"/>
  <c r="H78" i="1" s="1"/>
  <c r="G90" i="2"/>
  <c r="H179" i="1"/>
  <c r="G41" i="2"/>
  <c r="H123" i="1" s="1"/>
  <c r="G44" i="2"/>
  <c r="H127" i="1" s="1"/>
  <c r="G20" i="2"/>
  <c r="G73" i="2"/>
  <c r="H188" i="1" s="1"/>
  <c r="G83" i="2"/>
  <c r="H202" i="1" s="1"/>
  <c r="G19" i="2"/>
  <c r="H89" i="1" s="1"/>
  <c r="G36" i="2"/>
  <c r="H115" i="1" s="1"/>
  <c r="H39" i="2"/>
  <c r="I39" i="2" s="1"/>
  <c r="D39" i="2" s="1"/>
  <c r="G86" i="2"/>
  <c r="H206" i="1" s="1"/>
  <c r="G32" i="2"/>
  <c r="H118" i="1" s="1"/>
  <c r="G85" i="2"/>
  <c r="H204" i="1" s="1"/>
  <c r="G71" i="2"/>
  <c r="H183" i="1" s="1"/>
  <c r="H90" i="2"/>
  <c r="I90" i="2" s="1"/>
  <c r="D90" i="2" s="1"/>
  <c r="G70" i="2"/>
  <c r="H180" i="1" s="1"/>
  <c r="G81" i="2"/>
  <c r="H200" i="1" s="1"/>
  <c r="G76" i="2"/>
  <c r="H192" i="1" s="1"/>
  <c r="H191" i="1"/>
  <c r="H189" i="1"/>
  <c r="G37" i="2"/>
  <c r="H116" i="1" s="1"/>
  <c r="G17" i="2"/>
  <c r="H133" i="1" s="1"/>
  <c r="H76" i="2"/>
  <c r="I76" i="2" s="1"/>
  <c r="D76" i="2" s="1"/>
  <c r="H85" i="2"/>
  <c r="I85" i="2" s="1"/>
  <c r="D85" i="2" s="1"/>
  <c r="G79" i="2"/>
  <c r="H196" i="1" s="1"/>
  <c r="H74" i="2"/>
  <c r="I74" i="2" s="1"/>
  <c r="D74" i="2" s="1"/>
  <c r="G6" i="2"/>
  <c r="H88" i="1" s="1"/>
  <c r="H71" i="2"/>
  <c r="I71" i="2" s="1"/>
  <c r="D71" i="2" s="1"/>
  <c r="H68" i="2"/>
  <c r="I68" i="2" s="1"/>
  <c r="D68" i="2" s="1"/>
  <c r="G80" i="2"/>
  <c r="H197" i="1" s="1"/>
  <c r="A14" i="21"/>
  <c r="B14" i="21" s="1"/>
  <c r="A37" i="21"/>
  <c r="B37" i="21" s="1"/>
  <c r="A23" i="20"/>
  <c r="A37" i="20"/>
  <c r="F132" i="9"/>
  <c r="J83" i="9" a="1"/>
  <c r="J83" i="9" s="1"/>
  <c r="K132" i="9"/>
  <c r="P83" i="9"/>
  <c r="L132" i="9"/>
  <c r="H83" i="9" a="1"/>
  <c r="H83" i="9" s="1"/>
  <c r="I83" i="9" a="1"/>
  <c r="I83" i="9" s="1"/>
  <c r="G132" i="9"/>
  <c r="K83" i="9" a="1"/>
  <c r="K83" i="9" s="1"/>
  <c r="E132" i="9"/>
  <c r="H132" i="9"/>
  <c r="L83" i="9" a="1"/>
  <c r="L83" i="9" s="1"/>
  <c r="P132" i="9"/>
  <c r="C132" i="9"/>
  <c r="G83" i="9" a="1"/>
  <c r="G83" i="9" s="1"/>
  <c r="I132" i="9"/>
  <c r="M83" i="9" a="1"/>
  <c r="M83" i="9" s="1"/>
  <c r="J132" i="9"/>
  <c r="N83" i="9" a="1"/>
  <c r="N83" i="9" s="1"/>
  <c r="D132" i="9"/>
  <c r="M132" i="9"/>
  <c r="B18" i="9"/>
  <c r="C18" i="9" s="1"/>
  <c r="C129" i="9"/>
  <c r="S36" i="9" s="1" a="1"/>
  <c r="S36" i="9" s="1"/>
  <c r="C130" i="9"/>
  <c r="S37" i="9" s="1" a="1"/>
  <c r="S37" i="9" s="1"/>
  <c r="C131" i="9"/>
  <c r="S38" i="9" s="1" a="1"/>
  <c r="S38" i="9" s="1"/>
  <c r="G82" i="9" a="1"/>
  <c r="G82" i="9" s="1"/>
  <c r="D129" i="9"/>
  <c r="T36" i="9" s="1" a="1"/>
  <c r="T36" i="9" s="1"/>
  <c r="D130" i="9"/>
  <c r="T37" i="9" s="1" a="1"/>
  <c r="T37" i="9" s="1"/>
  <c r="D131" i="9"/>
  <c r="T38" i="9" s="1" a="1"/>
  <c r="T38" i="9" s="1"/>
  <c r="P82" i="9"/>
  <c r="E129" i="9"/>
  <c r="U36" i="9" s="1" a="1"/>
  <c r="U36" i="9" s="1"/>
  <c r="E130" i="9"/>
  <c r="U37" i="9" s="1" a="1"/>
  <c r="U37" i="9" s="1"/>
  <c r="E131" i="9"/>
  <c r="H82" i="9" a="1"/>
  <c r="H82" i="9" s="1"/>
  <c r="F129" i="9"/>
  <c r="V36" i="9" s="1" a="1"/>
  <c r="V36" i="9" s="1"/>
  <c r="F130" i="9"/>
  <c r="V37" i="9" s="1" a="1"/>
  <c r="V37" i="9" s="1"/>
  <c r="F131" i="9"/>
  <c r="V38" i="9" s="1" a="1"/>
  <c r="V38" i="9" s="1"/>
  <c r="I82" i="9" a="1"/>
  <c r="I82" i="9" s="1"/>
  <c r="M129" i="9"/>
  <c r="AC36" i="9" s="1" a="1"/>
  <c r="AC36" i="9" s="1"/>
  <c r="M130" i="9"/>
  <c r="AC37" i="9" s="1" a="1"/>
  <c r="AC37" i="9" s="1"/>
  <c r="M131" i="9"/>
  <c r="AC38" i="9" s="1" a="1"/>
  <c r="AC38" i="9" s="1"/>
  <c r="M82" i="9" a="1"/>
  <c r="M82" i="9" s="1"/>
  <c r="P129" i="9"/>
  <c r="P130" i="9"/>
  <c r="AF37" i="9" s="1"/>
  <c r="B34" i="20" s="1"/>
  <c r="P131" i="9"/>
  <c r="N82" i="9" a="1"/>
  <c r="N82" i="9" s="1"/>
  <c r="G129" i="9"/>
  <c r="W36" i="9" s="1" a="1"/>
  <c r="W36" i="9" s="1"/>
  <c r="G130" i="9"/>
  <c r="W37" i="9" s="1" a="1"/>
  <c r="W37" i="9" s="1"/>
  <c r="G131" i="9"/>
  <c r="W38" i="9" s="1" a="1"/>
  <c r="W38" i="9" s="1"/>
  <c r="H129" i="9"/>
  <c r="H130" i="9"/>
  <c r="X37" i="9" s="1" a="1"/>
  <c r="X37" i="9" s="1"/>
  <c r="H131" i="9"/>
  <c r="X38" i="9" s="1" a="1"/>
  <c r="X38" i="9" s="1"/>
  <c r="J82" i="9" a="1"/>
  <c r="J82" i="9" s="1"/>
  <c r="I129" i="9"/>
  <c r="Y36" i="9" s="1" a="1"/>
  <c r="Y36" i="9" s="1"/>
  <c r="I130" i="9"/>
  <c r="Y37" i="9" s="1" a="1"/>
  <c r="Y37" i="9" s="1"/>
  <c r="I131" i="9"/>
  <c r="Y38" i="9" s="1" a="1"/>
  <c r="Y38" i="9" s="1"/>
  <c r="J129" i="9"/>
  <c r="J130" i="9"/>
  <c r="Z37" i="9" s="1" a="1"/>
  <c r="Z37" i="9" s="1"/>
  <c r="J131" i="9"/>
  <c r="Z38" i="9" s="1" a="1"/>
  <c r="Z38" i="9" s="1"/>
  <c r="K82" i="9" a="1"/>
  <c r="K82" i="9" s="1"/>
  <c r="K129" i="9"/>
  <c r="AA36" i="9" s="1" a="1"/>
  <c r="AA36" i="9" s="1"/>
  <c r="K130" i="9"/>
  <c r="AA37" i="9" s="1" a="1"/>
  <c r="AA37" i="9" s="1"/>
  <c r="K131" i="9"/>
  <c r="AA38" i="9" s="1" a="1"/>
  <c r="AA38" i="9" s="1"/>
  <c r="L82" i="9" a="1"/>
  <c r="L82" i="9" s="1"/>
  <c r="L129" i="9"/>
  <c r="L130" i="9"/>
  <c r="AB37" i="9" s="1" a="1"/>
  <c r="AB37" i="9" s="1"/>
  <c r="L131" i="9"/>
  <c r="AB38" i="9" s="1" a="1"/>
  <c r="AB38" i="9" s="1"/>
  <c r="A36" i="20"/>
  <c r="A36" i="21"/>
  <c r="B36" i="21" s="1"/>
  <c r="H28" i="15"/>
  <c r="H35" i="15"/>
  <c r="H34" i="15"/>
  <c r="H170" i="1"/>
  <c r="H159" i="1"/>
  <c r="H163" i="1"/>
  <c r="H85" i="1"/>
  <c r="H182" i="1"/>
  <c r="G63" i="2"/>
  <c r="H169" i="1" s="1"/>
  <c r="H187" i="1"/>
  <c r="G60" i="2"/>
  <c r="H165" i="1" s="1"/>
  <c r="G43" i="2"/>
  <c r="H126" i="1" s="1"/>
  <c r="G53" i="2"/>
  <c r="H199" i="1" s="1"/>
  <c r="H70" i="2"/>
  <c r="I70" i="2" s="1"/>
  <c r="D70" i="2" s="1"/>
  <c r="H81" i="2"/>
  <c r="I81" i="2" s="1"/>
  <c r="D81" i="2" s="1"/>
  <c r="G30" i="2"/>
  <c r="H103" i="1" s="1"/>
  <c r="G4" i="2"/>
  <c r="G65" i="2"/>
  <c r="H174" i="1" s="1"/>
  <c r="H80" i="2"/>
  <c r="I80" i="2" s="1"/>
  <c r="D80" i="2" s="1"/>
  <c r="G38" i="2"/>
  <c r="H161" i="1" s="1"/>
  <c r="G50" i="2"/>
  <c r="H138" i="1" s="1"/>
  <c r="G59" i="2"/>
  <c r="H164" i="1" s="1"/>
  <c r="A10" i="20"/>
  <c r="D84" i="17"/>
  <c r="C12" i="10" s="1"/>
  <c r="H23" i="15"/>
  <c r="C6" i="8"/>
  <c r="K30" i="15"/>
  <c r="H9" i="15"/>
  <c r="H25" i="15"/>
  <c r="J30" i="15"/>
  <c r="H29" i="15"/>
  <c r="P56" i="7"/>
  <c r="E76" i="7"/>
  <c r="H32" i="15"/>
  <c r="H30" i="15"/>
  <c r="F43" i="15"/>
  <c r="K6" i="6"/>
  <c r="C4" i="8" s="1"/>
  <c r="G127" i="6"/>
  <c r="I127" i="6"/>
  <c r="A16" i="20"/>
  <c r="A20" i="20"/>
  <c r="R5" i="9"/>
  <c r="A2" i="20" s="1"/>
  <c r="A32" i="20"/>
  <c r="A19" i="20"/>
  <c r="D128" i="9"/>
  <c r="T35" i="9" s="1" a="1"/>
  <c r="T35" i="9" s="1"/>
  <c r="J72" i="9" a="1"/>
  <c r="J72" i="9" s="1"/>
  <c r="AD32" i="9" a="1"/>
  <c r="AD32" i="9" s="1"/>
  <c r="AD10" i="9" a="1"/>
  <c r="AD10" i="9" s="1"/>
  <c r="N69" i="9" a="1"/>
  <c r="N69" i="9" s="1"/>
  <c r="H128" i="9"/>
  <c r="X35" i="9" s="1" a="1"/>
  <c r="X35" i="9" s="1"/>
  <c r="B9" i="9"/>
  <c r="C9" i="9" s="1"/>
  <c r="I102" i="9"/>
  <c r="Y9" i="9" s="1" a="1"/>
  <c r="Y9" i="9" s="1"/>
  <c r="P116" i="9"/>
  <c r="AF23" i="9" s="1"/>
  <c r="B20" i="20" s="1"/>
  <c r="K108" i="9"/>
  <c r="AA15" i="9" s="1" a="1"/>
  <c r="AA15" i="9" s="1"/>
  <c r="L102" i="9"/>
  <c r="AB9" i="9" s="1" a="1"/>
  <c r="AB9" i="9" s="1"/>
  <c r="J100" i="9"/>
  <c r="Z7" i="9" s="1" a="1"/>
  <c r="Z7" i="9" s="1"/>
  <c r="G72" i="9" a="1"/>
  <c r="G72" i="9" s="1"/>
  <c r="E112" i="9"/>
  <c r="U19" i="9" s="1" a="1"/>
  <c r="U19" i="9" s="1"/>
  <c r="L111" i="9"/>
  <c r="AB18" i="9" s="1" a="1"/>
  <c r="AB18" i="9" s="1"/>
  <c r="M77" i="9" a="1"/>
  <c r="M77" i="9" s="1"/>
  <c r="E99" i="9"/>
  <c r="U6" i="9" s="1" a="1"/>
  <c r="U6" i="9" s="1"/>
  <c r="G127" i="9"/>
  <c r="W34" i="9" s="1" a="1"/>
  <c r="W34" i="9" s="1"/>
  <c r="I100" i="9"/>
  <c r="Y7" i="9" s="1" a="1"/>
  <c r="Y7" i="9" s="1"/>
  <c r="H111" i="9"/>
  <c r="X18" i="9" s="1" a="1"/>
  <c r="X18" i="9" s="1"/>
  <c r="K101" i="9"/>
  <c r="AA8" i="9" s="1" a="1"/>
  <c r="AA8" i="9" s="1"/>
  <c r="P104" i="9"/>
  <c r="AF11" i="9" s="1"/>
  <c r="B8" i="20" s="1"/>
  <c r="H125" i="9"/>
  <c r="X32" i="9" s="1" a="1"/>
  <c r="X32" i="9" s="1"/>
  <c r="M76" i="9" a="1"/>
  <c r="M76" i="9" s="1"/>
  <c r="C101" i="9"/>
  <c r="S8" i="9" s="1" a="1"/>
  <c r="S8" i="9" s="1"/>
  <c r="L128" i="9"/>
  <c r="AB35" i="9" s="1" a="1"/>
  <c r="AB35" i="9" s="1"/>
  <c r="D123" i="9"/>
  <c r="T30" i="9" s="1" a="1"/>
  <c r="T30" i="9" s="1"/>
  <c r="K109" i="9"/>
  <c r="AA16" i="9" s="1" a="1"/>
  <c r="AA16" i="9" s="1"/>
  <c r="P111" i="9"/>
  <c r="AF18" i="9" s="1"/>
  <c r="B15" i="20" s="1"/>
  <c r="H74" i="9" a="1"/>
  <c r="H74" i="9" s="1"/>
  <c r="H115" i="9"/>
  <c r="X22" i="9" s="1" a="1"/>
  <c r="X22" i="9" s="1"/>
  <c r="I68" i="9" a="1"/>
  <c r="I68" i="9" s="1"/>
  <c r="P60" i="9"/>
  <c r="H81" i="9" a="1"/>
  <c r="H81" i="9" s="1"/>
  <c r="G116" i="9"/>
  <c r="W23" i="9" s="1" a="1"/>
  <c r="W23" i="9" s="1"/>
  <c r="C99" i="9"/>
  <c r="S6" i="9" s="1" a="1"/>
  <c r="S6" i="9" s="1"/>
  <c r="A19" i="21"/>
  <c r="B19" i="21" s="1"/>
  <c r="A8" i="21"/>
  <c r="B8" i="21" s="1"/>
  <c r="A18" i="21"/>
  <c r="B18" i="21" s="1"/>
  <c r="A9" i="21"/>
  <c r="B9" i="21" s="1"/>
  <c r="G2" i="21"/>
  <c r="A2" i="21" s="1"/>
  <c r="B2" i="21" s="1"/>
  <c r="A7" i="21"/>
  <c r="B7" i="21" s="1"/>
  <c r="A5" i="20"/>
  <c r="A6" i="21"/>
  <c r="B6" i="21" s="1"/>
  <c r="A30" i="21"/>
  <c r="B30" i="21" s="1"/>
  <c r="A5" i="21"/>
  <c r="B5" i="21" s="1"/>
  <c r="A4" i="21"/>
  <c r="B4" i="21" s="1"/>
  <c r="A25" i="21"/>
  <c r="B25" i="21" s="1"/>
  <c r="A22" i="21"/>
  <c r="B22" i="21" s="1"/>
  <c r="A26" i="21"/>
  <c r="B26" i="21" s="1"/>
  <c r="K72" i="9" a="1"/>
  <c r="K72" i="9" s="1"/>
  <c r="M115" i="9"/>
  <c r="AC22" i="9" s="1" a="1"/>
  <c r="AC22" i="9" s="1"/>
  <c r="J128" i="9"/>
  <c r="Z35" i="9" s="1" a="1"/>
  <c r="Z35" i="9" s="1"/>
  <c r="A21" i="21"/>
  <c r="B21" i="21" s="1"/>
  <c r="A20" i="21"/>
  <c r="B20" i="21" s="1"/>
  <c r="A10" i="21"/>
  <c r="B10" i="21" s="1"/>
  <c r="A15" i="21"/>
  <c r="B15" i="21" s="1"/>
  <c r="A31" i="21"/>
  <c r="B31" i="21" s="1"/>
  <c r="A3" i="21"/>
  <c r="B3" i="21" s="1"/>
  <c r="A12" i="21"/>
  <c r="B12" i="21" s="1"/>
  <c r="A35" i="21"/>
  <c r="B35" i="21" s="1"/>
  <c r="I214" i="1" a="1"/>
  <c r="I214" i="1" s="1"/>
  <c r="J90" i="1" a="1"/>
  <c r="J90" i="1" s="1"/>
  <c r="J214" i="1" s="1" a="1"/>
  <c r="J214" i="1" s="1"/>
  <c r="C7" i="8"/>
  <c r="G21" i="2"/>
  <c r="H90" i="1" s="1"/>
  <c r="H43" i="2"/>
  <c r="I43" i="2" s="1"/>
  <c r="D43" i="2" s="1"/>
  <c r="G45" i="2"/>
  <c r="G9" i="2"/>
  <c r="H82" i="1" s="1"/>
  <c r="G52" i="2"/>
  <c r="H153" i="1" s="1"/>
  <c r="G48" i="2"/>
  <c r="H136" i="1" s="1"/>
  <c r="G27" i="2"/>
  <c r="H100" i="1" s="1"/>
  <c r="H172" i="1"/>
  <c r="G66" i="2"/>
  <c r="H181" i="1" s="1"/>
  <c r="G61" i="2"/>
  <c r="G57" i="2"/>
  <c r="H154" i="1" s="1"/>
  <c r="H53" i="2"/>
  <c r="I53" i="2" s="1"/>
  <c r="D53" i="2" s="1"/>
  <c r="G8" i="2"/>
  <c r="H142" i="1"/>
  <c r="G26" i="2"/>
  <c r="H99" i="1" s="1"/>
  <c r="G35" i="2"/>
  <c r="H112" i="1" s="1"/>
  <c r="G64" i="2"/>
  <c r="H171" i="1" s="1"/>
  <c r="H77" i="1"/>
  <c r="G46" i="2"/>
  <c r="H141" i="1" s="1"/>
  <c r="G16" i="2"/>
  <c r="H76" i="1" s="1"/>
  <c r="G62" i="2"/>
  <c r="G12" i="2"/>
  <c r="H79" i="1" s="1"/>
  <c r="G40" i="2"/>
  <c r="H120" i="1" s="1"/>
  <c r="H57" i="2"/>
  <c r="I57" i="2" s="1"/>
  <c r="D57" i="2" s="1"/>
  <c r="G47" i="2"/>
  <c r="H132" i="1" s="1"/>
  <c r="G42" i="2"/>
  <c r="H125" i="1" s="1"/>
  <c r="G55" i="2"/>
  <c r="H148" i="1" s="1"/>
  <c r="G58" i="2"/>
  <c r="H157" i="1" s="1"/>
  <c r="G49" i="2"/>
  <c r="H137" i="1" s="1"/>
  <c r="G7" i="2"/>
  <c r="H81" i="1" s="1"/>
  <c r="G22" i="2"/>
  <c r="H94" i="1" s="1"/>
  <c r="H22" i="2"/>
  <c r="I22" i="2" s="1"/>
  <c r="D22" i="2" s="1"/>
  <c r="G10" i="2"/>
  <c r="H80" i="1" s="1"/>
  <c r="G31" i="2"/>
  <c r="H107" i="1" s="1"/>
  <c r="G15" i="2"/>
  <c r="H74" i="1" s="1"/>
  <c r="G34" i="2"/>
  <c r="H111" i="1" s="1"/>
  <c r="G24" i="2"/>
  <c r="H96" i="1" s="1"/>
  <c r="G28" i="2"/>
  <c r="G11" i="2"/>
  <c r="H91" i="1" s="1"/>
  <c r="G54" i="2"/>
  <c r="H147" i="1" s="1"/>
  <c r="G23" i="2"/>
  <c r="G5" i="2"/>
  <c r="H139" i="1" s="1"/>
  <c r="H66" i="2"/>
  <c r="I66" i="2" s="1"/>
  <c r="D66" i="2" s="1"/>
  <c r="G56" i="2"/>
  <c r="H156" i="1" s="1"/>
  <c r="H106" i="1"/>
  <c r="H73" i="1"/>
  <c r="H122" i="1"/>
  <c r="H93" i="1"/>
  <c r="H24" i="2"/>
  <c r="I24" i="2" s="1"/>
  <c r="D24" i="2" s="1"/>
  <c r="G51" i="2"/>
  <c r="H12" i="2"/>
  <c r="I12" i="2" s="1"/>
  <c r="D12" i="2" s="1"/>
  <c r="H9" i="2"/>
  <c r="I9" i="2" s="1"/>
  <c r="D9" i="2" s="1"/>
  <c r="H15" i="2"/>
  <c r="I15" i="2" s="1"/>
  <c r="D15" i="2" s="1"/>
  <c r="H19" i="2"/>
  <c r="I19" i="2" s="1"/>
  <c r="D19" i="2" s="1"/>
  <c r="H6" i="2"/>
  <c r="I6" i="2" s="1"/>
  <c r="D6" i="2" s="1"/>
  <c r="H27" i="2"/>
  <c r="I27" i="2" s="1"/>
  <c r="D27" i="2" s="1"/>
  <c r="G67" i="2"/>
  <c r="H35" i="2"/>
  <c r="I35" i="2" s="1"/>
  <c r="D35" i="2" s="1"/>
  <c r="H58" i="2"/>
  <c r="I58" i="2" s="1"/>
  <c r="D58" i="2" s="1"/>
  <c r="G13" i="2"/>
  <c r="H124" i="1"/>
  <c r="G29" i="2"/>
  <c r="G14" i="2"/>
  <c r="C110" i="9"/>
  <c r="S17" i="9" s="1" a="1"/>
  <c r="S17" i="9" s="1"/>
  <c r="J127" i="9"/>
  <c r="Z34" i="9" s="1" a="1"/>
  <c r="Z34" i="9" s="1"/>
  <c r="E122" i="9"/>
  <c r="U29" i="9" s="1" a="1"/>
  <c r="U29" i="9" s="1"/>
  <c r="M51" i="9" a="1"/>
  <c r="M51" i="9" s="1"/>
  <c r="F120" i="9"/>
  <c r="V27" i="9" s="1" a="1"/>
  <c r="V27" i="9" s="1"/>
  <c r="F109" i="9"/>
  <c r="V16" i="9" s="1" a="1"/>
  <c r="V16" i="9" s="1"/>
  <c r="H107" i="9"/>
  <c r="X14" i="9" s="1" a="1"/>
  <c r="X14" i="9" s="1"/>
  <c r="F116" i="9"/>
  <c r="V23" i="9" s="1" a="1"/>
  <c r="V23" i="9" s="1"/>
  <c r="N64" i="9" a="1"/>
  <c r="N64" i="9" s="1"/>
  <c r="N65" i="9" a="1"/>
  <c r="N65" i="9" s="1"/>
  <c r="C102" i="9"/>
  <c r="S9" i="9" s="1" a="1"/>
  <c r="S9" i="9" s="1"/>
  <c r="D126" i="9"/>
  <c r="T33" i="9" s="1" a="1"/>
  <c r="T33" i="9" s="1"/>
  <c r="J105" i="9"/>
  <c r="Z12" i="9" s="1" a="1"/>
  <c r="Z12" i="9" s="1"/>
  <c r="G120" i="9"/>
  <c r="W27" i="9" s="1" a="1"/>
  <c r="W27" i="9" s="1"/>
  <c r="J61" i="9" a="1"/>
  <c r="J61" i="9" s="1"/>
  <c r="M109" i="9"/>
  <c r="AC16" i="9" s="1" a="1"/>
  <c r="AC16" i="9" s="1"/>
  <c r="J111" i="9"/>
  <c r="Z18" i="9" s="1" a="1"/>
  <c r="Z18" i="9" s="1"/>
  <c r="M68" i="9" a="1"/>
  <c r="M68" i="9" s="1"/>
  <c r="J121" i="9"/>
  <c r="Z28" i="9" s="1" a="1"/>
  <c r="Z28" i="9" s="1"/>
  <c r="J63" i="9" a="1"/>
  <c r="J63" i="9" s="1"/>
  <c r="G107" i="9"/>
  <c r="W14" i="9" s="1" a="1"/>
  <c r="W14" i="9" s="1"/>
  <c r="B49" i="9"/>
  <c r="E49" i="9" s="1" a="1"/>
  <c r="E49" i="9" s="1"/>
  <c r="F106" i="9"/>
  <c r="V13" i="9" s="1" a="1"/>
  <c r="V13" i="9" s="1"/>
  <c r="F112" i="9"/>
  <c r="V19" i="9" s="1" a="1"/>
  <c r="V19" i="9" s="1"/>
  <c r="J118" i="9"/>
  <c r="Z25" i="9" s="1" a="1"/>
  <c r="Z25" i="9" s="1"/>
  <c r="G102" i="9"/>
  <c r="W9" i="9" s="1" a="1"/>
  <c r="W9" i="9" s="1"/>
  <c r="P52" i="9"/>
  <c r="L65" i="9" a="1"/>
  <c r="L65" i="9" s="1"/>
  <c r="F111" i="9"/>
  <c r="V18" i="9" s="1" a="1"/>
  <c r="V18" i="9" s="1"/>
  <c r="L106" i="9"/>
  <c r="AB13" i="9" s="1" a="1"/>
  <c r="AB13" i="9" s="1"/>
  <c r="L58" i="9" a="1"/>
  <c r="L58" i="9" s="1"/>
  <c r="E117" i="9"/>
  <c r="U24" i="9" s="1" a="1"/>
  <c r="U24" i="9" s="1"/>
  <c r="D99" i="9"/>
  <c r="T6" i="9" s="1" a="1"/>
  <c r="T6" i="9" s="1"/>
  <c r="I71" i="9" a="1"/>
  <c r="I71" i="9" s="1"/>
  <c r="K117" i="9"/>
  <c r="AA24" i="9" s="1" a="1"/>
  <c r="AA24" i="9" s="1"/>
  <c r="H63" i="9" a="1"/>
  <c r="H63" i="9" s="1"/>
  <c r="A8" i="20"/>
  <c r="J125" i="9"/>
  <c r="Z32" i="9" s="1" a="1"/>
  <c r="Z32" i="9" s="1"/>
  <c r="G121" i="9"/>
  <c r="W28" i="9" s="1" a="1"/>
  <c r="W28" i="9" s="1"/>
  <c r="B10" i="9"/>
  <c r="E10" i="9" s="1"/>
  <c r="H114" i="9"/>
  <c r="X21" i="9" s="1" a="1"/>
  <c r="X21" i="9" s="1"/>
  <c r="P106" i="9"/>
  <c r="AF13" i="9" s="1"/>
  <c r="B10" i="20" s="1"/>
  <c r="P128" i="9"/>
  <c r="AF35" i="9" s="1"/>
  <c r="B32" i="20" s="1"/>
  <c r="P101" i="9"/>
  <c r="AF8" i="9" s="1"/>
  <c r="B5" i="20" s="1"/>
  <c r="F99" i="9"/>
  <c r="V6" i="9" s="1" a="1"/>
  <c r="V6" i="9" s="1"/>
  <c r="G118" i="9"/>
  <c r="W25" i="9" s="1" a="1"/>
  <c r="W25" i="9" s="1"/>
  <c r="M80" i="9" a="1"/>
  <c r="M80" i="9" s="1"/>
  <c r="L59" i="9" a="1"/>
  <c r="L59" i="9" s="1"/>
  <c r="N53" i="9" a="1"/>
  <c r="N53" i="9" s="1"/>
  <c r="J53" i="9" a="1"/>
  <c r="J53" i="9" s="1"/>
  <c r="I56" i="9" a="1"/>
  <c r="I56" i="9" s="1"/>
  <c r="H106" i="9"/>
  <c r="X13" i="9" s="1" a="1"/>
  <c r="X13" i="9" s="1"/>
  <c r="D127" i="9"/>
  <c r="T34" i="9" s="1" a="1"/>
  <c r="T34" i="9" s="1"/>
  <c r="L114" i="9"/>
  <c r="AB21" i="9" s="1" a="1"/>
  <c r="AB21" i="9" s="1"/>
  <c r="G58" i="9" a="1"/>
  <c r="G58" i="9" s="1"/>
  <c r="J76" i="9" a="1"/>
  <c r="J76" i="9" s="1"/>
  <c r="H62" i="9" a="1"/>
  <c r="H62" i="9" s="1"/>
  <c r="F107" i="9"/>
  <c r="V14" i="9" s="1" a="1"/>
  <c r="V14" i="9" s="1"/>
  <c r="I113" i="9"/>
  <c r="Y20" i="9" s="1" a="1"/>
  <c r="Y20" i="9" s="1"/>
  <c r="I58" i="9" a="1"/>
  <c r="I58" i="9" s="1"/>
  <c r="M104" i="9"/>
  <c r="AC11" i="9" s="1" a="1"/>
  <c r="AC11" i="9" s="1"/>
  <c r="AD20" i="9" a="1"/>
  <c r="AD20" i="9" s="1"/>
  <c r="K123" i="9"/>
  <c r="AA30" i="9" s="1" a="1"/>
  <c r="AA30" i="9" s="1"/>
  <c r="H103" i="9"/>
  <c r="X10" i="9" s="1" a="1"/>
  <c r="X10" i="9" s="1"/>
  <c r="N55" i="9" a="1"/>
  <c r="N55" i="9" s="1"/>
  <c r="P58" i="9"/>
  <c r="M100" i="9"/>
  <c r="AC7" i="9" s="1" a="1"/>
  <c r="AC7" i="9" s="1"/>
  <c r="AD13" i="9" a="1"/>
  <c r="AD13" i="9" s="1"/>
  <c r="P72" i="9"/>
  <c r="L71" i="9" a="1"/>
  <c r="L71" i="9" s="1"/>
  <c r="E126" i="9"/>
  <c r="U33" i="9" s="1" a="1"/>
  <c r="U33" i="9" s="1"/>
  <c r="H70" i="9" a="1"/>
  <c r="H70" i="9" s="1"/>
  <c r="H121" i="9"/>
  <c r="X28" i="9" s="1" a="1"/>
  <c r="X28" i="9" s="1"/>
  <c r="D117" i="9"/>
  <c r="T24" i="9" s="1" a="1"/>
  <c r="T24" i="9" s="1"/>
  <c r="G61" i="9" a="1"/>
  <c r="G61" i="9" s="1"/>
  <c r="M56" i="9" a="1"/>
  <c r="M56" i="9" s="1"/>
  <c r="G105" i="9"/>
  <c r="W12" i="9" s="1" a="1"/>
  <c r="W12" i="9" s="1"/>
  <c r="I81" i="9" a="1"/>
  <c r="I81" i="9" s="1"/>
  <c r="J56" i="9" a="1"/>
  <c r="J56" i="9" s="1"/>
  <c r="G100" i="9"/>
  <c r="W7" i="9" s="1" a="1"/>
  <c r="W7" i="9" s="1"/>
  <c r="C104" i="9"/>
  <c r="S11" i="9" s="1" a="1"/>
  <c r="S11" i="9" s="1"/>
  <c r="L108" i="9"/>
  <c r="AB15" i="9" s="1" a="1"/>
  <c r="AB15" i="9" s="1"/>
  <c r="M67" i="9" a="1"/>
  <c r="M67" i="9" s="1"/>
  <c r="L115" i="9"/>
  <c r="AB22" i="9" s="1" a="1"/>
  <c r="AB22" i="9" s="1"/>
  <c r="L57" i="9" a="1"/>
  <c r="L57" i="9" s="1"/>
  <c r="P115" i="9"/>
  <c r="AF22" i="9" s="1"/>
  <c r="B19" i="20" s="1"/>
  <c r="C122" i="9"/>
  <c r="S29" i="9" s="1" a="1"/>
  <c r="S29" i="9" s="1"/>
  <c r="G122" i="9"/>
  <c r="W29" i="9" s="1" a="1"/>
  <c r="W29" i="9" s="1"/>
  <c r="P123" i="9"/>
  <c r="AF30" i="9" s="1"/>
  <c r="B27" i="20" s="1"/>
  <c r="P108" i="9"/>
  <c r="AF15" i="9" s="1"/>
  <c r="B12" i="20" s="1"/>
  <c r="H127" i="9"/>
  <c r="X34" i="9" s="1" a="1"/>
  <c r="X34" i="9" s="1"/>
  <c r="P100" i="9"/>
  <c r="AF7" i="9" s="1"/>
  <c r="B4" i="20" s="1"/>
  <c r="I59" i="9" a="1"/>
  <c r="I59" i="9" s="1"/>
  <c r="C124" i="9"/>
  <c r="S31" i="9" s="1" a="1"/>
  <c r="S31" i="9" s="1"/>
  <c r="C109" i="9"/>
  <c r="S16" i="9" s="1" a="1"/>
  <c r="S16" i="9" s="1"/>
  <c r="K107" i="9"/>
  <c r="AA14" i="9" s="1" a="1"/>
  <c r="AA14" i="9" s="1"/>
  <c r="I128" i="9"/>
  <c r="Y35" i="9" s="1" a="1"/>
  <c r="Y35" i="9" s="1"/>
  <c r="K70" i="9" a="1"/>
  <c r="K70" i="9" s="1"/>
  <c r="M50" i="9" a="1"/>
  <c r="M50" i="9" s="1"/>
  <c r="E123" i="9"/>
  <c r="U30" i="9" s="1" a="1"/>
  <c r="U30" i="9" s="1"/>
  <c r="A14" i="20"/>
  <c r="F117" i="9"/>
  <c r="V24" i="9" s="1" a="1"/>
  <c r="V24" i="9" s="1"/>
  <c r="E124" i="9"/>
  <c r="U31" i="9" s="1" a="1"/>
  <c r="U31" i="9" s="1"/>
  <c r="N59" i="9" a="1"/>
  <c r="N59" i="9" s="1"/>
  <c r="K110" i="9"/>
  <c r="AA17" i="9" s="1" a="1"/>
  <c r="AA17" i="9" s="1"/>
  <c r="C119" i="9"/>
  <c r="S26" i="9" s="1" a="1"/>
  <c r="S26" i="9" s="1"/>
  <c r="P119" i="9"/>
  <c r="AF26" i="9" s="1"/>
  <c r="B23" i="20" s="1"/>
  <c r="L99" i="9"/>
  <c r="AB6" i="9" s="1" a="1"/>
  <c r="AB6" i="9" s="1"/>
  <c r="M60" i="9" a="1"/>
  <c r="M60" i="9" s="1"/>
  <c r="L118" i="9"/>
  <c r="AB25" i="9" s="1" a="1"/>
  <c r="AB25" i="9" s="1"/>
  <c r="M114" i="9"/>
  <c r="AC21" i="9" s="1" a="1"/>
  <c r="AC21" i="9" s="1"/>
  <c r="M63" i="9" a="1"/>
  <c r="M63" i="9" s="1"/>
  <c r="L63" i="9" a="1"/>
  <c r="L63" i="9" s="1"/>
  <c r="K114" i="9"/>
  <c r="AA21" i="9" s="1" a="1"/>
  <c r="AA21" i="9" s="1"/>
  <c r="B5" i="9"/>
  <c r="P59" i="9"/>
  <c r="E108" i="9"/>
  <c r="U15" i="9" s="1" a="1"/>
  <c r="U15" i="9" s="1"/>
  <c r="I121" i="9"/>
  <c r="Y28" i="9" s="1" a="1"/>
  <c r="Y28" i="9" s="1"/>
  <c r="I111" i="9"/>
  <c r="Y18" i="9" s="1" a="1"/>
  <c r="Y18" i="9" s="1"/>
  <c r="I54" i="9" a="1"/>
  <c r="I54" i="9" s="1"/>
  <c r="K69" i="9" a="1"/>
  <c r="K69" i="9" s="1"/>
  <c r="E106" i="9"/>
  <c r="U13" i="9" s="1" a="1"/>
  <c r="U13" i="9" s="1"/>
  <c r="K52" i="9" a="1"/>
  <c r="K52" i="9" s="1"/>
  <c r="H58" i="9" a="1"/>
  <c r="H58" i="9" s="1"/>
  <c r="L52" i="9" a="1"/>
  <c r="L52" i="9" s="1"/>
  <c r="D101" i="9"/>
  <c r="T8" i="9" s="1" a="1"/>
  <c r="T8" i="9" s="1"/>
  <c r="E104" i="9"/>
  <c r="U11" i="9" s="1" a="1"/>
  <c r="U11" i="9" s="1"/>
  <c r="G69" i="9" a="1"/>
  <c r="G69" i="9" s="1"/>
  <c r="G52" i="9" a="1"/>
  <c r="G52" i="9" s="1"/>
  <c r="L116" i="9"/>
  <c r="AB23" i="9" s="1" a="1"/>
  <c r="AB23" i="9" s="1"/>
  <c r="AD15" i="9" a="1"/>
  <c r="AD15" i="9" s="1"/>
  <c r="G125" i="9"/>
  <c r="W32" i="9" s="1" a="1"/>
  <c r="W32" i="9" s="1"/>
  <c r="L125" i="9"/>
  <c r="AB32" i="9" s="1" a="1"/>
  <c r="AB32" i="9" s="1"/>
  <c r="AD7" i="9" a="1"/>
  <c r="AD7" i="9" s="1"/>
  <c r="E109" i="9"/>
  <c r="U16" i="9" s="1" a="1"/>
  <c r="U16" i="9" s="1"/>
  <c r="C105" i="9"/>
  <c r="S12" i="9" s="1" a="1"/>
  <c r="S12" i="9" s="1"/>
  <c r="M128" i="9"/>
  <c r="AC35" i="9" s="1" a="1"/>
  <c r="AC35" i="9" s="1"/>
  <c r="M74" i="9" a="1"/>
  <c r="M74" i="9" s="1"/>
  <c r="N77" i="9" a="1"/>
  <c r="N77" i="9" s="1"/>
  <c r="A34" i="21"/>
  <c r="B34" i="21" s="1"/>
  <c r="K73" i="9" a="1"/>
  <c r="K73" i="9" s="1"/>
  <c r="G76" i="9" a="1"/>
  <c r="G76" i="9" s="1"/>
  <c r="J73" i="9" a="1"/>
  <c r="J73" i="9" s="1"/>
  <c r="H109" i="9"/>
  <c r="X16" i="9" s="1" a="1"/>
  <c r="X16" i="9" s="1"/>
  <c r="K102" i="9"/>
  <c r="AA9" i="9" s="1" a="1"/>
  <c r="AA9" i="9" s="1"/>
  <c r="G71" i="9" a="1"/>
  <c r="G71" i="9" s="1"/>
  <c r="L101" i="9"/>
  <c r="H118" i="9"/>
  <c r="X25" i="9" s="1" a="1"/>
  <c r="X25" i="9" s="1"/>
  <c r="P57" i="9"/>
  <c r="I99" i="9"/>
  <c r="Y6" i="9" s="1" a="1"/>
  <c r="Y6" i="9" s="1"/>
  <c r="AD17" i="9" a="1"/>
  <c r="AD17" i="9" s="1"/>
  <c r="I80" i="9" a="1"/>
  <c r="I80" i="9" s="1"/>
  <c r="G66" i="9" a="1"/>
  <c r="G66" i="9" s="1"/>
  <c r="I114" i="9"/>
  <c r="Y21" i="9" s="1" a="1"/>
  <c r="Y21" i="9" s="1"/>
  <c r="D104" i="9"/>
  <c r="T11" i="9" s="1" a="1"/>
  <c r="T11" i="9" s="1"/>
  <c r="G101" i="9"/>
  <c r="W8" i="9" s="1" a="1"/>
  <c r="W8" i="9" s="1"/>
  <c r="J110" i="9"/>
  <c r="Z17" i="9" s="1" a="1"/>
  <c r="Z17" i="9" s="1"/>
  <c r="I62" i="9" a="1"/>
  <c r="I62" i="9" s="1"/>
  <c r="I70" i="9" a="1"/>
  <c r="I70" i="9" s="1"/>
  <c r="I74" i="9" a="1"/>
  <c r="I74" i="9" s="1"/>
  <c r="P118" i="9"/>
  <c r="AF25" i="9" s="1"/>
  <c r="B22" i="20" s="1"/>
  <c r="L120" i="9"/>
  <c r="AB27" i="9" s="1" a="1"/>
  <c r="AB27" i="9" s="1"/>
  <c r="J70" i="9" a="1"/>
  <c r="J70" i="9" s="1"/>
  <c r="AD41" i="9" a="1"/>
  <c r="AD41" i="9" s="1"/>
  <c r="F118" i="9"/>
  <c r="V25" i="9" s="1" a="1"/>
  <c r="V25" i="9" s="1"/>
  <c r="F115" i="9"/>
  <c r="V22" i="9" s="1" a="1"/>
  <c r="V22" i="9" s="1"/>
  <c r="D103" i="9"/>
  <c r="T10" i="9" s="1" a="1"/>
  <c r="T10" i="9" s="1"/>
  <c r="E125" i="9"/>
  <c r="U32" i="9" s="1" a="1"/>
  <c r="U32" i="9" s="1"/>
  <c r="G60" i="9" a="1"/>
  <c r="G60" i="9" s="1"/>
  <c r="P54" i="9"/>
  <c r="E114" i="9"/>
  <c r="U21" i="9" s="1" a="1"/>
  <c r="U21" i="9" s="1"/>
  <c r="P102" i="9"/>
  <c r="AF9" i="9" s="1"/>
  <c r="B6" i="20" s="1"/>
  <c r="M58" i="9" a="1"/>
  <c r="M58" i="9" s="1"/>
  <c r="J69" i="9" a="1"/>
  <c r="J69" i="9" s="1"/>
  <c r="H126" i="9"/>
  <c r="X33" i="9" s="1" a="1"/>
  <c r="X33" i="9" s="1"/>
  <c r="M64" i="9" a="1"/>
  <c r="M64" i="9" s="1"/>
  <c r="N72" i="9" a="1"/>
  <c r="N72" i="9" s="1"/>
  <c r="L69" i="9" a="1"/>
  <c r="L69" i="9" s="1"/>
  <c r="P113" i="9"/>
  <c r="AF20" i="9" s="1"/>
  <c r="B17" i="20" s="1"/>
  <c r="H112" i="9"/>
  <c r="X19" i="9" s="1" a="1"/>
  <c r="X19" i="9" s="1"/>
  <c r="I107" i="9"/>
  <c r="Y14" i="9" s="1" a="1"/>
  <c r="Y14" i="9" s="1"/>
  <c r="I125" i="9"/>
  <c r="Y32" i="9" s="1" a="1"/>
  <c r="Y32" i="9" s="1"/>
  <c r="K53" i="9" a="1"/>
  <c r="K53" i="9" s="1"/>
  <c r="G128" i="9"/>
  <c r="W35" i="9" s="1" a="1"/>
  <c r="W35" i="9" s="1"/>
  <c r="P120" i="9"/>
  <c r="AF27" i="9" s="1"/>
  <c r="B24" i="20" s="1"/>
  <c r="F124" i="9"/>
  <c r="V31" i="9" s="1" a="1"/>
  <c r="V31" i="9" s="1"/>
  <c r="D107" i="9"/>
  <c r="T14" i="9" s="1" a="1"/>
  <c r="T14" i="9" s="1"/>
  <c r="J62" i="9" a="1"/>
  <c r="J62" i="9" s="1"/>
  <c r="I57" i="9" a="1"/>
  <c r="I57" i="9" s="1"/>
  <c r="I75" i="9" a="1"/>
  <c r="I75" i="9" s="1"/>
  <c r="J99" i="9"/>
  <c r="Z6" i="9" s="1" a="1"/>
  <c r="Z6" i="9" s="1"/>
  <c r="L74" i="9" a="1"/>
  <c r="L74" i="9" s="1"/>
  <c r="J74" i="9" a="1"/>
  <c r="J74" i="9" s="1"/>
  <c r="C125" i="9"/>
  <c r="S32" i="9" s="1" a="1"/>
  <c r="S32" i="9" s="1"/>
  <c r="M62" i="9" a="1"/>
  <c r="M62" i="9" s="1"/>
  <c r="I61" i="9" a="1"/>
  <c r="I61" i="9" s="1"/>
  <c r="E102" i="9"/>
  <c r="U9" i="9" s="1" a="1"/>
  <c r="U9" i="9" s="1"/>
  <c r="AD18" i="9" a="1"/>
  <c r="AD18" i="9" s="1"/>
  <c r="B6" i="9"/>
  <c r="E116" i="9"/>
  <c r="U23" i="9" s="1" a="1"/>
  <c r="U23" i="9" s="1"/>
  <c r="K128" i="9"/>
  <c r="AA35" i="9" s="1" a="1"/>
  <c r="AA35" i="9" s="1"/>
  <c r="N60" i="9" a="1"/>
  <c r="N60" i="9" s="1"/>
  <c r="H60" i="9" a="1"/>
  <c r="H60" i="9" s="1"/>
  <c r="D118" i="9"/>
  <c r="T25" i="9" s="1" a="1"/>
  <c r="T25" i="9" s="1"/>
  <c r="A23" i="21"/>
  <c r="B23" i="21" s="1"/>
  <c r="H50" i="9" a="1"/>
  <c r="H50" i="9" s="1"/>
  <c r="J58" i="9" a="1"/>
  <c r="J58" i="9" s="1"/>
  <c r="F123" i="9"/>
  <c r="V30" i="9" s="1" a="1"/>
  <c r="V30" i="9" s="1"/>
  <c r="L126" i="9"/>
  <c r="AB33" i="9" s="1" a="1"/>
  <c r="AB33" i="9" s="1"/>
  <c r="L62" i="9" a="1"/>
  <c r="L62" i="9" s="1"/>
  <c r="J64" i="9" a="1"/>
  <c r="J64" i="9" s="1"/>
  <c r="I116" i="9"/>
  <c r="Y23" i="9" s="1" a="1"/>
  <c r="Y23" i="9" s="1"/>
  <c r="K78" i="9" a="1"/>
  <c r="K78" i="9" s="1"/>
  <c r="M54" i="9" a="1"/>
  <c r="M54" i="9" s="1"/>
  <c r="M116" i="9"/>
  <c r="AC23" i="9" s="1" a="1"/>
  <c r="AC23" i="9" s="1"/>
  <c r="N81" i="9" a="1"/>
  <c r="N81" i="9" s="1"/>
  <c r="P126" i="9"/>
  <c r="AF33" i="9" s="1"/>
  <c r="B30" i="20" s="1"/>
  <c r="AF38" i="9"/>
  <c r="B35" i="20" s="1"/>
  <c r="U38" i="9" a="1"/>
  <c r="U38" i="9" s="1"/>
  <c r="A18" i="20"/>
  <c r="M122" i="9"/>
  <c r="AC29" i="9" s="1" a="1"/>
  <c r="AC29" i="9" s="1"/>
  <c r="I101" i="9"/>
  <c r="Y8" i="9" s="1" a="1"/>
  <c r="Y8" i="9" s="1"/>
  <c r="L121" i="9"/>
  <c r="AB28" i="9" s="1" a="1"/>
  <c r="AB28" i="9" s="1"/>
  <c r="B15" i="9"/>
  <c r="E15" i="9" s="1"/>
  <c r="H123" i="9"/>
  <c r="X30" i="9" s="1" a="1"/>
  <c r="X30" i="9" s="1"/>
  <c r="K61" i="9" a="1"/>
  <c r="K61" i="9" s="1"/>
  <c r="E105" i="9"/>
  <c r="U12" i="9" s="1" a="1"/>
  <c r="U12" i="9" s="1"/>
  <c r="I103" i="9"/>
  <c r="Y10" i="9" s="1" a="1"/>
  <c r="Y10" i="9" s="1"/>
  <c r="C126" i="9"/>
  <c r="S33" i="9" s="1" a="1"/>
  <c r="S33" i="9" s="1"/>
  <c r="L78" i="9" a="1"/>
  <c r="L78" i="9" s="1"/>
  <c r="N66" i="9" a="1"/>
  <c r="N66" i="9" s="1"/>
  <c r="I123" i="9"/>
  <c r="Y30" i="9" s="1" a="1"/>
  <c r="Y30" i="9" s="1"/>
  <c r="K57" i="9" a="1"/>
  <c r="K57" i="9" s="1"/>
  <c r="H100" i="9"/>
  <c r="X7" i="9" s="1" a="1"/>
  <c r="X7" i="9" s="1"/>
  <c r="C121" i="9"/>
  <c r="S28" i="9" s="1" a="1"/>
  <c r="S28" i="9" s="1"/>
  <c r="D114" i="9"/>
  <c r="T21" i="9" s="1" a="1"/>
  <c r="T21" i="9" s="1"/>
  <c r="AD29" i="9" a="1"/>
  <c r="AD29" i="9" s="1"/>
  <c r="I53" i="9" a="1"/>
  <c r="I53" i="9" s="1"/>
  <c r="P99" i="9"/>
  <c r="AF6" i="9" s="1"/>
  <c r="B3" i="20" s="1"/>
  <c r="H99" i="9"/>
  <c r="X6" i="9" s="1" a="1"/>
  <c r="X6" i="9" s="1"/>
  <c r="M107" i="9"/>
  <c r="AC14" i="9" s="1" a="1"/>
  <c r="AC14" i="9" s="1"/>
  <c r="I64" i="9" a="1"/>
  <c r="I64" i="9" s="1"/>
  <c r="K51" i="9" a="1"/>
  <c r="K51" i="9" s="1"/>
  <c r="I66" i="9" a="1"/>
  <c r="I66" i="9" s="1"/>
  <c r="C116" i="9"/>
  <c r="S23" i="9" s="1" a="1"/>
  <c r="S23" i="9" s="1"/>
  <c r="C108" i="9"/>
  <c r="S15" i="9" s="1" a="1"/>
  <c r="S15" i="9" s="1"/>
  <c r="P63" i="9"/>
  <c r="J50" i="9" a="1"/>
  <c r="J50" i="9" s="1"/>
  <c r="G70" i="9" a="1"/>
  <c r="G70" i="9" s="1"/>
  <c r="AD6" i="9" a="1"/>
  <c r="AD6" i="9" s="1"/>
  <c r="F103" i="9"/>
  <c r="V10" i="9" s="1" a="1"/>
  <c r="V10" i="9" s="1"/>
  <c r="B14" i="9"/>
  <c r="E14" i="9" s="1"/>
  <c r="P73" i="9"/>
  <c r="E100" i="9"/>
  <c r="U7" i="9" s="1" a="1"/>
  <c r="U7" i="9" s="1"/>
  <c r="L70" i="9" a="1"/>
  <c r="L70" i="9" s="1"/>
  <c r="H72" i="9" a="1"/>
  <c r="H72" i="9" s="1"/>
  <c r="J57" i="9" a="1"/>
  <c r="J57" i="9" s="1"/>
  <c r="C117" i="9"/>
  <c r="S24" i="9" s="1" a="1"/>
  <c r="S24" i="9" s="1"/>
  <c r="K54" i="9" a="1"/>
  <c r="K54" i="9" s="1"/>
  <c r="F101" i="9"/>
  <c r="V8" i="9" s="1" a="1"/>
  <c r="V8" i="9" s="1"/>
  <c r="C100" i="9"/>
  <c r="S7" i="9" s="1" a="1"/>
  <c r="S7" i="9" s="1"/>
  <c r="L104" i="9"/>
  <c r="AB11" i="9" s="1" a="1"/>
  <c r="AB11" i="9" s="1"/>
  <c r="J126" i="9"/>
  <c r="Z33" i="9" s="1" a="1"/>
  <c r="Z33" i="9" s="1"/>
  <c r="M103" i="9"/>
  <c r="AC10" i="9" s="1" a="1"/>
  <c r="AC10" i="9" s="1"/>
  <c r="M70" i="9" a="1"/>
  <c r="M70" i="9" s="1"/>
  <c r="P103" i="9"/>
  <c r="AF10" i="9" s="1"/>
  <c r="B7" i="20" s="1"/>
  <c r="L81" i="9" a="1"/>
  <c r="L81" i="9" s="1"/>
  <c r="H124" i="9"/>
  <c r="X31" i="9" s="1" a="1"/>
  <c r="X31" i="9" s="1"/>
  <c r="K127" i="9"/>
  <c r="AA34" i="9" s="1" a="1"/>
  <c r="AA34" i="9" s="1"/>
  <c r="I127" i="9"/>
  <c r="Y34" i="9" s="1" a="1"/>
  <c r="Y34" i="9" s="1"/>
  <c r="J107" i="9"/>
  <c r="Z14" i="9" s="1" a="1"/>
  <c r="Z14" i="9" s="1"/>
  <c r="D122" i="9"/>
  <c r="T29" i="9" s="1" a="1"/>
  <c r="T29" i="9" s="1"/>
  <c r="M111" i="9"/>
  <c r="AC18" i="9" s="1" a="1"/>
  <c r="AC18" i="9" s="1"/>
  <c r="M101" i="9"/>
  <c r="AC8" i="9" s="1" a="1"/>
  <c r="AC8" i="9" s="1"/>
  <c r="J71" i="9" a="1"/>
  <c r="J71" i="9" s="1"/>
  <c r="J102" i="9"/>
  <c r="Z9" i="9" s="1" a="1"/>
  <c r="Z9" i="9" s="1"/>
  <c r="F121" i="9"/>
  <c r="V28" i="9" s="1" a="1"/>
  <c r="V28" i="9" s="1"/>
  <c r="I124" i="9"/>
  <c r="Y31" i="9" s="1" a="1"/>
  <c r="Y31" i="9" s="1"/>
  <c r="J54" i="9" a="1"/>
  <c r="J54" i="9" s="1"/>
  <c r="K81" i="9" a="1"/>
  <c r="K81" i="9" s="1"/>
  <c r="G110" i="9"/>
  <c r="W17" i="9" s="1" a="1"/>
  <c r="W17" i="9" s="1"/>
  <c r="C115" i="9"/>
  <c r="S22" i="9" s="1" a="1"/>
  <c r="S22" i="9" s="1"/>
  <c r="M78" i="9" a="1"/>
  <c r="M78" i="9" s="1"/>
  <c r="L51" i="9" a="1"/>
  <c r="L51" i="9" s="1"/>
  <c r="L109" i="9"/>
  <c r="AB16" i="9" s="1" a="1"/>
  <c r="AB16" i="9" s="1"/>
  <c r="AD28" i="9" a="1"/>
  <c r="AD28" i="9" s="1"/>
  <c r="M113" i="9"/>
  <c r="AC20" i="9" s="1" a="1"/>
  <c r="AC20" i="9" s="1"/>
  <c r="P55" i="9"/>
  <c r="L72" i="9" a="1"/>
  <c r="L72" i="9" s="1"/>
  <c r="I115" i="9"/>
  <c r="Y22" i="9" s="1" a="1"/>
  <c r="Y22" i="9" s="1"/>
  <c r="P65" i="9"/>
  <c r="K55" i="9" a="1"/>
  <c r="K55" i="9" s="1"/>
  <c r="H120" i="9"/>
  <c r="X27" i="9" s="1" a="1"/>
  <c r="X27" i="9" s="1"/>
  <c r="P75" i="9"/>
  <c r="M66" i="9" a="1"/>
  <c r="M66" i="9" s="1"/>
  <c r="K56" i="9" a="1"/>
  <c r="K56" i="9" s="1"/>
  <c r="K106" i="9"/>
  <c r="AA13" i="9" s="1" a="1"/>
  <c r="AA13" i="9" s="1"/>
  <c r="Z36" i="9" a="1"/>
  <c r="Z36" i="9" s="1"/>
  <c r="H67" i="9" a="1"/>
  <c r="H67" i="9" s="1"/>
  <c r="B3" i="9"/>
  <c r="J101" i="9"/>
  <c r="Z8" i="9" s="1" a="1"/>
  <c r="Z8" i="9" s="1"/>
  <c r="P77" i="9"/>
  <c r="H68" i="9" a="1"/>
  <c r="H68" i="9" s="1"/>
  <c r="P112" i="9"/>
  <c r="AF19" i="9" s="1"/>
  <c r="B16" i="20" s="1"/>
  <c r="E118" i="9"/>
  <c r="U25" i="9" s="1" a="1"/>
  <c r="U25" i="9" s="1"/>
  <c r="K122" i="9"/>
  <c r="AA29" i="9" s="1" a="1"/>
  <c r="AA29" i="9" s="1"/>
  <c r="G119" i="9"/>
  <c r="W26" i="9" s="1" a="1"/>
  <c r="W26" i="9" s="1"/>
  <c r="I104" i="9"/>
  <c r="Y11" i="9" s="1" a="1"/>
  <c r="Y11" i="9" s="1"/>
  <c r="H79" i="9" a="1"/>
  <c r="H79" i="9" s="1"/>
  <c r="B11" i="9"/>
  <c r="E11" i="9" s="1"/>
  <c r="I109" i="9"/>
  <c r="Y16" i="9" s="1" a="1"/>
  <c r="Y16" i="9" s="1"/>
  <c r="F122" i="9"/>
  <c r="V29" i="9" s="1" a="1"/>
  <c r="V29" i="9" s="1"/>
  <c r="E119" i="9"/>
  <c r="U26" i="9" s="1" a="1"/>
  <c r="U26" i="9" s="1"/>
  <c r="D108" i="9"/>
  <c r="T15" i="9" s="1" a="1"/>
  <c r="T15" i="9" s="1"/>
  <c r="N70" i="9" a="1"/>
  <c r="N70" i="9" s="1"/>
  <c r="J108" i="9"/>
  <c r="Z15" i="9" s="1" a="1"/>
  <c r="Z15" i="9" s="1"/>
  <c r="I122" i="9"/>
  <c r="Y29" i="9" s="1" a="1"/>
  <c r="Y29" i="9" s="1"/>
  <c r="E115" i="9"/>
  <c r="U22" i="9" s="1" a="1"/>
  <c r="U22" i="9" s="1"/>
  <c r="C118" i="9"/>
  <c r="S25" i="9" s="1" a="1"/>
  <c r="S25" i="9" s="1"/>
  <c r="M99" i="9"/>
  <c r="AC6" i="9" s="1" a="1"/>
  <c r="AC6" i="9" s="1"/>
  <c r="M61" i="9" a="1"/>
  <c r="M61" i="9" s="1"/>
  <c r="L64" i="9" a="1"/>
  <c r="L64" i="9" s="1"/>
  <c r="H117" i="9"/>
  <c r="X24" i="9" s="1" a="1"/>
  <c r="X24" i="9" s="1"/>
  <c r="C123" i="9"/>
  <c r="S30" i="9" s="1" a="1"/>
  <c r="S30" i="9" s="1"/>
  <c r="M65" i="9" a="1"/>
  <c r="M65" i="9" s="1"/>
  <c r="B12" i="9"/>
  <c r="C12" i="9" s="1"/>
  <c r="P74" i="9"/>
  <c r="H52" i="9" a="1"/>
  <c r="H52" i="9" s="1"/>
  <c r="L113" i="9"/>
  <c r="AB20" i="9" s="1" a="1"/>
  <c r="AB20" i="9" s="1"/>
  <c r="J113" i="9"/>
  <c r="Z20" i="9" s="1" a="1"/>
  <c r="Z20" i="9" s="1"/>
  <c r="G74" i="9" a="1"/>
  <c r="G74" i="9" s="1"/>
  <c r="L79" i="9" a="1"/>
  <c r="L79" i="9" s="1"/>
  <c r="K111" i="9"/>
  <c r="AA18" i="9" s="1" a="1"/>
  <c r="AA18" i="9" s="1"/>
  <c r="G64" i="9" a="1"/>
  <c r="G64" i="9" s="1"/>
  <c r="N57" i="9" a="1"/>
  <c r="N57" i="9" s="1"/>
  <c r="J119" i="9"/>
  <c r="Z26" i="9" s="1" a="1"/>
  <c r="Z26" i="9" s="1"/>
  <c r="AD24" i="9" a="1"/>
  <c r="AD24" i="9" s="1"/>
  <c r="AD30" i="9" a="1"/>
  <c r="AD30" i="9" s="1"/>
  <c r="K126" i="9"/>
  <c r="AA33" i="9" s="1" a="1"/>
  <c r="AA33" i="9" s="1"/>
  <c r="H76" i="9" a="1"/>
  <c r="H76" i="9" s="1"/>
  <c r="D119" i="9"/>
  <c r="T26" i="9" s="1" a="1"/>
  <c r="T26" i="9" s="1"/>
  <c r="K50" i="9" a="1"/>
  <c r="K50" i="9" s="1"/>
  <c r="I110" i="9"/>
  <c r="Y17" i="9" s="1" a="1"/>
  <c r="Y17" i="9" s="1"/>
  <c r="G78" i="9" a="1"/>
  <c r="G78" i="9" s="1"/>
  <c r="I60" i="9" a="1"/>
  <c r="I60" i="9" s="1"/>
  <c r="H101" i="9"/>
  <c r="X8" i="9" s="1" a="1"/>
  <c r="X8" i="9" s="1"/>
  <c r="D110" i="9"/>
  <c r="T17" i="9" s="1" a="1"/>
  <c r="T17" i="9" s="1"/>
  <c r="P51" i="9"/>
  <c r="I76" i="9" a="1"/>
  <c r="I76" i="9" s="1"/>
  <c r="L54" i="9" a="1"/>
  <c r="L54" i="9" s="1"/>
  <c r="M125" i="9"/>
  <c r="AC32" i="9" s="1" a="1"/>
  <c r="AC32" i="9" s="1"/>
  <c r="C106" i="9"/>
  <c r="S13" i="9" s="1" a="1"/>
  <c r="S13" i="9" s="1"/>
  <c r="K67" i="9" a="1"/>
  <c r="K67" i="9" s="1"/>
  <c r="H77" i="9" a="1"/>
  <c r="H77" i="9" s="1"/>
  <c r="B4" i="9"/>
  <c r="E4" i="9" s="1"/>
  <c r="B8" i="9"/>
  <c r="E8" i="9" s="1"/>
  <c r="P124" i="9"/>
  <c r="AF31" i="9" s="1"/>
  <c r="I117" i="9"/>
  <c r="Y24" i="9" s="1" a="1"/>
  <c r="Y24" i="9" s="1"/>
  <c r="G99" i="9"/>
  <c r="W6" i="9" s="1" a="1"/>
  <c r="W6" i="9" s="1"/>
  <c r="E101" i="9"/>
  <c r="U8" i="9" s="1" a="1"/>
  <c r="U8" i="9" s="1"/>
  <c r="C107" i="9"/>
  <c r="S14" i="9" s="1" a="1"/>
  <c r="S14" i="9" s="1"/>
  <c r="D121" i="9"/>
  <c r="T28" i="9" s="1" a="1"/>
  <c r="T28" i="9" s="1"/>
  <c r="M126" i="9"/>
  <c r="AC33" i="9" s="1" a="1"/>
  <c r="AC33" i="9" s="1"/>
  <c r="E113" i="9"/>
  <c r="U20" i="9" s="1" a="1"/>
  <c r="U20" i="9" s="1"/>
  <c r="D106" i="9"/>
  <c r="T13" i="9" s="1" a="1"/>
  <c r="T13" i="9" s="1"/>
  <c r="E121" i="9"/>
  <c r="U28" i="9" s="1" a="1"/>
  <c r="U28" i="9" s="1"/>
  <c r="H66" i="9" a="1"/>
  <c r="H66" i="9" s="1"/>
  <c r="G117" i="9"/>
  <c r="W24" i="9" s="1" a="1"/>
  <c r="W24" i="9" s="1"/>
  <c r="J117" i="9"/>
  <c r="Z24" i="9" s="1" a="1"/>
  <c r="Z24" i="9" s="1"/>
  <c r="G126" i="9"/>
  <c r="W33" i="9" s="1" a="1"/>
  <c r="W33" i="9" s="1"/>
  <c r="N80" i="9" a="1"/>
  <c r="N80" i="9" s="1"/>
  <c r="N56" i="9" a="1"/>
  <c r="N56" i="9" s="1"/>
  <c r="I65" i="9" a="1"/>
  <c r="I65" i="9" s="1"/>
  <c r="G104" i="9"/>
  <c r="W11" i="9" s="1" a="1"/>
  <c r="W11" i="9" s="1"/>
  <c r="L127" i="9"/>
  <c r="AB34" i="9" s="1" a="1"/>
  <c r="AB34" i="9" s="1"/>
  <c r="K71" i="9" a="1"/>
  <c r="K71" i="9" s="1"/>
  <c r="N62" i="9" a="1"/>
  <c r="N62" i="9" s="1"/>
  <c r="G103" i="9"/>
  <c r="W10" i="9" s="1" a="1"/>
  <c r="W10" i="9" s="1"/>
  <c r="D113" i="9"/>
  <c r="T20" i="9" s="1" a="1"/>
  <c r="T20" i="9" s="1"/>
  <c r="K112" i="9"/>
  <c r="AA19" i="9" s="1" a="1"/>
  <c r="AA19" i="9" s="1"/>
  <c r="AD21" i="9" a="1"/>
  <c r="AD21" i="9" s="1"/>
  <c r="C128" i="9"/>
  <c r="S35" i="9" s="1" a="1"/>
  <c r="S35" i="9" s="1"/>
  <c r="K116" i="9"/>
  <c r="AA23" i="9" s="1" a="1"/>
  <c r="AA23" i="9" s="1"/>
  <c r="J51" i="9" a="1"/>
  <c r="J51" i="9" s="1"/>
  <c r="M52" i="9" a="1"/>
  <c r="M52" i="9" s="1"/>
  <c r="D111" i="9"/>
  <c r="T18" i="9" s="1" a="1"/>
  <c r="T18" i="9" s="1"/>
  <c r="AD12" i="9" a="1"/>
  <c r="AD12" i="9" s="1"/>
  <c r="G124" i="9"/>
  <c r="W31" i="9" s="1" a="1"/>
  <c r="W31" i="9" s="1"/>
  <c r="C120" i="9"/>
  <c r="S27" i="9" s="1" a="1"/>
  <c r="S27" i="9" s="1"/>
  <c r="N61" i="9" a="1"/>
  <c r="N61" i="9" s="1"/>
  <c r="N52" i="9" a="1"/>
  <c r="N52" i="9" s="1"/>
  <c r="P64" i="9"/>
  <c r="K104" i="9"/>
  <c r="AA11" i="9" s="1" a="1"/>
  <c r="AA11" i="9" s="1"/>
  <c r="AD16" i="9" a="1"/>
  <c r="AD16" i="9" s="1"/>
  <c r="J67" i="9" a="1"/>
  <c r="J67" i="9" s="1"/>
  <c r="L123" i="9"/>
  <c r="AB30" i="9" s="1" a="1"/>
  <c r="AB30" i="9" s="1"/>
  <c r="C112" i="9"/>
  <c r="S19" i="9" s="1" a="1"/>
  <c r="S19" i="9" s="1"/>
  <c r="D112" i="9"/>
  <c r="T19" i="9" s="1" a="1"/>
  <c r="T19" i="9" s="1"/>
  <c r="G56" i="9" a="1"/>
  <c r="G56" i="9" s="1"/>
  <c r="AD8" i="9" a="1"/>
  <c r="AD8" i="9" s="1"/>
  <c r="J103" i="9"/>
  <c r="Z10" i="9" s="1" a="1"/>
  <c r="Z10" i="9" s="1"/>
  <c r="H110" i="9"/>
  <c r="X17" i="9" s="1" a="1"/>
  <c r="X17" i="9" s="1"/>
  <c r="C103" i="9"/>
  <c r="S10" i="9" s="1" a="1"/>
  <c r="S10" i="9" s="1"/>
  <c r="K118" i="9"/>
  <c r="AA25" i="9" s="1" a="1"/>
  <c r="AA25" i="9" s="1"/>
  <c r="G109" i="9"/>
  <c r="W16" i="9" s="1" a="1"/>
  <c r="W16" i="9" s="1"/>
  <c r="K120" i="9"/>
  <c r="AA27" i="9" s="1" a="1"/>
  <c r="AA27" i="9" s="1"/>
  <c r="AD35" i="9" a="1"/>
  <c r="AD35" i="9" s="1"/>
  <c r="I67" i="9" a="1"/>
  <c r="I67" i="9" s="1"/>
  <c r="AD31" i="9" a="1"/>
  <c r="AD31" i="9" s="1"/>
  <c r="AD38" i="9" a="1"/>
  <c r="AD38" i="9" s="1"/>
  <c r="AD9" i="9" a="1"/>
  <c r="AD9" i="9" s="1"/>
  <c r="H116" i="9"/>
  <c r="X23" i="9" s="1" a="1"/>
  <c r="X23" i="9" s="1"/>
  <c r="M119" i="9"/>
  <c r="AC26" i="9" s="1" a="1"/>
  <c r="AC26" i="9" s="1"/>
  <c r="H113" i="9"/>
  <c r="X20" i="9" s="1" a="1"/>
  <c r="X20" i="9" s="1"/>
  <c r="E110" i="9"/>
  <c r="U17" i="9" s="1" a="1"/>
  <c r="U17" i="9" s="1"/>
  <c r="P109" i="9"/>
  <c r="AF16" i="9" s="1"/>
  <c r="B13" i="20" s="1"/>
  <c r="E127" i="9"/>
  <c r="U34" i="9" s="1" a="1"/>
  <c r="U34" i="9" s="1"/>
  <c r="L60" i="9" a="1"/>
  <c r="L60" i="9" s="1"/>
  <c r="K113" i="9"/>
  <c r="AA20" i="9" s="1" a="1"/>
  <c r="AA20" i="9" s="1"/>
  <c r="G108" i="9"/>
  <c r="W15" i="9" s="1" a="1"/>
  <c r="W15" i="9" s="1"/>
  <c r="L117" i="9"/>
  <c r="AB24" i="9" s="1" a="1"/>
  <c r="AB24" i="9" s="1"/>
  <c r="M59" i="9" a="1"/>
  <c r="M59" i="9" s="1"/>
  <c r="G114" i="9"/>
  <c r="W21" i="9" s="1" a="1"/>
  <c r="W21" i="9" s="1"/>
  <c r="K103" i="9"/>
  <c r="AA10" i="9" s="1" a="1"/>
  <c r="AA10" i="9" s="1"/>
  <c r="G113" i="9"/>
  <c r="W20" i="9" s="1" a="1"/>
  <c r="W20" i="9" s="1"/>
  <c r="P114" i="9"/>
  <c r="AF21" i="9" s="1"/>
  <c r="B18" i="20" s="1"/>
  <c r="F125" i="9"/>
  <c r="V32" i="9" s="1" a="1"/>
  <c r="V32" i="9" s="1"/>
  <c r="D100" i="9"/>
  <c r="T7" i="9" s="1" a="1"/>
  <c r="T7" i="9" s="1"/>
  <c r="K75" i="9" a="1"/>
  <c r="K75" i="9" s="1"/>
  <c r="N51" i="9" a="1"/>
  <c r="N51" i="9" s="1"/>
  <c r="P127" i="9"/>
  <c r="AF34" i="9" s="1"/>
  <c r="B31" i="20" s="1"/>
  <c r="L67" i="9" a="1"/>
  <c r="L67" i="9" s="1"/>
  <c r="P56" i="9"/>
  <c r="F110" i="9"/>
  <c r="V17" i="9" s="1" a="1"/>
  <c r="V17" i="9" s="1"/>
  <c r="H105" i="9"/>
  <c r="X12" i="9" s="1" a="1"/>
  <c r="X12" i="9" s="1"/>
  <c r="K121" i="9"/>
  <c r="AA28" i="9" s="1" a="1"/>
  <c r="AA28" i="9" s="1"/>
  <c r="I72" i="9" a="1"/>
  <c r="I72" i="9" s="1"/>
  <c r="J79" i="9" a="1"/>
  <c r="J79" i="9" s="1"/>
  <c r="J106" i="9"/>
  <c r="Z13" i="9" s="1" a="1"/>
  <c r="Z13" i="9" s="1"/>
  <c r="M69" i="9" a="1"/>
  <c r="M69" i="9" s="1"/>
  <c r="G57" i="9" a="1"/>
  <c r="G57" i="9" s="1"/>
  <c r="L107" i="9"/>
  <c r="AB14" i="9" s="1" a="1"/>
  <c r="AB14" i="9" s="1"/>
  <c r="P76" i="9"/>
  <c r="F126" i="9"/>
  <c r="V33" i="9" s="1" a="1"/>
  <c r="V33" i="9" s="1"/>
  <c r="M120" i="9"/>
  <c r="AC27" i="9" s="1" a="1"/>
  <c r="AC27" i="9" s="1"/>
  <c r="N74" i="9" a="1"/>
  <c r="N74" i="9" s="1"/>
  <c r="H56" i="9" a="1"/>
  <c r="H56" i="9" s="1"/>
  <c r="D115" i="9"/>
  <c r="T22" i="9" s="1" a="1"/>
  <c r="T22" i="9" s="1"/>
  <c r="P66" i="9"/>
  <c r="AD34" i="9" a="1"/>
  <c r="AD34" i="9" s="1"/>
  <c r="H51" i="9" a="1"/>
  <c r="H51" i="9" s="1"/>
  <c r="A24" i="20"/>
  <c r="G59" i="9" a="1"/>
  <c r="G59" i="9" s="1"/>
  <c r="A12" i="20"/>
  <c r="A11" i="20"/>
  <c r="A30" i="20"/>
  <c r="G67" i="9" a="1"/>
  <c r="G67" i="9" s="1"/>
  <c r="A21" i="20"/>
  <c r="A29" i="20"/>
  <c r="A31" i="20"/>
  <c r="A6" i="20"/>
  <c r="N78" i="9" a="1"/>
  <c r="N78" i="9" s="1"/>
  <c r="A28" i="20"/>
  <c r="A15" i="20"/>
  <c r="A35" i="20"/>
  <c r="A27" i="20"/>
  <c r="H71" i="9" a="1"/>
  <c r="H71" i="9" s="1"/>
  <c r="H64" i="9" a="1"/>
  <c r="H64" i="9" s="1"/>
  <c r="J81" i="9" a="1"/>
  <c r="J81" i="9" s="1"/>
  <c r="AD27" i="9" a="1"/>
  <c r="AD27" i="9" s="1"/>
  <c r="J78" i="9" a="1"/>
  <c r="J78" i="9" s="1"/>
  <c r="P107" i="9"/>
  <c r="AF14" i="9" s="1"/>
  <c r="B11" i="20" s="1"/>
  <c r="K124" i="9"/>
  <c r="AA31" i="9" s="1" a="1"/>
  <c r="AA31" i="9" s="1"/>
  <c r="I118" i="9"/>
  <c r="Y25" i="9" s="1" a="1"/>
  <c r="Y25" i="9" s="1"/>
  <c r="AD36" i="9" a="1"/>
  <c r="AD36" i="9" s="1"/>
  <c r="M73" i="9" a="1"/>
  <c r="M73" i="9" s="1"/>
  <c r="K63" i="9" a="1"/>
  <c r="K63" i="9" s="1"/>
  <c r="G55" i="9" a="1"/>
  <c r="G55" i="9" s="1"/>
  <c r="M112" i="9"/>
  <c r="AC19" i="9" s="1" a="1"/>
  <c r="AC19" i="9" s="1"/>
  <c r="K99" i="9"/>
  <c r="AA6" i="9" s="1" a="1"/>
  <c r="AA6" i="9" s="1"/>
  <c r="N75" i="9" a="1"/>
  <c r="N75" i="9" s="1"/>
  <c r="I73" i="9" a="1"/>
  <c r="I73" i="9" s="1"/>
  <c r="L100" i="9"/>
  <c r="AB7" i="9" s="1" a="1"/>
  <c r="AB7" i="9" s="1"/>
  <c r="H59" i="9" a="1"/>
  <c r="H59" i="9" s="1"/>
  <c r="K59" i="9" a="1"/>
  <c r="K59" i="9" s="1"/>
  <c r="G111" i="9"/>
  <c r="W18" i="9" s="1" a="1"/>
  <c r="W18" i="9" s="1"/>
  <c r="D116" i="9"/>
  <c r="T23" i="9" s="1" a="1"/>
  <c r="T23" i="9" s="1"/>
  <c r="H122" i="9"/>
  <c r="X29" i="9" s="1" a="1"/>
  <c r="X29" i="9" s="1"/>
  <c r="H104" i="9"/>
  <c r="X11" i="9" s="1" a="1"/>
  <c r="X11" i="9" s="1"/>
  <c r="J124" i="9"/>
  <c r="P62" i="9"/>
  <c r="AD19" i="9" a="1"/>
  <c r="AD19" i="9" s="1"/>
  <c r="G50" i="9" a="1"/>
  <c r="G50" i="9" s="1"/>
  <c r="K79" i="9" a="1"/>
  <c r="K79" i="9" s="1"/>
  <c r="J77" i="9" a="1"/>
  <c r="J77" i="9" s="1"/>
  <c r="P122" i="9"/>
  <c r="AF29" i="9" s="1"/>
  <c r="B26" i="20" s="1"/>
  <c r="M110" i="9"/>
  <c r="AC17" i="9" s="1" a="1"/>
  <c r="AC17" i="9" s="1"/>
  <c r="I120" i="9"/>
  <c r="Y27" i="9" s="1" a="1"/>
  <c r="Y27" i="9" s="1"/>
  <c r="E128" i="9"/>
  <c r="U35" i="9" s="1" a="1"/>
  <c r="U35" i="9" s="1"/>
  <c r="J75" i="9" a="1"/>
  <c r="J75" i="9" s="1"/>
  <c r="F102" i="9"/>
  <c r="V9" i="9" s="1" a="1"/>
  <c r="V9" i="9" s="1"/>
  <c r="E107" i="9"/>
  <c r="U14" i="9" s="1" a="1"/>
  <c r="U14" i="9" s="1"/>
  <c r="P68" i="9"/>
  <c r="I55" i="9" a="1"/>
  <c r="I55" i="9" s="1"/>
  <c r="D120" i="9"/>
  <c r="T27" i="9" s="1" a="1"/>
  <c r="T27" i="9" s="1"/>
  <c r="N68" i="9" a="1"/>
  <c r="N68" i="9" s="1"/>
  <c r="I77" i="9" a="1"/>
  <c r="I77" i="9" s="1"/>
  <c r="F127" i="9"/>
  <c r="V34" i="9" s="1" a="1"/>
  <c r="V34" i="9" s="1"/>
  <c r="I105" i="9"/>
  <c r="D124" i="9"/>
  <c r="T31" i="9" s="1" a="1"/>
  <c r="T31" i="9" s="1"/>
  <c r="AD33" i="9" a="1"/>
  <c r="AD33" i="9" s="1"/>
  <c r="K58" i="9" a="1"/>
  <c r="K58" i="9" s="1"/>
  <c r="A26" i="20"/>
  <c r="J123" i="9"/>
  <c r="Z30" i="9" s="1" a="1"/>
  <c r="Z30" i="9" s="1"/>
  <c r="L122" i="9"/>
  <c r="AB29" i="9" s="1" a="1"/>
  <c r="AB29" i="9" s="1"/>
  <c r="D102" i="9"/>
  <c r="T9" i="9" s="1" a="1"/>
  <c r="T9" i="9" s="1"/>
  <c r="N76" i="9" a="1"/>
  <c r="N76" i="9" s="1"/>
  <c r="P53" i="9"/>
  <c r="J112" i="9"/>
  <c r="Z19" i="9" s="1" a="1"/>
  <c r="Z19" i="9" s="1"/>
  <c r="K65" i="9" a="1"/>
  <c r="K65" i="9" s="1"/>
  <c r="P78" i="9"/>
  <c r="F105" i="9"/>
  <c r="V12" i="9" s="1" a="1"/>
  <c r="V12" i="9" s="1"/>
  <c r="J114" i="9"/>
  <c r="Z21" i="9" s="1" a="1"/>
  <c r="Z21" i="9" s="1"/>
  <c r="D125" i="9"/>
  <c r="T32" i="9" s="1" a="1"/>
  <c r="T32" i="9" s="1"/>
  <c r="N67" i="9" a="1"/>
  <c r="N67" i="9" s="1"/>
  <c r="M55" i="9" a="1"/>
  <c r="M55" i="9" s="1"/>
  <c r="P125" i="9"/>
  <c r="AF32" i="9" s="1"/>
  <c r="B29" i="20" s="1"/>
  <c r="H108" i="9"/>
  <c r="X15" i="9" s="1" a="1"/>
  <c r="X15" i="9" s="1"/>
  <c r="D109" i="9"/>
  <c r="T16" i="9" s="1" a="1"/>
  <c r="T16" i="9" s="1"/>
  <c r="M118" i="9"/>
  <c r="AC25" i="9" s="1" a="1"/>
  <c r="AC25" i="9" s="1"/>
  <c r="N63" i="9" a="1"/>
  <c r="N63" i="9" s="1"/>
  <c r="I79" i="9" a="1"/>
  <c r="I79" i="9" s="1"/>
  <c r="N58" i="9" a="1"/>
  <c r="N58" i="9" s="1"/>
  <c r="G62" i="9" a="1"/>
  <c r="G62" i="9" s="1"/>
  <c r="F114" i="9"/>
  <c r="V21" i="9" s="1" a="1"/>
  <c r="V21" i="9" s="1"/>
  <c r="K100" i="9"/>
  <c r="AA7" i="9" s="1" a="1"/>
  <c r="AA7" i="9" s="1"/>
  <c r="G73" i="9" a="1"/>
  <c r="G73" i="9" s="1"/>
  <c r="L61" i="9" a="1"/>
  <c r="L61" i="9" s="1"/>
  <c r="M71" i="9" a="1"/>
  <c r="M71" i="9" s="1"/>
  <c r="A9" i="20"/>
  <c r="E120" i="9"/>
  <c r="U27" i="9" s="1" a="1"/>
  <c r="U27" i="9" s="1"/>
  <c r="F119" i="9"/>
  <c r="V26" i="9" s="1" a="1"/>
  <c r="V26" i="9" s="1"/>
  <c r="M127" i="9"/>
  <c r="AC34" i="9" s="1" a="1"/>
  <c r="AC34" i="9" s="1"/>
  <c r="AD26" i="9" a="1"/>
  <c r="AD26" i="9" s="1"/>
  <c r="K68" i="9" a="1"/>
  <c r="K68" i="9" s="1"/>
  <c r="K76" i="9" a="1"/>
  <c r="K76" i="9" s="1"/>
  <c r="I112" i="9"/>
  <c r="Y19" i="9" s="1" a="1"/>
  <c r="Y19" i="9" s="1"/>
  <c r="AD14" i="9" a="1"/>
  <c r="AD14" i="9" s="1"/>
  <c r="G106" i="9"/>
  <c r="W13" i="9" s="1" a="1"/>
  <c r="W13" i="9" s="1"/>
  <c r="M121" i="9"/>
  <c r="AC28" i="9" s="1" a="1"/>
  <c r="AC28" i="9" s="1"/>
  <c r="E111" i="9"/>
  <c r="U18" i="9" s="1" a="1"/>
  <c r="U18" i="9" s="1"/>
  <c r="G112" i="9"/>
  <c r="W19" i="9" s="1" a="1"/>
  <c r="W19" i="9" s="1"/>
  <c r="C111" i="9"/>
  <c r="S18" i="9" s="1" a="1"/>
  <c r="S18" i="9" s="1"/>
  <c r="AD11" i="9" a="1"/>
  <c r="AD11" i="9" s="1"/>
  <c r="N50" i="9" a="1"/>
  <c r="N50" i="9" s="1"/>
  <c r="F100" i="9"/>
  <c r="V7" i="9" s="1" a="1"/>
  <c r="V7" i="9" s="1"/>
  <c r="P110" i="9"/>
  <c r="AF17" i="9" s="1"/>
  <c r="B14" i="20" s="1"/>
  <c r="M106" i="9"/>
  <c r="AC13" i="9" s="1" a="1"/>
  <c r="AC13" i="9" s="1"/>
  <c r="M108" i="9"/>
  <c r="AC15" i="9" s="1" a="1"/>
  <c r="AC15" i="9" s="1"/>
  <c r="N79" i="9" a="1"/>
  <c r="N79" i="9" s="1"/>
  <c r="L77" i="9" a="1"/>
  <c r="L77" i="9" s="1"/>
  <c r="J68" i="9" a="1"/>
  <c r="J68" i="9" s="1"/>
  <c r="L76" i="9" a="1"/>
  <c r="L76" i="9" s="1"/>
  <c r="I78" i="9" a="1"/>
  <c r="I78" i="9" s="1"/>
  <c r="AD23" i="9" a="1"/>
  <c r="AD23" i="9" s="1"/>
  <c r="I126" i="9"/>
  <c r="I106" i="9"/>
  <c r="Y13" i="9" s="1" a="1"/>
  <c r="Y13" i="9" s="1"/>
  <c r="L103" i="9"/>
  <c r="AB10" i="9" s="1" a="1"/>
  <c r="AB10" i="9" s="1"/>
  <c r="AD22" i="9" a="1"/>
  <c r="AD22" i="9" s="1"/>
  <c r="G63" i="9" a="1"/>
  <c r="G63" i="9" s="1"/>
  <c r="M105" i="9"/>
  <c r="AC12" i="9" s="1" a="1"/>
  <c r="AC12" i="9" s="1"/>
  <c r="P71" i="9"/>
  <c r="P79" i="9"/>
  <c r="J115" i="9"/>
  <c r="Z22" i="9" s="1" a="1"/>
  <c r="Z22" i="9" s="1"/>
  <c r="F108" i="9"/>
  <c r="V15" i="9" s="1" a="1"/>
  <c r="V15" i="9" s="1"/>
  <c r="L110" i="9"/>
  <c r="G53" i="9" a="1"/>
  <c r="G53" i="9" s="1"/>
  <c r="H75" i="9" a="1"/>
  <c r="H75" i="9" s="1"/>
  <c r="H78" i="9" a="1"/>
  <c r="H78" i="9" s="1"/>
  <c r="J59" i="9" a="1"/>
  <c r="J59" i="9" s="1"/>
  <c r="L73" i="9" a="1"/>
  <c r="L73" i="9" s="1"/>
  <c r="M72" i="9" a="1"/>
  <c r="M72" i="9" s="1"/>
  <c r="N54" i="9" a="1"/>
  <c r="N54" i="9" s="1"/>
  <c r="K74" i="9" a="1"/>
  <c r="K74" i="9" s="1"/>
  <c r="H57" i="9" a="1"/>
  <c r="H57" i="9" s="1"/>
  <c r="C114" i="9"/>
  <c r="S21" i="9" s="1" a="1"/>
  <c r="S21" i="9" s="1"/>
  <c r="H119" i="9"/>
  <c r="X26" i="9" s="1" a="1"/>
  <c r="X26" i="9" s="1"/>
  <c r="J116" i="9"/>
  <c r="Z23" i="9" s="1" a="1"/>
  <c r="Z23" i="9" s="1"/>
  <c r="L105" i="9"/>
  <c r="AB12" i="9" s="1" a="1"/>
  <c r="AB12" i="9" s="1"/>
  <c r="J66" i="9" a="1"/>
  <c r="J66" i="9" s="1"/>
  <c r="D105" i="9"/>
  <c r="T12" i="9" s="1" a="1"/>
  <c r="T12" i="9" s="1"/>
  <c r="K119" i="9"/>
  <c r="AA26" i="9" s="1" a="1"/>
  <c r="AA26" i="9" s="1"/>
  <c r="M102" i="9"/>
  <c r="AC9" i="9" s="1" a="1"/>
  <c r="AC9" i="9" s="1"/>
  <c r="F128" i="9"/>
  <c r="V35" i="9" s="1" a="1"/>
  <c r="V35" i="9" s="1"/>
  <c r="I63" i="9" a="1"/>
  <c r="I63" i="9" s="1"/>
  <c r="J60" i="9" a="1"/>
  <c r="J60" i="9" s="1"/>
  <c r="G68" i="9" a="1"/>
  <c r="G68" i="9" s="1"/>
  <c r="I50" i="9" a="1"/>
  <c r="I50" i="9" s="1"/>
  <c r="F104" i="9"/>
  <c r="V11" i="9" s="1" a="1"/>
  <c r="V11" i="9" s="1"/>
  <c r="M117" i="9"/>
  <c r="AC24" i="9" s="1" a="1"/>
  <c r="AC24" i="9" s="1"/>
  <c r="I119" i="9"/>
  <c r="Y26" i="9" s="1" a="1"/>
  <c r="Y26" i="9" s="1"/>
  <c r="P70" i="9"/>
  <c r="B17" i="9"/>
  <c r="G123" i="9"/>
  <c r="W30" i="9" s="1" a="1"/>
  <c r="W30" i="9" s="1"/>
  <c r="P117" i="9"/>
  <c r="AF24" i="9" s="1"/>
  <c r="B21" i="20" s="1"/>
  <c r="M123" i="9"/>
  <c r="AC30" i="9" s="1" a="1"/>
  <c r="AC30" i="9" s="1"/>
  <c r="M124" i="9"/>
  <c r="AC31" i="9" s="1" a="1"/>
  <c r="AC31" i="9" s="1"/>
  <c r="H53" i="9" a="1"/>
  <c r="H53" i="9" s="1"/>
  <c r="L53" i="9" a="1"/>
  <c r="L53" i="9" s="1"/>
  <c r="J80" i="9" a="1"/>
  <c r="J80" i="9" s="1"/>
  <c r="L50" i="9" a="1"/>
  <c r="L50" i="9" s="1"/>
  <c r="K64" i="9" a="1"/>
  <c r="K64" i="9" s="1"/>
  <c r="P121" i="9"/>
  <c r="AF28" i="9" s="1"/>
  <c r="B25" i="20" s="1"/>
  <c r="J109" i="9"/>
  <c r="Z16" i="9" s="1" a="1"/>
  <c r="Z16" i="9" s="1"/>
  <c r="P81" i="9"/>
  <c r="M75" i="9" a="1"/>
  <c r="M75" i="9" s="1"/>
  <c r="AD37" i="9" a="1"/>
  <c r="AD37" i="9" s="1"/>
  <c r="H61" i="9" a="1"/>
  <c r="H61" i="9" s="1"/>
  <c r="K80" i="9" a="1"/>
  <c r="K80" i="9" s="1"/>
  <c r="M53" i="9" a="1"/>
  <c r="M53" i="9" s="1"/>
  <c r="G77" i="9" a="1"/>
  <c r="G77" i="9" s="1"/>
  <c r="L75" i="9" a="1"/>
  <c r="L75" i="9" s="1"/>
  <c r="K115" i="9"/>
  <c r="AA22" i="9" s="1" a="1"/>
  <c r="AA22" i="9" s="1"/>
  <c r="B7" i="9"/>
  <c r="K77" i="9" a="1"/>
  <c r="K77" i="9" s="1"/>
  <c r="H102" i="9"/>
  <c r="X9" i="9" s="1" a="1"/>
  <c r="X9" i="9" s="1"/>
  <c r="L112" i="9"/>
  <c r="AB19" i="9" s="1" a="1"/>
  <c r="AB19" i="9" s="1"/>
  <c r="K62" i="9" a="1"/>
  <c r="K62" i="9" s="1"/>
  <c r="J65" i="9" a="1"/>
  <c r="J65" i="9" s="1"/>
  <c r="K66" i="9" a="1"/>
  <c r="K66" i="9" s="1"/>
  <c r="I69" i="9" a="1"/>
  <c r="I69" i="9" s="1"/>
  <c r="H55" i="9" a="1"/>
  <c r="H55" i="9" s="1"/>
  <c r="E103" i="9"/>
  <c r="U10" i="9" s="1" a="1"/>
  <c r="U10" i="9" s="1"/>
  <c r="L119" i="9"/>
  <c r="AB26" i="9" s="1" a="1"/>
  <c r="AB26" i="9" s="1"/>
  <c r="I52" i="9" a="1"/>
  <c r="I52" i="9" s="1"/>
  <c r="A4" i="20"/>
  <c r="A13" i="20"/>
  <c r="A34" i="20"/>
  <c r="J122" i="9"/>
  <c r="Z29" i="9" s="1" a="1"/>
  <c r="Z29" i="9" s="1"/>
  <c r="G80" i="9" a="1"/>
  <c r="G80" i="9" s="1"/>
  <c r="M79" i="9" a="1"/>
  <c r="M79" i="9" s="1"/>
  <c r="J52" i="9" a="1"/>
  <c r="J52" i="9" s="1"/>
  <c r="I51" i="9" a="1"/>
  <c r="I51" i="9" s="1"/>
  <c r="N71" i="9" a="1"/>
  <c r="N71" i="9" s="1"/>
  <c r="L68" i="9" a="1"/>
  <c r="L68" i="9" s="1"/>
  <c r="C113" i="9"/>
  <c r="S20" i="9" s="1" a="1"/>
  <c r="S20" i="9" s="1"/>
  <c r="J120" i="9"/>
  <c r="Z27" i="9" s="1" a="1"/>
  <c r="Z27" i="9" s="1"/>
  <c r="I108" i="9"/>
  <c r="Y15" i="9" s="1" a="1"/>
  <c r="Y15" i="9" s="1"/>
  <c r="L55" i="9" a="1"/>
  <c r="L55" i="9" s="1"/>
  <c r="M81" i="9" a="1"/>
  <c r="M81" i="9" s="1"/>
  <c r="F113" i="9"/>
  <c r="V20" i="9" s="1" a="1"/>
  <c r="V20" i="9" s="1"/>
  <c r="C127" i="9"/>
  <c r="S34" i="9" s="1" a="1"/>
  <c r="S34" i="9" s="1"/>
  <c r="K125" i="9"/>
  <c r="P67" i="9"/>
  <c r="H69" i="9" a="1"/>
  <c r="H69" i="9" s="1"/>
  <c r="B13" i="9"/>
  <c r="AD25" i="9" a="1"/>
  <c r="AD25" i="9" s="1"/>
  <c r="G65" i="9" a="1"/>
  <c r="G65" i="9" s="1"/>
  <c r="K60" i="9" a="1"/>
  <c r="K60" i="9" s="1"/>
  <c r="J104" i="9"/>
  <c r="Z11" i="9" s="1" a="1"/>
  <c r="Z11" i="9" s="1"/>
  <c r="L124" i="9"/>
  <c r="AB31" i="9" s="1" a="1"/>
  <c r="AB31" i="9" s="1"/>
  <c r="H54" i="9" a="1"/>
  <c r="H54" i="9" s="1"/>
  <c r="J55" i="9" a="1"/>
  <c r="J55" i="9" s="1"/>
  <c r="N73" i="9" a="1"/>
  <c r="N73" i="9" s="1"/>
  <c r="L66" i="9" a="1"/>
  <c r="L66" i="9" s="1"/>
  <c r="H73" i="9" a="1"/>
  <c r="H73" i="9" s="1"/>
  <c r="M57" i="9" a="1"/>
  <c r="M57" i="9" s="1"/>
  <c r="P69" i="9"/>
  <c r="B16" i="9"/>
  <c r="P105" i="9"/>
  <c r="AF12" i="9" s="1"/>
  <c r="B9" i="20" s="1"/>
  <c r="G115" i="9"/>
  <c r="W22" i="9" s="1" a="1"/>
  <c r="W22" i="9" s="1"/>
  <c r="K105" i="9"/>
  <c r="AA12" i="9" s="1" a="1"/>
  <c r="AA12" i="9" s="1"/>
  <c r="P61" i="9"/>
  <c r="L56" i="9" a="1"/>
  <c r="L56" i="9" s="1"/>
  <c r="A22" i="20"/>
  <c r="H80" i="9" a="1"/>
  <c r="H80" i="9" s="1"/>
  <c r="G81" i="9" a="1"/>
  <c r="G81" i="9" s="1"/>
  <c r="G79" i="9" a="1"/>
  <c r="G79" i="9" s="1"/>
  <c r="H65" i="9" a="1"/>
  <c r="H65" i="9" s="1"/>
  <c r="G51" i="9" a="1"/>
  <c r="G51" i="9" s="1"/>
  <c r="G75" i="9" a="1"/>
  <c r="G75" i="9" s="1"/>
  <c r="G54" i="9" a="1"/>
  <c r="G54" i="9" s="1"/>
  <c r="A13" i="21"/>
  <c r="B13" i="21" s="1"/>
  <c r="A25" i="20"/>
  <c r="A11" i="21"/>
  <c r="B11" i="21" s="1"/>
  <c r="A27" i="21"/>
  <c r="B27" i="21" s="1"/>
  <c r="A16" i="21"/>
  <c r="B16" i="21" s="1"/>
  <c r="P50" i="9"/>
  <c r="A33" i="21"/>
  <c r="B33" i="21" s="1"/>
  <c r="A17" i="21"/>
  <c r="B17" i="21" s="1"/>
  <c r="A32" i="21"/>
  <c r="B32" i="21" s="1"/>
  <c r="A28" i="21"/>
  <c r="B28" i="21" s="1"/>
  <c r="A24" i="21"/>
  <c r="B24" i="21" s="1"/>
  <c r="A29" i="21"/>
  <c r="B29" i="21" s="1"/>
  <c r="A17" i="20"/>
  <c r="A7" i="20"/>
  <c r="A33" i="20"/>
  <c r="A3" i="20"/>
  <c r="E42" i="7"/>
  <c r="C16" i="10"/>
  <c r="C648" i="17"/>
  <c r="K4" i="17" s="1"/>
  <c r="G42" i="7"/>
  <c r="C43" i="12"/>
  <c r="I37" i="12"/>
  <c r="E44" i="18"/>
  <c r="D72" i="14"/>
  <c r="C10" i="8" s="1"/>
  <c r="J71" i="14"/>
  <c r="C12" i="8" s="1"/>
  <c r="D44" i="18"/>
  <c r="H10" i="7"/>
  <c r="H20" i="7"/>
  <c r="G43" i="15"/>
  <c r="D2" i="2"/>
  <c r="N5" i="17" l="1"/>
  <c r="N7" i="17" s="1"/>
  <c r="C19" i="10" s="1"/>
  <c r="P80" i="9"/>
  <c r="E4" i="8"/>
  <c r="H135" i="1"/>
  <c r="H211" i="1"/>
  <c r="H212" i="1"/>
  <c r="H158" i="1"/>
  <c r="H109" i="1"/>
  <c r="H162" i="1"/>
  <c r="H130" i="1"/>
  <c r="H114" i="1"/>
  <c r="H145" i="1"/>
  <c r="H146" i="1"/>
  <c r="H131" i="1"/>
  <c r="H84" i="1"/>
  <c r="H87" i="1"/>
  <c r="H176" i="1"/>
  <c r="H175" i="1"/>
  <c r="AF36" i="9"/>
  <c r="B33" i="20" s="1"/>
  <c r="H104" i="1"/>
  <c r="H198" i="1"/>
  <c r="H168" i="1"/>
  <c r="H210" i="1"/>
  <c r="H166" i="1"/>
  <c r="H205" i="1"/>
  <c r="O132" i="9"/>
  <c r="Q132" i="9" s="1"/>
  <c r="E18" i="9"/>
  <c r="Q83" i="9"/>
  <c r="O129" i="9"/>
  <c r="Q129" i="9" s="1"/>
  <c r="Q82" i="9"/>
  <c r="O131" i="9"/>
  <c r="Q131" i="9" s="1"/>
  <c r="O130" i="9"/>
  <c r="Q130" i="9" s="1"/>
  <c r="D648" i="17"/>
  <c r="K5" i="17" s="1"/>
  <c r="K6" i="17" s="1"/>
  <c r="H117" i="1"/>
  <c r="H160" i="1"/>
  <c r="H185" i="1"/>
  <c r="H186" i="1"/>
  <c r="H177" i="1"/>
  <c r="H144" i="1"/>
  <c r="H113" i="1"/>
  <c r="D12" i="19" a="1"/>
  <c r="D12" i="19" s="1"/>
  <c r="E12" i="9"/>
  <c r="D8" i="19" a="1"/>
  <c r="D8" i="19" s="1"/>
  <c r="D14" i="19" a="1"/>
  <c r="D14" i="19" s="1"/>
  <c r="E14" i="19" s="1"/>
  <c r="D10" i="19" a="1"/>
  <c r="D10" i="19" s="1"/>
  <c r="H43" i="15"/>
  <c r="E9" i="9"/>
  <c r="C15" i="9"/>
  <c r="L49" i="9" a="1"/>
  <c r="L49" i="9" s="1"/>
  <c r="K214" i="1"/>
  <c r="H49" i="9" a="1"/>
  <c r="H49" i="9" s="1"/>
  <c r="C12" i="19" a="1"/>
  <c r="C12" i="19" s="1"/>
  <c r="H98" i="9"/>
  <c r="X5" i="9" s="1" a="1"/>
  <c r="X5" i="9" s="1"/>
  <c r="C49" i="9" a="1"/>
  <c r="C49" i="9" s="1"/>
  <c r="AB36" i="9" a="1"/>
  <c r="AB36" i="9" s="1"/>
  <c r="L80" i="9" a="1"/>
  <c r="L80" i="9" s="1"/>
  <c r="Q80" i="9" s="1"/>
  <c r="C8" i="9"/>
  <c r="O114" i="9"/>
  <c r="Q114" i="9" s="1"/>
  <c r="O99" i="9"/>
  <c r="Q99" i="9" s="1"/>
  <c r="C10" i="9"/>
  <c r="O113" i="9"/>
  <c r="Q113" i="9" s="1"/>
  <c r="O128" i="9"/>
  <c r="Q128" i="9" s="1"/>
  <c r="E5" i="8"/>
  <c r="E12" i="8"/>
  <c r="E8" i="8"/>
  <c r="E10" i="8"/>
  <c r="E13" i="8"/>
  <c r="E6" i="8"/>
  <c r="E9" i="8"/>
  <c r="E7" i="8"/>
  <c r="J98" i="9"/>
  <c r="Z5" i="9" s="1" a="1"/>
  <c r="Z5" i="9" s="1"/>
  <c r="O109" i="9"/>
  <c r="Q109" i="9" s="1"/>
  <c r="AD5" i="9" a="1"/>
  <c r="AD5" i="9" s="1"/>
  <c r="D49" i="9" a="1"/>
  <c r="D49" i="9" s="1"/>
  <c r="O107" i="9"/>
  <c r="Q107" i="9" s="1"/>
  <c r="C14" i="9"/>
  <c r="L98" i="9"/>
  <c r="AB5" i="9" s="1" a="1"/>
  <c r="AB5" i="9" s="1"/>
  <c r="C11" i="9"/>
  <c r="E98" i="9"/>
  <c r="U5" i="9" s="1" a="1"/>
  <c r="U5" i="9" s="1"/>
  <c r="I49" i="9" a="1"/>
  <c r="I49" i="9" s="1"/>
  <c r="F98" i="9"/>
  <c r="V5" i="9" s="1" a="1"/>
  <c r="V5" i="9" s="1"/>
  <c r="G98" i="9"/>
  <c r="W5" i="9" s="1" a="1"/>
  <c r="W5" i="9" s="1"/>
  <c r="O101" i="9"/>
  <c r="Q101" i="9" s="1"/>
  <c r="O100" i="9"/>
  <c r="Q100" i="9" s="1"/>
  <c r="AE38" i="9"/>
  <c r="AG38" i="9" s="1"/>
  <c r="C35" i="20" s="1"/>
  <c r="G49" i="9" a="1"/>
  <c r="G49" i="9" s="1"/>
  <c r="O106" i="9"/>
  <c r="Q106" i="9" s="1"/>
  <c r="O118" i="9"/>
  <c r="Q118" i="9" s="1"/>
  <c r="F49" i="9" a="1"/>
  <c r="F49" i="9" s="1"/>
  <c r="O127" i="9"/>
  <c r="Q127" i="9" s="1"/>
  <c r="C4" i="9"/>
  <c r="E18" i="19" a="1"/>
  <c r="E18" i="19" s="1"/>
  <c r="H149" i="1"/>
  <c r="H140" i="1"/>
  <c r="H128" i="1"/>
  <c r="H129" i="1"/>
  <c r="H83" i="1"/>
  <c r="H152" i="1"/>
  <c r="H167" i="1"/>
  <c r="H92" i="1"/>
  <c r="H72" i="1"/>
  <c r="H86" i="1"/>
  <c r="H75" i="1"/>
  <c r="H173" i="1"/>
  <c r="H101" i="1"/>
  <c r="H105" i="1"/>
  <c r="B28" i="20"/>
  <c r="H42" i="7"/>
  <c r="H71" i="1"/>
  <c r="H70" i="1"/>
  <c r="H121" i="1"/>
  <c r="H108" i="1"/>
  <c r="H102" i="1"/>
  <c r="H134" i="1"/>
  <c r="H97" i="1"/>
  <c r="H150" i="1"/>
  <c r="H151" i="1"/>
  <c r="H155" i="1"/>
  <c r="H143" i="1"/>
  <c r="Q58" i="9"/>
  <c r="Q67" i="9"/>
  <c r="AE34" i="9"/>
  <c r="AG34" i="9" s="1"/>
  <c r="C31" i="20" s="1"/>
  <c r="AE20" i="9"/>
  <c r="AG20" i="9" s="1"/>
  <c r="C17" i="20" s="1"/>
  <c r="Q72" i="9"/>
  <c r="AE35" i="9"/>
  <c r="AG35" i="9" s="1"/>
  <c r="C32" i="20" s="1"/>
  <c r="Q81" i="9"/>
  <c r="Q70" i="9"/>
  <c r="Q74" i="9"/>
  <c r="E5" i="9"/>
  <c r="C5" i="9"/>
  <c r="E3" i="9"/>
  <c r="C3" i="9"/>
  <c r="E6" i="9"/>
  <c r="C6" i="9"/>
  <c r="AB8" i="9" a="1"/>
  <c r="AB8" i="9" s="1"/>
  <c r="AE8" i="9" s="1"/>
  <c r="AG8" i="9" s="1"/>
  <c r="C5" i="20" s="1"/>
  <c r="AE21" i="9"/>
  <c r="AG21" i="9" s="1"/>
  <c r="C18" i="20" s="1"/>
  <c r="Q71" i="9"/>
  <c r="O122" i="9"/>
  <c r="Q122" i="9" s="1"/>
  <c r="O111" i="9"/>
  <c r="Q111" i="9" s="1"/>
  <c r="Q56" i="9"/>
  <c r="O126" i="9"/>
  <c r="Q126" i="9" s="1"/>
  <c r="K49" i="9" a="1"/>
  <c r="K49" i="9" s="1"/>
  <c r="M98" i="9"/>
  <c r="AC5" i="9" s="1" a="1"/>
  <c r="AC5" i="9" s="1"/>
  <c r="M49" i="9" a="1"/>
  <c r="M49" i="9" s="1"/>
  <c r="K98" i="9"/>
  <c r="AA5" i="9" s="1" a="1"/>
  <c r="AA5" i="9" s="1"/>
  <c r="N49" i="9" a="1"/>
  <c r="N49" i="9" s="1"/>
  <c r="P98" i="9"/>
  <c r="AF5" i="9" s="1"/>
  <c r="B2" i="20" s="1"/>
  <c r="B2" i="9"/>
  <c r="P49" i="9"/>
  <c r="C98" i="9"/>
  <c r="S5" i="9" s="1" a="1"/>
  <c r="S5" i="9" s="1"/>
  <c r="J49" i="9" a="1"/>
  <c r="J49" i="9" s="1"/>
  <c r="D98" i="9"/>
  <c r="T5" i="9" s="1" a="1"/>
  <c r="T5" i="9" s="1"/>
  <c r="I98" i="9"/>
  <c r="Y5" i="9" s="1" a="1"/>
  <c r="Y5" i="9" s="1"/>
  <c r="Q64" i="9"/>
  <c r="O121" i="9"/>
  <c r="Q121" i="9" s="1"/>
  <c r="O110" i="9"/>
  <c r="Q110" i="9" s="1"/>
  <c r="O116" i="9"/>
  <c r="Q116" i="9" s="1"/>
  <c r="AE28" i="9"/>
  <c r="AG28" i="9" s="1"/>
  <c r="C25" i="20" s="1"/>
  <c r="Q53" i="9"/>
  <c r="O104" i="9"/>
  <c r="Q104" i="9" s="1"/>
  <c r="O123" i="9"/>
  <c r="Q123" i="9" s="1"/>
  <c r="Q76" i="9"/>
  <c r="X36" i="9" a="1"/>
  <c r="X36" i="9" s="1"/>
  <c r="Q59" i="9"/>
  <c r="Q62" i="9"/>
  <c r="Q60" i="9"/>
  <c r="Q66" i="9"/>
  <c r="Q52" i="9"/>
  <c r="Q61" i="9"/>
  <c r="Q78" i="9"/>
  <c r="AE13" i="9"/>
  <c r="AG13" i="9" s="1"/>
  <c r="C10" i="20" s="1"/>
  <c r="AE9" i="9"/>
  <c r="AG9" i="9" s="1"/>
  <c r="C6" i="20" s="1"/>
  <c r="Q65" i="9"/>
  <c r="Q63" i="9"/>
  <c r="Q57" i="9"/>
  <c r="AE23" i="9"/>
  <c r="AG23" i="9" s="1"/>
  <c r="C20" i="20" s="1"/>
  <c r="Q54" i="9"/>
  <c r="Q73" i="9"/>
  <c r="AE25" i="9"/>
  <c r="AG25" i="9" s="1"/>
  <c r="C22" i="20" s="1"/>
  <c r="Q50" i="9"/>
  <c r="AE29" i="9"/>
  <c r="AG29" i="9" s="1"/>
  <c r="C26" i="20" s="1"/>
  <c r="AE11" i="9"/>
  <c r="AG11" i="9" s="1"/>
  <c r="C8" i="20" s="1"/>
  <c r="Q77" i="9"/>
  <c r="Q68" i="9"/>
  <c r="AE30" i="9"/>
  <c r="AG30" i="9" s="1"/>
  <c r="C27" i="20" s="1"/>
  <c r="AE10" i="9"/>
  <c r="AG10" i="9" s="1"/>
  <c r="C7" i="20" s="1"/>
  <c r="AE27" i="9"/>
  <c r="AG27" i="9" s="1"/>
  <c r="C24" i="20" s="1"/>
  <c r="Q69" i="9"/>
  <c r="AE37" i="9"/>
  <c r="AG37" i="9" s="1"/>
  <c r="C34" i="20" s="1"/>
  <c r="AE14" i="9"/>
  <c r="AG14" i="9" s="1"/>
  <c r="C11" i="20" s="1"/>
  <c r="Q79" i="9"/>
  <c r="Q55" i="9"/>
  <c r="AE22" i="9"/>
  <c r="AG22" i="9" s="1"/>
  <c r="C19" i="20" s="1"/>
  <c r="AE15" i="9"/>
  <c r="AG15" i="9" s="1"/>
  <c r="C12" i="20" s="1"/>
  <c r="AE16" i="9"/>
  <c r="AG16" i="9" s="1"/>
  <c r="C13" i="20" s="1"/>
  <c r="E13" i="9"/>
  <c r="C13" i="9"/>
  <c r="AB17" i="9" a="1"/>
  <c r="AB17" i="9" s="1"/>
  <c r="AE17" i="9" s="1"/>
  <c r="AG17" i="9" s="1"/>
  <c r="C14" i="20" s="1"/>
  <c r="AE26" i="9"/>
  <c r="AG26" i="9" s="1"/>
  <c r="C23" i="20" s="1"/>
  <c r="Y33" i="9" a="1"/>
  <c r="Y33" i="9" s="1"/>
  <c r="AE33" i="9" s="1"/>
  <c r="AG33" i="9" s="1"/>
  <c r="C30" i="20" s="1"/>
  <c r="AE24" i="9"/>
  <c r="AG24" i="9" s="1"/>
  <c r="C21" i="20" s="1"/>
  <c r="C7" i="9"/>
  <c r="E7" i="9" a="1"/>
  <c r="E7" i="9" s="1"/>
  <c r="C16" i="9"/>
  <c r="E16" i="9"/>
  <c r="O124" i="9"/>
  <c r="Q124" i="9" s="1"/>
  <c r="Z31" i="9" a="1"/>
  <c r="Z31" i="9" s="1"/>
  <c r="AE31" i="9" s="1"/>
  <c r="AG31" i="9" s="1"/>
  <c r="AA32" i="9" a="1"/>
  <c r="AA32" i="9" s="1"/>
  <c r="AE32" i="9" s="1"/>
  <c r="AG32" i="9" s="1"/>
  <c r="C29" i="20" s="1"/>
  <c r="O125" i="9"/>
  <c r="Q125" i="9" s="1"/>
  <c r="Q75" i="9"/>
  <c r="O117" i="9"/>
  <c r="Q117" i="9" s="1"/>
  <c r="O120" i="9"/>
  <c r="Q120" i="9" s="1"/>
  <c r="O115" i="9"/>
  <c r="Q115" i="9" s="1"/>
  <c r="O112" i="9"/>
  <c r="Q112" i="9" s="1"/>
  <c r="AE18" i="9"/>
  <c r="AG18" i="9" s="1"/>
  <c r="C15" i="20" s="1"/>
  <c r="AE7" i="9"/>
  <c r="AG7" i="9" s="1"/>
  <c r="C4" i="20" s="1"/>
  <c r="E17" i="9"/>
  <c r="C17" i="9"/>
  <c r="Y12" i="9" a="1"/>
  <c r="Y12" i="9" s="1"/>
  <c r="AE12" i="9" s="1"/>
  <c r="AG12" i="9" s="1"/>
  <c r="C9" i="20" s="1"/>
  <c r="O105" i="9"/>
  <c r="Q105" i="9" s="1"/>
  <c r="O103" i="9"/>
  <c r="Q103" i="9" s="1"/>
  <c r="AE19" i="9"/>
  <c r="AG19" i="9" s="1"/>
  <c r="C16" i="20" s="1"/>
  <c r="Q51" i="9"/>
  <c r="O119" i="9"/>
  <c r="Q119" i="9" s="1"/>
  <c r="O108" i="9"/>
  <c r="Q108" i="9" s="1"/>
  <c r="O102" i="9"/>
  <c r="Q102" i="9" s="1"/>
  <c r="AE6" i="9"/>
  <c r="AG6" i="9" s="1"/>
  <c r="C3" i="20" s="1"/>
  <c r="F44" i="18"/>
  <c r="C11" i="8"/>
  <c r="P7" i="17" l="1"/>
  <c r="F648" i="17"/>
  <c r="E12" i="19"/>
  <c r="E16" i="19" s="1"/>
  <c r="AE36" i="9"/>
  <c r="AG36" i="9" s="1"/>
  <c r="C33" i="20" s="1"/>
  <c r="O98" i="9"/>
  <c r="Q98" i="9" s="1"/>
  <c r="AE5" i="9"/>
  <c r="AG5" i="9" s="1"/>
  <c r="C2" i="20" s="1"/>
  <c r="Q49" i="9"/>
  <c r="E2" i="9"/>
  <c r="C2" i="9"/>
  <c r="C28" i="20"/>
  <c r="E20" i="19" a="1"/>
  <c r="E20" i="19" s="1"/>
  <c r="C14" i="8"/>
  <c r="C4" i="10" s="1"/>
  <c r="E11" i="8"/>
  <c r="E14" i="8" s="1"/>
  <c r="C21" i="9" l="1"/>
  <c r="C23" i="9"/>
  <c r="C3" i="10" s="1"/>
  <c r="C11" i="10" s="1"/>
  <c r="C13" i="10" s="1"/>
  <c r="C15" i="10"/>
  <c r="C17" i="10" s="1"/>
  <c r="C21" i="10"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<sst xmlns="http://schemas.openxmlformats.org/spreadsheetml/2006/main" count="3075" uniqueCount="663">
  <si>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</si>
  <si>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</si>
  <si>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</si>
  <si>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</si>
  <si>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</si>
  <si>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</si>
  <si>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</si>
  <si>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</si>
  <si>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</si>
  <si>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</si>
  <si>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</si>
  <si>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</si>
  <si>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</si>
  <si>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</si>
  <si>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</si>
  <si>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</si>
  <si>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</si>
  <si>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</si>
  <si>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</si>
  <si>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</si>
  <si>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</si>
  <si>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</si>
  <si>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</si>
  <si>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</si>
  <si>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</si>
  <si>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</si>
  <si>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</si>
  <si>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</si>
  <si>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</si>
  <si>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</si>
  <si>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</si>
  <si>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</si>
  <si>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</si>
  <si>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</si>
  <si>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</si>
  <si>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</si>
  <si>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</si>
  <si>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</si>
  <si>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</si>
  <si>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</si>
  <si>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</si>
  <si>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</si>
  <si>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</si>
  <si>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</si>
  <si>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</si>
  <si>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</si>
  <si>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</si>
  <si>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</si>
  <si>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</si>
  <si>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</si>
  <si>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</si>
  <si>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</si>
  <si>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</si>
  <si>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</si>
  <si>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</si>
  <si>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</si>
  <si>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</si>
  <si>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</si>
  <si>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</si>
  <si>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</si>
  <si>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</si>
  <si>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</si>
  <si>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</si>
  <si>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</si>
  <si>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</si>
  <si>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</si>
  <si>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</si>
  <si>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</si>
  <si>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</si>
  <si>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</si>
  <si>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</si>
  <si>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</si>
  <si>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</si>
  <si>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</si>
  <si>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</si>
  <si>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</si>
  <si>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</si>
  <si>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</si>
  <si>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</si>
  <si>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</si>
  <si>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</si>
  <si>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</si>
  <si>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</si>
  <si>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</si>
  <si>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</si>
  <si>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</si>
  <si>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</si>
  <si>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</si>
  <si>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</si>
  <si>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</si>
  <si>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</si>
  <si>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</si>
  <si>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</si>
  <si>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</si>
  <si>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</si>
  <si>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</si>
  <si>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</si>
  <si>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</si>
  <si>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</si>
  <si>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</si>
  <si>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</si>
  <si>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</si>
  <si>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</si>
  <si>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</si>
  <si>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</si>
  <si>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</si>
  <si>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</si>
  <si>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</si>
  <si>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</si>
  <si>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</si>
  <si>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</si>
  <si>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</si>
  <si>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</si>
  <si>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</si>
  <si>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</si>
  <si>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</si>
  <si>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</si>
  <si>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</si>
  <si>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</si>
  <si>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</si>
  <si>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</si>
  <si>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</si>
  <si>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</si>
  <si>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</si>
  <si>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</si>
  <si>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</si>
  <si>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</si>
  <si>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</si>
  <si>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</si>
  <si>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</si>
  <si>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</si>
  <si>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</si>
  <si>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</si>
  <si>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</si>
  <si>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</si>
  <si>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</si>
  <si>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</si>
  <si>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</si>
  <si>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</si>
  <si>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</si>
  <si>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</si>
  <si>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</si>
  <si>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</si>
  <si>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</si>
  <si>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</si>
  <si>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</si>
  <si>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</si>
  <si>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</si>
  <si>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</si>
  <si>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</si>
  <si>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</si>
  <si>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</si>
  <si>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</si>
  <si>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</si>
  <si>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</si>
  <si>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</si>
  <si>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</si>
  <si>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</si>
  <si>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</si>
  <si>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</si>
  <si>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</si>
  <si>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</si>
  <si>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</si>
  <si>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</si>
  <si>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</si>
  <si>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</si>
  <si>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</si>
  <si>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</si>
  <si>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</si>
  <si>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</si>
  <si>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</si>
  <si>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</si>
  <si>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</si>
  <si>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</si>
  <si>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</si>
  <si>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</si>
  <si>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</si>
  <si>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</si>
  <si>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</si>
  <si>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</si>
  <si>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</si>
  <si>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</si>
  <si>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</si>
  <si>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</si>
  <si>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</si>
  <si>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</si>
  <si>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</si>
  <si>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</si>
  <si>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</si>
  <si>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</si>
  <si>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</si>
  <si>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</si>
  <si>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</si>
  <si>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</si>
  <si>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</si>
  <si>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</si>
  <si>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</si>
  <si>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</si>
  <si>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</si>
  <si>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</si>
  <si>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</si>
  <si>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</si>
  <si>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</si>
  <si>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</si>
  <si>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</si>
  <si>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</si>
  <si>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</si>
  <si>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</si>
  <si>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</si>
  <si>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</si>
  <si>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</si>
  <si>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</si>
  <si>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</si>
  <si>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</si>
  <si>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</si>
  <si>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</si>
  <si>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</si>
  <si>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</si>
  <si>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</si>
  <si>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</si>
  <si>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</si>
  <si>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</si>
  <si>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</si>
  <si>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</si>
  <si>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</si>
  <si>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</si>
  <si>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</si>
  <si>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</si>
  <si>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</si>
  <si>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</si>
  <si>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</si>
  <si>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</si>
  <si>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</si>
  <si>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</si>
  <si>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</si>
  <si>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</si>
  <si>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</si>
  <si>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</si>
  <si>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</si>
  <si>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</si>
  <si>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</si>
  <si>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</si>
  <si>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</si>
  <si>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</si>
  <si>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</si>
  <si>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</si>
  <si>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</si>
  <si>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</si>
  <si>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</si>
  <si>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</si>
  <si>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</si>
  <si>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</si>
  <si>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</si>
  <si>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</si>
  <si>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</si>
  <si>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</si>
  <si>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</si>
  <si>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</si>
  <si>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</si>
  <si>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</si>
  <si>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</si>
  <si>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</si>
  <si>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</si>
  <si>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</si>
  <si>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</si>
  <si>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</si>
  <si>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</si>
  <si>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</si>
  <si>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</si>
  <si>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</si>
  <si>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</si>
  <si>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</si>
  <si>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</si>
  <si>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</si>
  <si>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</si>
  <si>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</si>
  <si>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</si>
  <si>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</si>
  <si>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</si>
  <si>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</si>
  <si>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</si>
  <si>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</si>
  <si>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</si>
  <si>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</si>
  <si>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</si>
  <si>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</si>
  <si>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</si>
  <si>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</si>
  <si>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</si>
  <si>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</si>
  <si>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</si>
  <si>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</si>
  <si>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</si>
  <si>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</si>
  <si>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</si>
  <si>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</si>
  <si>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</si>
  <si>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</si>
  <si>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</si>
  <si>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</si>
  <si>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</si>
  <si>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</si>
  <si>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</si>
  <si>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</si>
  <si>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</si>
  <si>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</si>
  <si>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</si>
  <si>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</si>
  <si>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</si>
  <si>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</si>
  <si>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</si>
  <si>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</si>
  <si>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</si>
  <si>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</si>
  <si>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</si>
  <si>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</si>
  <si>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</si>
  <si>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</si>
  <si>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</si>
  <si>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</si>
  <si>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</si>
  <si>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</si>
  <si>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</si>
  <si>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</si>
  <si>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</si>
  <si>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</si>
  <si>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</si>
  <si>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</si>
  <si>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</si>
  <si>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</si>
  <si>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</si>
  <si>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</si>
  <si>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</si>
  <si>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</si>
  <si>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</si>
  <si>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</si>
  <si>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</si>
  <si>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</si>
  <si>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</si>
  <si>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</si>
  <si>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</si>
  <si>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</si>
  <si>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</si>
  <si>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</si>
  <si>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</si>
  <si>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</si>
  <si>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</si>
  <si>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</si>
  <si>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</si>
  <si>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</si>
  <si>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</si>
  <si>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</si>
  <si>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</si>
  <si>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</si>
  <si>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</si>
  <si>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</si>
  <si>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</si>
  <si>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</si>
  <si>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</si>
  <si>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</si>
  <si>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</si>
  <si>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</si>
  <si>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</si>
  <si>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</si>
  <si>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</si>
  <si>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</si>
  <si>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</si>
  <si>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</si>
  <si>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</si>
  <si>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</si>
  <si>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</si>
  <si>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</si>
  <si>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</si>
  <si>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</si>
  <si>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</si>
  <si>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</si>
  <si>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</si>
  <si>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</si>
  <si>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</si>
  <si>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</si>
  <si>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</si>
  <si>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</si>
  <si>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</si>
  <si>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</si>
  <si>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</si>
  <si>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</si>
  <si>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</si>
  <si>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</si>
  <si>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</si>
  <si>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</si>
  <si>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</si>
  <si>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</si>
  <si>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</si>
  <si>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</si>
  <si>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</si>
  <si>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</si>
  <si>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</si>
  <si>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</si>
  <si>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</si>
  <si>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</si>
  <si>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</si>
  <si>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</si>
  <si>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</si>
  <si>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</si>
  <si>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</si>
  <si>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</si>
  <si>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</si>
  <si>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</si>
  <si>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</si>
  <si>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</si>
  <si>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</si>
  <si>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</si>
  <si>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</si>
  <si>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</si>
  <si>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</si>
  <si>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</si>
  <si>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</si>
  <si>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</si>
  <si>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</si>
  <si>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</si>
  <si>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</si>
  <si>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</si>
  <si>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</si>
  <si>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</si>
  <si>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</si>
  <si>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</si>
  <si>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</si>
  <si>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</si>
  <si>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</si>
  <si>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</si>
  <si>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</si>
  <si>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</si>
  <si>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</si>
  <si>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</si>
  <si>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</si>
  <si>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</si>
  <si>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</si>
  <si>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</si>
  <si>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</si>
  <si>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</si>
  <si>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</si>
  <si>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</si>
  <si>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</si>
  <si>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</si>
  <si>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</si>
  <si>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</si>
  <si>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</si>
  <si>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</si>
  <si>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</si>
  <si>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</si>
  <si>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</si>
  <si>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</si>
  <si>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</si>
  <si>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</si>
  <si>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</si>
  <si>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</si>
  <si>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</si>
  <si>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</si>
  <si>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</si>
  <si>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</si>
  <si>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</si>
  <si>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</si>
  <si>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</si>
  <si>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</si>
  <si>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</si>
  <si>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</si>
  <si>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</si>
  <si>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</si>
  <si>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</si>
  <si>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</si>
  <si>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</si>
  <si>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</si>
  <si>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</si>
  <si>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</si>
  <si>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</si>
  <si>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</si>
  <si>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</si>
  <si>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</si>
  <si>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</si>
  <si>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</si>
  <si>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</si>
  <si>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</si>
  <si>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</si>
  <si>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</si>
  <si>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</si>
  <si>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</si>
  <si>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</si>
  <si>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</si>
  <si>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</si>
  <si>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</si>
  <si>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</si>
  <si>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</si>
  <si>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</si>
  <si>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</si>
  <si>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</si>
  <si>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</si>
  <si>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</si>
  <si>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</si>
  <si>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</si>
  <si>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</si>
  <si>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</si>
  <si>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</si>
  <si>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</si>
  <si>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</si>
  <si>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</si>
  <si>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</si>
  <si>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</si>
  <si>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</si>
  <si>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</si>
  <si>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</si>
  <si>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</si>
  <si>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</si>
  <si>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</si>
  <si>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</si>
  <si>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</si>
  <si>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</si>
  <si>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</si>
  <si>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</si>
  <si>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</si>
  <si>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</si>
  <si>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</si>
  <si>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</si>
  <si>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</si>
  <si>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</si>
  <si>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</si>
  <si>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</si>
  <si>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</si>
  <si>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</si>
  <si>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</si>
  <si>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</si>
  <si>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</si>
  <si>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</si>
  <si>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</si>
  <si>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</si>
  <si>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</si>
  <si>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</si>
  <si>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</si>
  <si>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</si>
  <si>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</si>
  <si>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</si>
  <si>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</si>
  <si>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</si>
  <si>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</si>
  <si>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</si>
  <si>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</si>
  <si>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</si>
  <si>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</si>
  <si>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</si>
  <si>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</si>
  <si>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</si>
  <si>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</si>
  <si>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</si>
  <si>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</si>
  <si>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</si>
  <si>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</si>
  <si>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</si>
  <si>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</si>
  <si>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</si>
  <si>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</si>
  <si>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</si>
  <si>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</si>
  <si>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</si>
  <si>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</si>
  <si>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</si>
  <si>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</si>
  <si>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</si>
  <si>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</si>
  <si>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</si>
  <si>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</si>
  <si>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</si>
  <si>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</si>
  <si>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</si>
  <si>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</si>
  <si>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</si>
  <si>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</si>
  <si>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</si>
  <si>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</si>
  <si>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</si>
  <si>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</si>
  <si>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</si>
  <si>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</si>
  <si>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</si>
  <si>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</si>
  <si>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</si>
  <si>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</si>
  <si>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</si>
  <si>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</si>
  <si>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</si>
  <si>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</si>
  <si>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</si>
  <si>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</si>
  <si>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</si>
  <si>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</si>
  <si>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</si>
  <si>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</si>
  <si>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</si>
  <si>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</si>
  <si>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</si>
  <si>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</si>
  <si>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</si>
  <si>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</si>
  <si>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</si>
  <si>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</si>
  <si>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</si>
  <si>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</si>
  <si>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</si>
  <si>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</si>
  <si>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</si>
  <si>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</si>
  <si>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</si>
  <si>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</si>
  <si>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</si>
  <si>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</si>
  <si>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</si>
  <si>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</si>
  <si>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</si>
  <si>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</si>
  <si>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</si>
  <si>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</si>
  <si>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</si>
  <si>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</si>
  <si>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</si>
  <si>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</si>
  <si>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</si>
  <si>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</si>
  <si>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</si>
  <si>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</si>
  <si>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</si>
  <si>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kk fabrics</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</si>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</sst>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99">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5" formatCode="_-* #,##0.0_-;\-* #,##0.0_-;_-* &quot;-&quot;??_-;_-@_-"/>
    </dxf>
    <dxf>
      <numFmt numFmtId="164" formatCode="_-* #,##0_-;\-* #,##0_-;_-* &quot;-&quot;??_-;_-@_-"/>
    </dxf>
    <dxf>
      <numFmt numFmtId="19" formatCode="dd/mm/yyyy"/>
    </dxf>
    <dxf>
      <numFmt numFmtId="19" formatCode="dd/mm/yyyy"/>
    </dxf>
    <dxf>
      <numFmt numFmtId="0" formatCode="General"/>
    </dxf>
    <dxf>
      <numFmt numFmtId="0" formatCode="General"/>
    </dxf>
    <dxf>
      <numFmt numFmtId="0" formatCode="General"/>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529127</xdr:colOff>
      <xdr:row>7</xdr:row>
      <xdr:rowOff>44451</xdr:rowOff>
    </xdr:from>
    <xdr:to>
      <xdr:col>13</xdr:col>
      <xdr:colOff>401887</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224241</xdr:colOff>
      <xdr:row>12</xdr:row>
      <xdr:rowOff>136208</xdr:rowOff>
    </xdr:from>
    <xdr:to>
      <xdr:col>14</xdr:col>
      <xdr:colOff>533820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5863</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6.170929050924" createdVersion="8" refreshedVersion="8" minRefreshableVersion="3" recordCount="38" xr:uid="{376A650C-1F79-4049-BC45-E34989F046B2}">
  <cacheSource type="worksheet">
    <worksheetSource name="Table2"/>
  </cacheSource>
  <cacheFields count="8">
    <cacheField name="Date" numFmtId="14">
      <sharedItems containsNonDate="0" containsDate="1" containsString="0" containsBlank="1" minDate="2026-02-20T00:00:00" maxDate="2026-04-22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6.170929629632"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13">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9T00:00:00"/>
        <d v="2026-04-18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7">
        <s v="Aqib"/>
        <s v="Malik zaheer"/>
        <s v="aslam Multani"/>
        <s v="Rafaqat"/>
        <s v="Kaleem ullah"/>
        <s v="Ishaq"/>
        <s v="Aurangzeb"/>
        <s v="Irfan Punjabi"/>
        <s v="Amjad wood"/>
        <s v="Rana Babar"/>
        <m/>
        <s v="Zaheer shah wood"/>
        <s v="babar wood"/>
        <s v="Haroon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1000"/>
    </cacheField>
    <cacheField name="Rent" numFmtId="164">
      <sharedItems containsString="0" containsBlank="1" containsNumber="1" containsInteger="1" minValue="2500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6.170929976855"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4-24T00:00:00" count="91">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7" maxValue="7"/>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6.170930208333"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800443.48939283111"/>
    </cacheField>
    <cacheField name="Rate" numFmtId="0">
      <sharedItems containsString="0" containsBlank="1" containsNumber="1" minValue="10" maxValue="12"/>
    </cacheField>
    <cacheField name="Total" numFmtId="164">
      <sharedItems containsSemiMixedTypes="0" containsString="0" containsNumber="1" minValue="0" maxValue="5685234.0892465264"/>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6.170930439817" createdVersion="8" refreshedVersion="8" minRefreshableVersion="3" recordCount="645" xr:uid="{B5BDFB73-D93A-4A7A-8149-666BC190B09B}">
  <cacheSource type="worksheet">
    <worksheetSource name="Table14"/>
  </cacheSource>
  <cacheFields count="7">
    <cacheField name="Date" numFmtId="14">
      <sharedItems containsNonDate="0" containsDate="1" containsString="0" containsBlank="1" minDate="2025-12-23T00:00:00" maxDate="2026-04-24T00:00:00"/>
    </cacheField>
    <cacheField name="Party" numFmtId="0">
      <sharedItems containsBlank="1" count="102">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m/>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6.170930902779" createdVersion="8" refreshedVersion="8" minRefreshableVersion="3" recordCount="212" xr:uid="{46CBB50D-3613-4E5B-8212-DD0313DCD05A}">
  <cacheSource type="worksheet">
    <worksheetSource name="Table1"/>
  </cacheSource>
  <cacheFields count="14">
    <cacheField name="Date" numFmtId="0">
      <sharedItems containsSemiMixedTypes="0" containsNonDate="0" containsDate="1" containsString="0" minDate="2026-02-19T00:00:00" maxDate="2026-04-24T00:00:00"/>
    </cacheField>
    <cacheField name="Party Name" numFmtId="0">
      <sharedItems containsBlank="1" count="43">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u="1"/>
        <s v="zaid ejaz" u="1"/>
        <s v="Reject" u="1"/>
        <s v="YING" u="1"/>
        <s v="Meow" u="1"/>
        <s v="Umer Sb" u="1"/>
        <s v="-" u="1"/>
        <s v="Sajjad" u="1"/>
        <s v="Haji Ejaz" u="1"/>
      </sharedItems>
    </cacheField>
    <cacheField name="Bill Number" numFmtId="0">
      <sharedItems containsMixedTypes="1" containsNumber="1" containsInteger="1" minValue="1509" maxValue="1651"/>
    </cacheField>
    <cacheField name="Quality" numFmtId="0">
      <sharedItems/>
    </cacheField>
    <cacheField name="Shipment Number" numFmtId="164">
      <sharedItems containsBlank="1" containsMixedTypes="1" containsNumber="1" containsInteger="1" minValue="1558" maxValue="17000" count="520">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s v="2137+2138"/>
        <n v="2151"/>
        <n v="2153"/>
        <n v="2148"/>
        <n v="2136"/>
        <n v="2134"/>
        <n v="2117"/>
        <n v="2131"/>
        <n v="2146"/>
        <n v="2152"/>
        <n v="2162"/>
        <n v="2135"/>
        <n v="2154"/>
        <n v="2158"/>
        <n v="2155"/>
        <n v="2166"/>
        <n v="2165"/>
        <s v="2178+2149"/>
        <n v="2147"/>
        <n v="2144"/>
        <s v="2139-b"/>
        <n v="2143"/>
        <n v="2142"/>
        <n v="2140"/>
        <n v="2141"/>
        <s v="2145-b"/>
        <n v="2167"/>
        <n v="217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600" maxValue="50792"/>
    </cacheField>
    <cacheField name="shortage %" numFmtId="165">
      <sharedItems containsMixedTypes="1" containsNumber="1" minValue="-6.9702834606394646"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20"/>
    <x v="7"/>
    <x v="1"/>
    <n v="210"/>
    <n v="960"/>
    <m/>
    <n v="201600"/>
    <m/>
    <n v="201600"/>
  </r>
  <r>
    <x v="20"/>
    <x v="2"/>
    <x v="1"/>
    <n v="203"/>
    <n v="700"/>
    <n v="48800"/>
    <n v="142100"/>
    <m/>
    <n v="142100"/>
  </r>
  <r>
    <x v="20"/>
    <x v="1"/>
    <x v="1"/>
    <n v="261"/>
    <n v="1000"/>
    <n v="48500"/>
    <n v="261000"/>
    <m/>
    <n v="261000"/>
  </r>
  <r>
    <x v="20"/>
    <x v="13"/>
    <x v="1"/>
    <n v="288"/>
    <n v="580"/>
    <n v="25000"/>
    <n v="167040"/>
    <m/>
    <n v="167040"/>
  </r>
  <r>
    <x v="21"/>
    <x v="4"/>
    <x v="1"/>
    <n v="192"/>
    <n v="975"/>
    <m/>
    <n v="187200"/>
    <m/>
    <n v="18720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m/>
    <m/>
    <m/>
    <x v="0"/>
    <n v="0"/>
    <n v="0"/>
    <m/>
  </r>
  <r>
    <x v="12"/>
    <s v="Payment"/>
    <m/>
    <m/>
    <m/>
    <x v="4"/>
    <n v="400000"/>
    <n v="-400000"/>
    <m/>
  </r>
  <r>
    <x v="13"/>
    <s v="Dyes"/>
    <m/>
    <m/>
    <n v="181250"/>
    <x v="0"/>
    <n v="100000"/>
    <n v="81250"/>
    <m/>
  </r>
  <r>
    <x v="14"/>
    <s v="Dyes//11/4/26"/>
    <m/>
    <m/>
    <n v="136375"/>
    <x v="1"/>
    <n v="136375"/>
    <n v="0"/>
    <m/>
  </r>
  <r>
    <x v="14"/>
    <s v="Dyes"/>
    <n v="7"/>
    <m/>
    <m/>
    <x v="0"/>
    <n v="0"/>
    <n v="0"/>
    <m/>
  </r>
  <r>
    <x v="14"/>
    <s v="H3R"/>
    <m/>
    <m/>
    <n v="60000"/>
    <x v="8"/>
    <n v="60000"/>
    <n v="0"/>
    <m/>
  </r>
  <r>
    <x v="15"/>
    <s v="Rubine B"/>
    <m/>
    <m/>
    <n v="30000"/>
    <x v="1"/>
    <n v="30000"/>
    <n v="0"/>
    <m/>
  </r>
  <r>
    <x v="16"/>
    <m/>
    <m/>
    <m/>
    <m/>
    <x v="9"/>
    <m/>
    <m/>
    <m/>
  </r>
  <r>
    <x v="16"/>
    <m/>
    <m/>
    <m/>
    <m/>
    <x v="9"/>
    <m/>
    <m/>
    <m/>
  </r>
  <r>
    <x v="16"/>
    <m/>
    <m/>
    <m/>
    <m/>
    <x v="9"/>
    <m/>
    <m/>
    <m/>
  </r>
  <r>
    <x v="16"/>
    <m/>
    <m/>
    <m/>
    <m/>
    <x v="9"/>
    <m/>
    <m/>
    <m/>
  </r>
  <r>
    <x v="16"/>
    <m/>
    <m/>
    <m/>
    <m/>
    <x v="9"/>
    <m/>
    <m/>
    <m/>
  </r>
  <r>
    <x v="16"/>
    <m/>
    <m/>
    <m/>
    <m/>
    <x v="9"/>
    <m/>
    <m/>
    <m/>
  </r>
  <r>
    <x v="16"/>
    <m/>
    <m/>
    <m/>
    <m/>
    <x v="9"/>
    <m/>
    <m/>
    <m/>
  </r>
  <r>
    <x v="16"/>
    <m/>
    <m/>
    <m/>
    <m/>
    <x v="9"/>
    <n v="0"/>
    <n v="0"/>
    <m/>
  </r>
  <r>
    <x v="16"/>
    <m/>
    <m/>
    <m/>
    <m/>
    <x v="9"/>
    <n v="0"/>
    <n v="0"/>
    <m/>
  </r>
  <r>
    <x v="16"/>
    <m/>
    <m/>
    <m/>
    <m/>
    <x v="9"/>
    <n v="0"/>
    <n v="0"/>
    <m/>
  </r>
  <r>
    <x v="16"/>
    <m/>
    <m/>
    <m/>
    <m/>
    <x v="9"/>
    <n v="0"/>
    <n v="0"/>
    <m/>
  </r>
  <r>
    <x v="16"/>
    <m/>
    <m/>
    <m/>
    <m/>
    <x v="9"/>
    <n v="0"/>
    <n v="0"/>
    <m/>
  </r>
  <r>
    <x v="16"/>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00443.48939283111"/>
    <n v="10"/>
    <n v="5685234.0892465264"/>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76987.015362106817"/>
    <n v="10"/>
    <n v="923844.1843452818"/>
  </r>
  <r>
    <x v="9"/>
    <n v="0"/>
    <n v="12"/>
    <n v="0"/>
  </r>
  <r>
    <x v="10"/>
    <n v="168209.58302852965"/>
    <m/>
    <n v="1682095.8302852965"/>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5">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m/>
    <x v="2"/>
    <m/>
    <n v="20000"/>
    <m/>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50"/>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0.441906200185073"/>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Chamki"/>
    <x v="77"/>
    <n v="16758"/>
    <n v="16701"/>
    <n v="8.8699122662964101"/>
    <m/>
    <m/>
    <m/>
  </r>
  <r>
    <d v="2026-04-21T00:00:00"/>
    <x v="33"/>
    <n v="1639"/>
    <s v="Chamki"/>
    <x v="78"/>
    <n v="5601"/>
    <n v="5649"/>
    <n v="7.7752470526281456"/>
    <m/>
    <m/>
    <m/>
  </r>
  <r>
    <d v="2026-04-21T00:00:00"/>
    <x v="0"/>
    <n v="1640"/>
    <s v="Chamki"/>
    <x v="79"/>
    <n v="23377"/>
    <n v="12483"/>
    <n v="51.171690116511705"/>
    <m/>
    <m/>
    <m/>
  </r>
  <r>
    <d v="2026-04-21T00:00:00"/>
    <x v="0"/>
    <n v="1641"/>
    <s v="Chamki"/>
    <x v="80"/>
    <n v="37086"/>
    <n v="4157"/>
    <n v="89.750291153865618"/>
    <m/>
    <m/>
    <m/>
  </r>
  <r>
    <d v="2026-04-22T00:00:00"/>
    <x v="29"/>
    <n v="1642"/>
    <s v="custom"/>
    <x v="81"/>
    <n v="2940"/>
    <n v="3292"/>
    <n v="-2.3891634195741318"/>
    <m/>
    <m/>
    <m/>
  </r>
  <r>
    <d v="2026-04-22T00:00:00"/>
    <x v="29"/>
    <n v="1643"/>
    <s v="custom"/>
    <x v="82"/>
    <n v="3710"/>
    <n v="3636"/>
    <n v="10.382780874561519"/>
    <m/>
    <m/>
    <m/>
  </r>
  <r>
    <d v="2026-04-22T00:00:00"/>
    <x v="29"/>
    <n v="1644"/>
    <s v="custom"/>
    <x v="83"/>
    <n v="5180"/>
    <n v="5214"/>
    <n v="7.9586954495513282"/>
    <m/>
    <m/>
    <m/>
  </r>
  <r>
    <d v="2026-04-22T00:00:00"/>
    <x v="29"/>
    <n v="1645"/>
    <s v="custom"/>
    <x v="84"/>
    <n v="4200"/>
    <n v="4467"/>
    <n v="2.745845960915446"/>
    <m/>
    <m/>
    <m/>
  </r>
  <r>
    <d v="2026-04-22T00:00:00"/>
    <x v="29"/>
    <n v="1646"/>
    <s v="custom"/>
    <x v="85"/>
    <n v="4200"/>
    <n v="4253"/>
    <n v="7.4049883303723902"/>
    <m/>
    <m/>
    <m/>
  </r>
  <r>
    <d v="2026-04-22T00:00:00"/>
    <x v="29"/>
    <n v="1647"/>
    <s v="custom"/>
    <x v="86"/>
    <n v="2968"/>
    <n v="3096"/>
    <n v="4.6153360793600342"/>
    <m/>
    <m/>
    <m/>
  </r>
  <r>
    <d v="2026-04-22T00:00:00"/>
    <x v="29"/>
    <n v="1648"/>
    <s v="custom"/>
    <x v="87"/>
    <n v="5362"/>
    <n v="5154"/>
    <n v="12.106025577044221"/>
    <m/>
    <m/>
    <m/>
  </r>
  <r>
    <d v="2026-04-23T00:00:00"/>
    <x v="31"/>
    <n v="1649"/>
    <s v="Silky"/>
    <x v="88"/>
    <n v="47687"/>
    <n v="35027"/>
    <s v="NF"/>
    <m/>
    <m/>
    <m/>
  </r>
  <r>
    <d v="2026-04-23T00:00:00"/>
    <x v="31"/>
    <n v="1650"/>
    <s v="Silky"/>
    <x v="88"/>
    <n v="47687"/>
    <n v="13248"/>
    <s v="NF"/>
    <m/>
    <m/>
    <m/>
  </r>
  <r>
    <d v="2026-04-23T00:00:00"/>
    <x v="1"/>
    <n v="1651"/>
    <s v="Silky"/>
    <x v="89"/>
    <n v="15000"/>
    <n v="1535"/>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86">
      <pivotArea field="0" grandRow="1" outline="0" collapsedLevelsAreSubtotals="1" axis="axisRow" fieldPosition="0">
        <references count="1">
          <reference field="4294967294" count="1" selected="0">
            <x v="1"/>
          </reference>
        </references>
      </pivotArea>
    </format>
    <format dxfId="185">
      <pivotArea field="0" grandRow="1" outline="0" collapsedLevelsAreSubtotals="1" axis="axisRow" fieldPosition="0">
        <references count="1">
          <reference field="4294967294" count="1" selected="0">
            <x v="0"/>
          </reference>
        </references>
      </pivotArea>
    </format>
    <format dxfId="184">
      <pivotArea collapsedLevelsAreSubtotals="1" fieldPosition="0">
        <references count="2">
          <reference field="4294967294" count="1" selected="0">
            <x v="1"/>
          </reference>
          <reference field="0" count="0"/>
        </references>
      </pivotArea>
    </format>
    <format dxfId="18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4" firstHeaderRow="0" firstDataRow="1" firstDataCol="1" rowPageCount="1" colPageCount="1"/>
  <pivotFields count="9">
    <pivotField axis="axisRow" numFmtId="14" showAll="0">
      <items count="214">
        <item m="1" x="197"/>
        <item m="1" x="198"/>
        <item m="1" x="199"/>
        <item m="1" x="200"/>
        <item m="1" x="201"/>
        <item m="1" x="202"/>
        <item m="1" x="203"/>
        <item m="1" x="212"/>
        <item m="1" x="193"/>
        <item m="1" x="204"/>
        <item m="1" x="205"/>
        <item m="1" x="206"/>
        <item m="1" x="207"/>
        <item m="1" x="208"/>
        <item m="1" x="209"/>
        <item m="1" x="210"/>
        <item m="1" x="164"/>
        <item m="1" x="165"/>
        <item m="1" x="211"/>
        <item m="1" x="166"/>
        <item m="1" x="163"/>
        <item m="1" x="167"/>
        <item m="1" x="169"/>
        <item m="1" x="170"/>
        <item m="1" x="171"/>
        <item m="1" x="173"/>
        <item m="1" x="174"/>
        <item m="1" x="175"/>
        <item m="1" x="168"/>
        <item m="1" x="172"/>
        <item m="1" x="176"/>
        <item m="1" x="177"/>
        <item m="1" x="178"/>
        <item m="1" x="179"/>
        <item m="1" x="162"/>
        <item m="1" x="180"/>
        <item m="1" x="194"/>
        <item m="1" x="195"/>
        <item m="1" x="196"/>
        <item m="1" x="181"/>
        <item m="1" x="182"/>
        <item m="1" x="183"/>
        <item m="1" x="184"/>
        <item m="1" x="185"/>
        <item m="1" x="186"/>
        <item m="1" x="187"/>
        <item m="1" x="188"/>
        <item m="1" x="189"/>
        <item m="1" x="190"/>
        <item m="1" x="191"/>
        <item m="1" x="192"/>
        <item m="1" x="133"/>
        <item m="1" x="134"/>
        <item m="1" x="135"/>
        <item m="1" x="136"/>
        <item m="1" x="137"/>
        <item m="1" x="138"/>
        <item m="1" x="139"/>
        <item m="1" x="140"/>
        <item m="1" x="142"/>
        <item m="1" x="143"/>
        <item m="1" x="144"/>
        <item m="1" x="141"/>
        <item m="1" x="145"/>
        <item m="1" x="146"/>
        <item m="1" x="147"/>
        <item m="1" x="148"/>
        <item m="1" x="149"/>
        <item m="1" x="150"/>
        <item m="1" x="151"/>
        <item m="1" x="152"/>
        <item m="1" x="153"/>
        <item m="1" x="154"/>
        <item m="1" x="155"/>
        <item m="1" x="156"/>
        <item m="1" x="157"/>
        <item m="1" x="158"/>
        <item m="1" x="159"/>
        <item m="1" x="160"/>
        <item m="1" x="161"/>
        <item m="1" x="79"/>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80"/>
        <item m="1" x="83"/>
        <item m="1" x="81"/>
        <item m="1" x="82"/>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47"/>
        <item m="1" x="48"/>
        <item m="1" x="49"/>
        <item m="1" x="50"/>
        <item m="1" x="51"/>
        <item m="1" x="52"/>
        <item m="1" x="53"/>
        <item m="1" x="54"/>
        <item x="1"/>
        <item m="1" x="55"/>
        <item m="1" x="56"/>
        <item m="1" x="57"/>
        <item m="1" x="58"/>
        <item m="1" x="59"/>
        <item m="1" x="60"/>
        <item m="1" x="78"/>
        <item m="1" x="61"/>
        <item m="1" x="62"/>
        <item m="1" x="46"/>
        <item m="1" x="45"/>
        <item m="1" x="63"/>
        <item m="1" x="64"/>
        <item m="1" x="65"/>
        <item m="1" x="66"/>
        <item m="1" x="67"/>
        <item m="1" x="68"/>
        <item m="1" x="69"/>
        <item m="1" x="70"/>
        <item m="1" x="71"/>
        <item m="1" x="72"/>
        <item m="1" x="73"/>
        <item m="1" x="74"/>
        <item m="1" x="75"/>
        <item m="1" x="76"/>
        <item m="1" x="77"/>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x="4"/>
        <item x="0"/>
        <item x="2"/>
        <item x="3"/>
        <item x="5"/>
        <item x="6"/>
        <item x="7"/>
        <item x="8"/>
        <item x="9"/>
        <item x="10"/>
        <item x="11"/>
        <item x="12"/>
        <item x="13"/>
        <item x="14"/>
        <item x="15"/>
        <item x="16"/>
        <item x="17"/>
        <item x="18"/>
        <item x="19"/>
        <item x="20"/>
        <item x="21"/>
        <item t="default"/>
      </items>
    </pivotField>
    <pivotField axis="axisPage" showAll="0">
      <items count="18">
        <item x="0"/>
        <item x="1"/>
        <item x="10"/>
        <item m="1" x="16"/>
        <item x="3"/>
        <item x="4"/>
        <item x="5"/>
        <item m="1" x="15"/>
        <item x="6"/>
        <item x="7"/>
        <item x="8"/>
        <item x="9"/>
        <item x="2"/>
        <item x="11"/>
        <item x="12"/>
        <item m="1" x="14"/>
        <item x="13"/>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6">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98">
      <pivotArea dataOnly="0" labelOnly="1" outline="0" fieldPosition="0">
        <references count="1">
          <reference field="1" count="1">
            <x v="1"/>
          </reference>
        </references>
      </pivotArea>
    </format>
    <format dxfId="19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5" firstHeaderRow="0" firstDataRow="1" firstDataCol="1"/>
  <pivotFields count="7">
    <pivotField numFmtId="14" showAll="0"/>
    <pivotField axis="axisRow" showAll="0">
      <items count="103">
        <item x="33"/>
        <item x="18"/>
        <item m="1" x="72"/>
        <item m="1" x="89"/>
        <item m="1" x="92"/>
        <item x="13"/>
        <item x="20"/>
        <item x="14"/>
        <item x="5"/>
        <item x="35"/>
        <item x="24"/>
        <item m="1" x="100"/>
        <item m="1" x="68"/>
        <item x="10"/>
        <item m="1" x="55"/>
        <item m="1" x="98"/>
        <item x="3"/>
        <item m="1" x="53"/>
        <item x="0"/>
        <item x="4"/>
        <item x="50"/>
        <item x="39"/>
        <item m="1" x="101"/>
        <item m="1" x="69"/>
        <item x="15"/>
        <item m="1" x="99"/>
        <item m="1" x="91"/>
        <item x="29"/>
        <item m="1" x="93"/>
        <item m="1" x="94"/>
        <item m="1" x="95"/>
        <item m="1" x="96"/>
        <item x="48"/>
        <item m="1" x="97"/>
        <item x="40"/>
        <item m="1" x="63"/>
        <item x="34"/>
        <item m="1" x="61"/>
        <item m="1" x="88"/>
        <item m="1" x="84"/>
        <item m="1" x="66"/>
        <item x="21"/>
        <item x="17"/>
        <item m="1" x="90"/>
        <item x="2"/>
        <item x="22"/>
        <item m="1" x="79"/>
        <item x="7"/>
        <item x="26"/>
        <item m="1" x="80"/>
        <item m="1" x="81"/>
        <item m="1" x="82"/>
        <item m="1" x="83"/>
        <item m="1" x="85"/>
        <item m="1" x="60"/>
        <item m="1" x="73"/>
        <item m="1" x="86"/>
        <item m="1" x="87"/>
        <item m="1" x="71"/>
        <item m="1" x="62"/>
        <item m="1" x="70"/>
        <item x="8"/>
        <item m="1" x="74"/>
        <item x="46"/>
        <item m="1" x="78"/>
        <item x="25"/>
        <item x="30"/>
        <item m="1" x="76"/>
        <item x="31"/>
        <item m="1" x="75"/>
        <item x="27"/>
        <item m="1" x="77"/>
        <item x="19"/>
        <item x="44"/>
        <item x="1"/>
        <item m="1" x="64"/>
        <item m="1" x="52"/>
        <item m="1" x="67"/>
        <item x="12"/>
        <item m="1" x="59"/>
        <item m="1" x="65"/>
        <item m="1" x="54"/>
        <item x="9"/>
        <item x="32"/>
        <item m="1" x="56"/>
        <item m="1" x="57"/>
        <item m="1" x="58"/>
        <item x="43"/>
        <item x="23"/>
        <item x="11"/>
        <item x="6"/>
        <item x="16"/>
        <item x="28"/>
        <item x="36"/>
        <item x="37"/>
        <item x="38"/>
        <item x="41"/>
        <item x="42"/>
        <item x="45"/>
        <item x="47"/>
        <item m="1" x="51"/>
        <item x="49"/>
        <item t="default"/>
      </items>
    </pivotField>
    <pivotField dataField="1" showAll="0"/>
    <pivotField dataField="1" showAll="0"/>
    <pivotField showAll="0"/>
    <pivotField showAll="0"/>
    <pivotField showAll="0"/>
  </pivotFields>
  <rowFields count="1">
    <field x="1"/>
  </rowFields>
  <rowItems count="52">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t="grand">
      <x/>
    </i>
  </rowItems>
  <colFields count="1">
    <field x="-2"/>
  </colFields>
  <colItems count="2">
    <i>
      <x/>
    </i>
    <i i="1">
      <x v="1"/>
    </i>
  </colItems>
  <dataFields count="2">
    <dataField name="Sum of Credit" fld="3" baseField="0" baseItem="0"/>
    <dataField name="Sum of Debit" fld="2" baseField="0" baseItem="0"/>
  </dataFields>
  <formats count="1">
    <format dxfId="14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0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2">
        <item m="1" x="86"/>
        <item m="1" x="87"/>
        <item m="1" x="88"/>
        <item m="1" x="89"/>
        <item m="1" x="90"/>
        <item m="1" x="85"/>
        <item m="1" x="73"/>
        <item m="1" x="74"/>
        <item m="1" x="78"/>
        <item m="1" x="79"/>
        <item m="1" x="75"/>
        <item m="1" x="80"/>
        <item m="1" x="81"/>
        <item m="1" x="82"/>
        <item m="1" x="83"/>
        <item m="1" x="84"/>
        <item m="1" x="72"/>
        <item m="1" x="76"/>
        <item m="1" x="77"/>
        <item m="1" x="65"/>
        <item m="1" x="66"/>
        <item m="1" x="67"/>
        <item m="1" x="68"/>
        <item m="1" x="69"/>
        <item m="1" x="70"/>
        <item m="1" x="71"/>
        <item m="1" x="41"/>
        <item m="1" x="57"/>
        <item m="1" x="58"/>
        <item m="1" x="59"/>
        <item m="1" x="60"/>
        <item m="1" x="61"/>
        <item m="1" x="62"/>
        <item m="1" x="63"/>
        <item m="1" x="64"/>
        <item m="1" x="42"/>
        <item m="1" x="43"/>
        <item m="1" x="44"/>
        <item m="1" x="45"/>
        <item m="1" x="46"/>
        <item m="1" x="47"/>
        <item m="1" x="48"/>
        <item m="1" x="50"/>
        <item m="1" x="51"/>
        <item m="1" x="49"/>
        <item m="1" x="52"/>
        <item m="1" x="53"/>
        <item m="1" x="54"/>
        <item m="1" x="55"/>
        <item m="1" x="56"/>
        <item m="1" x="17"/>
        <item m="1" x="28"/>
        <item m="1" x="29"/>
        <item m="1" x="30"/>
        <item m="1" x="31"/>
        <item m="1" x="32"/>
        <item m="1" x="33"/>
        <item m="1" x="34"/>
        <item m="1" x="35"/>
        <item m="1" x="36"/>
        <item m="1" x="37"/>
        <item m="1" x="38"/>
        <item m="1" x="39"/>
        <item m="1" x="40"/>
        <item m="1" x="18"/>
        <item m="1" x="19"/>
        <item m="1" x="20"/>
        <item m="1" x="21"/>
        <item m="1" x="22"/>
        <item x="16"/>
        <item m="1" x="23"/>
        <item m="1" x="24"/>
        <item m="1" x="25"/>
        <item m="1" x="26"/>
        <item m="1" x="27"/>
        <item x="0"/>
        <item x="1"/>
        <item x="2"/>
        <item x="3"/>
        <item x="4"/>
        <item x="5"/>
        <item x="6"/>
        <item x="7"/>
        <item x="8"/>
        <item x="9"/>
        <item x="10"/>
        <item x="11"/>
        <item x="12"/>
        <item x="13"/>
        <item x="14"/>
        <item x="15"/>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4" firstHeaderRow="0" firstDataRow="1" firstDataCol="1" rowPageCount="1" colPageCount="1"/>
  <pivotFields count="14">
    <pivotField showAll="0"/>
    <pivotField axis="axisPage" multipleItemSelectionAllowed="1" showAll="0">
      <items count="44">
        <item m="1" x="40"/>
        <item x="2"/>
        <item x="0"/>
        <item x="1"/>
        <item m="1" x="42"/>
        <item m="1" x="38"/>
        <item x="6"/>
        <item m="1" x="41"/>
        <item x="3"/>
        <item x="4"/>
        <item m="1" x="39"/>
        <item m="1" x="37"/>
        <item m="1" x="34"/>
        <item x="5"/>
        <item x="10"/>
        <item x="8"/>
        <item x="9"/>
        <item x="7"/>
        <item x="11"/>
        <item m="1" x="36"/>
        <item x="13"/>
        <item x="14"/>
        <item x="15"/>
        <item x="16"/>
        <item x="17"/>
        <item x="18"/>
        <item x="19"/>
        <item x="20"/>
        <item x="21"/>
        <item x="22"/>
        <item x="23"/>
        <item x="24"/>
        <item x="25"/>
        <item x="12"/>
        <item x="27"/>
        <item x="26"/>
        <item x="28"/>
        <item x="29"/>
        <item x="30"/>
        <item x="31"/>
        <item x="32"/>
        <item m="1" x="35"/>
        <item x="33"/>
        <item t="default"/>
      </items>
    </pivotField>
    <pivotField showAll="0"/>
    <pivotField showAll="0"/>
    <pivotField axis="axisRow" showAll="0">
      <items count="521">
        <item m="1" x="503"/>
        <item m="1" x="504"/>
        <item m="1" x="502"/>
        <item m="1" x="501"/>
        <item m="1" x="505"/>
        <item m="1" x="507"/>
        <item m="1" x="506"/>
        <item m="1" x="508"/>
        <item m="1" x="509"/>
        <item m="1" x="510"/>
        <item m="1" x="511"/>
        <item m="1" x="512"/>
        <item m="1" x="513"/>
        <item m="1" x="514"/>
        <item m="1" x="439"/>
        <item m="1" x="461"/>
        <item m="1" x="515"/>
        <item m="1" x="516"/>
        <item m="1" x="517"/>
        <item m="1" x="469"/>
        <item m="1" x="468"/>
        <item m="1" x="518"/>
        <item m="1" x="519"/>
        <item m="1" x="478"/>
        <item m="1" x="470"/>
        <item m="1" x="471"/>
        <item m="1" x="472"/>
        <item m="1" x="473"/>
        <item m="1" x="474"/>
        <item m="1" x="475"/>
        <item m="1" x="476"/>
        <item m="1" x="477"/>
        <item m="1" x="479"/>
        <item m="1" x="499"/>
        <item m="1" x="480"/>
        <item m="1" x="500"/>
        <item m="1" x="481"/>
        <item m="1" x="482"/>
        <item m="1" x="483"/>
        <item m="1" x="484"/>
        <item m="1" x="485"/>
        <item m="1" x="416"/>
        <item m="1" x="486"/>
        <item m="1" x="487"/>
        <item m="1" x="488"/>
        <item m="1" x="489"/>
        <item m="1" x="490"/>
        <item m="1" x="491"/>
        <item m="1" x="492"/>
        <item m="1" x="493"/>
        <item m="1" x="494"/>
        <item m="1" x="495"/>
        <item m="1" x="496"/>
        <item m="1" x="497"/>
        <item m="1" x="498"/>
        <item x="0"/>
        <item m="1" x="415"/>
        <item m="1" x="417"/>
        <item m="1" x="418"/>
        <item m="1" x="419"/>
        <item m="1" x="420"/>
        <item m="1" x="421"/>
        <item m="1" x="422"/>
        <item m="1" x="423"/>
        <item m="1" x="424"/>
        <item m="1" x="425"/>
        <item m="1" x="426"/>
        <item m="1" x="427"/>
        <item m="1" x="428"/>
        <item m="1" x="429"/>
        <item m="1" x="154"/>
        <item m="1" x="430"/>
        <item m="1" x="431"/>
        <item m="1" x="432"/>
        <item m="1" x="433"/>
        <item m="1" x="434"/>
        <item m="1" x="435"/>
        <item m="1" x="436"/>
        <item m="1" x="437"/>
        <item m="1" x="438"/>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2"/>
        <item m="1" x="463"/>
        <item m="1" x="464"/>
        <item m="1" x="465"/>
        <item m="1" x="466"/>
        <item m="1" x="467"/>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170"/>
        <item m="1" x="384"/>
        <item m="1" x="385"/>
        <item m="1" x="386"/>
        <item m="1" x="387"/>
        <item m="1" x="388"/>
        <item m="1" x="389"/>
        <item m="1" x="390"/>
        <item m="1" x="391"/>
        <item m="1" x="392"/>
        <item m="1" x="393"/>
        <item m="1" x="394"/>
        <item m="1" x="414"/>
        <item m="1" x="395"/>
        <item m="1" x="396"/>
        <item m="1" x="397"/>
        <item m="1" x="398"/>
        <item m="1" x="399"/>
        <item m="1" x="400"/>
        <item m="1" x="401"/>
        <item m="1" x="402"/>
        <item m="1" x="403"/>
        <item m="1" x="404"/>
        <item m="1" x="405"/>
        <item m="1" x="406"/>
        <item m="1" x="407"/>
        <item m="1" x="408"/>
        <item m="1" x="409"/>
        <item m="1" x="410"/>
        <item m="1" x="411"/>
        <item m="1" x="412"/>
        <item m="1" x="413"/>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210"/>
        <item m="1" x="333"/>
        <item m="1" x="201"/>
        <item m="1" x="202"/>
        <item m="1" x="203"/>
        <item m="1" x="204"/>
        <item m="1" x="205"/>
        <item m="1" x="206"/>
        <item m="1" x="207"/>
        <item m="1" x="208"/>
        <item m="1" x="209"/>
        <item m="1" x="211"/>
        <item m="1" x="212"/>
        <item m="1" x="213"/>
        <item m="1" x="214"/>
        <item m="1" x="215"/>
        <item m="1" x="216"/>
        <item m="1" x="217"/>
        <item m="1" x="218"/>
        <item m="1" x="219"/>
        <item m="1" x="220"/>
        <item m="1" x="221"/>
        <item m="1" x="222"/>
        <item m="1" x="223"/>
        <item m="1" x="224"/>
        <item m="1" x="151"/>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155"/>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152"/>
        <item m="1" x="276"/>
        <item m="1" x="277"/>
        <item m="1" x="149"/>
        <item m="1" x="158"/>
        <item m="1" x="150"/>
        <item m="1" x="153"/>
        <item m="1" x="156"/>
        <item m="1" x="157"/>
        <item m="1" x="159"/>
        <item m="1" x="160"/>
        <item m="1" x="161"/>
        <item m="1" x="162"/>
        <item m="1" x="163"/>
        <item m="1" x="164"/>
        <item m="1" x="165"/>
        <item m="1" x="166"/>
        <item m="1" x="167"/>
        <item m="1" x="168"/>
        <item x="46"/>
        <item m="1" x="169"/>
        <item m="1" x="171"/>
        <item m="1" x="172"/>
        <item m="1" x="173"/>
        <item m="1" x="129"/>
        <item m="1" x="105"/>
        <item m="1" x="174"/>
        <item m="1" x="175"/>
        <item m="1" x="176"/>
        <item m="1" x="97"/>
        <item m="1" x="177"/>
        <item m="1" x="178"/>
        <item m="1" x="179"/>
        <item m="1" x="180"/>
        <item m="1" x="145"/>
        <item m="1" x="181"/>
        <item m="1" x="182"/>
        <item m="1" x="183"/>
        <item m="1" x="184"/>
        <item m="1" x="185"/>
        <item m="1" x="186"/>
        <item m="1" x="187"/>
        <item m="1" x="188"/>
        <item m="1" x="189"/>
        <item m="1" x="190"/>
        <item m="1" x="191"/>
        <item m="1" x="192"/>
        <item m="1" x="200"/>
        <item m="1" x="193"/>
        <item m="1" x="194"/>
        <item m="1" x="94"/>
        <item m="1" x="95"/>
        <item m="1" x="195"/>
        <item m="1" x="106"/>
        <item m="1" x="196"/>
        <item m="1" x="197"/>
        <item m="1" x="198"/>
        <item m="1" x="199"/>
        <item m="1" x="93"/>
        <item m="1" x="91"/>
        <item m="1" x="90"/>
        <item m="1" x="92"/>
        <item m="1" x="96"/>
        <item x="13"/>
        <item x="9"/>
        <item m="1" x="98"/>
        <item m="1" x="99"/>
        <item m="1" x="100"/>
        <item m="1" x="101"/>
        <item m="1" x="102"/>
        <item m="1" x="103"/>
        <item m="1" x="104"/>
        <item m="1" x="107"/>
        <item m="1" x="108"/>
        <item m="1" x="109"/>
        <item m="1" x="110"/>
        <item m="1" x="111"/>
        <item m="1" x="112"/>
        <item m="1" x="113"/>
        <item m="1" x="114"/>
        <item m="1" x="115"/>
        <item m="1" x="116"/>
        <item m="1" x="117"/>
        <item m="1" x="118"/>
        <item m="1" x="119"/>
        <item m="1" x="120"/>
        <item x="2"/>
        <item m="1" x="121"/>
        <item m="1" x="122"/>
        <item m="1" x="123"/>
        <item x="10"/>
        <item m="1" x="124"/>
        <item m="1" x="125"/>
        <item m="1" x="126"/>
        <item m="1" x="127"/>
        <item m="1" x="128"/>
        <item m="1" x="130"/>
        <item m="1" x="131"/>
        <item m="1" x="132"/>
        <item m="1" x="133"/>
        <item x="8"/>
        <item m="1" x="134"/>
        <item m="1" x="135"/>
        <item m="1" x="136"/>
        <item m="1" x="137"/>
        <item m="1" x="138"/>
        <item m="1" x="139"/>
        <item x="15"/>
        <item m="1" x="140"/>
        <item m="1" x="141"/>
        <item m="1" x="142"/>
        <item x="7"/>
        <item m="1" x="143"/>
        <item m="1" x="144"/>
        <item x="19"/>
        <item m="1" x="146"/>
        <item m="1" x="147"/>
        <item m="1" x="148"/>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91">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109">
      <pivotArea type="all" dataOnly="0" outline="0" fieldPosition="0"/>
    </format>
    <format dxfId="108">
      <pivotArea outline="0" collapsedLevelsAreSubtotals="1" fieldPosition="0"/>
    </format>
    <format dxfId="107">
      <pivotArea field="4" type="button" dataOnly="0" labelOnly="1" outline="0" axis="axisRow" fieldPosition="0"/>
    </format>
    <format dxfId="106">
      <pivotArea dataOnly="0" labelOnly="1" fieldPosition="0">
        <references count="1">
          <reference field="4" count="0"/>
        </references>
      </pivotArea>
    </format>
    <format dxfId="105">
      <pivotArea dataOnly="0" labelOnly="1" grandRow="1" outline="0" fieldPosition="0"/>
    </format>
    <format dxfId="104">
      <pivotArea dataOnly="0" labelOnly="1" outline="0" fieldPosition="0">
        <references count="1">
          <reference field="4294967294" count="2">
            <x v="0"/>
            <x v="1"/>
          </reference>
        </references>
      </pivotArea>
    </format>
    <format dxfId="103">
      <pivotArea grandRow="1" outline="0" collapsedLevelsAreSubtotals="1" fieldPosition="0"/>
    </format>
    <format dxfId="102">
      <pivotArea field="4" type="button" dataOnly="0" labelOnly="1" outline="0" axis="axisRow" fieldPosition="0"/>
    </format>
    <format dxfId="10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20">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58" s="1"/>
        <i x="70" s="1"/>
        <i x="80" s="1"/>
        <i x="65" s="1"/>
        <i x="63" s="1"/>
        <i x="71" s="1"/>
        <i x="64" s="1"/>
        <i x="74" s="1"/>
        <i x="76" s="1"/>
        <i x="75" s="1"/>
        <i x="72" s="1"/>
        <i x="78" s="1"/>
        <i x="77" s="1"/>
        <i x="88" s="1"/>
        <i x="89" s="1"/>
        <i x="39" s="1"/>
        <i x="62" s="1"/>
        <i x="82" s="1"/>
        <i x="87" s="1"/>
        <i x="79" s="1"/>
        <i x="474" s="1" nd="1"/>
        <i x="503" s="1" nd="1"/>
        <i x="504" s="1" nd="1"/>
        <i x="512" s="1" nd="1"/>
        <i x="502" s="1" nd="1"/>
        <i x="501" s="1" nd="1"/>
        <i x="505" s="1" nd="1"/>
        <i x="516" s="1" nd="1"/>
        <i x="508" s="1" nd="1"/>
        <i x="509" s="1" nd="1"/>
        <i x="506" s="1" nd="1"/>
        <i x="507" s="1" nd="1"/>
        <i x="517" s="1" nd="1"/>
        <i x="510" s="1" nd="1"/>
        <i x="511" s="1" nd="1"/>
        <i x="514" s="1" nd="1"/>
        <i x="515" s="1" nd="1"/>
        <i x="513" s="1" nd="1"/>
        <i x="469" s="1" nd="1"/>
        <i x="519" s="1" nd="1"/>
        <i x="468" s="1" nd="1"/>
        <i x="518" s="1" nd="1"/>
        <i x="471" s="1" nd="1"/>
        <i x="432" s="1" nd="1"/>
        <i x="470" s="1" nd="1"/>
        <i x="472" s="1" nd="1"/>
        <i x="478" s="1" nd="1"/>
        <i x="473" s="1" nd="1"/>
        <i x="475" s="1" nd="1"/>
        <i x="491" s="1" nd="1"/>
        <i x="415" s="1" nd="1"/>
        <i x="479" s="1" nd="1"/>
        <i x="420" s="1" nd="1"/>
        <i x="485" s="1" nd="1"/>
        <i x="480" s="1" nd="1"/>
        <i x="483" s="1" nd="1"/>
        <i x="488" s="1" nd="1"/>
        <i x="499" s="1" nd="1"/>
        <i x="481" s="1" nd="1"/>
        <i x="493" s="1" nd="1"/>
        <i x="496" s="1" nd="1"/>
        <i x="487" s="1" nd="1"/>
        <i x="476" s="1" nd="1"/>
        <i x="484" s="1" nd="1"/>
        <i x="477" s="1" nd="1"/>
        <i x="482" s="1" nd="1"/>
        <i x="416" s="1" nd="1"/>
        <i x="486" s="1" nd="1"/>
        <i x="492" s="1" nd="1"/>
        <i x="154" s="1" nd="1"/>
        <i x="489" s="1" nd="1"/>
        <i x="494" s="1" nd="1"/>
        <i x="490" s="1" nd="1"/>
        <i x="456" s="1" nd="1"/>
        <i x="495" s="1" nd="1"/>
        <i x="497" s="1" nd="1"/>
        <i x="418" s="1" nd="1"/>
        <i x="425" s="1" nd="1"/>
        <i x="498" s="1" nd="1"/>
        <i x="422" s="1" nd="1"/>
        <i x="423" s="1" nd="1"/>
        <i x="417" s="1" nd="1"/>
        <i x="421" s="1" nd="1"/>
        <i x="309" s="1" nd="1"/>
        <i x="419" s="1" nd="1"/>
        <i x="428" s="1" nd="1"/>
        <i x="424" s="1" nd="1"/>
        <i x="426" s="1" nd="1"/>
        <i x="429" s="1" nd="1"/>
        <i x="436" s="1" nd="1"/>
        <i x="427" s="1" nd="1"/>
        <i x="435" s="1" nd="1"/>
        <i x="440" s="1" nd="1"/>
        <i x="434" s="1" nd="1"/>
        <i x="437" s="1" nd="1"/>
        <i x="447" s="1" nd="1"/>
        <i x="433" s="1" nd="1"/>
        <i x="430" s="1" nd="1"/>
        <i x="431" s="1" nd="1"/>
        <i x="446" s="1" nd="1"/>
        <i x="305" s="1" nd="1"/>
        <i x="439" s="1" nd="1"/>
        <i x="450" s="1" nd="1"/>
        <i x="445" s="1" nd="1"/>
        <i x="438" s="1" nd="1"/>
        <i x="462" s="1" nd="1"/>
        <i x="443" s="1" nd="1"/>
        <i x="453" s="1" nd="1"/>
        <i x="451" s="1" nd="1"/>
        <i x="441" s="1" nd="1"/>
        <i x="449" s="1" nd="1"/>
        <i x="448" s="1" nd="1"/>
        <i x="444" s="1" nd="1"/>
        <i x="454" s="1" nd="1"/>
        <i x="452" s="1" nd="1"/>
        <i x="455" s="1" nd="1"/>
        <i x="442" s="1" nd="1"/>
        <i x="384" s="1" nd="1"/>
        <i x="457" s="1" nd="1"/>
        <i x="458" s="1" nd="1"/>
        <i x="343" s="1" nd="1"/>
        <i x="345" s="1" nd="1"/>
        <i x="465" s="1" nd="1"/>
        <i x="339" s="1" nd="1"/>
        <i x="385" s="1" nd="1"/>
        <i x="459" s="1" nd="1"/>
        <i x="460" s="1" nd="1"/>
        <i x="342" s="1" nd="1"/>
        <i x="467" s="1" nd="1"/>
        <i x="341" s="1" nd="1"/>
        <i x="356" s="1" nd="1"/>
        <i x="466" s="1" nd="1"/>
        <i x="461" s="1" nd="1"/>
        <i x="360" s="1" nd="1"/>
        <i x="464" s="1" nd="1"/>
        <i x="463" s="1" nd="1"/>
        <i x="381" s="1" nd="1"/>
        <i x="334" s="1" nd="1"/>
        <i x="346" s="1" nd="1"/>
        <i x="382" s="1" nd="1"/>
        <i x="380" s="1" nd="1"/>
        <i x="338" s="1" nd="1"/>
        <i x="340" s="1" nd="1"/>
        <i x="173" s="1" nd="1"/>
        <i x="344" s="1" nd="1"/>
        <i x="335" s="1" nd="1"/>
        <i x="370" s="1" nd="1"/>
        <i x="375" s="1" nd="1"/>
        <i x="336" s="1" nd="1"/>
        <i x="337" s="1" nd="1"/>
        <i x="347" s="1" nd="1"/>
        <i x="350" s="1" nd="1"/>
        <i x="357" s="1" nd="1"/>
        <i x="349" s="1" nd="1"/>
        <i x="352" s="1" nd="1"/>
        <i x="351" s="1" nd="1"/>
        <i x="393" s="1" nd="1"/>
        <i x="348" s="1" nd="1"/>
        <i x="373" s="1" nd="1"/>
        <i x="388" s="1" nd="1"/>
        <i x="353" s="1" nd="1"/>
        <i x="378" s="1" nd="1"/>
        <i x="390" s="1" nd="1"/>
        <i x="362" s="1" nd="1"/>
        <i x="402" s="1" nd="1"/>
        <i x="361" s="1" nd="1"/>
        <i x="358" s="1" nd="1"/>
        <i x="354" s="1" nd="1"/>
        <i x="355" s="1" nd="1"/>
        <i x="374" s="1" nd="1"/>
        <i x="363" s="1" nd="1"/>
        <i x="286" s="1" nd="1"/>
        <i x="364" s="1" nd="1"/>
        <i x="359" s="1" nd="1"/>
        <i x="366" s="1" nd="1"/>
        <i x="367" s="1" nd="1"/>
        <i x="395" s="1" nd="1"/>
        <i x="365" s="1" nd="1"/>
        <i x="383" s="1" nd="1"/>
        <i x="371" s="1" nd="1"/>
        <i x="368" s="1" nd="1"/>
        <i x="372" s="1" nd="1"/>
        <i x="369" s="1" nd="1"/>
        <i x="376" s="1" nd="1"/>
        <i x="394" s="1" nd="1"/>
        <i x="389" s="1" nd="1"/>
        <i x="408" s="1" nd="1"/>
        <i x="377" s="1" nd="1"/>
        <i x="279" s="1" nd="1"/>
        <i x="387" s="1" nd="1"/>
        <i x="379" s="1" nd="1"/>
        <i x="403" s="1" nd="1"/>
        <i x="386" s="1" nd="1"/>
        <i x="401" s="1" nd="1"/>
        <i x="287" s="1" nd="1"/>
        <i x="392" s="1" nd="1"/>
        <i x="391" s="1" nd="1"/>
        <i x="407" s="1" nd="1"/>
        <i x="404" s="1" nd="1"/>
        <i x="298" s="1" nd="1"/>
        <i x="412" s="1" nd="1"/>
        <i x="396" s="1" nd="1"/>
        <i x="405" s="1" nd="1"/>
        <i x="410" s="1" nd="1"/>
        <i x="289" s="1" nd="1"/>
        <i x="315" s="1" nd="1"/>
        <i x="414" s="1" nd="1"/>
        <i x="411" s="1" nd="1"/>
        <i x="280" s="1" nd="1"/>
        <i x="300" s="1" nd="1"/>
        <i x="406" s="1" nd="1"/>
        <i x="282" s="1" nd="1"/>
        <i x="397" s="1" nd="1"/>
        <i x="400" s="1" nd="1"/>
        <i x="297" s="1" nd="1"/>
        <i x="409" s="1" nd="1"/>
        <i x="398" s="1" nd="1"/>
        <i x="399" s="1" nd="1"/>
        <i x="284" s="1" nd="1"/>
        <i x="302" s="1" nd="1"/>
        <i x="303" s="1" nd="1"/>
        <i x="316" s="1" nd="1"/>
        <i x="413" s="1" nd="1"/>
        <i x="278" s="1" nd="1"/>
        <i x="301" s="1" nd="1"/>
        <i x="294" s="1" nd="1"/>
        <i x="281" s="1" nd="1"/>
        <i x="285" s="1" nd="1"/>
        <i x="291" s="1" nd="1"/>
        <i x="283" s="1" nd="1"/>
        <i x="307" s="1" nd="1"/>
        <i x="311" s="1" nd="1"/>
        <i x="312" s="1" nd="1"/>
        <i x="304" s="1" nd="1"/>
        <i x="288" s="1" nd="1"/>
        <i x="153" s="1" nd="1"/>
        <i x="290" s="1" nd="1"/>
        <i x="292" s="1" nd="1"/>
        <i x="295" s="1" nd="1"/>
        <i x="308" s="1" nd="1"/>
        <i x="293" s="1" nd="1"/>
        <i x="314" s="1" nd="1"/>
        <i x="246" s="1" nd="1"/>
        <i x="225" s="1" nd="1"/>
        <i x="329" s="1" nd="1"/>
        <i x="296" s="1" nd="1"/>
        <i x="317" s="1" nd="1"/>
        <i x="313" s="1" nd="1"/>
        <i x="299" s="1" nd="1"/>
        <i x="321" s="1" nd="1"/>
        <i x="257" s="1" nd="1"/>
        <i x="220" s="1" nd="1"/>
        <i x="306" s="1" nd="1"/>
        <i x="330" s="1" nd="1"/>
        <i x="310" s="1" nd="1"/>
        <i x="333" s="1" nd="1"/>
        <i x="320" s="1" nd="1"/>
        <i x="325" s="1" nd="1"/>
        <i x="202" s="1" nd="1"/>
        <i x="322" s="1" nd="1"/>
        <i x="324" s="1" nd="1"/>
        <i x="242" s="1" nd="1"/>
        <i x="210" s="1" nd="1"/>
        <i x="319" s="1" nd="1"/>
        <i x="207" s="1" nd="1"/>
        <i x="318" s="1" nd="1"/>
        <i x="219" s="1" nd="1"/>
        <i x="203" s="1" nd="1"/>
        <i x="201" s="1" nd="1"/>
        <i x="323" s="1" nd="1"/>
        <i x="217" s="1" nd="1"/>
        <i x="211" s="1" nd="1"/>
        <i x="222" s="1" nd="1"/>
        <i x="239" s="1" nd="1"/>
        <i x="216" s="1" nd="1"/>
        <i x="227" s="1" nd="1"/>
        <i x="221" s="1" nd="1"/>
        <i x="218" s="1" nd="1"/>
        <i x="331" s="1" nd="1"/>
        <i x="275" s="1" nd="1"/>
        <i x="229" s="1" nd="1"/>
        <i x="230" s="1" nd="1"/>
        <i x="327" s="1" nd="1"/>
        <i x="326" s="1" nd="1"/>
        <i x="204" s="1" nd="1"/>
        <i x="206" s="1" nd="1"/>
        <i x="237" s="1" nd="1"/>
        <i x="213" s="1" nd="1"/>
        <i x="332" s="1" nd="1"/>
        <i x="271" s="1" nd="1"/>
        <i x="262" s="1" nd="1"/>
        <i x="250" s="1" nd="1"/>
        <i x="224" s="1" nd="1"/>
        <i x="209" s="1" nd="1"/>
        <i x="240" s="1" nd="1"/>
        <i x="259" s="1" nd="1"/>
        <i x="251" s="1" nd="1"/>
        <i x="247" s="1" nd="1"/>
        <i x="215" s="1" nd="1"/>
        <i x="235" s="1" nd="1"/>
        <i x="234" s="1" nd="1"/>
        <i x="249" s="1" nd="1"/>
        <i x="236" s="1" nd="1"/>
        <i x="328" s="1" nd="1"/>
        <i x="212" s="1" nd="1"/>
        <i x="208" s="1" nd="1"/>
        <i x="238" s="1" nd="1"/>
        <i x="205" s="1" nd="1"/>
        <i x="243" s="1" nd="1"/>
        <i x="244" s="1" nd="1"/>
        <i x="248" s="1" nd="1"/>
        <i x="152" s="1" nd="1"/>
        <i x="228" s="1" nd="1"/>
        <i x="223" s="1" nd="1"/>
        <i x="256" s="1" nd="1"/>
        <i x="255" s="1" nd="1"/>
        <i x="260" s="1" nd="1"/>
        <i x="214" s="1" nd="1"/>
        <i x="258" s="1" nd="1"/>
        <i x="245" s="1" nd="1"/>
        <i x="151" s="1" nd="1"/>
        <i x="226" s="1" nd="1"/>
        <i x="231" s="1" nd="1"/>
        <i x="232" s="1" nd="1"/>
        <i x="241" s="1" nd="1"/>
        <i x="233" s="1" nd="1"/>
        <i x="252" s="1" nd="1"/>
        <i x="169" s="1" nd="1"/>
        <i x="263" s="1" nd="1"/>
        <i x="253" s="1" nd="1"/>
        <i x="269" s="1" nd="1"/>
        <i x="266" s="1" nd="1"/>
        <i x="264" s="1" nd="1"/>
        <i x="164" s="1" nd="1"/>
        <i x="163" s="1" nd="1"/>
        <i x="276" s="1" nd="1"/>
        <i x="150" s="1" nd="1"/>
        <i x="162" s="1" nd="1"/>
        <i x="270" s="1" nd="1"/>
        <i x="277" s="1" nd="1"/>
        <i x="155" s="1" nd="1"/>
        <i x="272" s="1" nd="1"/>
        <i x="273" s="1" nd="1"/>
        <i x="254" s="1" nd="1"/>
        <i x="267" s="1" nd="1"/>
        <i x="274" s="1" nd="1"/>
        <i x="265" s="1" nd="1"/>
        <i x="185" s="1" nd="1"/>
        <i x="268" s="1" nd="1"/>
        <i x="149" s="1" nd="1"/>
        <i x="158" s="1" nd="1"/>
        <i x="157" s="1" nd="1"/>
        <i x="261" s="1" nd="1"/>
        <i x="145" s="1" nd="1"/>
        <i x="138" s="1" nd="1"/>
        <i x="109" s="1" nd="1"/>
        <i x="144" s="1" nd="1"/>
        <i x="161" s="1" nd="1"/>
        <i x="159" s="1" nd="1"/>
        <i x="166" s="1" nd="1"/>
        <i x="167" s="1" nd="1"/>
        <i x="165" s="1" nd="1"/>
        <i x="160" s="1" nd="1"/>
        <i x="156" s="1" nd="1"/>
        <i x="105" s="1" nd="1"/>
        <i x="129" s="1" nd="1"/>
        <i x="182" s="1" nd="1"/>
        <i x="172" s="1" nd="1"/>
        <i x="168" s="1" nd="1"/>
        <i x="186" s="1" nd="1"/>
        <i x="171" s="1" nd="1"/>
        <i x="181" s="1" nd="1"/>
        <i x="183" s="1" nd="1"/>
        <i x="170" s="1" nd="1"/>
        <i x="174" s="1" nd="1"/>
        <i x="184" s="1" nd="1"/>
        <i x="177" s="1" nd="1"/>
        <i x="175" s="1" nd="1"/>
        <i x="176" s="1" nd="1"/>
        <i x="97" s="1" nd="1"/>
        <i x="180" s="1" nd="1"/>
        <i x="178" s="1" nd="1"/>
        <i x="179" s="1" nd="1"/>
        <i x="188" s="1" nd="1"/>
        <i x="187" s="1" nd="1"/>
        <i x="106" s="1" nd="1"/>
        <i x="197" s="1" nd="1"/>
        <i x="196" s="1" nd="1"/>
        <i x="107" s="1" nd="1"/>
        <i x="195" s="1" nd="1"/>
        <i x="200" s="1" nd="1"/>
        <i x="193" s="1" nd="1"/>
        <i x="199" s="1" nd="1"/>
        <i x="98" s="1" nd="1"/>
        <i x="103" s="1" nd="1"/>
        <i x="189" s="1" nd="1"/>
        <i x="91" s="1" nd="1"/>
        <i x="90" s="1" nd="1"/>
        <i x="92" s="1" nd="1"/>
        <i x="95" s="1" nd="1"/>
        <i x="190" s="1" nd="1"/>
        <i x="191" s="1" nd="1"/>
        <i x="192" s="1" nd="1"/>
        <i x="194" s="1" nd="1"/>
        <i x="198" s="1" nd="1"/>
        <i x="102" s="1" nd="1"/>
        <i x="101" s="1" nd="1"/>
        <i x="99" s="1" nd="1"/>
        <i x="116" s="1" nd="1"/>
        <i x="94" s="1" nd="1"/>
        <i x="93" s="1" nd="1"/>
        <i x="96" s="1" nd="1"/>
        <i x="115" s="1" nd="1"/>
        <i x="110" s="1" nd="1"/>
        <i x="111" s="1" nd="1"/>
        <i x="141" s="1" nd="1"/>
        <i x="100" s="1" nd="1"/>
        <i x="123" s="1" nd="1"/>
        <i x="146" s="1" nd="1"/>
        <i x="112" s="1" nd="1"/>
        <i x="114" s="1" nd="1"/>
        <i x="104" s="1" nd="1"/>
        <i x="120" s="1" nd="1"/>
        <i x="124" s="1" nd="1"/>
        <i x="118" s="1" nd="1"/>
        <i x="117" s="1" nd="1"/>
        <i x="113" s="1" nd="1"/>
        <i x="108" s="1" nd="1"/>
        <i x="131" s="1" nd="1"/>
        <i x="132" s="1" nd="1"/>
        <i x="130" s="1" nd="1"/>
        <i x="119" s="1" nd="1"/>
        <i x="142" s="1" nd="1"/>
        <i x="122" s="1" nd="1"/>
        <i x="121" s="1" nd="1"/>
        <i x="128" s="1" nd="1"/>
        <i x="133" s="1" nd="1"/>
        <i x="137" s="1" nd="1"/>
        <i x="148" s="1" nd="1"/>
        <i x="147" s="1" nd="1"/>
        <i x="127" s="1" nd="1"/>
        <i x="126" s="1" nd="1"/>
        <i x="140" s="1" nd="1"/>
        <i x="136" s="1" nd="1"/>
        <i x="125" s="1" nd="1"/>
        <i x="135" s="1" nd="1"/>
        <i x="134" s="1" nd="1"/>
        <i x="139" s="1" nd="1"/>
        <i x="143" s="1" nd="1"/>
        <i x="50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82">
      <calculatedColumnFormula>B49</calculatedColumnFormula>
    </tableColumn>
    <tableColumn id="2" xr3:uid="{7EDCC2ED-0339-42B3-9633-FFEA7A3DD9F3}" name="Tiyaar" dataDxfId="181">
      <calculatedColumnFormula>SUMIFS(ledger!G:G, ledger!B:B, B2, ledger!E:E, "&lt;&gt;*RD*") / 1.0936</calculatedColumnFormula>
    </tableColumn>
    <tableColumn id="3" xr3:uid="{CC1535DD-3FE7-4F55-8040-E7643388A78E}" name="Rate"/>
    <tableColumn id="4" xr3:uid="{059CB70B-ADAD-4985-84AA-0D530BAC5567}" name="Total" dataDxfId="18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79" dataDxfId="178">
  <autoFilter ref="B7:E20" xr:uid="{449E5D32-DF9C-4018-96AB-CA98E118D910}"/>
  <tableColumns count="4">
    <tableColumn id="1" xr3:uid="{F663704C-91DD-4BB9-B7EB-EEB0C5EDED6C}" name="Description" dataDxfId="177"/>
    <tableColumn id="2" xr3:uid="{6D94D495-CD0B-4FD3-9771-81D731982A97}" name="Rate" dataDxfId="176" dataCellStyle="Comma"/>
    <tableColumn id="3" xr3:uid="{2D14CEAD-3602-40E7-A488-3584EBC9141E}" name="gazana" dataDxfId="175" dataCellStyle="Comma"/>
    <tableColumn id="4" xr3:uid="{06FEE63C-6480-4079-8426-51BC26B38B34}" name="sum" dataDxfId="17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73" totalsRowDxfId="88" dataCellStyle="Comma">
      <totalsRowFormula>SUM(Table12[Amount])</totalsRowFormula>
    </tableColumn>
    <tableColumn id="3" xr3:uid="{12F975D1-A51D-47BD-82DF-F0C35A709016}" name="Description"/>
    <tableColumn id="4" xr3:uid="{96712812-B120-49C2-B905-59FC86A743E8}" name="cost per meter" totalsRowFunction="custom" dataDxfId="172" totalsRowDxfId="8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71" dataDxfId="170" headerRowCellStyle="Comma" dataCellStyle="Comma">
  <autoFilter ref="B2:C5" xr:uid="{136E8F7F-D03F-4198-8335-91A003EA9E45}"/>
  <tableColumns count="2">
    <tableColumn id="1" xr3:uid="{279FA697-9952-479A-AC05-0D4992B41374}" name="Column1" dataDxfId="169" dataCellStyle="Comma"/>
    <tableColumn id="2" xr3:uid="{8A64998B-65EF-41CD-BCB0-3DDB7B359C54}" name="Column2" dataDxfId="16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67"/>
    <tableColumn id="2" xr3:uid="{51D27FA2-8DDF-4369-BAF7-7D1FE90E16A0}" name="Column2" dataDxfId="16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65" totalsRowDxfId="16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6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14" totalsRowCount="1" headerRowDxfId="162" dataDxfId="161" headerRowCellStyle="Comma" dataCellStyle="Comma">
  <autoFilter ref="A1:K213" xr:uid="{11DACEC6-751B-4B1D-817F-5C5BCD38EF6D}"/>
  <tableColumns count="11">
    <tableColumn id="1" xr3:uid="{2FCE3FA8-A48C-4685-8919-AE44C6C71FD9}" name="Date" dataDxfId="160" dataCellStyle="Comma"/>
    <tableColumn id="2" xr3:uid="{5780FD5F-0890-44E6-B59C-8E37A559FE36}" name="Party Name" dataDxfId="159" dataCellStyle="Comma"/>
    <tableColumn id="3" xr3:uid="{5B3ECD85-9174-40AC-BFBD-49CAC97A83D3}" name="Bill Number" dataDxfId="158" dataCellStyle="Comma"/>
    <tableColumn id="4" xr3:uid="{11B50761-04B6-4262-AD4D-7182450037D1}" name="Quality" dataDxfId="157" dataCellStyle="Comma"/>
    <tableColumn id="5" xr3:uid="{2C556969-B713-4967-BD24-466AACCBE5F5}" name="Shipment Number" dataDxfId="156" totalsRowDxfId="22" dataCellStyle="Comma"/>
    <tableColumn id="6" xr3:uid="{F4E1FD2B-9017-4DEB-B772-BF447ECE56F7}" name="Kora/metre" dataDxfId="155" totalsRowDxfId="21" dataCellStyle="Comma"/>
    <tableColumn id="7" xr3:uid="{52ACC1DA-7A76-4A90-B809-3A1AE728E7EA}" name="Tiyaar/gaz" dataDxfId="154" totalsRowDxfId="20" dataCellStyle="Comma"/>
    <tableColumn id="8" xr3:uid="{31A0FF5E-56F0-44D1-9865-73256B964660}" name="shortage %" dataDxfId="153" totalsRowDxfId="19" dataCellStyle="Comma">
      <calculatedColumnFormula>_xlfn.XLOOKUP(Table1[[#This Row],[Shipment Number]], 'pivot '!A:A,'pivot '!G:G, "NF")</calculatedColumnFormula>
    </tableColumn>
    <tableColumn id="9" xr3:uid="{F99075E0-AC8E-094D-BB85-272AD2C6C568}" name="tiyar/meters" totalsRowFunction="custom" dataDxfId="152" totalsRowDxfId="18"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51" totalsRowDxfId="17"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50" totalsRowDxfId="16"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196" headerRowBorderDxfId="195" tableBorderDxfId="194">
  <autoFilter ref="A1:I126" xr:uid="{F8E8C957-ABE7-4E4F-8D4E-7D44E26B334F}"/>
  <tableColumns count="9">
    <tableColumn id="1" xr3:uid="{C2E817D6-AB98-4DDD-8890-736B27F261CD}" name="Date" dataDxfId="193" totalsRowDxfId="15"/>
    <tableColumn id="2" xr3:uid="{CFB51890-CCDC-463C-81C9-3F8BD7469CB9}" name="Party Name"/>
    <tableColumn id="3" xr3:uid="{A113D971-1C9D-4733-99C4-BD0CC4333209}" name="Vehicle Number"/>
    <tableColumn id="4" xr3:uid="{49780304-3DD1-4AE9-98EE-2BC7EB8F3B57}" name="Weight" dataDxfId="192" totalsRowDxfId="14" dataCellStyle="Comma"/>
    <tableColumn id="5" xr3:uid="{FCAF1BC6-1D8C-42AD-8BBC-F924BF2DC7FE}" name="Rate" dataDxfId="191" totalsRowDxfId="13" dataCellStyle="Comma"/>
    <tableColumn id="6" xr3:uid="{8C70A624-4134-410C-9C45-9FDEB51D51BF}" name="Rent" dataDxfId="190" totalsRowDxfId="12" dataCellStyle="Comma"/>
    <tableColumn id="7" xr3:uid="{EBCE10AE-9634-4982-9C95-37ABC8A7078C}" name="Total" totalsRowFunction="sum" dataDxfId="189" totalsRowDxfId="11" dataCellStyle="Comma">
      <calculatedColumnFormula>D2*E2</calculatedColumnFormula>
    </tableColumn>
    <tableColumn id="9" xr3:uid="{D4788559-C94A-44D9-B9AE-E72B214355AC}" name="Paid" totalsRowFunction="sum" dataDxfId="188" totalsRowDxfId="10" dataCellStyle="Comma"/>
    <tableColumn id="8" xr3:uid="{E26F5BF0-1875-4FC6-994D-49F202ED562B}" name="balance" totalsRowFunction="sum" dataDxfId="187" totalsRowDxfId="9"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48" totalsRowCount="1">
  <autoFilter ref="A1:G647" xr:uid="{CB032221-B416-47A8-9A76-693DE76CFD04}"/>
  <sortState xmlns:xlrd2="http://schemas.microsoft.com/office/spreadsheetml/2017/richdata2" ref="A2:G647">
    <sortCondition ref="A1:A647"/>
  </sortState>
  <tableColumns count="7">
    <tableColumn id="1" xr3:uid="{554B1EED-65B6-4E9A-B646-82727FAC40DE}" name="Date" dataDxfId="148" totalsRowDxfId="3"/>
    <tableColumn id="2" xr3:uid="{32259059-42CF-4947-83DE-115AA430BE2B}" name="Party"/>
    <tableColumn id="3" xr3:uid="{A1320223-D55D-483C-91C3-AB19B95CC9D8}" name="Debit" totalsRowFunction="sum" dataDxfId="147" totalsRowDxfId="2" dataCellStyle="Comma"/>
    <tableColumn id="4" xr3:uid="{E9745767-9FF0-4B1C-9052-FF335D1D7588}" name="Credit" totalsRowFunction="sum" dataDxfId="146" totalsRowDxfId="1" dataCellStyle="Comma"/>
    <tableColumn id="5" xr3:uid="{5C88A48E-2467-4E6D-B626-2442B7FD0BE4}" name="Description"/>
    <tableColumn id="6" xr3:uid="{63CA4666-144E-4BE6-8B7C-7CB992BD3041}" name="Mode" totalsRowFunction="custom" dataDxfId="14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4" tableBorderDxfId="143" totalsRowBorderDxfId="142">
  <autoFilter ref="J3:K6" xr:uid="{DCE01694-23ED-48BF-8B92-4186B9ED10A8}"/>
  <tableColumns count="2">
    <tableColumn id="1" xr3:uid="{C8484DAF-2989-4C2F-9AEC-A6917E1C57F6}" name="Type" dataDxfId="141"/>
    <tableColumn id="2" xr3:uid="{B07B7A2A-4D4E-4654-BED6-FE2F0A7BEC34}" name="Amount" dataDxfId="14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9" headerRowBorderDxfId="138" tableBorderDxfId="137" totalsRowBorderDxfId="136">
  <autoFilter ref="M3:O6" xr:uid="{D166BDD1-ACD7-45D7-8AE9-7350373F8CEB}"/>
  <tableColumns count="3">
    <tableColumn id="1" xr3:uid="{64F0205E-DEA7-4571-BA86-E4374A5FEE28}" name="Type" totalsRowLabel="Total" dataDxfId="135" totalsRowDxfId="134"/>
    <tableColumn id="2" xr3:uid="{15FA05F9-789C-4459-9BE0-5C1EC84D3365}" name="amount" totalsRowFunction="custom" dataDxfId="133" totalsRowDxfId="132">
      <totalsRowFormula>SUM(N5:N6)</totalsRowFormula>
    </tableColumn>
    <tableColumn id="3" xr3:uid="{3681D409-90C6-44D0-BDE2-4B5943A516F0}" name="Actual" totalsRowFunction="custom" totalsRowDxfId="131">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30" totalsRowDxfId="129"/>
    <tableColumn id="2" xr3:uid="{5B9D0FEE-4304-4C5C-A05C-5B27CF7841D3}" name="Type"/>
    <tableColumn id="3" xr3:uid="{6A91CA0D-C802-4C6F-9F39-CA53687E8EDE}" name="Description"/>
    <tableColumn id="4" xr3:uid="{A251D40C-AB87-4BB4-85F8-444B20E32FDF}" name="Total" totalsRowFunction="custom" dataDxfId="128" totalsRowDxfId="12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126" headerRowBorderDxfId="125">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3"/>
    <tableColumn id="4" xr3:uid="{1889A312-9B41-4EC4-BD8F-05252F27084A}" name="Price" totalsRowFunction="sum"/>
    <tableColumn id="6" xr3:uid="{8B974B20-F003-4E67-8660-024FA4F324A9}" name="Party"/>
    <tableColumn id="7" xr3:uid="{0A5A5C21-FD61-47DA-9F54-66A6479FA557}" name="Paid" totalsRowFunction="sum" dataDxfId="92">
      <calculatedColumnFormula>SUMIFS(Table14[Debit], Table14[Date], Table8[[#This Row],[Date]], Table14[Party], Table8[[#This Row],[Party]])</calculatedColumnFormula>
    </tableColumn>
    <tableColumn id="8" xr3:uid="{8DCB3B43-2161-4081-82EC-CDB0F4DE4E6F}" name="Balance" totalsRowFunction="sum" dataDxfId="9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3" totalsRowCount="1" headerRowDxfId="124" headerRowBorderDxfId="123">
  <autoFilter ref="A4:H42" xr:uid="{A4C80688-A8BA-4BA7-90B4-791CD99446B4}"/>
  <sortState xmlns:xlrd2="http://schemas.microsoft.com/office/spreadsheetml/2017/richdata2" ref="A5:H6">
    <sortCondition ref="A4:A6"/>
  </sortState>
  <tableColumns count="8">
    <tableColumn id="1" xr3:uid="{4A818912-918E-4111-ACFC-BC93FEF7C1AD}" name="Date" dataDxfId="122" totalsRowDxfId="94"/>
    <tableColumn id="8" xr3:uid="{477ACFD5-62AF-4F69-974B-E9B974C11D7D}" name="Party Name" dataDxfId="12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20">
      <calculatedColumnFormula>Table2[[#This Row],[Quantity]]*200*Table2[[#This Row],[Boxes]]</calculatedColumnFormula>
    </tableColumn>
    <tableColumn id="6" xr3:uid="{30432929-CBD4-4BA8-B63F-CD0F6CF6405F}" name="Paid" totalsRowFunction="sum" dataDxfId="119">
      <calculatedColumnFormula>SUMIFS(Table14[Debit], Table14[Date], Table2[[#This Row],[Date]], Table14[Party], Table2[[#This Row],[Party Name]])</calculatedColumnFormula>
    </tableColumn>
    <tableColumn id="7" xr3:uid="{BB689DF2-5D1E-436D-84C4-9745D88E8F3D}" name="Balance" totalsRowFunction="sum" dataDxfId="118">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117" totalsRowDxfId="116"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115" totalsRowDxfId="114"/>
    <tableColumn id="2" xr3:uid="{053BFC14-4828-417C-9F9F-95B6E232A945}" name="Amount" totalsRowFunction="custom" dataDxfId="113" totalsRowDxfId="11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111" totalsRowDxfId="11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72" totalsRowCount="1">
  <autoFilter ref="B2:E71" xr:uid="{4694C645-BA0B-477E-AE5E-02046C12E841}"/>
  <tableColumns count="4">
    <tableColumn id="1" xr3:uid="{1D391A77-9D14-4B37-AD91-EEEDC97B6A4E}" name="Date" dataDxfId="100" totalsRowDxfId="9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71" totalsRowCount="1">
  <autoFilter ref="H2:J70" xr:uid="{A7265B0E-A50D-4BC5-9C1C-E62AF5B48CAF}"/>
  <tableColumns count="3">
    <tableColumn id="1" xr3:uid="{AB5830E5-ECCF-4406-AB96-EB98EE86F300}" name="Date" dataDxfId="99" totalsRowDxfId="8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98">
      <calculatedColumnFormula>Billing!R5</calculatedColumnFormula>
    </tableColumn>
    <tableColumn id="2" xr3:uid="{7093A59E-B58F-487D-888A-9AA8156B5F9A}" name="Amount Paid" dataDxfId="97">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96">
      <calculatedColumnFormula>G2</calculatedColumnFormula>
    </tableColumn>
    <tableColumn id="2" xr3:uid="{F72CFEEB-BA11-4A49-BD19-88592EB6A27C}" name="Credit" dataDxfId="9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2"/>
  <sheetViews>
    <sheetView topLeftCell="C60" zoomScaleNormal="100" workbookViewId="0">
      <selection activeCell="O85" sqref="O8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77734375" customWidth="1"/>
    <col min="13" max="13" width="11.109375" bestFit="1" customWidth="1"/>
    <col min="14" max="14" width="14.332031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800443.48939283111</v>
      </c>
      <c r="D2">
        <v>10</v>
      </c>
      <c r="E2" s="14">
        <f>(SUMIFS(ledger!G:G, ledger!B:B, B2, ledger!E:E, "&lt;&gt;*RD*",ledger!D:D, "Silky") / 1.0936)*12 + (SUMIFS(ledger!G:G, ledger!B:B, B2, ledger!E:E, "&lt;&gt;*RD*",ledger!D:D, "Chamki") / 1.0936)*10</f>
        <v>5685234.0892465264</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8">_xlfn.UNIQUE(Table1[Party Name])</f>
        <v>BSC</v>
      </c>
      <c r="S5" s="22" cm="1">
        <f t="array" ref="S5">_xlfn.BYROW(B49,_xlfn.LAMBDA(_xlpm.party,SUMIFS(ledger!G:G,ledger!B:B,_xlpm.party,ledger!E:E,"&lt;&gt;*RD*")))+_xlfn.IFNA(C98,0)</f>
        <v>4528131.8824000005</v>
      </c>
      <c r="T5" s="22" cm="1">
        <f t="array" ref="T5">_xlfn.BYROW(B49, _xlfn.LAMBDA(_xlpm.party, SUMIFS(ledger!G:G, ledger!B:B, _xlpm.party, ledger!E:E, "&lt;&gt;*RD*") / 1.0936 ))+_xlfn.IFNA(D98,0)</f>
        <v>4140574.1426481348</v>
      </c>
      <c r="U5" s="22" cm="1">
        <f t="array" ref="U5">(_xlfn.BYROW(B49,_xlfn.LAMBDA(_xlpm.party,SUMIFS(ledger!G:G,ledger!B:B,_xlpm.party,ledger!E:E,"&lt;&gt;*RD*",ledger!D:D,"Chamki")+SUMIFS(ledger!G:G, ledger!B:B, _xlpm.party, ledger!E:E, "&lt;&gt;*RD*", ledger!D:D, "Crinkle")))/1.0936)+_xlfn.IFNA(E98,0)</f>
        <v>3190320.8507681056</v>
      </c>
      <c r="V5" s="70" cm="1">
        <f t="array" ref="V5">(_xlfn.BYROW(B49,_xlfn.LAMBDA(_xlpm.party,SUMIFS(ledger!G:G,ledger!B:B,_xlpm.party,ledger!E:E,"&lt;&gt;*RD*",ledger!D:D,"Silky")))/1.0936)+_xlfn.IFNA(F98,0)</f>
        <v>756880.94367227517</v>
      </c>
      <c r="W5" s="22" cm="1">
        <f t="array" ref="W5">(_xlfn.BYROW(B49,_xlfn.LAMBDA(_xlpm.party,
(SUMIFS(ledger!J:J,ledger!B:B,_xlpm.party,ledger!E:E,"&lt;&gt;*RD*",ledger!D:D,"Chamki",ledger!C:C,"&lt;&gt;January Closing CF")+
SUMIFS(ledger!J:J,ledger!B:B,_xlpm.party,ledger!E:E,"&lt;&gt;*RD*",ledger!D:D,"Crinkle",ledger!C:C,"&lt;&gt;January Closing CF")
)+_xlfn.IFNA(G98,0))))</f>
        <v>31903208.507681061</v>
      </c>
      <c r="X5" s="70" cm="1">
        <f t="array" ref="X5">_xlfn.BYROW(B49, _xlfn.LAMBDA(_xlpm.party,
   SUMIFS(ledger!J:J, ledger!B:B, _xlpm.party, ledger!E:E, "&lt;&gt;*RD*", ledger!D:D, "Silky", ledger!C:C, "&lt;&gt;January Closing CF")
)) + _xlfn.IFNA(H98, 0)</f>
        <v>9751096.3789319675</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43781400.716898322</v>
      </c>
      <c r="AF5" s="22">
        <f>(SUMIF(Table14[Party],#REF!,Table14[Credit]))+_xlfn.IFNA(P98,0)</f>
        <v>19750734</v>
      </c>
      <c r="AG5" s="33">
        <f>AE5-AF5</f>
        <v>24030666.716898322</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9577501</v>
      </c>
      <c r="AG7" s="33">
        <f t="shared" si="2"/>
        <v>235106.90051206946</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76987.015362106817</v>
      </c>
      <c r="D10">
        <v>10</v>
      </c>
      <c r="E10" s="14">
        <f>(SUMIFS(ledger!G:G, ledger!B:B, B10, ledger!E:E, "&lt;&gt;*RD*",ledger!D:D, "Silky") / 1.0936)*12 + (SUMIFS(ledger!G:G, ledger!B:B, B10, ledger!E:E, "&lt;&gt;*RD*",ledger!D:D, "Chamki") / 1.0936)*10</f>
        <v>923844.1843452818</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168209.58302852965</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257727</v>
      </c>
      <c r="T13" s="22" cm="1">
        <f t="array" ref="T13">_xlfn.BYROW(B57, _xlfn.LAMBDA(_xlpm.party, SUMIFS(ledger!G:G, ledger!B:B, _xlpm.party, ledger!E:E, "&lt;&gt;*RD*") / 1.0936 ))+_xlfn.IFNA(D106,0)</f>
        <v>235668.4345281639</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189535.47915142652</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2371978.7856620336</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2833308.3394294074</v>
      </c>
      <c r="AF13" s="22">
        <f>(SUMIF(Table14[Party],R13,Table14[Credit]))+_xlfn.IFNA(P106,0)</f>
        <v>2831990</v>
      </c>
      <c r="AG13" s="33">
        <f t="shared" si="2"/>
        <v>1318.3394294073805</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638581</v>
      </c>
      <c r="T15" s="22" cm="1">
        <f t="array" ref="T15">_xlfn.BYROW(B59, _xlfn.LAMBDA(_xlpm.party, SUMIFS(ledger!G:G, ledger!B:B, _xlpm.party, ledger!E:E, "&lt;&gt;*RD*") / 1.0936 ))+_xlfn.IFNA(D108,0)</f>
        <v>583925.56693489407</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0</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5839255.6693489403</v>
      </c>
      <c r="AF15" s="22">
        <f>(SUMIF(Table14[Party],R15,Table14[Credit]))+_xlfn.IFNA(P108,0)</f>
        <v>5739259</v>
      </c>
      <c r="AG15" s="33">
        <f t="shared" si="2"/>
        <v>99996.669348940253</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SUM(O49:O81)</f>
        <v>22912020.848573517</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SUM(O49:O81)</f>
        <v>22912020.848573517</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394284</v>
      </c>
      <c r="T25" s="22" cm="1">
        <f t="array" ref="T25">_xlfn.BYROW(B69, _xlfn.LAMBDA(_xlpm.party, SUMIFS(ledger!G:G, ledger!B:B, _xlpm.party, ledger!E:E, "&lt;&gt;*RD*") / 1.0936 ))+_xlfn.IFNA(D118,0)</f>
        <v>360537.67373811267</v>
      </c>
      <c r="U25" s="22" cm="1">
        <f t="array" ref="U25">(_xlfn.BYROW(B69,_xlfn.LAMBDA(_xlpm.party,SUMIFS(ledger!G:G,ledger!B:B,_xlpm.party,ledger!E:E,"&lt;&gt;*RD*",ledger!D:D,"Chamki")+SUMIFS(ledger!G:G, ledger!B:B, _xlpm.party, ledger!E:E, "&lt;&gt;*RD*", ledger!D:D, "Crinkle")))/1.0936)+_xlfn.IFNA(E118,0)</f>
        <v>310998.53694220923</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3109985.3694220926</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3656896.4886613023</v>
      </c>
      <c r="AF25" s="22">
        <f>(SUMIF(Table14[Party],R25,Table14[Credit]))+_xlfn.IFNA(P118,0)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136857</v>
      </c>
      <c r="T27" s="22" cm="1">
        <f t="array" ref="T27">_xlfn.BYROW(B71, _xlfn.LAMBDA(_xlpm.party, SUMIFS(ledger!G:G, ledger!B:B, _xlpm.party, ledger!E:E, "&lt;&gt;*RD*") / 1.0936 ))+_xlfn.IFNA(D120,0)</f>
        <v>125143.56254572056</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1626866.3130943675</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1626866.3130943675</v>
      </c>
      <c r="AF27" s="22">
        <f>(SUMIF(Table14[Party],R27,Table14[Credit]))+_xlfn.IFNA(P120,0)</f>
        <v>1623500</v>
      </c>
      <c r="AG27" s="33">
        <f t="shared" si="2"/>
        <v>3366.313094367506</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397475</v>
      </c>
      <c r="T36" s="22" cm="1">
        <f t="array" ref="T36">_xlfn.BYROW(B80, _xlfn.LAMBDA(_xlpm.party, SUMIFS(ledger!G:G, ledger!B:B, _xlpm.party, ledger!E:E, "&lt;&gt;*RD*") / 1.0936 ))+_xlfn.IFNA(D129,0)</f>
        <v>363455.55961960502</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261230.797366496</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3396000.365764448</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1166735.5523043161</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4562735.9180687638</v>
      </c>
      <c r="AF36" s="22">
        <f>(SUMIF(Table14[Party],R36,Table14[Credit]))+_xlfn.IFNA(P129,0)</f>
        <v>4436982.4930504756</v>
      </c>
      <c r="AG36" s="33">
        <f t="shared" si="2"/>
        <v>125753.4250182882</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22350</v>
      </c>
      <c r="T38" s="22" cm="1">
        <f t="array" ref="T38">_xlfn.BYROW(B82, _xlfn.LAMBDA(_xlpm.party, SUMIFS(ledger!G:G, ledger!B:B, _xlpm.party, ledger!E:E, "&lt;&gt;*RD*") / 1.0936 ))+_xlfn.IFNA(D131,0)</f>
        <v>20437.088514996343</v>
      </c>
      <c r="U38" s="22" cm="1">
        <f t="array" ref="U38">(_xlfn.BYROW(B82,_xlfn.LAMBDA(_xlpm.party,SUMIFS(ledger!G:G,ledger!B:B,_xlpm.party,ledger!E:E,"&lt;&gt;*RD*",ledger!D:D,"Chamki")+SUMIFS(ledger!G:G, ledger!B:B, _xlpm.party, ledger!E:E, "&lt;&gt;*RD*", ledger!D:D, "Crinkle")))/1.0936)+_xlfn.IFNA(E131,0)</f>
        <v>20437.088514996343</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(SUMIFS(ledger!J:J,ledger!B:B,_xlpm.party,ledger!E:E,"&lt;&gt;*RD*",ledger!D:D,"Chamki",ledger!C:C,"&lt;&gt;January Closing CF")+
SUMIFS(ledger!J:J,ledger!B:B,_xlpm.party,ledger!E:E,"&lt;&gt;*RD*",ledger!D:D,"Crinkle",ledger!C:C,"&lt;&gt;January Closing CF")
)+_xlfn.IFNA(G131,0))))</f>
        <v>204370.88514996343</v>
      </c>
      <c r="X38" s="70" cm="1">
        <f t="array" ref="X38">_xlfn.BYROW(B82, _xlfn.LAMBDA(_xlpm.party,
   SUMIFS(ledger!J:J, ledger!B:B, _xlpm.party, ledger!E:E, "&lt;&gt;*RD*", ledger!D:D, "Silky", ledger!C:C, "&lt;&gt;January Closing CF")
)) + _xlfn.IFNA(H131, 0)</f>
        <v>0</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0</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204370.88514996343</v>
      </c>
      <c r="AF38" s="22">
        <f>(SUMIF(Table14[Party],R38,Table14[Credit]))+_xlfn.IFNA(P131,0)</f>
        <v>0</v>
      </c>
      <c r="AG38" s="33">
        <f t="shared" ref="AG38" si="4">AE38-AF38</f>
        <v>204370.88514996343</v>
      </c>
    </row>
    <row r="39" spans="2:35" x14ac:dyDescent="0.3">
      <c r="S39" s="22"/>
      <c r="T39" s="22"/>
      <c r="U39" s="22"/>
      <c r="V39" s="70"/>
      <c r="W39" s="22"/>
      <c r="X39" s="70"/>
      <c r="Y39" s="70"/>
      <c r="Z39" s="70"/>
      <c r="AA39" s="70"/>
      <c r="AB39" s="70"/>
      <c r="AC39" s="70"/>
      <c r="AD39" s="70" cm="1">
        <f t="array" ref="AD39">_xlfn.BYROW(B97, _xlfn.LAMBDA(_xlpm.party,
   SUMIFS(ledger!J:J, ledger!B:B, _xlpm.party, ledger!E:E, "&lt;&gt;*RD*", ledger!D:D, "Custom", ledger!C:C, "&lt;&gt;January Closing CF")
))+ _xlfn.IFNA(N132, 0)</f>
        <v>0</v>
      </c>
      <c r="AE39" s="39"/>
      <c r="AF39" s="22"/>
      <c r="AG39" s="33"/>
    </row>
    <row r="40" spans="2:35" x14ac:dyDescent="0.3">
      <c r="S40" s="22"/>
      <c r="T40" s="22"/>
      <c r="U40" s="22"/>
      <c r="V40" s="70"/>
      <c r="W40" s="22"/>
      <c r="X40" s="70"/>
      <c r="Y40" s="70"/>
      <c r="Z40" s="70"/>
      <c r="AA40" s="70"/>
      <c r="AB40" s="70"/>
      <c r="AC40" s="70"/>
      <c r="AD40" s="70" t="e" cm="1">
        <f t="array" ref="AD40">_xlfn.BYROW(B98, _xlfn.LAMBDA(_xlpm.party,
   SUMIFS(ledger!J:J, ledger!B:B, _xlpm.party, ledger!E:E, "&lt;&gt;*RD*", ledger!D:D, "Custom", ledger!C:C, "&lt;&gt;January Closing CF")
))+ _xlfn.IFNA(#REF!, 0)</f>
        <v>#REF!</v>
      </c>
      <c r="AE40" s="39"/>
      <c r="AF40" s="22"/>
      <c r="AG40" s="33"/>
    </row>
    <row r="41" spans="2:35" x14ac:dyDescent="0.3">
      <c r="S41" s="22"/>
      <c r="T41" s="22"/>
      <c r="U41" s="22"/>
      <c r="V41" s="70"/>
      <c r="W41" s="22"/>
      <c r="X41" s="70"/>
      <c r="Y41" s="70"/>
      <c r="Z41" s="70"/>
      <c r="AA41" s="70"/>
      <c r="AB41" s="70"/>
      <c r="AC41" s="70"/>
      <c r="AD41" s="70" t="e" cm="1">
        <f t="array" ref="AD41">_xlfn.BYROW(B99, _xlfn.LAMBDA(_xlpm.party,
   SUMIFS(ledger!J:J, ledger!B:B, _xlpm.party, ledger!E:E, "&lt;&gt;*RD*", ledger!D:D, "Custom", ledger!C:C, "&lt;&gt;January Closing CF")
))+ _xlfn.IFNA(#REF!, 0)</f>
        <v>#REF!</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2">_xlfn.UNIQUE(Table1[Party Name])</f>
        <v>BSC</v>
      </c>
      <c r="C49" s="22" cm="1">
        <f t="array" ref="C49:C82">_xlfn.BYROW(_xlfn.ANCHORARRAY(B49),_xlfn.LAMBDA(_xlpm.party,SUMIFS(ledger!G:G,ledger!B:B,_xlpm.party,ledger!E:E,"&lt;&gt;*RD*")))</f>
        <v>875365</v>
      </c>
      <c r="D49" s="22" cm="1">
        <f t="array" ref="D49:D82">_xlfn.BYROW(_xlfn.ANCHORARRAY(B49), _xlfn.LAMBDA(_xlpm.party, SUMIFS(ledger!G:G, ledger!B:B, _xlpm.party, ledger!E:E, "&lt;&gt;*RD*") / 1.0936 ))</f>
        <v>800443.48939283111</v>
      </c>
      <c r="E49" s="63" cm="1">
        <f t="array" ref="E49:E82">(_xlfn.BYROW(_xlfn.ANCHORARRAY(B49),_xlfn.LAMBDA(_xlpm.party,SUMIFS(ledger!G:G,ledger!B:B,_xlpm.party,ledger!E:E,"&lt;&gt;*RD*",ledger!D:D,"Chamki")+SUMIFS(ledger!G:G, ledger!B:B, _xlpm.party, ledger!E:E, "&lt;&gt;*RD*", ledger!D:D, "Crinkle")))/1.0936)</f>
        <v>422736.83247988299</v>
      </c>
      <c r="F49" s="63" cm="1">
        <f t="array" ref="F49:F82">(_xlfn.BYROW(_xlfn.ANCHORARRAY(B49),_xlfn.LAMBDA(_xlpm.party,SUMIFS(ledger!G:G,ledger!B:B,_xlpm.party,ledger!E:E,"&lt;&gt;*RD*",ledger!D:D,"Silky")))/1.0936)</f>
        <v>195849.48792977326</v>
      </c>
      <c r="G49" s="22" cm="1">
        <f t="array" ref="G49">(_xlfn.BYROW(B49,_xlfn.LAMBDA(_xlpm.party,
(SUMIFS(ledger!J:J,ledger!B:B,_xlpm.party,ledger!E:E,"&lt;&gt;*RD*",ledger!D:D,"Chamki",ledger!C:C,"&lt;&gt;January Closing CF")+
SUMIFS(ledger!J:J,ledger!B:B,_xlpm.party,ledger!E:E,"&lt;&gt;*RD*",ledger!D:D,"Crinkle",ledger!C:C,"&lt;&gt;January Closing CF")
))))</f>
        <v>4227368.3247988308</v>
      </c>
      <c r="H49" s="22" cm="1">
        <f t="array" ref="H49">_xlfn.BYROW(B49, _xlfn.LAMBDA(_xlpm.party,
   SUMIFS(ledger!J:J, ledger!B:B, _xlpm.party, ledger!E:E, "&lt;&gt;*RD*", ledger!D:D, "Silky", ledger!C:C, "&lt;&gt;January Closing CF")
))</f>
        <v>2546043.3430870515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8773840.5267008059</v>
      </c>
      <c r="P49" s="22">
        <f>(SUMIF(Table14[Party],B49,Table14[Credit]))</f>
        <v>0</v>
      </c>
      <c r="Q49" s="37">
        <f t="shared" ref="Q49:Q80" si="5">O49-P49</f>
        <v>8773840.5267008059</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6">SUM(G50:N50)</f>
        <v>1088369.6049743968</v>
      </c>
      <c r="P50" s="22">
        <f>(SUMIF(Table14[Party],B50,Table14[Credit]))</f>
        <v>1147303</v>
      </c>
      <c r="Q50" s="37">
        <f t="shared" si="5"/>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6"/>
        <v>1208613.7527432335</v>
      </c>
      <c r="P51" s="22">
        <f>(SUMIF(Table14[Party],B51,Table14[Credit]))</f>
        <v>1085000</v>
      </c>
      <c r="Q51" s="37">
        <f t="shared" si="5"/>
        <v>123613.75274323346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6"/>
        <v>0</v>
      </c>
      <c r="P52" s="22">
        <f>(SUMIF(Table14[Party],B52,Table14[Credit]))</f>
        <v>0</v>
      </c>
      <c r="Q52" s="37">
        <f t="shared" si="5"/>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6"/>
        <v>0</v>
      </c>
      <c r="P53" s="22">
        <f>(SUMIF(Table14[Party],B53,Table14[Credit]))</f>
        <v>0</v>
      </c>
      <c r="Q53" s="37">
        <f t="shared" si="5"/>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6"/>
        <v>632406.73006583774</v>
      </c>
      <c r="P54" s="22">
        <f>(SUMIF(Table14[Party],B54,Table14[Credit]))</f>
        <v>839000</v>
      </c>
      <c r="Q54" s="37">
        <f t="shared" si="5"/>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6"/>
        <v>232644.47695683985</v>
      </c>
      <c r="P55" s="22">
        <f>(SUMIF(Table14[Party],B55,Table14[Credit]))</f>
        <v>200000</v>
      </c>
      <c r="Q55" s="37">
        <f t="shared" si="5"/>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6"/>
        <v>0</v>
      </c>
      <c r="P56" s="22">
        <f>(SUMIF(Table14[Party],B56,Table14[Credit]))</f>
        <v>0</v>
      </c>
      <c r="Q56" s="37">
        <f t="shared" si="5"/>
        <v>0</v>
      </c>
      <c r="R56" s="21">
        <v>10</v>
      </c>
      <c r="S56" s="21">
        <v>12</v>
      </c>
    </row>
    <row r="57" spans="1:24" x14ac:dyDescent="0.3">
      <c r="B57" s="24" t="str">
        <v>Ubaidullah</v>
      </c>
      <c r="C57" s="22">
        <v>84193</v>
      </c>
      <c r="D57" s="22">
        <v>76987.015362106817</v>
      </c>
      <c r="E57" s="63">
        <v>0</v>
      </c>
      <c r="F57" s="63">
        <v>76987.015362106817</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923844.1843452818</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6"/>
        <v>923844.1843452818</v>
      </c>
      <c r="P57" s="22">
        <f>(SUMIF(Table14[Party],B57,Table14[Credit]))</f>
        <v>923800</v>
      </c>
      <c r="Q57" s="37">
        <f t="shared" si="5"/>
        <v>44.184345281799324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6"/>
        <v>0</v>
      </c>
      <c r="P58" s="22">
        <f>(SUMIF(Table14[Party],B58,Table14[Credit]))</f>
        <v>0</v>
      </c>
      <c r="Q58" s="37">
        <f t="shared" si="5"/>
        <v>0</v>
      </c>
      <c r="R58" s="21">
        <v>12</v>
      </c>
      <c r="S58" s="21">
        <v>12</v>
      </c>
      <c r="V58" s="4" t="s">
        <v>21</v>
      </c>
      <c r="W58" s="5">
        <v>800443.48939283111</v>
      </c>
      <c r="X58" s="18">
        <v>5685234.0892465264</v>
      </c>
    </row>
    <row r="59" spans="1:24" x14ac:dyDescent="0.3">
      <c r="B59" s="24" t="str">
        <v>Hafiz Qureshi</v>
      </c>
      <c r="C59" s="22">
        <v>183954</v>
      </c>
      <c r="D59" s="22">
        <v>168209.58302852965</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6"/>
        <v>1682095.8302852965</v>
      </c>
      <c r="P59" s="22">
        <f>(SUMIF(Table14[Party],B59,Table14[Credit]))</f>
        <v>1593080</v>
      </c>
      <c r="Q59" s="37">
        <f t="shared" si="5"/>
        <v>89015.830285296543</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6"/>
        <v>0</v>
      </c>
      <c r="P60" s="22">
        <f>(SUMIF(Table14[Party],B60,Table14[Credit]))</f>
        <v>0</v>
      </c>
      <c r="Q60" s="37">
        <f t="shared" si="5"/>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6"/>
        <v>0</v>
      </c>
      <c r="P61" s="22">
        <f>(SUMIF(Table14[Party],B61,Table14[Credit]))</f>
        <v>0</v>
      </c>
      <c r="Q61" s="37">
        <f t="shared" si="5"/>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6"/>
        <v>0</v>
      </c>
      <c r="P62" s="22">
        <f>(SUMIF(Table14[Party],B62,Table14[Credit]))</f>
        <v>0</v>
      </c>
      <c r="Q62" s="37">
        <f t="shared" si="5"/>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6"/>
        <v>0</v>
      </c>
      <c r="P63" s="22">
        <f>(SUMIF(Table14[Party],B63,Table14[Credit]))</f>
        <v>0</v>
      </c>
      <c r="Q63" s="37">
        <f t="shared" si="5"/>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6"/>
        <v>0</v>
      </c>
      <c r="P64" s="22">
        <f>(SUMIF(Table14[Party],B64,Table14[Credit]))</f>
        <v>0</v>
      </c>
      <c r="Q64" s="37">
        <f t="shared" si="5"/>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6"/>
        <v>662588.69787856634</v>
      </c>
      <c r="P65" s="22">
        <f>(SUMIF(Table14[Party],B65,Table14[Credit]))</f>
        <v>704000</v>
      </c>
      <c r="Q65" s="37">
        <f t="shared" si="5"/>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6"/>
        <v>0</v>
      </c>
      <c r="P66" s="22">
        <f>(SUMIF(Table14[Party],B66,Table14[Credit]))</f>
        <v>0</v>
      </c>
      <c r="Q66" s="37">
        <f t="shared" si="5"/>
        <v>0</v>
      </c>
      <c r="R66" s="21">
        <v>10</v>
      </c>
      <c r="S66" s="21">
        <v>12</v>
      </c>
      <c r="V66" s="4" t="s">
        <v>35</v>
      </c>
      <c r="W66" s="5">
        <v>76987.015362106817</v>
      </c>
      <c r="X66" s="18">
        <v>923844.1843452818</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6"/>
        <v>655165.50841258245</v>
      </c>
      <c r="P67" s="22">
        <f>(SUMIF(Table14[Party],B67,Table14[Credit]))</f>
        <v>0</v>
      </c>
      <c r="Q67" s="37">
        <f t="shared" si="5"/>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6"/>
        <v>0</v>
      </c>
      <c r="P68" s="22">
        <f>(SUMIF(Table14[Party],B68,Table14[Credit]))</f>
        <v>0</v>
      </c>
      <c r="Q68" s="37">
        <f t="shared" si="5"/>
        <v>0</v>
      </c>
      <c r="R68" s="21">
        <v>10</v>
      </c>
      <c r="S68" s="21">
        <v>12</v>
      </c>
      <c r="V68" s="4" t="s">
        <v>27</v>
      </c>
      <c r="W68" s="5">
        <v>168209.58302852965</v>
      </c>
      <c r="X68" s="18">
        <v>1682095.8302852965</v>
      </c>
    </row>
    <row r="69" spans="2:24" x14ac:dyDescent="0.3">
      <c r="B69" s="80"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6"/>
        <v>0</v>
      </c>
      <c r="P69" s="22">
        <f>(SUMIF(Table14[Party],B69,Table14[Credit]))</f>
        <v>20340</v>
      </c>
      <c r="Q69" s="37">
        <f t="shared" si="5"/>
        <v>-20340</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6"/>
        <v>0</v>
      </c>
      <c r="P70" s="22">
        <f>(SUMIF(Table14[Party],B70,Table14[Credit]))</f>
        <v>0</v>
      </c>
      <c r="Q70" s="37">
        <f t="shared" si="5"/>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6"/>
        <v>172021.76298463793</v>
      </c>
      <c r="P71" s="22">
        <f>(SUMIF(Table14[Party],B71,Table14[Credit]))</f>
        <v>208000</v>
      </c>
      <c r="Q71" s="37">
        <f t="shared" si="5"/>
        <v>-35978.237015362072</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6"/>
        <v>0</v>
      </c>
      <c r="P72" s="22">
        <f>(SUMIF(Table14[Party],B72,Table14[Credit]))</f>
        <v>0</v>
      </c>
      <c r="Q72" s="37">
        <f t="shared" si="5"/>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6"/>
        <v>0</v>
      </c>
      <c r="P73" s="22">
        <f>(SUMIF(Table14[Party],B73,Table14[Credit]))</f>
        <v>135000</v>
      </c>
      <c r="Q73" s="37">
        <f t="shared" si="5"/>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6"/>
        <v>0</v>
      </c>
      <c r="P74" s="22">
        <f>(SUMIF(Table14[Party],B74,Table14[Credit]))</f>
        <v>130000</v>
      </c>
      <c r="Q74" s="37">
        <f t="shared" si="5"/>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6"/>
        <v>1026764.8134601318</v>
      </c>
      <c r="P75" s="22">
        <f>(SUMIF(Table14[Party],B75,Table14[Credit]))</f>
        <v>1816071</v>
      </c>
      <c r="Q75" s="37">
        <f t="shared" si="5"/>
        <v>-789306.18653986824</v>
      </c>
      <c r="V75" s="4" t="s">
        <v>28</v>
      </c>
      <c r="W75" s="14">
        <v>1381891.0021945869</v>
      </c>
      <c r="X75" s="14">
        <v>11961759.326993419</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6"/>
        <v>0</v>
      </c>
      <c r="P76" s="22">
        <f>SUMIF(Table14[Party], B76, Table14[Credit])</f>
        <v>0</v>
      </c>
      <c r="Q76" s="37">
        <f t="shared" si="5"/>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6"/>
        <v>0</v>
      </c>
      <c r="P77" s="22">
        <f>SUMIF(Table14[Party], B77, Table14[Credit])</f>
        <v>0</v>
      </c>
      <c r="Q77" s="37">
        <f t="shared" si="5"/>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6"/>
        <v>584043.52596927586</v>
      </c>
      <c r="P78" s="22">
        <f>SUMIF(Table14[Party], B78, Table14[Credit])</f>
        <v>40000</v>
      </c>
      <c r="Q78" s="37">
        <f t="shared" si="5"/>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6"/>
        <v>161539.86832479882</v>
      </c>
      <c r="P79" s="22">
        <f>SUMIF(Table14[Party], B79, Table14[Credit])</f>
        <v>169278</v>
      </c>
      <c r="Q79" s="37">
        <f t="shared" si="5"/>
        <v>-7738.1316752011771</v>
      </c>
    </row>
    <row r="80" spans="2:24" x14ac:dyDescent="0.3">
      <c r="B80" t="str">
        <v>Faizan Kamoki</v>
      </c>
      <c r="C80">
        <v>397475</v>
      </c>
      <c r="D80">
        <v>363455.55961960502</v>
      </c>
      <c r="E80">
        <v>0</v>
      </c>
      <c r="F80">
        <v>261230.797366496</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3396000.365764448</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1166735.5523043161</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6"/>
        <v>4562735.9180687638</v>
      </c>
      <c r="P80" s="22">
        <f>SUMIF(Table14[Party], B80, Table14[Credit])</f>
        <v>4436982.4930504756</v>
      </c>
      <c r="Q80" s="37">
        <f t="shared" si="5"/>
        <v>125753.4250182882</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6"/>
        <v>545345.64740307245</v>
      </c>
      <c r="P81" s="22">
        <f>SUMIF(Table14[Party], B81, Table14[Credit])</f>
        <v>544000</v>
      </c>
      <c r="Q81" s="37">
        <f t="shared" ref="Q81" si="7">O81-P81</f>
        <v>1345.6474030724494</v>
      </c>
    </row>
    <row r="82" spans="1:17" x14ac:dyDescent="0.3">
      <c r="A82" t="s">
        <v>154</v>
      </c>
      <c r="B82" t="str">
        <v>Rauf Khan</v>
      </c>
      <c r="C82">
        <v>22350</v>
      </c>
      <c r="D82">
        <v>20437.088514996343</v>
      </c>
      <c r="E82">
        <v>20437.088514996343</v>
      </c>
      <c r="F82">
        <v>0</v>
      </c>
      <c r="G82" s="22" cm="1">
        <f t="array" ref="G82">(_xlfn.BYROW(B82,_xlfn.LAMBDA(_xlpm.party,
(SUMIFS(ledger!J:J,ledger!B:B,_xlpm.party,ledger!E:E,"&lt;&gt;*RD*",ledger!D:D,"Chamki",ledger!C:C,"&lt;&gt;January Closing CF")+
SUMIFS(ledger!J:J,ledger!B:B,_xlpm.party,ledger!E:E,"&lt;&gt;*RD*",ledger!D:D,"Crinkle",ledger!C:C,"&lt;&gt;January Closing CF")
))))</f>
        <v>204370.88514996343</v>
      </c>
      <c r="H82" s="22" cm="1">
        <f t="array" ref="H82">_xlfn.BYROW(B82, _xlfn.LAMBDA(_xlpm.party,
   SUMIFS(ledger!J:J, ledger!B:B, _xlpm.party, ledger!E:E, "&lt;&gt;*RD*", ledger!D:D, "Silky", ledger!C:C, "&lt;&gt;January Closing CF")
))</f>
        <v>0</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0</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6"/>
        <v>204370.88514996343</v>
      </c>
      <c r="P82" s="22">
        <f>SUMIF(Table14[Party], B82, Table14[Credit])</f>
        <v>0</v>
      </c>
      <c r="Q82" s="37">
        <f t="shared" ref="Q82:Q83" si="8">O82-P82</f>
        <v>204370.88514996343</v>
      </c>
    </row>
    <row r="83" spans="1:17" x14ac:dyDescent="0.3">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0</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6"/>
        <v>0</v>
      </c>
      <c r="P83" s="22">
        <f>SUMIF(Table14[Party], B83, Table14[Credit])</f>
        <v>0</v>
      </c>
      <c r="Q83" s="37">
        <f t="shared" si="8"/>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1">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9" si="9">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9" si="10">G100+H100+I100+J100+K100+L100+M100</f>
        <v>8603994.1477688365</v>
      </c>
      <c r="P100" s="22">
        <f>_xlfn.XLOOKUP($B51,[1]Billing!$Q$5:$Q$40,[1]Billing!$AD$5:$AD$40)</f>
        <v>8492501</v>
      </c>
      <c r="Q100" s="37">
        <f t="shared" si="9"/>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0"/>
        <v>1354241.9972933433</v>
      </c>
      <c r="P101" s="22">
        <f>_xlfn.XLOOKUP($B52,[1]Billing!$Q$5:$Q$40,[1]Billing!$AD$5:$AD$40)</f>
        <v>1353710</v>
      </c>
      <c r="Q101" s="37">
        <f t="shared" si="9"/>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0"/>
        <v>11478764.23847842</v>
      </c>
      <c r="P102" s="22">
        <f>_xlfn.XLOOKUP($B53,[1]Billing!$Q$5:$Q$40,[1]Billing!$AD$5:$AD$40)</f>
        <v>11478764</v>
      </c>
      <c r="Q102" s="37">
        <f t="shared" si="9"/>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0"/>
        <v>9816608.449158743</v>
      </c>
      <c r="P103" s="22">
        <f>_xlfn.XLOOKUP($B54,[1]Billing!$Q$5:$Q$40,[1]Billing!$AD$5:$AD$40)</f>
        <v>9609871</v>
      </c>
      <c r="Q103" s="37">
        <f t="shared" si="9"/>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0"/>
        <v>1626380.7607900514</v>
      </c>
      <c r="P104" s="22">
        <f>_xlfn.XLOOKUP($B55,[1]Billing!$Q$5:$Q$40,[1]Billing!$AD$5:$AD$40)</f>
        <v>1526321</v>
      </c>
      <c r="Q104" s="37">
        <f t="shared" si="9"/>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0"/>
        <v>7403071.5069495253</v>
      </c>
      <c r="P105" s="22">
        <f>_xlfn.XLOOKUP($B56,[1]Billing!$Q$5:$Q$40,[1]Billing!$AD$5:$AD$40)</f>
        <v>7402540</v>
      </c>
      <c r="Q105" s="37">
        <f t="shared" si="9"/>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0"/>
        <v>1909464.1550841257</v>
      </c>
      <c r="P106" s="22">
        <f>_xlfn.XLOOKUP($B57,[1]Billing!$Q$5:$Q$40,[1]Billing!$AD$5:$AD$40)</f>
        <v>1908190</v>
      </c>
      <c r="Q106" s="37">
        <f t="shared" si="9"/>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0"/>
        <v>255724.21360643749</v>
      </c>
      <c r="P107" s="22">
        <f>_xlfn.XLOOKUP($B58,[1]Billing!$Q$5:$Q$40,[1]Billing!$AD$5:$AD$40)</f>
        <v>130000</v>
      </c>
      <c r="Q107" s="37">
        <f t="shared" si="9"/>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0"/>
        <v>4157159.8390636435</v>
      </c>
      <c r="P108" s="22">
        <f>_xlfn.XLOOKUP($B59,[1]Billing!$Q$5:$Q$40,[1]Billing!$AD$5:$AD$40)</f>
        <v>4146179</v>
      </c>
      <c r="Q108" s="37">
        <f t="shared" si="9"/>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0"/>
        <v>6637699.3416239955</v>
      </c>
      <c r="P109" s="22">
        <f>_xlfn.XLOOKUP($B60,[1]Billing!$Q$5:$Q$40,[1]Billing!$AD$5:$AD$40)</f>
        <v>6545761</v>
      </c>
      <c r="Q109" s="37">
        <f t="shared" si="9"/>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0"/>
        <v>1214045.3547915143</v>
      </c>
      <c r="P110" s="22">
        <f>_xlfn.XLOOKUP($B61,[1]Billing!$Q$5:$Q$40,[1]Billing!$AD$5:$AD$40)</f>
        <v>1214045</v>
      </c>
      <c r="Q110" s="37">
        <f t="shared" si="9"/>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0"/>
        <v>483851.49963423557</v>
      </c>
      <c r="P111" s="22">
        <f>_xlfn.XLOOKUP($B62,[1]Billing!$Q$5:$Q$40,[1]Billing!$AD$5:$AD$40)</f>
        <v>480000</v>
      </c>
      <c r="Q111" s="37">
        <f t="shared" si="9"/>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0"/>
        <v>89155.084125822978</v>
      </c>
      <c r="P112" s="22">
        <f>_xlfn.XLOOKUP($B63,[1]Billing!$Q$5:$Q$40,[1]Billing!$AD$5:$AD$40)</f>
        <v>95000</v>
      </c>
      <c r="Q112" s="37">
        <f t="shared" si="9"/>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0"/>
        <v>594404.71836137539</v>
      </c>
      <c r="P113" s="22">
        <f>_xlfn.XLOOKUP($B64,[1]Billing!$Q$5:$Q$40,[1]Billing!$AD$5:$AD$40)</f>
        <v>594405</v>
      </c>
      <c r="Q113" s="37">
        <f t="shared" si="9"/>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0"/>
        <v>6091484.0892465264</v>
      </c>
      <c r="P114" s="22">
        <f>_xlfn.XLOOKUP($B65,[1]Billing!$Q$5:$Q$40,[1]Billing!$AD$5:$AD$40)</f>
        <v>6024187</v>
      </c>
      <c r="Q114" s="37">
        <f t="shared" si="9"/>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0"/>
        <v>836016.82516459411</v>
      </c>
      <c r="P115" s="22">
        <f>_xlfn.XLOOKUP($B66,[1]Billing!$Q$5:$Q$40,[1]Billing!$AD$5:$AD$40)</f>
        <v>835660</v>
      </c>
      <c r="Q115" s="37">
        <f t="shared" si="9"/>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0"/>
        <v>4213776.5179224582</v>
      </c>
      <c r="P116" s="22">
        <f>_xlfn.XLOOKUP($B67,[1]Billing!$Q$5:$Q$40,[1]Billing!$AD$5:$AD$40)</f>
        <v>4417830</v>
      </c>
      <c r="Q116" s="37">
        <f t="shared" si="9"/>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0"/>
        <v>3269779.6269202633</v>
      </c>
      <c r="P117" s="22">
        <f>_xlfn.XLOOKUP($B68,[1]Billing!$Q$5:$Q$40,[1]Billing!$AD$5:$AD$40)</f>
        <v>3296025</v>
      </c>
      <c r="Q117" s="37">
        <f t="shared" si="9"/>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0"/>
        <v>3656896.4886613023</v>
      </c>
      <c r="P118" s="22">
        <f>_xlfn.XLOOKUP($B69,[1]Billing!$Q$5:$Q$40,[1]Billing!$AD$5:$AD$40)</f>
        <v>3625137</v>
      </c>
      <c r="Q118" s="37">
        <f t="shared" si="9"/>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0"/>
        <v>424323.335771763</v>
      </c>
      <c r="P119" s="22">
        <f>_xlfn.XLOOKUP($B70,[1]Billing!$Q$5:$Q$40,[1]Billing!$AD$5:$AD$40)</f>
        <v>424323</v>
      </c>
      <c r="Q119" s="37">
        <f t="shared" si="9"/>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0"/>
        <v>1454844.5501097296</v>
      </c>
      <c r="P120" s="22">
        <f>_xlfn.XLOOKUP($B71,[1]Billing!$Q$5:$Q$40,[1]Billing!$AD$5:$AD$40)</f>
        <v>1415500</v>
      </c>
      <c r="Q120" s="37">
        <f t="shared" si="9"/>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0"/>
        <v>124561.08266276518</v>
      </c>
      <c r="P121" s="22">
        <f>_xlfn.XLOOKUP($B72,[1]Billing!$Q$5:$Q$40,[1]Billing!$AD$5:$AD$40)</f>
        <v>124560</v>
      </c>
      <c r="Q121" s="37">
        <f t="shared" si="9"/>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0"/>
        <v>385138.07607900514</v>
      </c>
      <c r="P122" s="22">
        <f>_xlfn.XLOOKUP($B73,[1]Billing!$Q$5:$Q$40,[1]Billing!$AD$5:$AD$40)</f>
        <v>250000</v>
      </c>
      <c r="Q122" s="37">
        <f t="shared" si="9"/>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0"/>
        <v>151504.2062911485</v>
      </c>
      <c r="P123" s="22">
        <f>_xlfn.XLOOKUP($B74,[1]Billing!$Q$5:$Q$40,[1]Billing!$AD$5:$AD$40)</f>
        <v>0</v>
      </c>
      <c r="Q123" s="37">
        <f t="shared" si="9"/>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0"/>
        <v>2089305.9619604978</v>
      </c>
      <c r="P124" s="22">
        <f>_xlfn.XLOOKUP($B75,[1]Billing!$Q$5:$Q$40,[1]Billing!$AD$5:$AD$40)</f>
        <v>1300000</v>
      </c>
      <c r="Q124" s="37">
        <f t="shared" si="9"/>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0"/>
        <v>595924.46964155091</v>
      </c>
      <c r="P125" s="22">
        <f>_xlfn.XLOOKUP($B76,[1]Billing!$Q$5:$Q$40,[1]Billing!$AD$5:$AD$40)</f>
        <v>550000</v>
      </c>
      <c r="Q125" s="37">
        <f t="shared" si="9"/>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0"/>
        <v>636460.3145574251</v>
      </c>
      <c r="P126" s="22">
        <f>_xlfn.XLOOKUP($B77,[1]Billing!$Q$5:$Q$40,[1]Billing!$AD$5:$AD$40)</f>
        <v>636000</v>
      </c>
      <c r="Q126" s="37">
        <f t="shared" si="9"/>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0"/>
        <v>15855.888807607902</v>
      </c>
      <c r="P127" s="22">
        <f>_xlfn.XLOOKUP($B78,[1]Billing!$Q$5:$Q$40,[1]Billing!$AD$5:$AD$40)</f>
        <v>15855</v>
      </c>
      <c r="Q127" s="37">
        <f t="shared" si="9"/>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0"/>
        <v>#N/A</v>
      </c>
      <c r="P128" s="22" t="e">
        <f>_xlfn.XLOOKUP($B79,[1]Billing!$Q$5:$Q$40,[1]Billing!$AD$5:$AD$40)</f>
        <v>#N/A</v>
      </c>
      <c r="Q128" s="37" t="e">
        <f t="shared" si="9"/>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1">G129+H129+I129+J129+K129+L129+M129</f>
        <v>#N/A</v>
      </c>
      <c r="P129" s="22" t="e">
        <f>_xlfn.XLOOKUP($B80,[1]Billing!$Q$5:$Q$40,[1]Billing!$AD$5:$AD$40)</f>
        <v>#N/A</v>
      </c>
      <c r="Q129" s="37" t="e">
        <f t="shared" ref="Q129:Q132" si="12">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1"/>
        <v>#N/A</v>
      </c>
      <c r="P130" s="22" t="e">
        <f>_xlfn.XLOOKUP($B81,[1]Billing!$Q$5:$Q$40,[1]Billing!$AD$5:$AD$40)</f>
        <v>#N/A</v>
      </c>
      <c r="Q130" s="37" t="e">
        <f t="shared" si="12"/>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1"/>
        <v>#N/A</v>
      </c>
      <c r="P131" s="22" t="e">
        <f>_xlfn.XLOOKUP($B82,[1]Billing!$Q$5:$Q$40,[1]Billing!$AD$5:$AD$40)</f>
        <v>#N/A</v>
      </c>
      <c r="Q131" s="37" t="e">
        <f t="shared" si="12"/>
        <v>#N/A</v>
      </c>
    </row>
    <row r="132" spans="2:17" x14ac:dyDescent="0.3">
      <c r="C132" s="22">
        <f>_xlfn.XLOOKUP($B83,[1]Billing!$Q$5:$Q$40,[1]Billing!$R$5:$R$40)</f>
        <v>0</v>
      </c>
      <c r="D132" s="22">
        <f>_xlfn.XLOOKUP($B83,[1]Billing!$Q$5:$Q$40,[1]Billing!$S$5:$S$40)</f>
        <v>0</v>
      </c>
      <c r="E132" s="22">
        <f>_xlfn.XLOOKUP($B83,[1]Billing!$Q$5:$Q$40,[1]Billing!$T$5:$T$40)</f>
        <v>0</v>
      </c>
      <c r="F132" s="22">
        <f>_xlfn.XLOOKUP($B83,[1]Billing!$Q$5:$Q$40,[1]Billing!$U$5:$U$40)</f>
        <v>0</v>
      </c>
      <c r="G132" s="22">
        <f>_xlfn.XLOOKUP($B83,[1]Billing!$Q$5:$Q$40,[1]Billing!$V$5:$V$40)</f>
        <v>0</v>
      </c>
      <c r="H132" s="22">
        <f>_xlfn.XLOOKUP($B83,[1]Billing!$Q$5:$Q$40,[1]Billing!$W$5:$W$40)</f>
        <v>0</v>
      </c>
      <c r="I132" s="22">
        <f>_xlfn.XLOOKUP($B83,[1]Billing!$Q$5:$Q$40,[1]Billing!$X$5:$X$40)</f>
        <v>0</v>
      </c>
      <c r="J132" s="22">
        <f>_xlfn.XLOOKUP($B83,[1]Billing!$Q$5:$Q$40,[1]Billing!$Y$5:$Y$40)</f>
        <v>0</v>
      </c>
      <c r="K132">
        <f>_xlfn.XLOOKUP($B83,[1]Billing!$Q$5:$Q$40,[1]Billing!$Z$5:$Z$40)</f>
        <v>0</v>
      </c>
      <c r="L132">
        <f>_xlfn.XLOOKUP($B83,[1]Billing!$Q$5:$Q$40,[1]Billing!$AA$5:$AA$40)</f>
        <v>0</v>
      </c>
      <c r="M132">
        <f>_xlfn.XLOOKUP($B83,[1]Billing!$Q$5:$Q$40,[1]Billing!$AB$5:$AB$40)</f>
        <v>0</v>
      </c>
      <c r="O132" s="39">
        <f t="shared" si="11"/>
        <v>0</v>
      </c>
      <c r="P132" s="22">
        <f>_xlfn.XLOOKUP($B83,[1]Billing!$Q$5:$Q$40,[1]Billing!$AD$5:$AD$40)</f>
        <v>0</v>
      </c>
      <c r="Q132" s="37">
        <f t="shared" si="12"/>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7"/>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7">_xlfn.UNIQUE(Table1[Party Name])</f>
        <v>BSC</v>
      </c>
    </row>
    <row r="5" spans="2:10" x14ac:dyDescent="0.3">
      <c r="J5" t="str">
        <v>Ejaz Sahab</v>
      </c>
    </row>
    <row r="6" spans="2:10" ht="21" x14ac:dyDescent="0.4">
      <c r="B6" s="64" t="s">
        <v>628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544000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1345.6474030724494</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9" sqref="C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9234835</v>
      </c>
      <c r="D4" t="s">
        <v>189</v>
      </c>
      <c r="E4" s="43">
        <f ca="1">Table12[[#This Row],[Amount]]/Table1[[#Totals],[tiyar/meters]]</f>
        <v>4.5469575366722577</v>
      </c>
    </row>
    <row r="5" spans="1:5" x14ac:dyDescent="0.3">
      <c r="B5" t="s">
        <v>48</v>
      </c>
      <c r="C5" s="11">
        <f>SUM(Table8[Price])+(301660)</f>
        <v>1766540</v>
      </c>
      <c r="E5" s="43">
        <f ca="1">Table12[[#This Row],[Amount]]/Table1[[#Totals],[tiyar/meters]]</f>
        <v>0.86979164942665577</v>
      </c>
    </row>
    <row r="6" spans="1:5" x14ac:dyDescent="0.3">
      <c r="B6" t="s">
        <v>49</v>
      </c>
      <c r="C6" s="11">
        <f>SUM(Table2[Price])</f>
        <v>848450</v>
      </c>
      <c r="D6" t="s">
        <v>188</v>
      </c>
      <c r="E6" s="43">
        <f ca="1">Table12[[#This Row],[Amount]]/Table1[[#Totals],[tiyar/meters]]</f>
        <v>0.4177514944218903</v>
      </c>
    </row>
    <row r="7" spans="1:5" x14ac:dyDescent="0.3">
      <c r="B7" t="s">
        <v>50</v>
      </c>
      <c r="C7" s="11">
        <f>SUMIFS(Table14[Debit], Table14[Party],Table12[[#This Row],[Type]])</f>
        <v>86380</v>
      </c>
      <c r="E7" s="43">
        <f ca="1">Table12[[#This Row],[Amount]]/Table1[[#Totals],[tiyar/meters]]</f>
        <v>4.2530937695990194E-2</v>
      </c>
    </row>
    <row r="8" spans="1:5" x14ac:dyDescent="0.3">
      <c r="B8" t="s">
        <v>51</v>
      </c>
      <c r="C8" s="11">
        <f>Electricity!E5</f>
        <v>3500011</v>
      </c>
      <c r="E8" s="43">
        <f ca="1">Table12[[#This Row],[Amount]]/Table1[[#Totals],[tiyar/meters]]</f>
        <v>1.7233011087784249</v>
      </c>
    </row>
    <row r="9" spans="1:5" x14ac:dyDescent="0.3">
      <c r="B9" t="s">
        <v>52</v>
      </c>
      <c r="C9" s="11">
        <f>SUMIFS(Table14[Debit], Table14[Party],Table12[[#This Row],[Type]])+SUMIFS(Table14[Debit], Table14[Party],"Advance Salary")</f>
        <v>3861423</v>
      </c>
      <c r="E9" s="43">
        <f ca="1">Table12[[#This Row],[Amount]]/Table1[[#Totals],[tiyar/meters]]</f>
        <v>1.9012496067476679</v>
      </c>
    </row>
    <row r="10" spans="1:5" x14ac:dyDescent="0.3">
      <c r="B10" t="s">
        <v>53</v>
      </c>
      <c r="C10" s="11">
        <f>Table5[[#Totals],[Amount]]</f>
        <v>240140</v>
      </c>
      <c r="E10" s="43">
        <f ca="1">Table12[[#This Row],[Amount]]/Table1[[#Totals],[tiyar/meters]]</f>
        <v>0.11823777932756524</v>
      </c>
    </row>
    <row r="11" spans="1:5" x14ac:dyDescent="0.3">
      <c r="B11" t="s">
        <v>54</v>
      </c>
      <c r="C11" s="11">
        <f>Table13[[#Totals],[Debit]]</f>
        <v>126926</v>
      </c>
      <c r="E11" s="43">
        <f ca="1">Table12[[#This Row],[Amount]]/Table1[[#Totals],[tiyar/meters]]</f>
        <v>6.2494579740695201E-2</v>
      </c>
    </row>
    <row r="12" spans="1:5" x14ac:dyDescent="0.3">
      <c r="B12" t="s">
        <v>55</v>
      </c>
      <c r="C12" s="11">
        <f>Table15[[#Totals],[Amount]]</f>
        <v>1046485</v>
      </c>
      <c r="E12" s="43">
        <f ca="1">Table12[[#This Row],[Amount]]/Table1[[#Totals],[tiyar/meters]]</f>
        <v>0.51525802656619935</v>
      </c>
    </row>
    <row r="13" spans="1:5" x14ac:dyDescent="0.3">
      <c r="C13" s="11"/>
      <c r="E13" s="43">
        <f ca="1">Table12[[#This Row],[Amount]]/Table1[[#Totals],[tiyar/meters]]</f>
        <v>0</v>
      </c>
    </row>
    <row r="14" spans="1:5" x14ac:dyDescent="0.3">
      <c r="C14" s="14">
        <f>SUM(Table12[Amount])</f>
        <v>20711190</v>
      </c>
      <c r="E14" s="43">
        <f ca="1">SUM(Table12[cost per meter])</f>
        <v>10.197572719377346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6" sqref="C6"/>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22912020.848573517</v>
      </c>
    </row>
    <row r="4" spans="1:3" x14ac:dyDescent="0.3">
      <c r="B4" s="11" t="s">
        <v>44</v>
      </c>
      <c r="C4" s="11">
        <f>Table12[[#Totals],[Amount]]</f>
        <v>20711190</v>
      </c>
    </row>
    <row r="5" spans="1:3" x14ac:dyDescent="0.3">
      <c r="A5" s="6"/>
      <c r="B5" s="15" t="s">
        <v>68</v>
      </c>
      <c r="C5" s="15">
        <f>C3-C4</f>
        <v>2200830.8485735171</v>
      </c>
    </row>
    <row r="10" spans="1:3" ht="15" thickBot="1" x14ac:dyDescent="0.35">
      <c r="B10" t="s">
        <v>66</v>
      </c>
      <c r="C10" s="14" t="s">
        <v>67</v>
      </c>
    </row>
    <row r="11" spans="1:3" x14ac:dyDescent="0.3">
      <c r="B11" s="56" t="s">
        <v>0</v>
      </c>
      <c r="C11" s="57">
        <f>C3</f>
        <v>22912020.848573517</v>
      </c>
    </row>
    <row r="12" spans="1:3" x14ac:dyDescent="0.3">
      <c r="B12" s="58" t="s">
        <v>69</v>
      </c>
      <c r="C12" s="59">
        <f>SUM(Table14[Credit])</f>
        <v>33131701.229517192</v>
      </c>
    </row>
    <row r="13" spans="1:3" ht="15" thickBot="1" x14ac:dyDescent="0.35">
      <c r="B13" s="74" t="s">
        <v>93</v>
      </c>
      <c r="C13" s="73">
        <f>(C11-C12)</f>
        <v>-10219680.380943675</v>
      </c>
    </row>
    <row r="14" spans="1:3" ht="15" thickBot="1" x14ac:dyDescent="0.35">
      <c r="B14" s="58"/>
      <c r="C14" s="59"/>
    </row>
    <row r="15" spans="1:3" x14ac:dyDescent="0.3">
      <c r="B15" s="56" t="s">
        <v>44</v>
      </c>
      <c r="C15" s="57">
        <f>C4</f>
        <v>20711190</v>
      </c>
    </row>
    <row r="16" spans="1:3" x14ac:dyDescent="0.3">
      <c r="B16" s="58" t="s">
        <v>70</v>
      </c>
      <c r="C16" s="59">
        <f>SUM(Table14[Debit])</f>
        <v>33096568.399999999</v>
      </c>
    </row>
    <row r="17" spans="2:6" ht="15" thickBot="1" x14ac:dyDescent="0.35">
      <c r="B17" s="74" t="s">
        <v>71</v>
      </c>
      <c r="C17" s="73">
        <f>C15-C16</f>
        <v>-12385378.399999999</v>
      </c>
    </row>
    <row r="18" spans="2:6" ht="15" thickBot="1" x14ac:dyDescent="0.35">
      <c r="B18" s="58"/>
      <c r="C18" s="59"/>
    </row>
    <row r="19" spans="2:6" ht="15" thickBot="1" x14ac:dyDescent="0.35">
      <c r="B19" s="75" t="s">
        <v>72</v>
      </c>
      <c r="C19" s="76">
        <f>Table18[[#Totals],[amount]]</f>
        <v>42646.829517193139</v>
      </c>
    </row>
    <row r="20" spans="2:6" ht="15" thickBot="1" x14ac:dyDescent="0.35">
      <c r="B20" s="71"/>
      <c r="C20" s="72"/>
    </row>
    <row r="21" spans="2:6" ht="15" thickBot="1" x14ac:dyDescent="0.35">
      <c r="B21" s="60" t="s">
        <v>73</v>
      </c>
      <c r="C21" s="61">
        <f>(C13-C17)+C19</f>
        <v>2208344.8485735171</v>
      </c>
      <c r="E21" s="79" t="s">
        <v>74</v>
      </c>
      <c r="F21" s="125">
        <f>C5*0.05</f>
        <v>110041.54242867586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4"/>
  <sheetViews>
    <sheetView topLeftCell="A193" zoomScale="107" zoomScaleNormal="107" workbookViewId="0">
      <selection activeCell="L220" sqref="L22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5">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30.441906200185073</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22">
        <v>46130</v>
      </c>
      <c r="B196" s="120" t="s">
        <v>377</v>
      </c>
      <c r="C196" s="117">
        <v>1634</v>
      </c>
      <c r="D196" s="117" t="s">
        <v>85</v>
      </c>
      <c r="E196" s="11">
        <v>2158</v>
      </c>
      <c r="F196" s="11">
        <v>29532</v>
      </c>
      <c r="G196" s="11">
        <v>31473</v>
      </c>
      <c r="H196" s="118">
        <f>_xlfn.XLOOKUP(Table1[[#This Row],[Shipment Number]], 'pivot '!A:A,'pivot '!G:G, "NF")</f>
        <v>2.5488921989175992</v>
      </c>
      <c r="I196" s="119">
        <f>Table1[[#This Row],[Tiyaar/gaz]]/1.0936</f>
        <v>28779.261155815657</v>
      </c>
      <c r="J196" s="119"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17"/>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657</v>
      </c>
      <c r="C200" s="117">
        <v>1638</v>
      </c>
      <c r="D200" s="117" t="s">
        <v>85</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152715.80102414047</v>
      </c>
      <c r="K200" s="117"/>
    </row>
    <row r="201" spans="1:11" x14ac:dyDescent="0.3">
      <c r="A201" s="122">
        <v>46133</v>
      </c>
      <c r="B201" s="120" t="s">
        <v>657</v>
      </c>
      <c r="C201" s="117">
        <v>1639</v>
      </c>
      <c r="D201" s="117" t="s">
        <v>85</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51655.084125822978</v>
      </c>
      <c r="K201" s="117"/>
    </row>
    <row r="202" spans="1:11" x14ac:dyDescent="0.3">
      <c r="A202" s="122">
        <v>46133</v>
      </c>
      <c r="B202" s="120" t="s">
        <v>21</v>
      </c>
      <c r="C202" s="117">
        <v>1640</v>
      </c>
      <c r="D202" s="117" t="s">
        <v>85</v>
      </c>
      <c r="E202" s="11" t="s">
        <v>658</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89.750291153865618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659</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660</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7.4313821769604544</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7.4313821769604544</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c r="B214"/>
      <c r="C214"/>
      <c r="D214"/>
      <c r="E214" s="14"/>
      <c r="F214" s="14"/>
      <c r="G214" s="14"/>
      <c r="H214" s="43"/>
      <c r="I214" s="93" cm="1">
        <f t="array" aca="1" ref="I214" ca="1">SUMPRODUCT( SUBTOTAL(109, OFFSET(Table1[tiyar/meters], ROW(Table1[tiyar/meters])-MIN(ROW(Table1[tiyar/meters])), 0, 1)), --(Table1[Bill Number]&lt;&gt;"January Closing CF") )</f>
        <v>2030992.1360643755</v>
      </c>
      <c r="J214" s="43" cm="1">
        <f t="array" aca="1" ref="J214" ca="1">SUMPRODUCT( SUBTOTAL(109, OFFSET(Table1[billing], ROW(Table1[billing])-MIN(ROW(Table1[billing])), 0, 1)), --(Table1[Bill Number]&lt;&gt;"January Closing CF") )</f>
        <v>23116391.733723495</v>
      </c>
      <c r="K214" s="14">
        <f>SUMIFS(Table1[billing], Table1[Bill Number], "&lt;&gt;January Closing CF")</f>
        <v>23116391.733723495</v>
      </c>
    </row>
  </sheetData>
  <phoneticPr fontId="7" alignment="center"/>
  <conditionalFormatting sqref="H2:H214">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47" zoomScale="145" zoomScaleNormal="90" workbookViewId="0">
      <selection activeCell="B63" sqref="B6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8424835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6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213</v>
      </c>
      <c r="N48" s="14">
        <v>207675</v>
      </c>
      <c r="O48" s="14"/>
      <c r="P48" s="14">
        <v>207675</v>
      </c>
    </row>
    <row r="49" spans="1:16" x14ac:dyDescent="0.3">
      <c r="A49" s="1">
        <v>46126</v>
      </c>
      <c r="B49" t="s">
        <v>218</v>
      </c>
      <c r="D49" s="11">
        <v>229</v>
      </c>
      <c r="E49" s="11">
        <v>950</v>
      </c>
      <c r="F49" s="11"/>
      <c r="G49" s="11">
        <f t="shared" si="2"/>
        <v>217550</v>
      </c>
      <c r="H49" s="11"/>
      <c r="I49" s="11">
        <f>(D49*E49)-Table3[[#This Row],[Paid]]</f>
        <v>217550</v>
      </c>
      <c r="L49" s="42" t="s">
        <v>103</v>
      </c>
      <c r="M49" s="14">
        <v>213</v>
      </c>
      <c r="N49" s="14">
        <v>207675</v>
      </c>
      <c r="O49" s="14"/>
      <c r="P49" s="14">
        <v>207675</v>
      </c>
    </row>
    <row r="50" spans="1:16" x14ac:dyDescent="0.3">
      <c r="A50" s="1">
        <v>46127</v>
      </c>
      <c r="B50" t="s">
        <v>169</v>
      </c>
      <c r="D50" s="11">
        <v>213</v>
      </c>
      <c r="E50" s="11">
        <v>975</v>
      </c>
      <c r="F50" s="11"/>
      <c r="G50" s="11">
        <f t="shared" si="2"/>
        <v>207675</v>
      </c>
      <c r="H50" s="11"/>
      <c r="I50" s="11">
        <f>(D50*E50)-Table3[[#This Row],[Paid]]</f>
        <v>207675</v>
      </c>
      <c r="L50" s="26">
        <v>46131</v>
      </c>
      <c r="M50" s="14">
        <v>962</v>
      </c>
      <c r="N50" s="14">
        <v>771740</v>
      </c>
      <c r="O50" s="14"/>
      <c r="P50" s="14">
        <v>771740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771740</v>
      </c>
      <c r="O51" s="14"/>
      <c r="P51" s="14">
        <v>771740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t="s">
        <v>28</v>
      </c>
      <c r="M54" s="14">
        <v>9203</v>
      </c>
      <c r="N54" s="14">
        <v>7027325</v>
      </c>
      <c r="O54" s="14">
        <v>0</v>
      </c>
      <c r="P54" s="14">
        <v>11081351</v>
      </c>
    </row>
    <row r="55" spans="1:16" x14ac:dyDescent="0.3">
      <c r="A55" s="1"/>
      <c r="D55" s="11"/>
      <c r="E55" s="11"/>
      <c r="F55" s="11"/>
      <c r="G55" s="11">
        <f t="shared" si="3"/>
        <v>0</v>
      </c>
      <c r="H55" s="11"/>
      <c r="I55" s="11">
        <f>(D55*E55)-Table3[[#This Row],[Paid]]</f>
        <v>0</v>
      </c>
    </row>
    <row r="56" spans="1:16" x14ac:dyDescent="0.3">
      <c r="A56" s="1">
        <v>46131</v>
      </c>
      <c r="B56" t="s">
        <v>196</v>
      </c>
      <c r="D56" s="11">
        <v>210</v>
      </c>
      <c r="E56" s="11">
        <v>960</v>
      </c>
      <c r="F56" s="11"/>
      <c r="G56" s="11">
        <f t="shared" si="2"/>
        <v>201600</v>
      </c>
      <c r="H56" s="11"/>
      <c r="I56" s="11">
        <f>(D56*E56)-Table3[[#This Row],[Paid]]</f>
        <v>201600</v>
      </c>
    </row>
    <row r="57" spans="1:16" x14ac:dyDescent="0.3">
      <c r="A57" s="1">
        <v>46131</v>
      </c>
      <c r="B57" t="s">
        <v>218</v>
      </c>
      <c r="D57" s="11">
        <v>203</v>
      </c>
      <c r="E57" s="11">
        <v>700</v>
      </c>
      <c r="F57" s="11">
        <v>48800</v>
      </c>
      <c r="G57" s="11">
        <f t="shared" si="2"/>
        <v>142100</v>
      </c>
      <c r="H57" s="11"/>
      <c r="I57" s="11">
        <f>(D57*E57)-Table3[[#This Row],[Paid]]</f>
        <v>142100</v>
      </c>
    </row>
    <row r="58" spans="1:16" x14ac:dyDescent="0.3">
      <c r="A58" s="1">
        <v>46131</v>
      </c>
      <c r="B58" t="s">
        <v>224</v>
      </c>
      <c r="D58" s="11">
        <v>261</v>
      </c>
      <c r="E58" s="11">
        <v>1000</v>
      </c>
      <c r="F58" s="11">
        <v>48500</v>
      </c>
      <c r="G58" s="11">
        <f t="shared" si="2"/>
        <v>261000</v>
      </c>
      <c r="H58" s="11"/>
      <c r="I58" s="11">
        <f>(D58*E58)-Table3[[#This Row],[Paid]]</f>
        <v>261000</v>
      </c>
    </row>
    <row r="59" spans="1:16" x14ac:dyDescent="0.3">
      <c r="A59" s="1">
        <v>46131</v>
      </c>
      <c r="B59" t="s">
        <v>641</v>
      </c>
      <c r="D59" s="11">
        <v>288</v>
      </c>
      <c r="E59" s="11">
        <v>1100</v>
      </c>
      <c r="F59" s="11">
        <v>25000</v>
      </c>
      <c r="G59" s="11">
        <f t="shared" si="2"/>
        <v>316800</v>
      </c>
      <c r="H59" s="11"/>
      <c r="I59" s="11">
        <f>(D59*E59)-Table3[[#This Row],[Paid]]</f>
        <v>316800</v>
      </c>
    </row>
    <row r="60" spans="1:16" x14ac:dyDescent="0.3">
      <c r="A60" s="1">
        <v>46130</v>
      </c>
      <c r="B60" t="s">
        <v>169</v>
      </c>
      <c r="D60" s="11">
        <v>192</v>
      </c>
      <c r="E60" s="11">
        <v>975</v>
      </c>
      <c r="F60" s="11"/>
      <c r="G60" s="11">
        <f t="shared" si="2"/>
        <v>187200</v>
      </c>
      <c r="H60" s="11"/>
      <c r="I60" s="11">
        <f>(D60*E60)-Table3[[#This Row],[Paid]]</f>
        <v>187200</v>
      </c>
    </row>
    <row r="61" spans="1:16" x14ac:dyDescent="0.3">
      <c r="A61" s="1">
        <v>46133</v>
      </c>
      <c r="B61" t="s">
        <v>196</v>
      </c>
      <c r="D61" s="11">
        <v>208</v>
      </c>
      <c r="E61" s="11">
        <v>960</v>
      </c>
      <c r="F61" s="11"/>
      <c r="G61" s="11">
        <f t="shared" si="2"/>
        <v>199680</v>
      </c>
      <c r="H61" s="11"/>
      <c r="I61" s="11">
        <f>(D61*E61)-Table3[[#This Row],[Paid]]</f>
        <v>199680</v>
      </c>
    </row>
    <row r="62" spans="1:16" x14ac:dyDescent="0.3">
      <c r="A62" s="1">
        <v>46135</v>
      </c>
      <c r="B62" t="s">
        <v>641</v>
      </c>
      <c r="D62" s="11">
        <v>278</v>
      </c>
      <c r="E62" s="11">
        <v>1100</v>
      </c>
      <c r="F62" s="11">
        <v>30000</v>
      </c>
      <c r="G62" s="11">
        <f t="shared" si="2"/>
        <v>305800</v>
      </c>
      <c r="H62" s="11"/>
      <c r="I62" s="11">
        <f>(D62*E62)-Table3[[#This Row],[Paid]]</f>
        <v>305800</v>
      </c>
    </row>
    <row r="63" spans="1:16" x14ac:dyDescent="0.3">
      <c r="A63" s="1">
        <v>46135</v>
      </c>
      <c r="B63" t="s">
        <v>224</v>
      </c>
      <c r="D63" s="11">
        <v>357</v>
      </c>
      <c r="E63" s="11">
        <v>1060</v>
      </c>
      <c r="F63" s="11">
        <v>70000</v>
      </c>
      <c r="G63" s="11">
        <f t="shared" si="2"/>
        <v>378420</v>
      </c>
      <c r="H63" s="11"/>
      <c r="I63" s="11">
        <f>(D63*E63)-Table3[[#This Row],[Paid]]</f>
        <v>378420</v>
      </c>
    </row>
    <row r="64" spans="1:16" x14ac:dyDescent="0.3">
      <c r="A64" s="1"/>
      <c r="D64" s="11"/>
      <c r="E64" s="11"/>
      <c r="F64" s="11"/>
      <c r="G64" s="11">
        <f t="shared" si="2"/>
        <v>0</v>
      </c>
      <c r="H64" s="11"/>
      <c r="I64" s="11">
        <f>(D64*E64)-Table3[[#This Row],[Paid]]</f>
        <v>0</v>
      </c>
    </row>
    <row r="65" spans="1:9" x14ac:dyDescent="0.3">
      <c r="A65" s="1"/>
      <c r="D65" s="11"/>
      <c r="E65" s="11"/>
      <c r="F65" s="11"/>
      <c r="G65" s="11">
        <f t="shared" si="2"/>
        <v>0</v>
      </c>
      <c r="H65" s="11"/>
      <c r="I65" s="11">
        <f>(D65*E65)-Table3[[#This Row],[Paid]]</f>
        <v>0</v>
      </c>
    </row>
    <row r="66" spans="1:9" x14ac:dyDescent="0.3">
      <c r="A66" s="1"/>
      <c r="D66" s="11"/>
      <c r="E66" s="11"/>
      <c r="F66" s="11"/>
      <c r="G66" s="11">
        <f t="shared" si="2"/>
        <v>0</v>
      </c>
      <c r="H66" s="11"/>
      <c r="I66" s="11">
        <f>(D66*E66)-Table3[[#This Row],[Paid]]</f>
        <v>0</v>
      </c>
    </row>
    <row r="67" spans="1:9" x14ac:dyDescent="0.3">
      <c r="A67" s="1"/>
      <c r="D67" s="11"/>
      <c r="E67" s="11"/>
      <c r="F67" s="11"/>
      <c r="G67" s="11">
        <f t="shared" si="2"/>
        <v>0</v>
      </c>
      <c r="H67" s="11"/>
      <c r="I67" s="11">
        <f>(D67*E67)-Table3[[#This Row],[Paid]]</f>
        <v>0</v>
      </c>
    </row>
    <row r="68" spans="1:9" x14ac:dyDescent="0.3">
      <c r="A68" s="1"/>
      <c r="D68" s="11"/>
      <c r="E68" s="11"/>
      <c r="F68" s="11"/>
      <c r="G68" s="11">
        <f t="shared" si="2"/>
        <v>0</v>
      </c>
      <c r="H68" s="11"/>
      <c r="I68" s="11">
        <f>(D68*E68)-Table3[[#This Row],[Paid]]</f>
        <v>0</v>
      </c>
    </row>
    <row r="69" spans="1:9" x14ac:dyDescent="0.3">
      <c r="A69" s="1"/>
      <c r="D69" s="11"/>
      <c r="E69" s="11"/>
      <c r="F69" s="11"/>
      <c r="G69" s="11">
        <f t="shared" si="2"/>
        <v>0</v>
      </c>
      <c r="H69" s="11"/>
      <c r="I69" s="11">
        <f>(D69*E69)-Table3[[#This Row],[Paid]]</f>
        <v>0</v>
      </c>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c r="H77" s="11"/>
      <c r="I77" s="11"/>
    </row>
    <row r="78" spans="1:9" x14ac:dyDescent="0.3">
      <c r="A78" s="1"/>
      <c r="D78" s="11"/>
      <c r="E78" s="11"/>
      <c r="F78" s="11"/>
      <c r="G78" s="11"/>
      <c r="H78" s="11"/>
      <c r="I78" s="11"/>
    </row>
    <row r="79" spans="1:9" x14ac:dyDescent="0.3">
      <c r="A79" s="1"/>
      <c r="D79" s="11"/>
      <c r="E79" s="11"/>
      <c r="F79" s="11"/>
      <c r="G79" s="11"/>
      <c r="H79" s="11"/>
      <c r="I79" s="11"/>
    </row>
    <row r="80" spans="1:9" x14ac:dyDescent="0.3">
      <c r="A80" s="1"/>
      <c r="D80" s="11"/>
      <c r="E80" s="11"/>
      <c r="F80" s="11"/>
      <c r="G80" s="11"/>
      <c r="H80" s="11"/>
      <c r="I80" s="11"/>
    </row>
    <row r="81" spans="1:9" x14ac:dyDescent="0.3">
      <c r="A81" s="1"/>
      <c r="D81" s="11"/>
      <c r="E81" s="11"/>
      <c r="F81" s="11"/>
      <c r="G81" s="11">
        <f t="shared" ref="G81:G86" si="4">D81*E81</f>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ref="G87:G125" si="5">D87*E87</f>
        <v>0</v>
      </c>
      <c r="H87" s="11"/>
      <c r="I87" s="11">
        <f>(D87*E87)-Table3[[#This Row],[Paid]]</f>
        <v>0</v>
      </c>
    </row>
    <row r="88" spans="1:9" x14ac:dyDescent="0.3">
      <c r="A88" s="1"/>
      <c r="D88" s="11"/>
      <c r="E88" s="11"/>
      <c r="F88" s="11"/>
      <c r="G88" s="11">
        <f t="shared" si="5"/>
        <v>0</v>
      </c>
      <c r="H88" s="11"/>
      <c r="I88" s="11">
        <f>(D88*E88)-Table3[[#This Row],[Paid]]</f>
        <v>0</v>
      </c>
    </row>
    <row r="89" spans="1:9" x14ac:dyDescent="0.3">
      <c r="A89" s="1"/>
      <c r="D89" s="11"/>
      <c r="E89" s="11"/>
      <c r="F89" s="11"/>
      <c r="G89" s="11">
        <f t="shared" si="5"/>
        <v>0</v>
      </c>
      <c r="H89" s="11"/>
      <c r="I89" s="11">
        <f>(D89*E89)-Table3[[#This Row],[Paid]]</f>
        <v>0</v>
      </c>
    </row>
    <row r="90" spans="1:9" x14ac:dyDescent="0.3">
      <c r="A90" s="1"/>
      <c r="D90" s="11"/>
      <c r="E90" s="11"/>
      <c r="F90" s="11"/>
      <c r="G90" s="11">
        <f t="shared" si="5"/>
        <v>0</v>
      </c>
      <c r="H90" s="11"/>
      <c r="I90" s="11">
        <f>(D90*E90)-Table3[[#This Row],[Paid]]</f>
        <v>0</v>
      </c>
    </row>
    <row r="91" spans="1:9" x14ac:dyDescent="0.3">
      <c r="A91" s="1"/>
      <c r="D91" s="11"/>
      <c r="E91" s="11"/>
      <c r="F91" s="11"/>
      <c r="G91" s="11">
        <f t="shared" si="5"/>
        <v>0</v>
      </c>
      <c r="H91" s="11"/>
      <c r="I91" s="11">
        <f>(D91*E91)-Table3[[#This Row],[Paid]]</f>
        <v>0</v>
      </c>
    </row>
    <row r="92" spans="1:9" x14ac:dyDescent="0.3">
      <c r="A92" s="1"/>
      <c r="D92" s="11"/>
      <c r="E92" s="11"/>
      <c r="F92" s="11"/>
      <c r="G92" s="11">
        <f t="shared" si="5"/>
        <v>0</v>
      </c>
      <c r="H92" s="11"/>
      <c r="I92" s="11">
        <f>(D92*E92)-Table3[[#This Row],[Paid]]</f>
        <v>0</v>
      </c>
    </row>
    <row r="93" spans="1:9" x14ac:dyDescent="0.3">
      <c r="A93" s="1"/>
      <c r="D93" s="11"/>
      <c r="E93" s="11"/>
      <c r="F93" s="11"/>
      <c r="G93" s="11">
        <f t="shared" si="5"/>
        <v>0</v>
      </c>
      <c r="H93" s="11"/>
      <c r="I93" s="11">
        <f>(D93*E93)-Table3[[#This Row],[Paid]]</f>
        <v>0</v>
      </c>
    </row>
    <row r="94" spans="1:9" x14ac:dyDescent="0.3">
      <c r="A94" s="1"/>
      <c r="D94" s="11"/>
      <c r="E94" s="11"/>
      <c r="F94" s="11"/>
      <c r="G94" s="11">
        <f t="shared" si="5"/>
        <v>0</v>
      </c>
      <c r="H94" s="11"/>
      <c r="I94" s="11">
        <f>(D94*E94)-Table3[[#This Row],[Paid]]</f>
        <v>0</v>
      </c>
    </row>
    <row r="95" spans="1:9" x14ac:dyDescent="0.3">
      <c r="A95" s="1"/>
      <c r="D95" s="11"/>
      <c r="E95" s="11"/>
      <c r="F95" s="11"/>
      <c r="G95" s="11">
        <f t="shared" si="5"/>
        <v>0</v>
      </c>
      <c r="H95" s="11"/>
      <c r="I95" s="11">
        <f>(D95*E95)-Table3[[#This Row],[Paid]]</f>
        <v>0</v>
      </c>
    </row>
    <row r="96" spans="1:9" x14ac:dyDescent="0.3">
      <c r="A96" s="1"/>
      <c r="D96" s="11"/>
      <c r="E96" s="11"/>
      <c r="F96" s="11"/>
      <c r="G96" s="11">
        <f t="shared" si="5"/>
        <v>0</v>
      </c>
      <c r="H96" s="11"/>
      <c r="I96" s="11">
        <f>(D96*E96)-Table3[[#This Row],[Paid]]</f>
        <v>0</v>
      </c>
    </row>
    <row r="97" spans="1:9" x14ac:dyDescent="0.3">
      <c r="A97" s="1"/>
      <c r="D97" s="11"/>
      <c r="E97" s="11"/>
      <c r="F97" s="11"/>
      <c r="G97" s="11">
        <f t="shared" si="5"/>
        <v>0</v>
      </c>
      <c r="H97" s="11"/>
      <c r="I97" s="11">
        <f>(D97*E97)-Table3[[#This Row],[Paid]]</f>
        <v>0</v>
      </c>
    </row>
    <row r="98" spans="1:9" x14ac:dyDescent="0.3">
      <c r="A98" s="1"/>
      <c r="D98" s="11"/>
      <c r="E98" s="11"/>
      <c r="F98" s="11"/>
      <c r="G98" s="11">
        <f t="shared" si="5"/>
        <v>0</v>
      </c>
      <c r="H98" s="11"/>
      <c r="I98" s="11">
        <f>(D98*E98)-Table3[[#This Row],[Paid]]</f>
        <v>0</v>
      </c>
    </row>
    <row r="99" spans="1:9" x14ac:dyDescent="0.3">
      <c r="A99" s="1"/>
      <c r="D99" s="11"/>
      <c r="E99" s="11"/>
      <c r="F99" s="11"/>
      <c r="G99" s="11">
        <f t="shared" si="5"/>
        <v>0</v>
      </c>
      <c r="H99" s="11"/>
      <c r="I99" s="11">
        <f>(D99*E99)-Table3[[#This Row],[Paid]]</f>
        <v>0</v>
      </c>
    </row>
    <row r="100" spans="1:9" x14ac:dyDescent="0.3">
      <c r="A100" s="1"/>
      <c r="D100" s="11"/>
      <c r="E100" s="11"/>
      <c r="F100" s="11"/>
      <c r="G100" s="11">
        <f t="shared" si="5"/>
        <v>0</v>
      </c>
      <c r="H100" s="11"/>
      <c r="I100" s="11">
        <f>(D100*E100)-Table3[[#This Row],[Paid]]</f>
        <v>0</v>
      </c>
    </row>
    <row r="101" spans="1:9" x14ac:dyDescent="0.3">
      <c r="A101" s="1"/>
      <c r="D101" s="11"/>
      <c r="E101" s="11"/>
      <c r="F101" s="11"/>
      <c r="G101" s="11">
        <f t="shared" si="5"/>
        <v>0</v>
      </c>
      <c r="H101" s="11"/>
      <c r="I101" s="11">
        <f>(D101*E101)-Table3[[#This Row],[Paid]]</f>
        <v>0</v>
      </c>
    </row>
    <row r="102" spans="1:9" x14ac:dyDescent="0.3">
      <c r="A102" s="1"/>
      <c r="D102" s="11"/>
      <c r="E102" s="11"/>
      <c r="F102" s="11"/>
      <c r="G102" s="11">
        <f t="shared" si="5"/>
        <v>0</v>
      </c>
      <c r="H102" s="11"/>
      <c r="I102" s="11">
        <f>(D102*E102)-Table3[[#This Row],[Paid]]</f>
        <v>0</v>
      </c>
    </row>
    <row r="103" spans="1:9" x14ac:dyDescent="0.3">
      <c r="A103" s="1"/>
      <c r="D103" s="11"/>
      <c r="E103" s="11"/>
      <c r="F103" s="11"/>
      <c r="G103" s="11">
        <f t="shared" si="5"/>
        <v>0</v>
      </c>
      <c r="H103" s="11"/>
      <c r="I103" s="11">
        <f>(D103*E103)-Table3[[#This Row],[Paid]]</f>
        <v>0</v>
      </c>
    </row>
    <row r="104" spans="1:9" x14ac:dyDescent="0.3">
      <c r="A104" s="1"/>
      <c r="D104" s="11"/>
      <c r="E104" s="11"/>
      <c r="F104" s="11"/>
      <c r="G104" s="11">
        <f t="shared" si="5"/>
        <v>0</v>
      </c>
      <c r="H104" s="11"/>
      <c r="I104" s="11">
        <f>(D104*E104)-Table3[[#This Row],[Paid]]</f>
        <v>0</v>
      </c>
    </row>
    <row r="105" spans="1:9" x14ac:dyDescent="0.3">
      <c r="A105" s="1"/>
      <c r="D105" s="11"/>
      <c r="E105" s="11"/>
      <c r="F105" s="11"/>
      <c r="G105" s="11">
        <f t="shared" si="5"/>
        <v>0</v>
      </c>
      <c r="H105" s="11"/>
      <c r="I105" s="11">
        <f>(D105*E105)-Table3[[#This Row],[Paid]]</f>
        <v>0</v>
      </c>
    </row>
    <row r="106" spans="1:9" x14ac:dyDescent="0.3">
      <c r="A106" s="1"/>
      <c r="D106" s="11"/>
      <c r="E106" s="11"/>
      <c r="F106" s="11"/>
      <c r="G106" s="11">
        <f t="shared" si="5"/>
        <v>0</v>
      </c>
      <c r="H106" s="11"/>
      <c r="I106" s="11">
        <f>(D106*E106)-Table3[[#This Row],[Paid]]</f>
        <v>0</v>
      </c>
    </row>
    <row r="107" spans="1:9" x14ac:dyDescent="0.3">
      <c r="A107" s="1"/>
      <c r="D107" s="11"/>
      <c r="E107" s="11"/>
      <c r="F107" s="11"/>
      <c r="G107" s="11">
        <f t="shared" si="5"/>
        <v>0</v>
      </c>
      <c r="H107" s="11"/>
      <c r="I107" s="11">
        <f>(D107*E107)-Table3[[#This Row],[Paid]]</f>
        <v>0</v>
      </c>
    </row>
    <row r="108" spans="1:9" x14ac:dyDescent="0.3">
      <c r="A108" s="1"/>
      <c r="D108" s="11"/>
      <c r="E108" s="11"/>
      <c r="F108" s="11"/>
      <c r="G108" s="11">
        <f t="shared" si="5"/>
        <v>0</v>
      </c>
      <c r="H108" s="11"/>
      <c r="I108" s="11">
        <f>(D108*E108)-Table3[[#This Row],[Paid]]</f>
        <v>0</v>
      </c>
    </row>
    <row r="109" spans="1:9" x14ac:dyDescent="0.3">
      <c r="A109" s="1"/>
      <c r="D109" s="11"/>
      <c r="E109" s="11"/>
      <c r="F109" s="11"/>
      <c r="G109" s="11">
        <f t="shared" si="5"/>
        <v>0</v>
      </c>
      <c r="H109" s="11"/>
      <c r="I109" s="11">
        <f>(D109*E109)-Table3[[#This Row],[Paid]]</f>
        <v>0</v>
      </c>
    </row>
    <row r="110" spans="1:9" x14ac:dyDescent="0.3">
      <c r="A110" s="1"/>
      <c r="D110" s="11"/>
      <c r="E110" s="11"/>
      <c r="F110" s="11"/>
      <c r="G110" s="11">
        <f t="shared" si="5"/>
        <v>0</v>
      </c>
      <c r="H110" s="11"/>
      <c r="I110" s="11">
        <f>(D110*E110)-Table3[[#This Row],[Paid]]</f>
        <v>0</v>
      </c>
    </row>
    <row r="111" spans="1:9" x14ac:dyDescent="0.3">
      <c r="A111" s="1"/>
      <c r="D111" s="11"/>
      <c r="E111" s="11"/>
      <c r="F111" s="11"/>
      <c r="G111" s="11">
        <f t="shared" si="5"/>
        <v>0</v>
      </c>
      <c r="H111" s="11"/>
      <c r="I111" s="11">
        <f>(D111*E111)-Table3[[#This Row],[Paid]]</f>
        <v>0</v>
      </c>
    </row>
    <row r="112" spans="1:9" x14ac:dyDescent="0.3">
      <c r="A112" s="1"/>
      <c r="D112" s="11"/>
      <c r="E112" s="11"/>
      <c r="F112" s="11"/>
      <c r="G112" s="11">
        <f t="shared" si="5"/>
        <v>0</v>
      </c>
      <c r="H112" s="11"/>
      <c r="I112" s="11">
        <f>(D112*E112)-Table3[[#This Row],[Paid]]</f>
        <v>0</v>
      </c>
    </row>
    <row r="113" spans="1:9" x14ac:dyDescent="0.3">
      <c r="A113" s="1"/>
      <c r="D113" s="11"/>
      <c r="E113" s="11"/>
      <c r="F113" s="11"/>
      <c r="G113" s="11">
        <f t="shared" si="5"/>
        <v>0</v>
      </c>
      <c r="H113" s="11"/>
      <c r="I113" s="11">
        <f>(D113*E113)-Table3[[#This Row],[Paid]]</f>
        <v>0</v>
      </c>
    </row>
    <row r="114" spans="1:9" x14ac:dyDescent="0.3">
      <c r="A114" s="1"/>
      <c r="D114" s="11"/>
      <c r="E114" s="11"/>
      <c r="F114" s="11"/>
      <c r="G114" s="11">
        <f t="shared" si="5"/>
        <v>0</v>
      </c>
      <c r="H114" s="11"/>
      <c r="I114" s="11">
        <f>(D114*E114)-Table3[[#This Row],[Paid]]</f>
        <v>0</v>
      </c>
    </row>
    <row r="115" spans="1:9" x14ac:dyDescent="0.3">
      <c r="A115" s="1"/>
      <c r="D115" s="11"/>
      <c r="E115" s="11"/>
      <c r="F115" s="11"/>
      <c r="G115" s="11">
        <f t="shared" si="5"/>
        <v>0</v>
      </c>
      <c r="H115" s="11"/>
      <c r="I115" s="11">
        <f>(D115*E115)-Table3[[#This Row],[Paid]]</f>
        <v>0</v>
      </c>
    </row>
    <row r="116" spans="1:9" x14ac:dyDescent="0.3">
      <c r="A116" s="1"/>
      <c r="D116" s="11"/>
      <c r="E116" s="11"/>
      <c r="F116" s="11"/>
      <c r="G116" s="11">
        <f t="shared" si="5"/>
        <v>0</v>
      </c>
      <c r="H116" s="11"/>
      <c r="I116" s="11">
        <f>(D116*E116)-Table3[[#This Row],[Paid]]</f>
        <v>0</v>
      </c>
    </row>
    <row r="117" spans="1:9" x14ac:dyDescent="0.3">
      <c r="A117" s="1"/>
      <c r="D117" s="11"/>
      <c r="E117" s="11"/>
      <c r="F117" s="11"/>
      <c r="G117" s="11">
        <f t="shared" si="5"/>
        <v>0</v>
      </c>
      <c r="H117" s="11"/>
      <c r="I117" s="11">
        <f>(D117*E117)-Table3[[#This Row],[Paid]]</f>
        <v>0</v>
      </c>
    </row>
    <row r="118" spans="1:9" x14ac:dyDescent="0.3">
      <c r="A118" s="1"/>
      <c r="D118" s="11"/>
      <c r="E118" s="11"/>
      <c r="F118" s="11"/>
      <c r="G118" s="11">
        <f t="shared" si="5"/>
        <v>0</v>
      </c>
      <c r="H118" s="11"/>
      <c r="I118" s="11">
        <f>(D118*E118)-Table3[[#This Row],[Paid]]</f>
        <v>0</v>
      </c>
    </row>
    <row r="119" spans="1:9" x14ac:dyDescent="0.3">
      <c r="A119" s="1"/>
      <c r="D119" s="11"/>
      <c r="E119" s="11"/>
      <c r="F119" s="11"/>
      <c r="G119" s="11">
        <f t="shared" si="5"/>
        <v>0</v>
      </c>
      <c r="H119" s="11"/>
      <c r="I119" s="11">
        <f>(D119*E119)-Table3[[#This Row],[Paid]]</f>
        <v>0</v>
      </c>
    </row>
    <row r="120" spans="1:9" x14ac:dyDescent="0.3">
      <c r="A120" s="1"/>
      <c r="D120" s="11"/>
      <c r="E120" s="11"/>
      <c r="F120" s="11"/>
      <c r="G120" s="11">
        <f t="shared" si="5"/>
        <v>0</v>
      </c>
      <c r="H120" s="11"/>
      <c r="I120" s="11">
        <f>(D120*E120)-Table3[[#This Row],[Paid]]</f>
        <v>0</v>
      </c>
    </row>
    <row r="121" spans="1:9" x14ac:dyDescent="0.3">
      <c r="A121" s="1"/>
      <c r="D121" s="11"/>
      <c r="E121" s="11"/>
      <c r="F121" s="11"/>
      <c r="G121" s="11">
        <f t="shared" si="5"/>
        <v>0</v>
      </c>
      <c r="H121" s="11"/>
      <c r="I121" s="11">
        <f>(D121*E121)-Table3[[#This Row],[Paid]]</f>
        <v>0</v>
      </c>
    </row>
    <row r="122" spans="1:9" x14ac:dyDescent="0.3">
      <c r="A122" s="1"/>
      <c r="D122" s="11"/>
      <c r="E122" s="11"/>
      <c r="F122" s="11"/>
      <c r="G122" s="11">
        <f t="shared" si="5"/>
        <v>0</v>
      </c>
      <c r="H122" s="11"/>
      <c r="I122" s="11">
        <f>(D122*E122)-Table3[[#This Row],[Paid]]</f>
        <v>0</v>
      </c>
    </row>
    <row r="123" spans="1:9" x14ac:dyDescent="0.3">
      <c r="A123" s="1"/>
      <c r="D123" s="11"/>
      <c r="E123" s="11"/>
      <c r="F123" s="11"/>
      <c r="G123" s="11">
        <f t="shared" si="5"/>
        <v>0</v>
      </c>
      <c r="H123" s="11"/>
      <c r="I123" s="11">
        <f>(D123*E123)-Table3[[#This Row],[Paid]]</f>
        <v>0</v>
      </c>
    </row>
    <row r="124" spans="1:9" x14ac:dyDescent="0.3">
      <c r="A124" s="1"/>
      <c r="D124" s="11"/>
      <c r="E124" s="11"/>
      <c r="F124" s="11"/>
      <c r="G124" s="11">
        <f t="shared" si="5"/>
        <v>0</v>
      </c>
      <c r="H124" s="11"/>
      <c r="I124" s="11">
        <f>(D124*E124)-Table3[[#This Row],[Paid]]</f>
        <v>0</v>
      </c>
    </row>
    <row r="125" spans="1:9" x14ac:dyDescent="0.3">
      <c r="A125" s="1"/>
      <c r="D125" s="11"/>
      <c r="E125" s="11"/>
      <c r="F125" s="11"/>
      <c r="G125" s="11">
        <f t="shared" si="5"/>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8424835</v>
      </c>
      <c r="H127" s="14">
        <f>SUBTOTAL(109,Table3[Paid])</f>
        <v>0</v>
      </c>
      <c r="I127" s="14">
        <f>SUBTOTAL(109,Table3[balance])</f>
        <v>12478861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648"/>
  <sheetViews>
    <sheetView tabSelected="1" zoomScale="106" zoomScaleNormal="70" workbookViewId="0">
      <selection activeCell="A648" sqref="A64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33096568.399999999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33131701.229517192</v>
      </c>
      <c r="M5" s="45" t="s">
        <v>108</v>
      </c>
      <c r="N5" s="46">
        <f>(SUMIFS(Table14[Credit],Table14[Mode],"Bank")-SUMIFS(Table14[Debit],Table14[Mode],"Bank")-SUMIFS(Table14[Withdrawal],Table14[Mode],"Transfer"))</f>
        <v>653562.82951719314</v>
      </c>
      <c r="O5">
        <v>360000</v>
      </c>
    </row>
    <row r="6" spans="1:16" x14ac:dyDescent="0.3">
      <c r="A6" s="114">
        <v>46042</v>
      </c>
      <c r="B6" s="80" t="s">
        <v>221</v>
      </c>
      <c r="C6" s="11">
        <v>783072</v>
      </c>
      <c r="D6" s="86"/>
      <c r="E6" s="80" t="s">
        <v>223</v>
      </c>
      <c r="F6" s="87" t="s">
        <v>108</v>
      </c>
      <c r="J6" s="52" t="s">
        <v>43</v>
      </c>
      <c r="K6" s="53">
        <f>(K5-K4)</f>
        <v>35132.829517193139</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42646.829517193139</v>
      </c>
      <c r="O7" s="89">
        <f>SUM(O5,O6)</f>
        <v>410000</v>
      </c>
      <c r="P7" s="14">
        <f>Table18[[#Totals],[amount]]-Table18[[#Totals],[Actual]]</f>
        <v>-367353.17048280686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405000</v>
      </c>
      <c r="N164">
        <v>45600</v>
      </c>
      <c r="O164">
        <v>9200</v>
      </c>
    </row>
    <row r="165" spans="1:15" x14ac:dyDescent="0.3">
      <c r="A165" s="38">
        <v>46083</v>
      </c>
      <c r="B165" t="s">
        <v>282</v>
      </c>
      <c r="C165" s="11"/>
      <c r="D165" s="11"/>
      <c r="E165" t="s">
        <v>360</v>
      </c>
      <c r="F165" s="110" t="s">
        <v>108</v>
      </c>
      <c r="J165" s="4" t="s">
        <v>9</v>
      </c>
      <c r="K165" s="14">
        <v>1085000</v>
      </c>
      <c r="L165" s="14"/>
      <c r="N165">
        <v>49400</v>
      </c>
      <c r="O165">
        <v>45600</v>
      </c>
    </row>
    <row r="166" spans="1:15" x14ac:dyDescent="0.3">
      <c r="A166" s="38">
        <v>46083</v>
      </c>
      <c r="B166" t="s">
        <v>282</v>
      </c>
      <c r="C166" s="11"/>
      <c r="D166" s="11"/>
      <c r="E166" t="s">
        <v>361</v>
      </c>
      <c r="F166" s="110" t="s">
        <v>108</v>
      </c>
      <c r="J166" s="4" t="s">
        <v>117</v>
      </c>
      <c r="K166" s="14"/>
      <c r="L166" s="14">
        <v>179000</v>
      </c>
      <c r="N166">
        <v>37200</v>
      </c>
      <c r="O166">
        <v>30000</v>
      </c>
    </row>
    <row r="167" spans="1:15" x14ac:dyDescent="0.3">
      <c r="A167" s="38">
        <v>46083</v>
      </c>
      <c r="B167" t="s">
        <v>249</v>
      </c>
      <c r="C167" s="11">
        <v>7200</v>
      </c>
      <c r="D167" s="11"/>
      <c r="E167" t="s">
        <v>247</v>
      </c>
      <c r="F167" s="110" t="s">
        <v>108</v>
      </c>
      <c r="J167" s="4" t="s">
        <v>94</v>
      </c>
      <c r="K167" s="14"/>
      <c r="L167" s="14">
        <v>951077</v>
      </c>
      <c r="N167">
        <v>9200</v>
      </c>
      <c r="O167">
        <v>37200</v>
      </c>
    </row>
    <row r="168" spans="1:15" x14ac:dyDescent="0.3">
      <c r="A168" s="38">
        <v>46083</v>
      </c>
      <c r="B168" t="s">
        <v>169</v>
      </c>
      <c r="C168" s="11">
        <v>1000</v>
      </c>
      <c r="D168" s="11"/>
      <c r="E168" t="s">
        <v>341</v>
      </c>
      <c r="F168" s="110" t="s">
        <v>108</v>
      </c>
      <c r="J168" s="4" t="s">
        <v>246</v>
      </c>
      <c r="K168" s="14"/>
      <c r="L168" s="14">
        <v>86380</v>
      </c>
      <c r="N168">
        <v>50000</v>
      </c>
      <c r="O168">
        <v>49400</v>
      </c>
    </row>
    <row r="169" spans="1:15" x14ac:dyDescent="0.3">
      <c r="A169" s="38">
        <v>46083</v>
      </c>
      <c r="B169" t="s">
        <v>282</v>
      </c>
      <c r="C169" s="11"/>
      <c r="D169" s="11"/>
      <c r="F169" s="110" t="s">
        <v>108</v>
      </c>
      <c r="J169" s="4" t="s">
        <v>55</v>
      </c>
      <c r="K169" s="14"/>
      <c r="L169" s="14">
        <v>1046485</v>
      </c>
      <c r="N169">
        <v>60400</v>
      </c>
      <c r="O169">
        <v>60400</v>
      </c>
    </row>
    <row r="170" spans="1:15" x14ac:dyDescent="0.3">
      <c r="A170" s="38">
        <v>46083</v>
      </c>
      <c r="B170" t="s">
        <v>282</v>
      </c>
      <c r="C170" s="11"/>
      <c r="D170" s="11"/>
      <c r="E170" t="s">
        <v>362</v>
      </c>
      <c r="F170" s="110" t="s">
        <v>108</v>
      </c>
      <c r="J170" s="4" t="s">
        <v>113</v>
      </c>
      <c r="K170" s="14"/>
      <c r="L170" s="14">
        <v>240140</v>
      </c>
      <c r="N170">
        <v>30000</v>
      </c>
      <c r="O170">
        <v>50000</v>
      </c>
    </row>
    <row r="171" spans="1:15" x14ac:dyDescent="0.3">
      <c r="A171" s="38">
        <v>46083</v>
      </c>
      <c r="B171" t="s">
        <v>282</v>
      </c>
      <c r="C171" s="11"/>
      <c r="D171" s="11"/>
      <c r="E171" t="s">
        <v>363</v>
      </c>
      <c r="F171" s="110" t="s">
        <v>108</v>
      </c>
      <c r="J171" s="4" t="s">
        <v>282</v>
      </c>
      <c r="K171" s="14"/>
      <c r="L171" s="14">
        <v>3456423</v>
      </c>
      <c r="N171">
        <v>13670</v>
      </c>
      <c r="O171">
        <v>1000</v>
      </c>
    </row>
    <row r="172" spans="1:15" x14ac:dyDescent="0.3">
      <c r="A172" s="38">
        <v>46083</v>
      </c>
      <c r="B172" t="s">
        <v>357</v>
      </c>
      <c r="C172" s="11">
        <v>12000</v>
      </c>
      <c r="D172" s="11"/>
      <c r="E172" t="s">
        <v>360</v>
      </c>
      <c r="F172" s="110" t="s">
        <v>108</v>
      </c>
      <c r="J172" s="4" t="s">
        <v>54</v>
      </c>
      <c r="K172" s="14"/>
      <c r="L172" s="14">
        <v>233032.4</v>
      </c>
      <c r="N172">
        <v>18120</v>
      </c>
      <c r="O172">
        <v>35000</v>
      </c>
    </row>
    <row r="173" spans="1:15" x14ac:dyDescent="0.3">
      <c r="A173" s="38">
        <v>46083</v>
      </c>
      <c r="B173" t="s">
        <v>55</v>
      </c>
      <c r="C173" s="11">
        <v>20900</v>
      </c>
      <c r="D173" s="11"/>
      <c r="E173" t="s">
        <v>366</v>
      </c>
      <c r="F173" s="110" t="s">
        <v>108</v>
      </c>
      <c r="J173" s="4" t="s">
        <v>221</v>
      </c>
      <c r="K173" s="14">
        <v>0</v>
      </c>
      <c r="L173" s="14">
        <v>1009464</v>
      </c>
      <c r="N173">
        <v>7650</v>
      </c>
      <c r="O173">
        <v>29600</v>
      </c>
    </row>
    <row r="174" spans="1:15" x14ac:dyDescent="0.3">
      <c r="A174" s="38">
        <v>46083</v>
      </c>
      <c r="B174" t="s">
        <v>297</v>
      </c>
      <c r="C174" s="11">
        <v>23000</v>
      </c>
      <c r="D174" s="11"/>
      <c r="E174" t="s">
        <v>367</v>
      </c>
      <c r="F174" s="110" t="s">
        <v>108</v>
      </c>
      <c r="J174" s="4" t="s">
        <v>212</v>
      </c>
      <c r="K174" s="14">
        <v>1024890.7364667157</v>
      </c>
      <c r="L174" s="14">
        <v>409799</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103</v>
      </c>
      <c r="K176" s="14"/>
      <c r="L176" s="14"/>
      <c r="N176">
        <v>22650</v>
      </c>
      <c r="O176">
        <v>19200</v>
      </c>
    </row>
    <row r="177" spans="1:15" x14ac:dyDescent="0.3">
      <c r="A177" s="38">
        <v>46083</v>
      </c>
      <c r="B177" t="s">
        <v>225</v>
      </c>
      <c r="C177" s="11"/>
      <c r="D177" s="11">
        <v>100000</v>
      </c>
      <c r="E177" t="s">
        <v>369</v>
      </c>
      <c r="F177" s="110" t="s">
        <v>108</v>
      </c>
      <c r="J177" s="4" t="s">
        <v>409</v>
      </c>
      <c r="K177" s="14">
        <v>839000</v>
      </c>
      <c r="L177" s="14"/>
      <c r="N177">
        <v>22650</v>
      </c>
    </row>
    <row r="178" spans="1:15" x14ac:dyDescent="0.3">
      <c r="A178" s="38">
        <v>46083</v>
      </c>
      <c r="B178" t="s">
        <v>55</v>
      </c>
      <c r="C178" s="11">
        <v>1600</v>
      </c>
      <c r="D178" s="11"/>
      <c r="E178" t="s">
        <v>370</v>
      </c>
      <c r="F178" s="110" t="s">
        <v>108</v>
      </c>
      <c r="J178" s="4" t="s">
        <v>245</v>
      </c>
      <c r="K178" s="14">
        <v>1593080</v>
      </c>
      <c r="L178" s="14"/>
      <c r="N178">
        <v>24400</v>
      </c>
    </row>
    <row r="179" spans="1:15" x14ac:dyDescent="0.3">
      <c r="A179" s="38">
        <v>46083</v>
      </c>
      <c r="B179" t="s">
        <v>282</v>
      </c>
      <c r="C179" s="11"/>
      <c r="D179" s="11"/>
      <c r="E179" t="s">
        <v>371</v>
      </c>
      <c r="F179" s="110" t="s">
        <v>108</v>
      </c>
      <c r="J179" s="4" t="s">
        <v>115</v>
      </c>
      <c r="K179" s="14"/>
      <c r="L179" s="14">
        <v>790000</v>
      </c>
      <c r="N179">
        <v>15000</v>
      </c>
      <c r="O179">
        <v>20850</v>
      </c>
    </row>
    <row r="180" spans="1:15" x14ac:dyDescent="0.3">
      <c r="A180" s="38">
        <v>46083</v>
      </c>
      <c r="B180" t="s">
        <v>55</v>
      </c>
      <c r="C180" s="11">
        <v>2120</v>
      </c>
      <c r="D180" s="11"/>
      <c r="E180" t="s">
        <v>372</v>
      </c>
      <c r="F180" s="110" t="s">
        <v>108</v>
      </c>
      <c r="J180" s="4" t="s">
        <v>35</v>
      </c>
      <c r="K180" s="14">
        <v>923800</v>
      </c>
      <c r="L180" s="14"/>
      <c r="N180">
        <v>22650</v>
      </c>
      <c r="O180">
        <v>16630</v>
      </c>
    </row>
    <row r="181" spans="1:15" x14ac:dyDescent="0.3">
      <c r="A181" s="38">
        <v>46083</v>
      </c>
      <c r="B181" t="s">
        <v>357</v>
      </c>
      <c r="C181" s="11">
        <v>5000</v>
      </c>
      <c r="D181" s="11"/>
      <c r="E181" t="s">
        <v>373</v>
      </c>
      <c r="F181" s="110" t="s">
        <v>108</v>
      </c>
      <c r="J181" s="4" t="s">
        <v>422</v>
      </c>
      <c r="K181" s="14">
        <v>200000</v>
      </c>
      <c r="L181" s="14"/>
      <c r="N181">
        <v>25000</v>
      </c>
      <c r="O181">
        <v>16630</v>
      </c>
    </row>
    <row r="182" spans="1:15" x14ac:dyDescent="0.3">
      <c r="A182" s="38">
        <v>46083</v>
      </c>
      <c r="B182" t="s">
        <v>357</v>
      </c>
      <c r="C182" s="11">
        <v>10000</v>
      </c>
      <c r="D182" s="11"/>
      <c r="E182" t="s">
        <v>275</v>
      </c>
      <c r="F182" s="110" t="s">
        <v>108</v>
      </c>
      <c r="J182" s="4" t="s">
        <v>297</v>
      </c>
      <c r="K182" s="14"/>
      <c r="L182" s="14">
        <v>212125</v>
      </c>
      <c r="N182">
        <v>20000</v>
      </c>
      <c r="O182">
        <v>7650</v>
      </c>
    </row>
    <row r="183" spans="1:15" x14ac:dyDescent="0.3">
      <c r="A183" s="38">
        <v>46083</v>
      </c>
      <c r="B183" t="s">
        <v>220</v>
      </c>
      <c r="C183" s="11"/>
      <c r="D183" s="11">
        <v>175000</v>
      </c>
      <c r="E183" t="s">
        <v>374</v>
      </c>
      <c r="F183" s="110" t="s">
        <v>108</v>
      </c>
      <c r="J183" s="4" t="s">
        <v>169</v>
      </c>
      <c r="K183" s="14"/>
      <c r="L183" s="14">
        <v>2380860</v>
      </c>
      <c r="N183">
        <v>16650</v>
      </c>
      <c r="O183">
        <v>17000</v>
      </c>
    </row>
    <row r="184" spans="1:15" x14ac:dyDescent="0.3">
      <c r="A184" s="38">
        <v>46083</v>
      </c>
      <c r="B184" t="s">
        <v>222</v>
      </c>
      <c r="C184" s="95">
        <v>125000</v>
      </c>
      <c r="D184" s="95"/>
      <c r="E184" t="s">
        <v>375</v>
      </c>
      <c r="F184" s="110" t="s">
        <v>108</v>
      </c>
      <c r="J184" s="4" t="s">
        <v>273</v>
      </c>
      <c r="K184" s="14"/>
      <c r="L184" s="14">
        <v>251000</v>
      </c>
      <c r="N184">
        <v>29600</v>
      </c>
      <c r="O184">
        <v>16650</v>
      </c>
    </row>
    <row r="185" spans="1:15" x14ac:dyDescent="0.3">
      <c r="A185" s="38">
        <v>46083</v>
      </c>
      <c r="B185" t="s">
        <v>246</v>
      </c>
      <c r="C185" s="11">
        <v>430</v>
      </c>
      <c r="D185" s="11"/>
      <c r="E185" t="s">
        <v>376</v>
      </c>
      <c r="F185" s="110" t="s">
        <v>108</v>
      </c>
      <c r="J185" s="4" t="s">
        <v>220</v>
      </c>
      <c r="K185" s="14">
        <v>12369950</v>
      </c>
      <c r="L185" s="14">
        <v>9032508</v>
      </c>
      <c r="N185">
        <v>16630</v>
      </c>
      <c r="O185">
        <v>24400</v>
      </c>
    </row>
    <row r="186" spans="1:15" x14ac:dyDescent="0.3">
      <c r="A186" s="38">
        <v>46083</v>
      </c>
      <c r="B186" t="s">
        <v>221</v>
      </c>
      <c r="C186" s="95">
        <v>1000</v>
      </c>
      <c r="D186" s="95"/>
      <c r="E186" t="s">
        <v>350</v>
      </c>
      <c r="F186" s="110" t="s">
        <v>108</v>
      </c>
      <c r="J186" s="4" t="s">
        <v>165</v>
      </c>
      <c r="K186" s="14"/>
      <c r="L186" s="14">
        <v>185000</v>
      </c>
      <c r="N186">
        <v>16650</v>
      </c>
      <c r="O186">
        <v>15000</v>
      </c>
    </row>
    <row r="187" spans="1:15" x14ac:dyDescent="0.3">
      <c r="A187" s="38">
        <v>46083</v>
      </c>
      <c r="B187" t="s">
        <v>312</v>
      </c>
      <c r="C187" s="11"/>
      <c r="D187" s="11">
        <v>8701</v>
      </c>
      <c r="E187" t="s">
        <v>378</v>
      </c>
      <c r="F187" s="110" t="s">
        <v>108</v>
      </c>
      <c r="J187" s="4" t="s">
        <v>175</v>
      </c>
      <c r="K187" s="14">
        <v>704000</v>
      </c>
      <c r="L187" s="14"/>
      <c r="N187">
        <v>160000</v>
      </c>
      <c r="O187">
        <v>16650</v>
      </c>
    </row>
    <row r="188" spans="1:15" x14ac:dyDescent="0.3">
      <c r="A188" s="38">
        <v>46083</v>
      </c>
      <c r="B188" t="s">
        <v>54</v>
      </c>
      <c r="C188" s="11">
        <v>8701</v>
      </c>
      <c r="D188" s="11"/>
      <c r="E188" t="s">
        <v>267</v>
      </c>
      <c r="F188" s="110" t="s">
        <v>108</v>
      </c>
      <c r="J188" s="4" t="s">
        <v>176</v>
      </c>
      <c r="K188" s="14"/>
      <c r="L188" s="14">
        <v>401705</v>
      </c>
      <c r="N188">
        <v>17000</v>
      </c>
      <c r="O188">
        <v>13650</v>
      </c>
    </row>
    <row r="189" spans="1:15" x14ac:dyDescent="0.3">
      <c r="A189" s="38">
        <v>46083</v>
      </c>
      <c r="B189" t="s">
        <v>228</v>
      </c>
      <c r="C189" s="11"/>
      <c r="D189" s="11">
        <v>90000</v>
      </c>
      <c r="E189" t="s">
        <v>379</v>
      </c>
      <c r="F189" s="110" t="s">
        <v>108</v>
      </c>
      <c r="J189" s="4" t="s">
        <v>51</v>
      </c>
      <c r="K189" s="14"/>
      <c r="L189" s="14">
        <v>5722092</v>
      </c>
      <c r="N189">
        <v>19200</v>
      </c>
      <c r="O189">
        <v>12000</v>
      </c>
    </row>
    <row r="190" spans="1:15" x14ac:dyDescent="0.3">
      <c r="A190" s="38">
        <v>46083</v>
      </c>
      <c r="B190" t="s">
        <v>220</v>
      </c>
      <c r="C190" s="95">
        <v>90000</v>
      </c>
      <c r="D190" s="95"/>
      <c r="E190" t="s">
        <v>264</v>
      </c>
      <c r="F190" s="110" t="s">
        <v>108</v>
      </c>
      <c r="J190" s="4" t="s">
        <v>530</v>
      </c>
      <c r="K190" s="14"/>
      <c r="L190" s="14">
        <v>312000</v>
      </c>
      <c r="N190">
        <v>20000</v>
      </c>
      <c r="O190">
        <v>14000</v>
      </c>
    </row>
    <row r="191" spans="1:15" x14ac:dyDescent="0.3">
      <c r="A191" s="114">
        <v>46084</v>
      </c>
      <c r="B191" t="s">
        <v>9</v>
      </c>
      <c r="C191" s="11"/>
      <c r="D191" s="11">
        <v>60000</v>
      </c>
      <c r="E191" t="s">
        <v>385</v>
      </c>
      <c r="F191" s="110" t="s">
        <v>108</v>
      </c>
      <c r="J191" s="4" t="s">
        <v>294</v>
      </c>
      <c r="K191" s="14"/>
      <c r="L191" s="14">
        <v>21000</v>
      </c>
      <c r="N191">
        <v>20850</v>
      </c>
      <c r="O191">
        <v>25000</v>
      </c>
    </row>
    <row r="192" spans="1:15" x14ac:dyDescent="0.3">
      <c r="A192" s="38">
        <v>46084</v>
      </c>
      <c r="B192" t="s">
        <v>165</v>
      </c>
      <c r="C192" s="11">
        <v>2500</v>
      </c>
      <c r="D192" s="11"/>
      <c r="E192" t="s">
        <v>386</v>
      </c>
      <c r="F192" s="110" t="s">
        <v>108</v>
      </c>
      <c r="J192" s="4" t="s">
        <v>192</v>
      </c>
      <c r="K192" s="14">
        <v>208000</v>
      </c>
      <c r="L192" s="14"/>
      <c r="N192">
        <v>16650</v>
      </c>
      <c r="O192">
        <v>20000</v>
      </c>
    </row>
    <row r="193" spans="1:15" x14ac:dyDescent="0.3">
      <c r="A193" s="114">
        <v>46084</v>
      </c>
      <c r="B193" t="s">
        <v>257</v>
      </c>
      <c r="C193" s="11">
        <v>100000</v>
      </c>
      <c r="D193" s="11"/>
      <c r="E193" t="s">
        <v>387</v>
      </c>
      <c r="F193" s="110" t="s">
        <v>108</v>
      </c>
      <c r="J193" s="4" t="s">
        <v>190</v>
      </c>
      <c r="K193" s="14">
        <v>20340</v>
      </c>
      <c r="L193" s="14"/>
      <c r="N193">
        <v>14000</v>
      </c>
      <c r="O193">
        <v>25000</v>
      </c>
    </row>
    <row r="194" spans="1:15" x14ac:dyDescent="0.3">
      <c r="A194" s="114">
        <v>46084</v>
      </c>
      <c r="B194" t="s">
        <v>312</v>
      </c>
      <c r="C194" s="11"/>
      <c r="D194" s="11">
        <v>500000</v>
      </c>
      <c r="E194" t="s">
        <v>388</v>
      </c>
      <c r="F194" s="110" t="s">
        <v>108</v>
      </c>
      <c r="J194" s="4" t="s">
        <v>298</v>
      </c>
      <c r="K194" s="14"/>
      <c r="L194" s="14">
        <v>913684</v>
      </c>
      <c r="N194">
        <v>3900</v>
      </c>
      <c r="O194">
        <v>3900</v>
      </c>
    </row>
    <row r="195" spans="1:15" x14ac:dyDescent="0.3">
      <c r="A195" s="114">
        <v>46084</v>
      </c>
      <c r="B195" t="s">
        <v>55</v>
      </c>
      <c r="C195" s="11">
        <v>10500</v>
      </c>
      <c r="D195" s="11"/>
      <c r="E195" t="s">
        <v>389</v>
      </c>
      <c r="F195" s="110" t="s">
        <v>108</v>
      </c>
      <c r="J195" s="4" t="s">
        <v>277</v>
      </c>
      <c r="K195" s="14"/>
      <c r="L195" s="14">
        <v>274336</v>
      </c>
      <c r="N195">
        <v>35000</v>
      </c>
      <c r="O195">
        <v>18120</v>
      </c>
    </row>
    <row r="196" spans="1:15" x14ac:dyDescent="0.3">
      <c r="A196" s="38">
        <v>46084</v>
      </c>
      <c r="B196" t="s">
        <v>273</v>
      </c>
      <c r="C196" s="11">
        <v>150000</v>
      </c>
      <c r="D196" s="11"/>
      <c r="E196" t="s">
        <v>390</v>
      </c>
      <c r="F196" s="110" t="s">
        <v>108</v>
      </c>
      <c r="J196" s="4" t="s">
        <v>202</v>
      </c>
      <c r="K196" s="14">
        <v>135000</v>
      </c>
      <c r="L196" s="14"/>
      <c r="O196">
        <v>22650</v>
      </c>
    </row>
    <row r="197" spans="1:15" x14ac:dyDescent="0.3">
      <c r="A197" s="114">
        <v>46084</v>
      </c>
      <c r="B197" t="s">
        <v>222</v>
      </c>
      <c r="C197" s="11">
        <v>100210</v>
      </c>
      <c r="D197" s="11"/>
      <c r="E197" t="s">
        <v>391</v>
      </c>
      <c r="F197" s="110" t="s">
        <v>108</v>
      </c>
      <c r="J197" s="4" t="s">
        <v>211</v>
      </c>
      <c r="K197" s="14">
        <v>5281726</v>
      </c>
      <c r="L197" s="14"/>
      <c r="O197">
        <v>22650</v>
      </c>
    </row>
    <row r="198" spans="1:15" x14ac:dyDescent="0.3">
      <c r="A198" s="114">
        <v>46084</v>
      </c>
      <c r="B198" t="s">
        <v>312</v>
      </c>
      <c r="C198" s="11"/>
      <c r="D198" s="11">
        <v>500000</v>
      </c>
      <c r="E198" t="s">
        <v>392</v>
      </c>
      <c r="F198" s="110" t="s">
        <v>108</v>
      </c>
      <c r="J198" s="4" t="s">
        <v>222</v>
      </c>
      <c r="K198" s="14"/>
      <c r="L198" s="14">
        <v>2020650</v>
      </c>
      <c r="O198">
        <v>160000</v>
      </c>
    </row>
    <row r="199" spans="1:15" x14ac:dyDescent="0.3">
      <c r="A199" s="114">
        <v>46084</v>
      </c>
      <c r="B199" t="s">
        <v>113</v>
      </c>
      <c r="C199" s="11">
        <v>70415</v>
      </c>
      <c r="D199" s="11"/>
      <c r="E199" t="s">
        <v>216</v>
      </c>
      <c r="F199" s="110" t="s">
        <v>108</v>
      </c>
      <c r="J199" s="4" t="s">
        <v>228</v>
      </c>
      <c r="K199" s="14">
        <v>1140000</v>
      </c>
      <c r="L199" s="14"/>
    </row>
    <row r="200" spans="1:15" x14ac:dyDescent="0.3">
      <c r="A200" s="114">
        <v>46084</v>
      </c>
      <c r="B200" t="s">
        <v>169</v>
      </c>
      <c r="C200" s="11">
        <v>250000</v>
      </c>
      <c r="D200" s="11"/>
      <c r="E200" t="s">
        <v>393</v>
      </c>
      <c r="F200" s="110" t="s">
        <v>108</v>
      </c>
      <c r="J200" s="4" t="s">
        <v>477</v>
      </c>
      <c r="K200" s="14"/>
      <c r="L200" s="14">
        <v>187052</v>
      </c>
    </row>
    <row r="201" spans="1:15" x14ac:dyDescent="0.3">
      <c r="A201" s="114">
        <v>46084</v>
      </c>
      <c r="B201" t="s">
        <v>298</v>
      </c>
      <c r="C201" s="11">
        <v>150000</v>
      </c>
      <c r="D201" s="11"/>
      <c r="E201" t="s">
        <v>394</v>
      </c>
      <c r="F201" s="110" t="s">
        <v>108</v>
      </c>
      <c r="J201" s="4" t="s">
        <v>463</v>
      </c>
      <c r="K201" s="14">
        <v>40000</v>
      </c>
      <c r="L201" s="14"/>
    </row>
    <row r="202" spans="1:15" x14ac:dyDescent="0.3">
      <c r="A202" s="114">
        <v>46084</v>
      </c>
      <c r="B202" t="s">
        <v>222</v>
      </c>
      <c r="C202" s="11">
        <v>31000</v>
      </c>
      <c r="D202" s="11"/>
      <c r="E202" t="s">
        <v>242</v>
      </c>
      <c r="F202" s="110" t="s">
        <v>108</v>
      </c>
      <c r="J202" s="4" t="s">
        <v>249</v>
      </c>
      <c r="K202" s="14"/>
      <c r="L202" s="14">
        <v>219695</v>
      </c>
    </row>
    <row r="203" spans="1:15" x14ac:dyDescent="0.3">
      <c r="A203" s="114">
        <v>46084</v>
      </c>
      <c r="B203" t="s">
        <v>377</v>
      </c>
      <c r="C203" s="11"/>
      <c r="D203" s="11">
        <v>257000</v>
      </c>
      <c r="E203" t="s">
        <v>395</v>
      </c>
      <c r="F203" s="110" t="s">
        <v>108</v>
      </c>
      <c r="J203" s="4" t="s">
        <v>252</v>
      </c>
      <c r="K203" s="14"/>
      <c r="L203" s="14">
        <v>100000</v>
      </c>
    </row>
    <row r="204" spans="1:15" x14ac:dyDescent="0.3">
      <c r="A204" s="114">
        <v>46084</v>
      </c>
      <c r="B204" t="s">
        <v>212</v>
      </c>
      <c r="C204" s="11">
        <f>650+760</f>
        <v>1410</v>
      </c>
      <c r="D204" s="11"/>
      <c r="F204" s="110" t="s">
        <v>108</v>
      </c>
      <c r="J204" s="4" t="s">
        <v>257</v>
      </c>
      <c r="K204" s="14"/>
      <c r="L204" s="14">
        <v>221490</v>
      </c>
    </row>
    <row r="205" spans="1:15" x14ac:dyDescent="0.3">
      <c r="A205" s="114">
        <v>46084</v>
      </c>
      <c r="B205" t="s">
        <v>222</v>
      </c>
      <c r="C205" s="11">
        <v>18500</v>
      </c>
      <c r="D205" s="11"/>
      <c r="E205" t="s">
        <v>242</v>
      </c>
      <c r="F205" s="110" t="s">
        <v>108</v>
      </c>
      <c r="J205" s="4" t="s">
        <v>232</v>
      </c>
      <c r="K205" s="14">
        <v>169278</v>
      </c>
      <c r="L205" s="14"/>
    </row>
    <row r="206" spans="1:15" x14ac:dyDescent="0.3">
      <c r="A206" s="114">
        <v>46084</v>
      </c>
      <c r="B206" t="s">
        <v>249</v>
      </c>
      <c r="C206" s="11">
        <v>3600</v>
      </c>
      <c r="D206" s="11"/>
      <c r="E206" t="s">
        <v>247</v>
      </c>
      <c r="F206" s="110" t="s">
        <v>108</v>
      </c>
      <c r="J206" s="4" t="s">
        <v>312</v>
      </c>
      <c r="K206" s="14">
        <v>4436982.4930504756</v>
      </c>
      <c r="L206" s="14"/>
    </row>
    <row r="207" spans="1:15" x14ac:dyDescent="0.3">
      <c r="A207" s="114">
        <v>46084</v>
      </c>
      <c r="B207" t="s">
        <v>54</v>
      </c>
      <c r="C207" s="11">
        <v>5000</v>
      </c>
      <c r="D207" s="11"/>
      <c r="E207" t="s">
        <v>290</v>
      </c>
      <c r="F207" s="110" t="s">
        <v>108</v>
      </c>
      <c r="J207" s="4" t="s">
        <v>377</v>
      </c>
      <c r="K207" s="14">
        <v>544000</v>
      </c>
      <c r="L207" s="14"/>
    </row>
    <row r="208" spans="1:15" x14ac:dyDescent="0.3">
      <c r="A208" s="114">
        <v>46085</v>
      </c>
      <c r="B208" t="s">
        <v>228</v>
      </c>
      <c r="C208" s="11"/>
      <c r="D208" s="11">
        <v>100000</v>
      </c>
      <c r="E208" t="s">
        <v>365</v>
      </c>
      <c r="F208" s="110" t="s">
        <v>108</v>
      </c>
      <c r="J208" s="4" t="s">
        <v>226</v>
      </c>
      <c r="K208" s="14"/>
      <c r="L208" s="14">
        <v>142500</v>
      </c>
    </row>
    <row r="209" spans="1:12" x14ac:dyDescent="0.3">
      <c r="A209" s="114">
        <v>46085</v>
      </c>
      <c r="B209" t="s">
        <v>226</v>
      </c>
      <c r="C209" s="11">
        <v>84500</v>
      </c>
      <c r="D209" s="11"/>
      <c r="E209" t="s">
        <v>396</v>
      </c>
      <c r="F209" s="110" t="s">
        <v>108</v>
      </c>
      <c r="J209" s="4" t="s">
        <v>229</v>
      </c>
      <c r="K209" s="14"/>
      <c r="L209" s="14">
        <v>800000</v>
      </c>
    </row>
    <row r="210" spans="1:12" x14ac:dyDescent="0.3">
      <c r="A210" s="114">
        <v>46085</v>
      </c>
      <c r="B210" t="s">
        <v>222</v>
      </c>
      <c r="C210" s="11">
        <v>2000</v>
      </c>
      <c r="D210" s="11"/>
      <c r="E210" t="s">
        <v>341</v>
      </c>
      <c r="F210" s="110" t="s">
        <v>108</v>
      </c>
      <c r="J210" s="4" t="s">
        <v>444</v>
      </c>
      <c r="K210" s="14"/>
      <c r="L210" s="14">
        <v>10000</v>
      </c>
    </row>
    <row r="211" spans="1:12"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x14ac:dyDescent="0.3">
      <c r="A213" s="114">
        <v>46085</v>
      </c>
      <c r="B213" t="s">
        <v>55</v>
      </c>
      <c r="C213" s="11">
        <v>200000</v>
      </c>
      <c r="D213" s="11"/>
      <c r="E213" t="s">
        <v>397</v>
      </c>
      <c r="F213" s="110" t="s">
        <v>108</v>
      </c>
      <c r="J213" s="4" t="s">
        <v>546</v>
      </c>
      <c r="K213" s="14"/>
      <c r="L213" s="14">
        <v>150000</v>
      </c>
    </row>
    <row r="214" spans="1:12" x14ac:dyDescent="0.3">
      <c r="A214" s="114">
        <v>46085</v>
      </c>
      <c r="B214" t="s">
        <v>222</v>
      </c>
      <c r="C214" s="11">
        <v>140000</v>
      </c>
      <c r="D214" s="11"/>
      <c r="E214" t="s">
        <v>398</v>
      </c>
      <c r="F214" s="110" t="s">
        <v>108</v>
      </c>
      <c r="J214" s="4" t="s">
        <v>641</v>
      </c>
      <c r="K214" s="14"/>
      <c r="L214" s="14">
        <v>56000</v>
      </c>
    </row>
    <row r="215" spans="1:12" x14ac:dyDescent="0.3">
      <c r="A215" s="114">
        <v>46085</v>
      </c>
      <c r="B215" t="s">
        <v>55</v>
      </c>
      <c r="C215" s="11">
        <v>3900</v>
      </c>
      <c r="D215" s="11"/>
      <c r="F215" s="110" t="s">
        <v>108</v>
      </c>
      <c r="J215" s="4" t="s">
        <v>28</v>
      </c>
      <c r="K215" s="14">
        <v>32455630.229517188</v>
      </c>
      <c r="L215" s="14">
        <v>32420497.399999999</v>
      </c>
    </row>
    <row r="216" spans="1:12" x14ac:dyDescent="0.3">
      <c r="A216" s="114">
        <v>46085</v>
      </c>
      <c r="B216" t="s">
        <v>212</v>
      </c>
      <c r="C216" s="11">
        <v>3720</v>
      </c>
      <c r="D216" s="11"/>
      <c r="E216" t="s">
        <v>254</v>
      </c>
      <c r="F216" s="110" t="s">
        <v>108</v>
      </c>
    </row>
    <row r="217" spans="1:12" x14ac:dyDescent="0.3">
      <c r="A217" s="114">
        <v>46085</v>
      </c>
      <c r="B217" t="s">
        <v>55</v>
      </c>
      <c r="C217" s="95">
        <v>3500</v>
      </c>
      <c r="D217" s="95"/>
      <c r="E217" t="s">
        <v>400</v>
      </c>
      <c r="F217" s="110" t="s">
        <v>108</v>
      </c>
    </row>
    <row r="218" spans="1:12" x14ac:dyDescent="0.3">
      <c r="A218" s="114">
        <v>46085</v>
      </c>
      <c r="B218" t="s">
        <v>55</v>
      </c>
      <c r="C218" s="11">
        <v>1860</v>
      </c>
      <c r="D218" s="11"/>
      <c r="E218" t="s">
        <v>399</v>
      </c>
      <c r="F218" s="110" t="s">
        <v>108</v>
      </c>
    </row>
    <row r="219" spans="1:12" x14ac:dyDescent="0.3">
      <c r="A219" s="114">
        <v>46085</v>
      </c>
      <c r="B219" t="s">
        <v>212</v>
      </c>
      <c r="C219" s="11">
        <v>650</v>
      </c>
      <c r="D219" s="11"/>
      <c r="F219" s="110" t="s">
        <v>108</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14">
        <v>46123</v>
      </c>
      <c r="B478" t="s">
        <v>582</v>
      </c>
      <c r="C478" s="95"/>
      <c r="D478" s="95">
        <v>5965</v>
      </c>
      <c r="E478" t="s">
        <v>54</v>
      </c>
      <c r="F478" s="110" t="s">
        <v>108</v>
      </c>
      <c r="L478">
        <v>21000</v>
      </c>
      <c r="N478" s="19">
        <v>49200</v>
      </c>
    </row>
    <row r="479" spans="1:14" x14ac:dyDescent="0.3">
      <c r="A479" s="114">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137">
        <v>46127</v>
      </c>
      <c r="B525" s="138" t="s">
        <v>228</v>
      </c>
      <c r="C525" s="95"/>
      <c r="D525" s="95">
        <v>676071</v>
      </c>
      <c r="E525" s="138" t="s">
        <v>661</v>
      </c>
      <c r="F525" s="139" t="s">
        <v>108</v>
      </c>
      <c r="G525" s="138"/>
      <c r="I525">
        <v>32800</v>
      </c>
      <c r="J525">
        <v>4000</v>
      </c>
    </row>
    <row r="526" spans="1:10" x14ac:dyDescent="0.3">
      <c r="A526" s="137">
        <v>46127</v>
      </c>
      <c r="B526" s="138" t="s">
        <v>220</v>
      </c>
      <c r="C526" s="95">
        <v>676071</v>
      </c>
      <c r="D526" s="95"/>
      <c r="E526" s="138" t="s">
        <v>662</v>
      </c>
      <c r="F526" s="139" t="s">
        <v>108</v>
      </c>
      <c r="G526" s="138"/>
      <c r="I526">
        <v>8400</v>
      </c>
      <c r="J526">
        <v>8400</v>
      </c>
    </row>
    <row r="527" spans="1:10" x14ac:dyDescent="0.3">
      <c r="A527" s="38">
        <v>46128</v>
      </c>
      <c r="B527" t="s">
        <v>55</v>
      </c>
      <c r="C527" s="11">
        <v>27000</v>
      </c>
      <c r="D527" s="11"/>
      <c r="F527" s="110" t="s">
        <v>108</v>
      </c>
    </row>
    <row r="528" spans="1:10" x14ac:dyDescent="0.3">
      <c r="A528" s="38">
        <v>46128</v>
      </c>
      <c r="B528" t="s">
        <v>220</v>
      </c>
      <c r="C528" s="11"/>
      <c r="D528" s="11">
        <v>27000</v>
      </c>
      <c r="E528" t="s">
        <v>55</v>
      </c>
      <c r="F528" s="110" t="s">
        <v>108</v>
      </c>
    </row>
    <row r="529" spans="1:7" x14ac:dyDescent="0.3">
      <c r="A529" s="38">
        <v>46128</v>
      </c>
      <c r="B529" t="s">
        <v>55</v>
      </c>
      <c r="C529" s="95">
        <v>600</v>
      </c>
      <c r="D529" s="95"/>
      <c r="F529" s="110" t="s">
        <v>108</v>
      </c>
    </row>
    <row r="530" spans="1:7" x14ac:dyDescent="0.3">
      <c r="A530" s="114">
        <v>46128</v>
      </c>
      <c r="B530" t="s">
        <v>220</v>
      </c>
      <c r="C530" s="95"/>
      <c r="D530" s="95">
        <v>600</v>
      </c>
      <c r="F530" s="110" t="s">
        <v>108</v>
      </c>
    </row>
    <row r="531" spans="1:7" x14ac:dyDescent="0.3">
      <c r="A531" s="114">
        <v>46128</v>
      </c>
      <c r="B531" t="s">
        <v>55</v>
      </c>
      <c r="C531" s="95">
        <v>3800</v>
      </c>
      <c r="D531" s="95"/>
      <c r="F531" s="110" t="s">
        <v>108</v>
      </c>
    </row>
    <row r="532" spans="1:7" x14ac:dyDescent="0.3">
      <c r="A532" s="114">
        <v>46128</v>
      </c>
      <c r="B532" t="s">
        <v>220</v>
      </c>
      <c r="C532" s="95"/>
      <c r="D532" s="95">
        <v>3800</v>
      </c>
      <c r="F532" s="110" t="s">
        <v>108</v>
      </c>
    </row>
    <row r="533" spans="1:7" x14ac:dyDescent="0.3">
      <c r="A533" s="114">
        <v>46128</v>
      </c>
      <c r="B533" t="s">
        <v>55</v>
      </c>
      <c r="C533" s="95">
        <v>2635</v>
      </c>
      <c r="D533" s="95"/>
      <c r="F533" s="110" t="s">
        <v>108</v>
      </c>
    </row>
    <row r="534" spans="1:7" x14ac:dyDescent="0.3">
      <c r="A534" s="114">
        <v>46128</v>
      </c>
      <c r="B534" t="s">
        <v>582</v>
      </c>
      <c r="C534" s="95"/>
      <c r="D534" s="95">
        <v>400000</v>
      </c>
      <c r="E534" t="s">
        <v>590</v>
      </c>
      <c r="F534" s="110" t="s">
        <v>108</v>
      </c>
    </row>
    <row r="535" spans="1:7" x14ac:dyDescent="0.3">
      <c r="A535" s="38">
        <v>46128</v>
      </c>
      <c r="B535" t="s">
        <v>222</v>
      </c>
      <c r="C535" s="95">
        <v>200125</v>
      </c>
      <c r="D535" s="95"/>
      <c r="E535" t="s">
        <v>591</v>
      </c>
      <c r="F535" s="110" t="s">
        <v>108</v>
      </c>
    </row>
    <row r="536" spans="1:7" x14ac:dyDescent="0.3">
      <c r="A536" s="38">
        <v>46128</v>
      </c>
      <c r="B536" t="s">
        <v>169</v>
      </c>
      <c r="C536" s="95">
        <v>203000</v>
      </c>
      <c r="D536" s="95"/>
      <c r="E536" t="s">
        <v>592</v>
      </c>
      <c r="F536" s="110" t="s">
        <v>108</v>
      </c>
    </row>
    <row r="537" spans="1:7" x14ac:dyDescent="0.3">
      <c r="A537" s="38">
        <v>46128</v>
      </c>
      <c r="B537" t="s">
        <v>9</v>
      </c>
      <c r="C537" s="95"/>
      <c r="D537" s="95">
        <v>100000</v>
      </c>
      <c r="E537" t="s">
        <v>109</v>
      </c>
      <c r="F537" s="110" t="s">
        <v>108</v>
      </c>
    </row>
    <row r="538" spans="1:7" x14ac:dyDescent="0.3">
      <c r="A538" s="38">
        <v>46128</v>
      </c>
      <c r="B538" t="s">
        <v>115</v>
      </c>
      <c r="C538" s="11">
        <v>90000</v>
      </c>
      <c r="D538" s="11"/>
      <c r="F538" s="110" t="s">
        <v>108</v>
      </c>
    </row>
    <row r="539" spans="1:7" x14ac:dyDescent="0.3">
      <c r="A539" s="38">
        <v>46128</v>
      </c>
      <c r="B539" t="s">
        <v>220</v>
      </c>
      <c r="C539" s="11">
        <v>10000</v>
      </c>
      <c r="D539" s="11"/>
      <c r="E539" t="s">
        <v>596</v>
      </c>
      <c r="F539" s="110" t="s">
        <v>108</v>
      </c>
    </row>
    <row r="540" spans="1:7" x14ac:dyDescent="0.3">
      <c r="A540" s="38">
        <v>46128</v>
      </c>
      <c r="B540" t="s">
        <v>54</v>
      </c>
      <c r="C540" s="95">
        <v>7763</v>
      </c>
      <c r="D540" s="95"/>
      <c r="E540" t="s">
        <v>290</v>
      </c>
      <c r="F540" s="110" t="s">
        <v>108</v>
      </c>
    </row>
    <row r="541" spans="1:7" x14ac:dyDescent="0.3">
      <c r="A541" s="38">
        <v>46128</v>
      </c>
      <c r="B541" t="s">
        <v>117</v>
      </c>
      <c r="C541" s="11">
        <v>38800</v>
      </c>
      <c r="D541" s="11"/>
      <c r="E541" t="s">
        <v>597</v>
      </c>
      <c r="F541" s="110" t="s">
        <v>108</v>
      </c>
    </row>
    <row r="542" spans="1:7" x14ac:dyDescent="0.3">
      <c r="A542" s="38">
        <v>46128</v>
      </c>
      <c r="B542" t="s">
        <v>35</v>
      </c>
      <c r="C542" s="11"/>
      <c r="D542" s="11">
        <v>200000</v>
      </c>
      <c r="E542" t="s">
        <v>598</v>
      </c>
      <c r="F542" s="110" t="s">
        <v>108</v>
      </c>
    </row>
    <row r="543" spans="1:7" x14ac:dyDescent="0.3">
      <c r="A543" s="38">
        <v>46128</v>
      </c>
      <c r="B543" t="s">
        <v>282</v>
      </c>
      <c r="C543" s="11">
        <v>50000</v>
      </c>
      <c r="D543" s="11"/>
      <c r="E543" t="s">
        <v>329</v>
      </c>
      <c r="F543" s="110" t="s">
        <v>108</v>
      </c>
      <c r="G543" s="127"/>
    </row>
    <row r="544" spans="1:7" x14ac:dyDescent="0.3">
      <c r="A544" s="38">
        <v>46128</v>
      </c>
      <c r="B544" t="s">
        <v>54</v>
      </c>
      <c r="C544" s="11">
        <v>3943</v>
      </c>
      <c r="D544" s="11"/>
      <c r="E544" t="s">
        <v>599</v>
      </c>
      <c r="F544" s="110" t="s">
        <v>108</v>
      </c>
      <c r="G544" s="127"/>
    </row>
    <row r="545" spans="1:7" x14ac:dyDescent="0.3">
      <c r="A545" s="38">
        <v>46128</v>
      </c>
      <c r="B545" t="s">
        <v>54</v>
      </c>
      <c r="C545" s="11">
        <v>1500</v>
      </c>
      <c r="D545" s="11"/>
      <c r="E545" t="s">
        <v>600</v>
      </c>
      <c r="F545" s="110" t="s">
        <v>108</v>
      </c>
      <c r="G545" s="127"/>
    </row>
    <row r="546" spans="1:7" x14ac:dyDescent="0.3">
      <c r="A546" s="38">
        <v>46129</v>
      </c>
      <c r="B546" t="s">
        <v>601</v>
      </c>
      <c r="C546" s="11">
        <v>1437</v>
      </c>
      <c r="D546" s="11"/>
      <c r="E546" t="s">
        <v>602</v>
      </c>
      <c r="F546" s="110" t="s">
        <v>108</v>
      </c>
    </row>
    <row r="547" spans="1:7" x14ac:dyDescent="0.3">
      <c r="A547" s="38">
        <v>46129</v>
      </c>
      <c r="B547" t="s">
        <v>212</v>
      </c>
      <c r="C547" s="11">
        <v>2880</v>
      </c>
      <c r="D547" s="11"/>
      <c r="F547" s="110" t="s">
        <v>108</v>
      </c>
    </row>
    <row r="548" spans="1:7" x14ac:dyDescent="0.3">
      <c r="A548" s="114">
        <v>46129</v>
      </c>
      <c r="B548" t="s">
        <v>55</v>
      </c>
      <c r="C548" s="11">
        <v>6000</v>
      </c>
      <c r="D548" s="11"/>
      <c r="E548" t="s">
        <v>603</v>
      </c>
      <c r="F548" s="110" t="s">
        <v>108</v>
      </c>
    </row>
    <row r="549" spans="1:7" x14ac:dyDescent="0.3">
      <c r="A549" s="38">
        <v>46129</v>
      </c>
      <c r="B549" t="s">
        <v>222</v>
      </c>
      <c r="C549" s="11">
        <v>50000</v>
      </c>
      <c r="D549" s="11"/>
      <c r="E549" t="s">
        <v>604</v>
      </c>
      <c r="F549" s="110" t="s">
        <v>108</v>
      </c>
    </row>
    <row r="550" spans="1:7" x14ac:dyDescent="0.3">
      <c r="A550" s="38">
        <v>46129</v>
      </c>
      <c r="B550" t="s">
        <v>54</v>
      </c>
      <c r="C550" s="11">
        <v>2010</v>
      </c>
      <c r="D550" s="11"/>
      <c r="E550" t="s">
        <v>605</v>
      </c>
      <c r="F550" s="110" t="s">
        <v>108</v>
      </c>
    </row>
    <row r="551" spans="1:7" x14ac:dyDescent="0.3">
      <c r="A551" s="38">
        <v>46129</v>
      </c>
      <c r="B551" t="s">
        <v>55</v>
      </c>
      <c r="C551" s="11">
        <v>1320</v>
      </c>
      <c r="D551" s="11"/>
      <c r="F551" s="110" t="s">
        <v>108</v>
      </c>
    </row>
    <row r="552" spans="1:7" x14ac:dyDescent="0.3">
      <c r="A552" s="38">
        <v>46129</v>
      </c>
      <c r="B552" t="s">
        <v>54</v>
      </c>
      <c r="C552" s="11">
        <v>1000</v>
      </c>
      <c r="D552" s="11"/>
      <c r="F552" s="110" t="s">
        <v>108</v>
      </c>
    </row>
    <row r="553" spans="1:7" x14ac:dyDescent="0.3">
      <c r="A553" s="38">
        <v>46130</v>
      </c>
      <c r="B553" t="s">
        <v>55</v>
      </c>
      <c r="C553" s="11">
        <v>1370</v>
      </c>
      <c r="D553" s="11"/>
      <c r="E553" t="s">
        <v>445</v>
      </c>
      <c r="F553" s="110" t="s">
        <v>108</v>
      </c>
    </row>
    <row r="554" spans="1:7" x14ac:dyDescent="0.3">
      <c r="A554" s="114">
        <v>46130</v>
      </c>
      <c r="B554" t="s">
        <v>220</v>
      </c>
      <c r="C554" s="11"/>
      <c r="D554" s="11">
        <v>1370</v>
      </c>
      <c r="E554" t="s">
        <v>445</v>
      </c>
      <c r="F554" s="110" t="s">
        <v>108</v>
      </c>
    </row>
    <row r="555" spans="1:7" x14ac:dyDescent="0.3">
      <c r="A555" s="38">
        <v>46130</v>
      </c>
      <c r="B555" t="s">
        <v>357</v>
      </c>
      <c r="C555" s="11">
        <v>5000</v>
      </c>
      <c r="D555" s="11"/>
      <c r="E555" t="s">
        <v>606</v>
      </c>
      <c r="F555" s="110" t="s">
        <v>108</v>
      </c>
    </row>
    <row r="556" spans="1:7" x14ac:dyDescent="0.3">
      <c r="A556" s="38">
        <v>46130</v>
      </c>
      <c r="B556" t="s">
        <v>572</v>
      </c>
      <c r="C556" s="11">
        <v>10000</v>
      </c>
      <c r="D556" s="11"/>
      <c r="E556" t="s">
        <v>541</v>
      </c>
      <c r="F556" s="110" t="s">
        <v>108</v>
      </c>
    </row>
    <row r="557" spans="1:7" x14ac:dyDescent="0.3">
      <c r="A557" s="38">
        <v>46130</v>
      </c>
      <c r="B557" t="s">
        <v>9</v>
      </c>
      <c r="C557" s="11"/>
      <c r="D557" s="11">
        <v>100000</v>
      </c>
      <c r="E557" t="s">
        <v>109</v>
      </c>
      <c r="F557" s="110" t="s">
        <v>108</v>
      </c>
    </row>
    <row r="558" spans="1:7" x14ac:dyDescent="0.3">
      <c r="A558" s="38">
        <v>46130</v>
      </c>
      <c r="B558" t="s">
        <v>115</v>
      </c>
      <c r="C558" s="11">
        <v>100000</v>
      </c>
      <c r="D558" s="11"/>
      <c r="E558" t="s">
        <v>109</v>
      </c>
      <c r="F558" s="110" t="s">
        <v>108</v>
      </c>
    </row>
    <row r="559" spans="1:7" x14ac:dyDescent="0.3">
      <c r="A559" s="38">
        <v>46130</v>
      </c>
      <c r="B559" t="s">
        <v>55</v>
      </c>
      <c r="C559" s="11">
        <v>1100</v>
      </c>
      <c r="D559" s="11"/>
      <c r="F559" s="110" t="s">
        <v>108</v>
      </c>
    </row>
    <row r="560" spans="1:7" x14ac:dyDescent="0.3">
      <c r="A560" s="38">
        <v>46130</v>
      </c>
      <c r="B560" t="s">
        <v>572</v>
      </c>
      <c r="C560" s="11">
        <v>30000</v>
      </c>
      <c r="D560" s="11"/>
      <c r="E560" t="s">
        <v>607</v>
      </c>
      <c r="F560" s="110" t="s">
        <v>108</v>
      </c>
    </row>
    <row r="561" spans="1:6" x14ac:dyDescent="0.3">
      <c r="A561" s="38">
        <v>46130</v>
      </c>
      <c r="B561" t="s">
        <v>55</v>
      </c>
      <c r="C561" s="11">
        <v>1800</v>
      </c>
      <c r="D561" s="11"/>
      <c r="F561" s="110" t="s">
        <v>108</v>
      </c>
    </row>
    <row r="562" spans="1:6" x14ac:dyDescent="0.3">
      <c r="A562" s="38">
        <v>46130</v>
      </c>
      <c r="B562" t="s">
        <v>55</v>
      </c>
      <c r="C562" s="11">
        <v>550</v>
      </c>
      <c r="D562" s="11"/>
      <c r="F562" s="110" t="s">
        <v>108</v>
      </c>
    </row>
    <row r="563" spans="1:6" x14ac:dyDescent="0.3">
      <c r="A563" s="38">
        <v>46130</v>
      </c>
      <c r="B563" t="s">
        <v>54</v>
      </c>
      <c r="C563" s="11">
        <v>950</v>
      </c>
      <c r="D563" s="11"/>
      <c r="F563" s="110" t="s">
        <v>108</v>
      </c>
    </row>
    <row r="564" spans="1:6" x14ac:dyDescent="0.3">
      <c r="A564" s="38">
        <v>46130</v>
      </c>
      <c r="B564" t="s">
        <v>222</v>
      </c>
      <c r="C564" s="11">
        <v>48800</v>
      </c>
      <c r="D564" s="11"/>
      <c r="E564" t="s">
        <v>608</v>
      </c>
      <c r="F564" s="110" t="s">
        <v>108</v>
      </c>
    </row>
    <row r="565" spans="1:6" x14ac:dyDescent="0.3">
      <c r="A565" s="38">
        <v>46130</v>
      </c>
      <c r="B565" t="s">
        <v>35</v>
      </c>
      <c r="C565" s="11"/>
      <c r="D565" s="11">
        <v>123800</v>
      </c>
      <c r="F565" s="110" t="s">
        <v>108</v>
      </c>
    </row>
    <row r="566" spans="1:6" x14ac:dyDescent="0.3">
      <c r="A566" s="38">
        <v>46130</v>
      </c>
      <c r="B566" t="s">
        <v>220</v>
      </c>
      <c r="C566" s="11"/>
      <c r="D566" s="11">
        <v>48800</v>
      </c>
      <c r="E566" t="s">
        <v>609</v>
      </c>
      <c r="F566" s="110" t="s">
        <v>108</v>
      </c>
    </row>
    <row r="567" spans="1:6" x14ac:dyDescent="0.3">
      <c r="A567" s="38">
        <v>46130</v>
      </c>
      <c r="B567" t="s">
        <v>220</v>
      </c>
      <c r="C567" s="11">
        <v>123800</v>
      </c>
      <c r="D567" s="11"/>
      <c r="E567" t="s">
        <v>610</v>
      </c>
      <c r="F567" s="110" t="s">
        <v>108</v>
      </c>
    </row>
    <row r="568" spans="1:6" x14ac:dyDescent="0.3">
      <c r="A568" s="38">
        <v>46131</v>
      </c>
      <c r="B568" t="s">
        <v>357</v>
      </c>
      <c r="C568" s="11">
        <v>75000</v>
      </c>
      <c r="D568" s="11"/>
      <c r="E568" t="s">
        <v>611</v>
      </c>
      <c r="F568" s="110" t="s">
        <v>108</v>
      </c>
    </row>
    <row r="569" spans="1:6" x14ac:dyDescent="0.3">
      <c r="A569" s="38">
        <v>46131</v>
      </c>
      <c r="B569" t="s">
        <v>220</v>
      </c>
      <c r="C569" s="11"/>
      <c r="D569" s="11">
        <v>75000</v>
      </c>
      <c r="E569" t="s">
        <v>612</v>
      </c>
      <c r="F569" s="110" t="s">
        <v>108</v>
      </c>
    </row>
    <row r="570" spans="1:6" x14ac:dyDescent="0.3">
      <c r="A570" s="38">
        <v>46131</v>
      </c>
      <c r="B570" t="s">
        <v>117</v>
      </c>
      <c r="C570" s="11">
        <v>31000</v>
      </c>
      <c r="D570" s="11"/>
      <c r="E570" t="s">
        <v>61</v>
      </c>
      <c r="F570" s="110" t="s">
        <v>108</v>
      </c>
    </row>
    <row r="571" spans="1:6" x14ac:dyDescent="0.3">
      <c r="A571" s="38">
        <v>46131</v>
      </c>
      <c r="B571" t="s">
        <v>220</v>
      </c>
      <c r="C571" s="11"/>
      <c r="D571" s="11">
        <v>31000</v>
      </c>
      <c r="E571" t="s">
        <v>531</v>
      </c>
      <c r="F571" s="110" t="s">
        <v>108</v>
      </c>
    </row>
    <row r="572" spans="1:6" x14ac:dyDescent="0.3">
      <c r="A572" s="38">
        <v>46131</v>
      </c>
      <c r="B572" t="s">
        <v>220</v>
      </c>
      <c r="C572" s="11"/>
      <c r="D572" s="11">
        <v>48500</v>
      </c>
      <c r="E572" t="s">
        <v>613</v>
      </c>
      <c r="F572" s="110" t="s">
        <v>108</v>
      </c>
    </row>
    <row r="573" spans="1:6" x14ac:dyDescent="0.3">
      <c r="A573" s="38">
        <v>46131</v>
      </c>
      <c r="B573" t="s">
        <v>224</v>
      </c>
      <c r="C573" s="11">
        <v>48500</v>
      </c>
      <c r="D573" s="11"/>
      <c r="E573" t="s">
        <v>242</v>
      </c>
      <c r="F573" s="110" t="s">
        <v>108</v>
      </c>
    </row>
    <row r="574" spans="1:6" x14ac:dyDescent="0.3">
      <c r="A574" s="38">
        <v>46131</v>
      </c>
      <c r="B574" t="s">
        <v>601</v>
      </c>
      <c r="C574" s="11">
        <v>3000</v>
      </c>
      <c r="D574" s="11"/>
      <c r="E574" t="s">
        <v>350</v>
      </c>
      <c r="F574" s="110" t="s">
        <v>108</v>
      </c>
    </row>
    <row r="575" spans="1:6" x14ac:dyDescent="0.3">
      <c r="A575" s="38">
        <v>46131</v>
      </c>
      <c r="B575" t="s">
        <v>641</v>
      </c>
      <c r="C575" s="11">
        <v>25000</v>
      </c>
      <c r="D575" s="11"/>
      <c r="E575" t="s">
        <v>242</v>
      </c>
      <c r="F575" s="110" t="s">
        <v>108</v>
      </c>
    </row>
    <row r="576" spans="1:6" x14ac:dyDescent="0.3">
      <c r="A576" s="38">
        <v>46131</v>
      </c>
      <c r="B576" t="s">
        <v>246</v>
      </c>
      <c r="C576" s="11">
        <v>480</v>
      </c>
      <c r="D576" s="11"/>
      <c r="E576" t="s">
        <v>614</v>
      </c>
      <c r="F576" s="110" t="s">
        <v>108</v>
      </c>
    </row>
    <row r="577" spans="1:6" x14ac:dyDescent="0.3">
      <c r="A577" s="38">
        <v>46131</v>
      </c>
      <c r="B577" t="s">
        <v>601</v>
      </c>
      <c r="C577" s="11">
        <v>4000</v>
      </c>
      <c r="D577" s="11" t="s">
        <v>615</v>
      </c>
      <c r="E577" t="s">
        <v>616</v>
      </c>
      <c r="F577" s="110" t="s">
        <v>108</v>
      </c>
    </row>
    <row r="578" spans="1:6" x14ac:dyDescent="0.3">
      <c r="A578" s="38">
        <v>46131</v>
      </c>
      <c r="B578" t="s">
        <v>55</v>
      </c>
      <c r="C578" s="11">
        <v>5400</v>
      </c>
      <c r="D578" s="11"/>
      <c r="E578" t="s">
        <v>617</v>
      </c>
      <c r="F578" s="110" t="s">
        <v>108</v>
      </c>
    </row>
    <row r="579" spans="1:6" x14ac:dyDescent="0.3">
      <c r="A579" s="38">
        <v>46132</v>
      </c>
      <c r="B579" t="s">
        <v>54</v>
      </c>
      <c r="C579" s="11">
        <v>7014</v>
      </c>
      <c r="D579" s="11"/>
      <c r="E579" t="s">
        <v>290</v>
      </c>
      <c r="F579" s="110"/>
    </row>
    <row r="580" spans="1:6" x14ac:dyDescent="0.3">
      <c r="A580" s="38">
        <v>46132</v>
      </c>
      <c r="B580" t="s">
        <v>220</v>
      </c>
      <c r="C580" s="11"/>
      <c r="D580" s="11">
        <v>15000</v>
      </c>
      <c r="E580" t="s">
        <v>618</v>
      </c>
      <c r="F580" s="110" t="s">
        <v>108</v>
      </c>
    </row>
    <row r="581" spans="1:6" x14ac:dyDescent="0.3">
      <c r="A581" s="38">
        <v>46132</v>
      </c>
      <c r="B581" t="s">
        <v>212</v>
      </c>
      <c r="C581" s="11"/>
      <c r="D581" s="11">
        <v>8800</v>
      </c>
      <c r="E581" t="s">
        <v>619</v>
      </c>
      <c r="F581" s="110" t="s">
        <v>108</v>
      </c>
    </row>
    <row r="582" spans="1:6" x14ac:dyDescent="0.3">
      <c r="A582" s="38">
        <v>46132</v>
      </c>
      <c r="B582" t="s">
        <v>601</v>
      </c>
      <c r="C582" s="11">
        <v>8800</v>
      </c>
      <c r="D582" s="11"/>
      <c r="E582" t="s">
        <v>619</v>
      </c>
      <c r="F582" s="110" t="s">
        <v>108</v>
      </c>
    </row>
    <row r="583" spans="1:6" x14ac:dyDescent="0.3">
      <c r="A583" s="38">
        <v>46132</v>
      </c>
      <c r="B583" t="s">
        <v>220</v>
      </c>
      <c r="C583" s="11"/>
      <c r="D583" s="11">
        <v>50000</v>
      </c>
      <c r="E583" t="s">
        <v>620</v>
      </c>
      <c r="F583" s="110" t="s">
        <v>108</v>
      </c>
    </row>
    <row r="584" spans="1:6" x14ac:dyDescent="0.3">
      <c r="A584" s="38">
        <v>46132</v>
      </c>
      <c r="B584" t="s">
        <v>357</v>
      </c>
      <c r="C584" s="11">
        <v>50000</v>
      </c>
      <c r="D584" s="11"/>
      <c r="E584" t="s">
        <v>621</v>
      </c>
      <c r="F584" s="110" t="s">
        <v>108</v>
      </c>
    </row>
    <row r="585" spans="1:6" x14ac:dyDescent="0.3">
      <c r="A585" s="38">
        <v>46132</v>
      </c>
      <c r="B585" t="s">
        <v>55</v>
      </c>
      <c r="C585" s="11">
        <v>4000</v>
      </c>
      <c r="D585" s="11"/>
      <c r="F585" s="110" t="s">
        <v>108</v>
      </c>
    </row>
    <row r="586" spans="1:6" x14ac:dyDescent="0.3">
      <c r="A586" s="38">
        <v>46132</v>
      </c>
      <c r="B586" t="s">
        <v>220</v>
      </c>
      <c r="C586" s="11"/>
      <c r="D586" s="11">
        <v>50000</v>
      </c>
      <c r="E586" t="s">
        <v>622</v>
      </c>
      <c r="F586" s="110" t="s">
        <v>108</v>
      </c>
    </row>
    <row r="587" spans="1:6" x14ac:dyDescent="0.3">
      <c r="A587" s="114">
        <v>46132</v>
      </c>
      <c r="B587" t="s">
        <v>117</v>
      </c>
      <c r="C587" s="11">
        <v>31200</v>
      </c>
      <c r="D587" s="11"/>
      <c r="E587" t="s">
        <v>61</v>
      </c>
      <c r="F587" s="110" t="s">
        <v>108</v>
      </c>
    </row>
    <row r="588" spans="1:6" x14ac:dyDescent="0.3">
      <c r="A588" s="38">
        <v>46132</v>
      </c>
      <c r="B588" t="s">
        <v>572</v>
      </c>
      <c r="C588" s="11">
        <v>19685</v>
      </c>
      <c r="D588" s="11"/>
      <c r="F588" s="110" t="s">
        <v>108</v>
      </c>
    </row>
    <row r="589" spans="1:6" x14ac:dyDescent="0.3">
      <c r="A589" s="38">
        <v>46132</v>
      </c>
      <c r="B589" t="s">
        <v>54</v>
      </c>
      <c r="C589" s="95">
        <v>600</v>
      </c>
      <c r="D589" s="95"/>
      <c r="E589" t="s">
        <v>470</v>
      </c>
      <c r="F589" s="110" t="s">
        <v>108</v>
      </c>
    </row>
    <row r="590" spans="1:6" x14ac:dyDescent="0.3">
      <c r="A590" s="38">
        <v>46132</v>
      </c>
      <c r="B590" t="s">
        <v>220</v>
      </c>
      <c r="C590" s="11"/>
      <c r="D590" s="11">
        <v>280000</v>
      </c>
      <c r="E590" t="s">
        <v>623</v>
      </c>
      <c r="F590" s="110" t="s">
        <v>108</v>
      </c>
    </row>
    <row r="591" spans="1:6" x14ac:dyDescent="0.3">
      <c r="A591" s="38">
        <v>46132</v>
      </c>
      <c r="B591" t="s">
        <v>169</v>
      </c>
      <c r="C591" s="11">
        <v>150000</v>
      </c>
      <c r="D591" s="11"/>
      <c r="E591" t="s">
        <v>624</v>
      </c>
      <c r="F591" s="110" t="s">
        <v>108</v>
      </c>
    </row>
    <row r="592" spans="1:6" x14ac:dyDescent="0.3">
      <c r="A592" s="38">
        <v>46132</v>
      </c>
      <c r="B592" t="s">
        <v>298</v>
      </c>
      <c r="C592" s="95">
        <v>100000</v>
      </c>
      <c r="D592" s="95"/>
      <c r="E592" t="s">
        <v>625</v>
      </c>
      <c r="F592" s="110" t="s">
        <v>108</v>
      </c>
    </row>
    <row r="593" spans="1:7" x14ac:dyDescent="0.3">
      <c r="A593" s="38">
        <v>46132</v>
      </c>
      <c r="B593" t="s">
        <v>601</v>
      </c>
      <c r="C593" s="95">
        <v>20000</v>
      </c>
      <c r="D593" s="95"/>
      <c r="E593" t="s">
        <v>626</v>
      </c>
      <c r="F593" s="110" t="s">
        <v>108</v>
      </c>
    </row>
    <row r="594" spans="1:7" x14ac:dyDescent="0.3">
      <c r="A594" s="38">
        <v>46132</v>
      </c>
      <c r="B594" t="s">
        <v>357</v>
      </c>
      <c r="C594" s="95">
        <v>10000</v>
      </c>
      <c r="D594" s="95"/>
      <c r="E594" t="s">
        <v>281</v>
      </c>
      <c r="F594" s="110" t="s">
        <v>108</v>
      </c>
    </row>
    <row r="595" spans="1:7" x14ac:dyDescent="0.3">
      <c r="A595" s="114">
        <v>46132</v>
      </c>
      <c r="B595" t="s">
        <v>54</v>
      </c>
      <c r="C595" s="95">
        <v>4226</v>
      </c>
      <c r="D595" s="95"/>
      <c r="E595" t="s">
        <v>175</v>
      </c>
      <c r="F595" s="110" t="s">
        <v>108</v>
      </c>
    </row>
    <row r="596" spans="1:7" x14ac:dyDescent="0.3">
      <c r="A596" s="114">
        <v>46132</v>
      </c>
      <c r="B596" t="s">
        <v>582</v>
      </c>
      <c r="C596" s="11"/>
      <c r="D596" s="11">
        <v>4226</v>
      </c>
      <c r="E596" t="s">
        <v>54</v>
      </c>
      <c r="F596" s="110" t="s">
        <v>108</v>
      </c>
    </row>
    <row r="597" spans="1:7" x14ac:dyDescent="0.3">
      <c r="A597" s="137">
        <v>46133</v>
      </c>
      <c r="B597" t="s">
        <v>582</v>
      </c>
      <c r="C597" s="11"/>
      <c r="D597" s="11">
        <v>1000000</v>
      </c>
      <c r="E597" t="s">
        <v>629</v>
      </c>
      <c r="F597" s="110" t="s">
        <v>108</v>
      </c>
    </row>
    <row r="598" spans="1:7" x14ac:dyDescent="0.3">
      <c r="A598" s="114">
        <v>46133</v>
      </c>
      <c r="B598" t="s">
        <v>55</v>
      </c>
      <c r="C598" s="11">
        <v>4000</v>
      </c>
      <c r="D598" s="11"/>
      <c r="F598" s="110" t="s">
        <v>108</v>
      </c>
    </row>
    <row r="599" spans="1:7" x14ac:dyDescent="0.3">
      <c r="A599" s="136">
        <v>46133</v>
      </c>
      <c r="B599" t="s">
        <v>51</v>
      </c>
      <c r="C599" s="11">
        <v>923841</v>
      </c>
      <c r="D599" s="11"/>
      <c r="E599" t="s">
        <v>630</v>
      </c>
      <c r="F599" s="110" t="s">
        <v>108</v>
      </c>
    </row>
    <row r="600" spans="1:7" x14ac:dyDescent="0.3">
      <c r="A600" s="136">
        <v>46133</v>
      </c>
      <c r="B600" t="s">
        <v>55</v>
      </c>
      <c r="C600" s="11">
        <v>1560</v>
      </c>
      <c r="D600" s="11"/>
      <c r="E600" t="s">
        <v>430</v>
      </c>
      <c r="F600" s="110" t="s">
        <v>108</v>
      </c>
    </row>
    <row r="601" spans="1:7" x14ac:dyDescent="0.3">
      <c r="A601" s="136">
        <v>46133</v>
      </c>
      <c r="B601" t="s">
        <v>55</v>
      </c>
      <c r="C601" s="11">
        <v>3700</v>
      </c>
      <c r="D601" s="11"/>
      <c r="E601" t="s">
        <v>430</v>
      </c>
      <c r="F601" s="110" t="s">
        <v>108</v>
      </c>
    </row>
    <row r="602" spans="1:7" x14ac:dyDescent="0.3">
      <c r="A602" s="136">
        <v>46133</v>
      </c>
      <c r="B602" t="s">
        <v>55</v>
      </c>
      <c r="C602" s="11">
        <v>2350</v>
      </c>
      <c r="D602" s="11"/>
      <c r="E602" t="s">
        <v>631</v>
      </c>
      <c r="F602" s="110" t="s">
        <v>108</v>
      </c>
    </row>
    <row r="603" spans="1:7" x14ac:dyDescent="0.3">
      <c r="A603" s="136">
        <v>46133</v>
      </c>
      <c r="B603" t="s">
        <v>587</v>
      </c>
      <c r="C603" s="11">
        <v>50000</v>
      </c>
      <c r="D603" s="11"/>
      <c r="E603" t="s">
        <v>632</v>
      </c>
      <c r="F603" s="110" t="s">
        <v>108</v>
      </c>
    </row>
    <row r="604" spans="1:7" x14ac:dyDescent="0.3">
      <c r="A604" s="136">
        <v>46133</v>
      </c>
      <c r="B604" t="s">
        <v>220</v>
      </c>
      <c r="C604" s="11"/>
      <c r="D604" s="11">
        <v>50000</v>
      </c>
      <c r="E604" t="s">
        <v>226</v>
      </c>
      <c r="F604" s="110" t="s">
        <v>108</v>
      </c>
    </row>
    <row r="605" spans="1:7" x14ac:dyDescent="0.3">
      <c r="A605" s="136">
        <v>46133</v>
      </c>
      <c r="B605" t="s">
        <v>357</v>
      </c>
      <c r="C605" s="11">
        <v>25000</v>
      </c>
      <c r="D605" s="11"/>
      <c r="E605" t="s">
        <v>469</v>
      </c>
      <c r="F605" s="110" t="s">
        <v>108</v>
      </c>
    </row>
    <row r="606" spans="1:7" x14ac:dyDescent="0.3">
      <c r="A606" s="136">
        <v>46133</v>
      </c>
      <c r="B606" s="138" t="s">
        <v>220</v>
      </c>
      <c r="C606" s="95"/>
      <c r="D606" s="95">
        <v>800000</v>
      </c>
      <c r="E606" s="138" t="s">
        <v>109</v>
      </c>
      <c r="F606" s="139" t="s">
        <v>108</v>
      </c>
      <c r="G606" s="138"/>
    </row>
    <row r="607" spans="1:7" x14ac:dyDescent="0.3">
      <c r="A607" s="136">
        <v>46133</v>
      </c>
      <c r="B607" s="138" t="s">
        <v>245</v>
      </c>
      <c r="C607" s="95"/>
      <c r="D607" s="95">
        <v>100000</v>
      </c>
      <c r="E607" s="138" t="s">
        <v>109</v>
      </c>
      <c r="F607" s="139" t="s">
        <v>108</v>
      </c>
      <c r="G607" s="138"/>
    </row>
    <row r="608" spans="1:7" x14ac:dyDescent="0.3">
      <c r="A608" s="136">
        <v>46133</v>
      </c>
      <c r="B608" t="s">
        <v>377</v>
      </c>
      <c r="C608" s="11"/>
      <c r="D608" s="11">
        <v>287000</v>
      </c>
      <c r="E608" t="s">
        <v>109</v>
      </c>
      <c r="F608" s="110" t="s">
        <v>108</v>
      </c>
    </row>
    <row r="609" spans="1:7" x14ac:dyDescent="0.3">
      <c r="A609" s="136">
        <v>46133</v>
      </c>
      <c r="B609" t="s">
        <v>220</v>
      </c>
      <c r="C609" s="11">
        <v>387000</v>
      </c>
      <c r="D609" s="11"/>
      <c r="E609" t="s">
        <v>647</v>
      </c>
      <c r="F609" s="110" t="s">
        <v>108</v>
      </c>
    </row>
    <row r="610" spans="1:7" x14ac:dyDescent="0.3">
      <c r="A610" s="137">
        <v>46133</v>
      </c>
      <c r="B610" t="s">
        <v>282</v>
      </c>
      <c r="C610" s="11">
        <v>495910</v>
      </c>
      <c r="D610" s="11"/>
      <c r="E610" t="s">
        <v>352</v>
      </c>
      <c r="F610" s="110" t="s">
        <v>108</v>
      </c>
    </row>
    <row r="611" spans="1:7" x14ac:dyDescent="0.3">
      <c r="A611" s="137">
        <v>46133</v>
      </c>
      <c r="B611" t="s">
        <v>282</v>
      </c>
      <c r="C611" s="11">
        <v>45000</v>
      </c>
      <c r="D611" s="11"/>
      <c r="E611" t="s">
        <v>606</v>
      </c>
      <c r="F611" s="110" t="s">
        <v>108</v>
      </c>
    </row>
    <row r="612" spans="1:7" x14ac:dyDescent="0.3">
      <c r="A612" s="137">
        <v>46134</v>
      </c>
      <c r="B612" t="s">
        <v>220</v>
      </c>
      <c r="C612" s="11"/>
      <c r="D612" s="11">
        <v>100000</v>
      </c>
      <c r="E612" t="s">
        <v>633</v>
      </c>
      <c r="F612" s="110" t="s">
        <v>108</v>
      </c>
    </row>
    <row r="613" spans="1:7" x14ac:dyDescent="0.3">
      <c r="A613" s="137">
        <v>46134</v>
      </c>
      <c r="B613" t="s">
        <v>176</v>
      </c>
      <c r="C613" s="11">
        <v>136375</v>
      </c>
      <c r="D613" s="11"/>
      <c r="E613" s="121">
        <v>46123</v>
      </c>
      <c r="F613" s="110" t="s">
        <v>108</v>
      </c>
    </row>
    <row r="614" spans="1:7" x14ac:dyDescent="0.3">
      <c r="A614" s="137">
        <v>46134</v>
      </c>
      <c r="B614" t="s">
        <v>220</v>
      </c>
      <c r="C614" s="11"/>
      <c r="D614" s="11">
        <v>300000</v>
      </c>
      <c r="E614" t="s">
        <v>635</v>
      </c>
      <c r="F614" s="110" t="s">
        <v>108</v>
      </c>
    </row>
    <row r="615" spans="1:7" x14ac:dyDescent="0.3">
      <c r="A615" s="137">
        <v>46134</v>
      </c>
      <c r="B615" t="s">
        <v>224</v>
      </c>
      <c r="C615" s="11">
        <v>200000</v>
      </c>
      <c r="D615" s="11"/>
      <c r="E615" t="s">
        <v>636</v>
      </c>
      <c r="F615" s="110" t="s">
        <v>108</v>
      </c>
    </row>
    <row r="616" spans="1:7" x14ac:dyDescent="0.3">
      <c r="A616" s="137">
        <v>46134</v>
      </c>
      <c r="B616" t="s">
        <v>298</v>
      </c>
      <c r="C616" s="11">
        <v>100000</v>
      </c>
      <c r="D616" s="11"/>
      <c r="E616" t="s">
        <v>637</v>
      </c>
      <c r="F616" s="110" t="s">
        <v>108</v>
      </c>
    </row>
    <row r="617" spans="1:7" x14ac:dyDescent="0.3">
      <c r="A617" s="137">
        <v>46134</v>
      </c>
      <c r="B617" s="138" t="s">
        <v>220</v>
      </c>
      <c r="C617" s="95"/>
      <c r="D617" s="95">
        <v>17000</v>
      </c>
      <c r="E617" s="138" t="s">
        <v>638</v>
      </c>
      <c r="F617" s="139" t="s">
        <v>108</v>
      </c>
      <c r="G617" s="138"/>
    </row>
    <row r="618" spans="1:7" x14ac:dyDescent="0.3">
      <c r="A618" s="137">
        <v>46134</v>
      </c>
      <c r="B618" s="138" t="s">
        <v>282</v>
      </c>
      <c r="C618" s="95">
        <v>16000</v>
      </c>
      <c r="D618" s="95"/>
      <c r="E618" s="138" t="s">
        <v>639</v>
      </c>
      <c r="F618" s="139" t="s">
        <v>108</v>
      </c>
      <c r="G618" s="138"/>
    </row>
    <row r="619" spans="1:7" x14ac:dyDescent="0.3">
      <c r="A619" s="137">
        <v>46134</v>
      </c>
      <c r="B619" s="138" t="s">
        <v>64</v>
      </c>
      <c r="C619" s="95">
        <v>60000</v>
      </c>
      <c r="D619" s="95"/>
      <c r="E619" s="138" t="s">
        <v>640</v>
      </c>
      <c r="F619" s="139" t="s">
        <v>108</v>
      </c>
      <c r="G619" s="138"/>
    </row>
    <row r="620" spans="1:7" x14ac:dyDescent="0.3">
      <c r="A620" s="137">
        <v>46134</v>
      </c>
      <c r="B620" s="138" t="s">
        <v>220</v>
      </c>
      <c r="C620" s="95"/>
      <c r="D620" s="95">
        <v>60000</v>
      </c>
      <c r="E620" s="138" t="s">
        <v>640</v>
      </c>
      <c r="F620" s="139" t="s">
        <v>108</v>
      </c>
      <c r="G620" s="138"/>
    </row>
    <row r="621" spans="1:7" x14ac:dyDescent="0.3">
      <c r="A621" s="137">
        <v>46134</v>
      </c>
      <c r="B621" s="138" t="s">
        <v>55</v>
      </c>
      <c r="C621" s="95">
        <v>2400</v>
      </c>
      <c r="D621" s="95"/>
      <c r="E621" s="138" t="s">
        <v>648</v>
      </c>
      <c r="F621" s="139" t="s">
        <v>108</v>
      </c>
      <c r="G621" s="138"/>
    </row>
    <row r="622" spans="1:7" x14ac:dyDescent="0.3">
      <c r="A622" s="137">
        <v>46134</v>
      </c>
      <c r="B622" t="s">
        <v>54</v>
      </c>
      <c r="C622" s="11">
        <v>10000</v>
      </c>
      <c r="D622" s="11"/>
      <c r="E622" t="s">
        <v>649</v>
      </c>
      <c r="F622" s="110" t="s">
        <v>108</v>
      </c>
    </row>
    <row r="623" spans="1:7" x14ac:dyDescent="0.3">
      <c r="A623" s="137">
        <v>46134</v>
      </c>
      <c r="B623" t="s">
        <v>246</v>
      </c>
      <c r="C623" s="11">
        <v>400</v>
      </c>
      <c r="D623" s="11"/>
      <c r="E623" t="s">
        <v>650</v>
      </c>
      <c r="F623" s="110" t="s">
        <v>108</v>
      </c>
    </row>
    <row r="624" spans="1:7" x14ac:dyDescent="0.3">
      <c r="A624" s="137">
        <v>46134</v>
      </c>
      <c r="B624" t="s">
        <v>246</v>
      </c>
      <c r="C624" s="11">
        <v>1050</v>
      </c>
      <c r="D624" s="11"/>
      <c r="E624" t="s">
        <v>651</v>
      </c>
      <c r="F624" s="110" t="s">
        <v>108</v>
      </c>
    </row>
    <row r="625" spans="1:7" x14ac:dyDescent="0.3">
      <c r="A625" s="137">
        <v>46134</v>
      </c>
      <c r="B625" t="s">
        <v>222</v>
      </c>
      <c r="C625" s="11">
        <v>6000</v>
      </c>
      <c r="D625" s="11"/>
      <c r="E625" t="s">
        <v>341</v>
      </c>
      <c r="F625" s="110" t="s">
        <v>108</v>
      </c>
    </row>
    <row r="626" spans="1:7" x14ac:dyDescent="0.3">
      <c r="A626" s="136">
        <v>46134</v>
      </c>
      <c r="B626" t="s">
        <v>169</v>
      </c>
      <c r="C626" s="11">
        <v>2000</v>
      </c>
      <c r="D626" s="11"/>
      <c r="E626" t="s">
        <v>341</v>
      </c>
      <c r="F626" s="110" t="s">
        <v>108</v>
      </c>
    </row>
    <row r="627" spans="1:7" x14ac:dyDescent="0.3">
      <c r="A627" s="136">
        <v>46134</v>
      </c>
      <c r="B627" t="s">
        <v>298</v>
      </c>
      <c r="C627" s="11">
        <v>2000</v>
      </c>
      <c r="D627" s="11"/>
      <c r="E627" t="s">
        <v>341</v>
      </c>
      <c r="F627" s="110" t="s">
        <v>108</v>
      </c>
    </row>
    <row r="628" spans="1:7" x14ac:dyDescent="0.3">
      <c r="A628" s="136">
        <v>46134</v>
      </c>
      <c r="B628" s="138" t="s">
        <v>224</v>
      </c>
      <c r="C628" s="95">
        <v>1000</v>
      </c>
      <c r="D628" s="95"/>
      <c r="E628" s="138" t="s">
        <v>341</v>
      </c>
      <c r="F628" s="139" t="s">
        <v>108</v>
      </c>
      <c r="G628" s="138"/>
    </row>
    <row r="629" spans="1:7" x14ac:dyDescent="0.3">
      <c r="A629" s="136">
        <v>46134</v>
      </c>
      <c r="B629" s="138" t="s">
        <v>641</v>
      </c>
      <c r="C629" s="95">
        <v>1000</v>
      </c>
      <c r="D629" s="95"/>
      <c r="E629" s="138" t="s">
        <v>341</v>
      </c>
      <c r="F629" s="139" t="s">
        <v>108</v>
      </c>
      <c r="G629" s="138"/>
    </row>
    <row r="630" spans="1:7" x14ac:dyDescent="0.3">
      <c r="A630" s="136">
        <v>46135</v>
      </c>
      <c r="B630" s="138" t="s">
        <v>220</v>
      </c>
      <c r="C630" s="95"/>
      <c r="D630" s="95">
        <v>30000</v>
      </c>
      <c r="E630" s="138" t="s">
        <v>641</v>
      </c>
      <c r="F630" s="139" t="s">
        <v>108</v>
      </c>
      <c r="G630" s="138"/>
    </row>
    <row r="631" spans="1:7" x14ac:dyDescent="0.3">
      <c r="A631" s="136">
        <v>46135</v>
      </c>
      <c r="B631" s="138" t="s">
        <v>641</v>
      </c>
      <c r="C631" s="95">
        <v>30000</v>
      </c>
      <c r="D631" s="95"/>
      <c r="E631" s="138" t="s">
        <v>242</v>
      </c>
      <c r="F631" s="139" t="s">
        <v>108</v>
      </c>
      <c r="G631" s="138"/>
    </row>
    <row r="632" spans="1:7" x14ac:dyDescent="0.3">
      <c r="A632" s="136">
        <v>46135</v>
      </c>
      <c r="B632" s="138" t="s">
        <v>55</v>
      </c>
      <c r="C632" s="95">
        <v>2100</v>
      </c>
      <c r="D632" s="95"/>
      <c r="E632" s="138" t="s">
        <v>642</v>
      </c>
      <c r="F632" s="139" t="s">
        <v>108</v>
      </c>
      <c r="G632" s="138"/>
    </row>
    <row r="633" spans="1:7" x14ac:dyDescent="0.3">
      <c r="A633" s="136">
        <v>46135</v>
      </c>
      <c r="B633" s="138" t="s">
        <v>55</v>
      </c>
      <c r="C633" s="95">
        <v>2600</v>
      </c>
      <c r="D633" s="95"/>
      <c r="E633" s="138" t="s">
        <v>643</v>
      </c>
      <c r="F633" s="139" t="s">
        <v>108</v>
      </c>
      <c r="G633" s="138"/>
    </row>
    <row r="634" spans="1:7" x14ac:dyDescent="0.3">
      <c r="A634" s="136">
        <v>46135</v>
      </c>
      <c r="B634" s="138" t="s">
        <v>55</v>
      </c>
      <c r="C634" s="95">
        <v>550</v>
      </c>
      <c r="D634" s="95"/>
      <c r="E634" s="138" t="s">
        <v>644</v>
      </c>
      <c r="F634" s="139" t="s">
        <v>108</v>
      </c>
      <c r="G634" s="138"/>
    </row>
    <row r="635" spans="1:7" x14ac:dyDescent="0.3">
      <c r="A635" s="136">
        <v>46135</v>
      </c>
      <c r="B635" s="138" t="s">
        <v>176</v>
      </c>
      <c r="C635" s="95">
        <v>30000</v>
      </c>
      <c r="D635" s="95"/>
      <c r="E635" s="138" t="s">
        <v>126</v>
      </c>
      <c r="F635" s="139" t="s">
        <v>108</v>
      </c>
      <c r="G635" s="138"/>
    </row>
    <row r="636" spans="1:7" x14ac:dyDescent="0.3">
      <c r="A636" s="136">
        <v>46135</v>
      </c>
      <c r="B636" s="138" t="s">
        <v>220</v>
      </c>
      <c r="C636" s="95"/>
      <c r="D636" s="95">
        <v>142000</v>
      </c>
      <c r="E636" s="138" t="s">
        <v>645</v>
      </c>
      <c r="F636" s="139" t="s">
        <v>108</v>
      </c>
      <c r="G636" s="138"/>
    </row>
    <row r="637" spans="1:7" x14ac:dyDescent="0.3">
      <c r="A637" s="137">
        <v>46135</v>
      </c>
      <c r="B637" s="138" t="s">
        <v>298</v>
      </c>
      <c r="C637" s="95">
        <v>100000</v>
      </c>
      <c r="D637" s="95"/>
      <c r="E637" s="138" t="s">
        <v>646</v>
      </c>
      <c r="F637" s="139" t="s">
        <v>108</v>
      </c>
      <c r="G637" s="138"/>
    </row>
    <row r="638" spans="1:7" x14ac:dyDescent="0.3">
      <c r="A638" s="137">
        <v>46135</v>
      </c>
      <c r="B638" s="138" t="s">
        <v>282</v>
      </c>
      <c r="C638" s="95">
        <v>43000</v>
      </c>
      <c r="D638" s="95"/>
      <c r="E638" s="138" t="s">
        <v>329</v>
      </c>
      <c r="F638" s="139" t="s">
        <v>108</v>
      </c>
      <c r="G638" s="138"/>
    </row>
    <row r="639" spans="1:7" x14ac:dyDescent="0.3">
      <c r="A639" s="137">
        <v>46135</v>
      </c>
      <c r="B639" s="138" t="s">
        <v>212</v>
      </c>
      <c r="C639" s="95">
        <f>1133+1490+300</f>
        <v>2923</v>
      </c>
      <c r="D639" s="95"/>
      <c r="E639" s="138"/>
      <c r="F639" s="139" t="s">
        <v>108</v>
      </c>
      <c r="G639" s="138"/>
    </row>
    <row r="640" spans="1:7" x14ac:dyDescent="0.3">
      <c r="A640" s="137">
        <v>46135</v>
      </c>
      <c r="B640" s="138" t="s">
        <v>55</v>
      </c>
      <c r="C640" s="95">
        <f>10656*2</f>
        <v>21312</v>
      </c>
      <c r="D640" s="95"/>
      <c r="E640" s="138" t="s">
        <v>652</v>
      </c>
      <c r="F640" s="139" t="s">
        <v>108</v>
      </c>
      <c r="G640" s="138"/>
    </row>
    <row r="641" spans="1:7" x14ac:dyDescent="0.3">
      <c r="A641" s="137">
        <v>46135</v>
      </c>
      <c r="B641" s="138" t="s">
        <v>224</v>
      </c>
      <c r="C641" s="95">
        <v>70000</v>
      </c>
      <c r="D641" s="95"/>
      <c r="E641" s="138" t="s">
        <v>242</v>
      </c>
      <c r="F641" s="139" t="s">
        <v>108</v>
      </c>
      <c r="G641" s="138"/>
    </row>
    <row r="642" spans="1:7" x14ac:dyDescent="0.3">
      <c r="A642" s="137">
        <v>46135</v>
      </c>
      <c r="B642" s="138" t="s">
        <v>357</v>
      </c>
      <c r="C642" s="95">
        <v>50000</v>
      </c>
      <c r="D642" s="95"/>
      <c r="E642" s="138" t="s">
        <v>653</v>
      </c>
      <c r="F642" s="139" t="s">
        <v>108</v>
      </c>
      <c r="G642" s="138"/>
    </row>
    <row r="643" spans="1:7" x14ac:dyDescent="0.3">
      <c r="A643" s="137">
        <v>46135</v>
      </c>
      <c r="B643" s="138" t="s">
        <v>357</v>
      </c>
      <c r="C643" s="95">
        <v>20000</v>
      </c>
      <c r="D643" s="95"/>
      <c r="E643" s="138" t="s">
        <v>469</v>
      </c>
      <c r="F643" s="139" t="s">
        <v>108</v>
      </c>
      <c r="G643" s="138"/>
    </row>
    <row r="644" spans="1:7" x14ac:dyDescent="0.3">
      <c r="A644" s="137">
        <v>46135</v>
      </c>
      <c r="B644" s="138" t="s">
        <v>54</v>
      </c>
      <c r="C644" s="95">
        <v>5000</v>
      </c>
      <c r="D644" s="95"/>
      <c r="E644" s="138" t="s">
        <v>654</v>
      </c>
      <c r="F644" s="139" t="s">
        <v>108</v>
      </c>
      <c r="G644" s="138"/>
    </row>
    <row r="645" spans="1:7" x14ac:dyDescent="0.3">
      <c r="A645" s="137">
        <v>46135</v>
      </c>
      <c r="B645" s="138" t="s">
        <v>55</v>
      </c>
      <c r="C645" s="95">
        <v>5500</v>
      </c>
      <c r="D645" s="95"/>
      <c r="E645" s="138" t="s">
        <v>655</v>
      </c>
      <c r="F645" s="139" t="s">
        <v>108</v>
      </c>
      <c r="G645" s="138"/>
    </row>
    <row r="646" spans="1:7" x14ac:dyDescent="0.3">
      <c r="A646" s="137">
        <v>46135</v>
      </c>
      <c r="B646" s="138" t="s">
        <v>601</v>
      </c>
      <c r="C646" s="95">
        <f>280+365</f>
        <v>645</v>
      </c>
      <c r="D646" s="95"/>
      <c r="E646" s="138" t="s">
        <v>656</v>
      </c>
      <c r="F646" s="139" t="s">
        <v>108</v>
      </c>
      <c r="G646" s="138"/>
    </row>
    <row r="647" spans="1:7" x14ac:dyDescent="0.3">
      <c r="A647" s="126"/>
      <c r="B647" s="127" t="s">
        <v>220</v>
      </c>
      <c r="C647" s="128"/>
      <c r="D647" s="128">
        <v>20000</v>
      </c>
      <c r="E647" s="127"/>
      <c r="F647" s="129" t="s">
        <v>108</v>
      </c>
    </row>
    <row r="648" spans="1:7" x14ac:dyDescent="0.3">
      <c r="A648" s="38"/>
      <c r="C648" s="14">
        <f>SUBTOTAL(109,Table14[Debit])</f>
        <v>33096568.399999999</v>
      </c>
      <c r="D648" s="14">
        <f>SUBTOTAL(109,Table14[Credit])</f>
        <v>33131701.229517192</v>
      </c>
      <c r="F648" s="54">
        <f>(Table14[[#Totals],[Credit]]-Table14[[#Totals],[Debit]])</f>
        <v>35132.829517193139</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20" zoomScale="107" zoomScaleNormal="210" workbookViewId="0">
      <selection activeCell="B29" sqref="B2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L10" s="140"/>
      <c r="M10" s="140">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s="140">
        <v>718750</v>
      </c>
      <c r="M11" s="140">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L12" s="140"/>
      <c r="M12" s="140">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L13" s="140"/>
      <c r="M13" s="140">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s="140">
        <v>718750</v>
      </c>
      <c r="M14" s="140">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F22" t="s">
        <v>115</v>
      </c>
      <c r="G22">
        <f>SUMIFS(Table14[Debit], Table14[Date], Table8[[#This Row],[Date]], Table14[Party], Table8[[#This Row],[Party]])</f>
        <v>0</v>
      </c>
      <c r="H22">
        <f>Table8[[#This Row],[Price]]-Table8[[#This Row],[Paid]]</f>
        <v>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E24">
        <v>181250</v>
      </c>
      <c r="F24" t="s">
        <v>115</v>
      </c>
      <c r="G24">
        <f>SUMIFS(Table14[Debit], Table14[Date], Table8[[#This Row],[Date]], Table14[Party], Table8[[#This Row],[Party]])</f>
        <v>100000</v>
      </c>
      <c r="H24">
        <f>Table8[[#This Row],[Price]]-Table8[[#This Row],[Paid]]</f>
        <v>81250</v>
      </c>
    </row>
    <row r="25" spans="1:12" x14ac:dyDescent="0.3">
      <c r="A25" s="1">
        <v>46134</v>
      </c>
      <c r="B25" t="s">
        <v>634</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F26" t="s">
        <v>115</v>
      </c>
      <c r="G26">
        <f>SUMIFS(Table14[Debit], Table14[Date], Table8[[#This Row],[Date]], Table14[Party], Table8[[#This Row],[Party]])</f>
        <v>0</v>
      </c>
      <c r="H26">
        <f>Table8[[#This Row],[Price]]-Table8[[#This Row],[Paid]]</f>
        <v>0</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row>
    <row r="30" spans="1:12" x14ac:dyDescent="0.3">
      <c r="A30" s="121"/>
    </row>
    <row r="31" spans="1:12" x14ac:dyDescent="0.3">
      <c r="A31" s="121"/>
    </row>
    <row r="32" spans="1:12" x14ac:dyDescent="0.3">
      <c r="A32" s="121"/>
      <c r="L32" t="s">
        <v>163</v>
      </c>
    </row>
    <row r="33" spans="1:16" x14ac:dyDescent="0.3">
      <c r="A33" s="121"/>
      <c r="L33" t="s">
        <v>57</v>
      </c>
      <c r="M33" t="s">
        <v>156</v>
      </c>
      <c r="N33" t="s">
        <v>157</v>
      </c>
      <c r="O33" t="s">
        <v>4</v>
      </c>
      <c r="P33" t="s">
        <v>158</v>
      </c>
    </row>
    <row r="34" spans="1:16" x14ac:dyDescent="0.3">
      <c r="A34" s="121"/>
      <c r="L34" t="s">
        <v>131</v>
      </c>
      <c r="M34">
        <v>1</v>
      </c>
      <c r="N34">
        <v>5</v>
      </c>
      <c r="O34">
        <v>1400</v>
      </c>
      <c r="P34">
        <f>Table23[[#This Row],[boxes]]*Table23[[#This Row],[kgs]]*Table23[[#This Row],[Rate]]</f>
        <v>7000</v>
      </c>
    </row>
    <row r="35" spans="1:16" x14ac:dyDescent="0.3">
      <c r="A35" s="121"/>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1464880</v>
      </c>
      <c r="G42">
        <f>SUBTOTAL(109,Table8[Paid])</f>
        <v>2064880</v>
      </c>
      <c r="H42">
        <f>SUBTOTAL(109,Table8[Balance])</f>
        <v>647375</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3"/>
  <sheetViews>
    <sheetView topLeftCell="A22" zoomScale="104" workbookViewId="0">
      <selection activeCell="A41" sqref="A4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s="140">
        <v>0</v>
      </c>
      <c r="L5" s="140">
        <v>0</v>
      </c>
      <c r="M5" s="140">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s="140">
        <v>0</v>
      </c>
      <c r="L6" s="140">
        <v>0</v>
      </c>
      <c r="M6" s="140">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s="140">
        <v>179000</v>
      </c>
      <c r="L7" s="140">
        <v>179000</v>
      </c>
      <c r="M7" s="140">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s="140">
        <v>120000</v>
      </c>
      <c r="L8" s="140">
        <v>185000</v>
      </c>
      <c r="M8" s="140">
        <v>55000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s="140">
        <v>312000</v>
      </c>
      <c r="L9" s="140">
        <v>312000</v>
      </c>
      <c r="M9" s="140">
        <v>0</v>
      </c>
    </row>
    <row r="10" spans="1:13" x14ac:dyDescent="0.3">
      <c r="A10" s="84">
        <v>46073</v>
      </c>
      <c r="B10" s="1" t="s">
        <v>226</v>
      </c>
      <c r="C10" t="s">
        <v>211</v>
      </c>
      <c r="F10">
        <f>260*325</f>
        <v>84500</v>
      </c>
      <c r="H10" s="80">
        <f>Table2[[#This Row],[Price]]-Table2[[#This Row],[Paid]]</f>
        <v>84500</v>
      </c>
      <c r="J10" s="4" t="s">
        <v>195</v>
      </c>
      <c r="K10" s="140">
        <v>152950</v>
      </c>
      <c r="L10" s="140">
        <v>152950</v>
      </c>
      <c r="M10" s="140">
        <v>0</v>
      </c>
    </row>
    <row r="11" spans="1:13" x14ac:dyDescent="0.3">
      <c r="A11" s="1"/>
      <c r="B11" s="1"/>
      <c r="J11" s="4" t="s">
        <v>226</v>
      </c>
      <c r="K11" s="140">
        <v>84500</v>
      </c>
      <c r="L11" s="140">
        <v>142500</v>
      </c>
      <c r="M11" s="140">
        <v>-58000</v>
      </c>
    </row>
    <row r="12" spans="1:13" x14ac:dyDescent="0.3">
      <c r="A12" s="1"/>
      <c r="B12" s="1"/>
      <c r="J12" s="4" t="s">
        <v>427</v>
      </c>
      <c r="K12" s="140">
        <v>0</v>
      </c>
      <c r="L12" s="140">
        <v>0</v>
      </c>
      <c r="M12" s="140">
        <v>0</v>
      </c>
    </row>
    <row r="13" spans="1:13" x14ac:dyDescent="0.3">
      <c r="A13" s="1"/>
      <c r="B13" s="1"/>
      <c r="J13" s="4" t="s">
        <v>28</v>
      </c>
      <c r="K13" s="140">
        <v>848450</v>
      </c>
      <c r="L13" s="140">
        <v>971450</v>
      </c>
      <c r="M13" s="140">
        <v>-3000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c r="B41" s="1"/>
      <c r="F41">
        <f>Table2[[#This Row],[Quantity]]*200*Table2[[#This Row],[Boxes]]</f>
        <v>0</v>
      </c>
      <c r="G41">
        <f>SUMIFS(Table14[Debit], Table14[Date], Table2[[#This Row],[Date]], Table14[Party], Table2[[#This Row],[Party Name]])</f>
        <v>0</v>
      </c>
      <c r="H41">
        <f>Table2[[#This Row],[Price]]-Table2[[#This Row],[Paid]]</f>
        <v>0</v>
      </c>
    </row>
    <row r="42" spans="1:8" x14ac:dyDescent="0.3">
      <c r="A42" s="1"/>
      <c r="B42" s="1"/>
      <c r="F42">
        <f>Table2[[#This Row],[Quantity]]*200*Table2[[#This Row],[Boxes]]</f>
        <v>0</v>
      </c>
      <c r="G42">
        <f>SUMIFS(Table14[Debit], Table14[Date], Table2[[#This Row],[Date]], Table14[Party], Table2[[#This Row],[Party Name]])</f>
        <v>0</v>
      </c>
      <c r="H42">
        <f>Table2[[#This Row],[Price]]-Table2[[#This Row],[Paid]]</f>
        <v>0</v>
      </c>
    </row>
    <row r="43" spans="1:8" x14ac:dyDescent="0.3">
      <c r="A43" s="1"/>
      <c r="F43">
        <f>SUBTOTAL(109,Table2[Price])</f>
        <v>848450</v>
      </c>
      <c r="G43">
        <f>SUBTOTAL(109,Table2[Paid])</f>
        <v>971450</v>
      </c>
      <c r="H43">
        <f>SUBTOTAL(109,Table2[Balance])</f>
        <v>-3000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6" sqref="E6"/>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2243448</v>
      </c>
      <c r="C2" s="32">
        <f>GETPIVOTDATA("Sum of Tiyaar/gaz",$A$3)</f>
        <v>2221093</v>
      </c>
      <c r="D2" s="31">
        <f>((B2*48)+((C2/1.0936)*10))/C2</f>
        <v>57.62722468651414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415</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53245</v>
      </c>
      <c r="D53" s="28">
        <f t="shared" si="19"/>
        <v>54.314324357947555</v>
      </c>
      <c r="E53" s="11">
        <f t="shared" si="20"/>
        <v>54795.921599999994</v>
      </c>
      <c r="F53" s="11">
        <f t="shared" si="21"/>
        <v>53245</v>
      </c>
      <c r="G53" s="78">
        <f t="shared" si="22"/>
        <v>2.8303595499705807</v>
      </c>
      <c r="H53" s="28">
        <f t="shared" si="23"/>
        <v>48687.820043891741</v>
      </c>
      <c r="I53" s="28">
        <f t="shared" si="24"/>
        <v>54.314324357947555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10979</v>
      </c>
      <c r="D77" s="28">
        <f t="shared" si="31"/>
        <v>72.244940047479091</v>
      </c>
      <c r="E77" s="11">
        <f t="shared" si="32"/>
        <v>15783.928799999998</v>
      </c>
      <c r="F77" s="11">
        <f t="shared" si="33"/>
        <v>10979</v>
      </c>
      <c r="G77" s="78">
        <f t="shared" si="34"/>
        <v>30.441906200185073</v>
      </c>
      <c r="H77" s="28">
        <f t="shared" si="35"/>
        <v>10039.319678127287</v>
      </c>
      <c r="I77" s="28">
        <f t="shared" si="36"/>
        <v>72.244940047479091</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658</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4157</v>
      </c>
      <c r="D84" s="28">
        <f t="shared" si="31"/>
        <v>437.36831133672695</v>
      </c>
      <c r="E84" s="11">
        <f t="shared" si="32"/>
        <v>40557.249599999996</v>
      </c>
      <c r="F84" s="11">
        <f t="shared" si="33"/>
        <v>4157</v>
      </c>
      <c r="G84" s="78">
        <f t="shared" si="34"/>
        <v>89.750291153865618</v>
      </c>
      <c r="H84" s="28">
        <f t="shared" si="35"/>
        <v>3801.2070226773963</v>
      </c>
      <c r="I84" s="28">
        <f t="shared" si="36"/>
        <v>437.36831133672695</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659</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660</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48275</v>
      </c>
      <c r="D92" s="28">
        <f t="shared" si="37"/>
        <v>56.559460752205666</v>
      </c>
      <c r="E92" s="11">
        <f t="shared" si="38"/>
        <v>52150.503199999992</v>
      </c>
      <c r="F92" s="11">
        <f t="shared" si="39"/>
        <v>48275</v>
      </c>
      <c r="G92" s="78">
        <f t="shared" si="40"/>
        <v>7.4313821769604544</v>
      </c>
      <c r="H92" s="28">
        <f t="shared" si="41"/>
        <v>44143.196781272862</v>
      </c>
      <c r="I92" s="28">
        <f t="shared" si="42"/>
        <v>56.559460752205666</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t="s">
        <v>28</v>
      </c>
      <c r="B94" s="30">
        <v>101030</v>
      </c>
      <c r="C94" s="30">
        <v>2221093</v>
      </c>
      <c r="D94" s="28">
        <f t="shared" si="37"/>
        <v>11.327468665492056</v>
      </c>
      <c r="E94" s="11">
        <f t="shared" si="38"/>
        <v>110486.408</v>
      </c>
      <c r="F94" s="11">
        <f t="shared" si="39"/>
        <v>2221093</v>
      </c>
      <c r="G94" s="78">
        <f t="shared" si="40"/>
        <v>-1910.286188324631</v>
      </c>
      <c r="H94" s="28">
        <f t="shared" si="41"/>
        <v>2030992.1360643748</v>
      </c>
      <c r="I94" s="28">
        <f t="shared" si="42"/>
        <v>11.327468665492056</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72"/>
  <sheetViews>
    <sheetView topLeftCell="A46" workbookViewId="0">
      <selection activeCell="H38" sqref="H38:H7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0</v>
      </c>
    </row>
    <row r="67" spans="2:10" x14ac:dyDescent="0.3">
      <c r="B67" s="1">
        <v>46137</v>
      </c>
      <c r="C67" t="s">
        <v>113</v>
      </c>
      <c r="D67">
        <f>SUMIFS(Table14[Debit], Table14[Date], Table5[[#This Row],[Date]], Table14[Party], "Rashan")</f>
        <v>0</v>
      </c>
      <c r="H67" s="1">
        <v>46137</v>
      </c>
      <c r="J67">
        <f>SUMIFS(Table14[Debit], Table14[Date], Table15[[#This Row],[Date]], Table14[Party], "Parts")</f>
        <v>0</v>
      </c>
    </row>
    <row r="68" spans="2:10" x14ac:dyDescent="0.3">
      <c r="B68" s="1">
        <v>46138</v>
      </c>
      <c r="C68" t="s">
        <v>113</v>
      </c>
      <c r="D68">
        <f>SUMIFS(Table14[Debit], Table14[Date], Table5[[#This Row],[Date]], Table14[Party], "Rashan")</f>
        <v>0</v>
      </c>
      <c r="H68" s="1">
        <v>46138</v>
      </c>
      <c r="J68">
        <f>SUMIFS(Table14[Debit], Table14[Date], Table15[[#This Row],[Date]], Table14[Party], "Parts")</f>
        <v>0</v>
      </c>
    </row>
    <row r="69" spans="2:10" x14ac:dyDescent="0.3">
      <c r="B69" s="1">
        <v>46139</v>
      </c>
      <c r="C69" t="s">
        <v>113</v>
      </c>
      <c r="D69">
        <f>SUMIFS(Table14[Debit], Table14[Date], Table5[[#This Row],[Date]], Table14[Party], "Rashan")</f>
        <v>0</v>
      </c>
      <c r="H69" s="1">
        <v>46139</v>
      </c>
      <c r="J69">
        <f>SUMIFS(Table14[Debit], Table14[Date], Table15[[#This Row],[Date]], Table14[Party], "Parts")</f>
        <v>0</v>
      </c>
    </row>
    <row r="70" spans="2:10" x14ac:dyDescent="0.3">
      <c r="B70" s="1">
        <v>46140</v>
      </c>
      <c r="C70" t="s">
        <v>113</v>
      </c>
      <c r="D70">
        <f>SUMIFS(Table14[Debit], Table14[Date], Table5[[#This Row],[Date]], Table14[Party], "Rashan")</f>
        <v>0</v>
      </c>
      <c r="H70" s="1">
        <v>46140</v>
      </c>
      <c r="J70">
        <f>SUMIFS(Table14[Debit], Table14[Date], Table15[[#This Row],[Date]], Table14[Party], "Parts")</f>
        <v>0</v>
      </c>
    </row>
    <row r="71" spans="2:10" x14ac:dyDescent="0.3">
      <c r="B71" s="1">
        <v>46141</v>
      </c>
      <c r="C71" t="s">
        <v>113</v>
      </c>
      <c r="D71">
        <f>SUMIFS(Table14[Debit], Table14[Date], Table5[[#This Row],[Date]], Table14[Party], "Rashan")</f>
        <v>0</v>
      </c>
      <c r="H71" s="1"/>
      <c r="J71">
        <f>SUM(Table15[Amount])</f>
        <v>1046485</v>
      </c>
    </row>
    <row r="72" spans="2:10" x14ac:dyDescent="0.3">
      <c r="B72" s="1"/>
      <c r="D72">
        <f>SUM(Table5[Amount])</f>
        <v>240140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4" workbookViewId="0">
      <selection activeCell="J28" sqref="J28"/>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24030666.716898322</v>
      </c>
    </row>
    <row r="3" spans="1:3" ht="21" x14ac:dyDescent="0.4">
      <c r="A3" s="101" t="str">
        <f>Billing!R6</f>
        <v>Ejaz Sahab</v>
      </c>
      <c r="B3" s="104">
        <f>Billing!AF6</f>
        <v>7214622</v>
      </c>
      <c r="C3" s="102">
        <f>Billing!AG6</f>
        <v>270520.64813460223</v>
      </c>
    </row>
    <row r="4" spans="1:3" ht="21" x14ac:dyDescent="0.4">
      <c r="A4" s="101" t="str">
        <f>Billing!R7</f>
        <v>Arshad</v>
      </c>
      <c r="B4" s="104">
        <f>Billing!AF7</f>
        <v>9577501</v>
      </c>
      <c r="C4" s="103">
        <f>Billing!AG7</f>
        <v>235106.90051206946</v>
      </c>
    </row>
    <row r="5" spans="1:3" ht="21" x14ac:dyDescent="0.4">
      <c r="A5" s="101" t="str">
        <f>Billing!R8</f>
        <v>Shehzad Kamoki</v>
      </c>
      <c r="B5" s="104">
        <f>Billing!AF8</f>
        <v>1353710</v>
      </c>
      <c r="C5" s="103">
        <f>Billing!AG8</f>
        <v>531.99729334330186</v>
      </c>
    </row>
    <row r="6" spans="1:3" ht="21" x14ac:dyDescent="0.4">
      <c r="A6" s="101" t="str">
        <f>Billing!R9</f>
        <v>Sufi Nawaz Sahab</v>
      </c>
      <c r="B6" s="104">
        <f>Billing!AF9</f>
        <v>11478764</v>
      </c>
      <c r="C6" s="102">
        <f>Billing!AG9</f>
        <v>0.23847842030227184</v>
      </c>
    </row>
    <row r="7" spans="1:3" ht="21" x14ac:dyDescent="0.4">
      <c r="A7" s="101" t="str">
        <f>Billing!R10</f>
        <v>Sajad Khan</v>
      </c>
      <c r="B7" s="104">
        <f>Billing!AF10</f>
        <v>10448871</v>
      </c>
      <c r="C7" s="102">
        <f>Billing!AG10</f>
        <v>144.17922458052635</v>
      </c>
    </row>
    <row r="8" spans="1:3" ht="21" x14ac:dyDescent="0.4">
      <c r="A8" s="101" t="str">
        <f>Billing!R11</f>
        <v>Raaz Fabrics</v>
      </c>
      <c r="B8" s="104">
        <f>Billing!AF11</f>
        <v>1726321</v>
      </c>
      <c r="C8" s="103">
        <f>Billing!AG11</f>
        <v>132704.23774689133</v>
      </c>
    </row>
    <row r="9" spans="1:3" ht="21" x14ac:dyDescent="0.4">
      <c r="A9" s="101" t="str">
        <f>Billing!R12</f>
        <v>Azam</v>
      </c>
      <c r="B9" s="104">
        <f>Billing!AF12</f>
        <v>7402540</v>
      </c>
      <c r="C9" s="102">
        <f>Billing!AG12</f>
        <v>531.50694952532649</v>
      </c>
    </row>
    <row r="10" spans="1:3" ht="21" x14ac:dyDescent="0.4">
      <c r="A10" s="101" t="str">
        <f>Billing!R13</f>
        <v>Ubaidullah</v>
      </c>
      <c r="B10" s="104">
        <f>Billing!AF13</f>
        <v>2831990</v>
      </c>
      <c r="C10" s="102">
        <f>Billing!AG13</f>
        <v>1318.3394294073805</v>
      </c>
    </row>
    <row r="11" spans="1:3" ht="21" x14ac:dyDescent="0.4">
      <c r="A11" s="101" t="str">
        <f>Billing!R14</f>
        <v>Ashraf Zia</v>
      </c>
      <c r="B11" s="104">
        <f>Billing!AF14</f>
        <v>130000</v>
      </c>
      <c r="C11" s="102">
        <f>Billing!AG14</f>
        <v>125724.21360643749</v>
      </c>
    </row>
    <row r="12" spans="1:3" ht="21" x14ac:dyDescent="0.4">
      <c r="A12" s="101" t="str">
        <f>Billing!R15</f>
        <v>Hafiz Qureshi</v>
      </c>
      <c r="B12" s="104">
        <f>Billing!AF15</f>
        <v>5739259</v>
      </c>
      <c r="C12" s="102">
        <f>Billing!AG15</f>
        <v>99996.669348940253</v>
      </c>
    </row>
    <row r="13" spans="1:3" ht="21" x14ac:dyDescent="0.4">
      <c r="A13" s="101" t="str">
        <f>Billing!R16</f>
        <v>Badshah Fabrics</v>
      </c>
      <c r="B13" s="104">
        <f>Billing!AF16</f>
        <v>6545761</v>
      </c>
      <c r="C13" s="102">
        <f>Billing!AG16</f>
        <v>91938.341623995453</v>
      </c>
    </row>
    <row r="14" spans="1:3" ht="21" x14ac:dyDescent="0.4">
      <c r="A14" s="101" t="str">
        <f>Billing!R17</f>
        <v>Gauhar Kashif</v>
      </c>
      <c r="B14" s="104">
        <f>Billing!AF17</f>
        <v>1214045</v>
      </c>
      <c r="C14" s="102">
        <f>Billing!AG17</f>
        <v>0.35479151434265077</v>
      </c>
    </row>
    <row r="15" spans="1:3" ht="21" x14ac:dyDescent="0.4">
      <c r="A15" s="101" t="str">
        <f>Billing!R18</f>
        <v>Amjad 7up</v>
      </c>
      <c r="B15" s="104">
        <f>Billing!AF18</f>
        <v>480000</v>
      </c>
      <c r="C15" s="103">
        <f>Billing!AG18</f>
        <v>3851.4996342355735</v>
      </c>
    </row>
    <row r="16" spans="1:3" ht="21" x14ac:dyDescent="0.4">
      <c r="A16" s="101" t="str">
        <f>Billing!R19</f>
        <v>Hazrat Khan</v>
      </c>
      <c r="B16" s="104">
        <f>Billing!AF19</f>
        <v>95000</v>
      </c>
      <c r="C16" s="103">
        <f>Billing!AG19</f>
        <v>-5844.9158741770225</v>
      </c>
    </row>
    <row r="17" spans="1:3" ht="21" x14ac:dyDescent="0.4">
      <c r="A17" s="101" t="str">
        <f>Billing!R20</f>
        <v>Haseeb Shamsi</v>
      </c>
      <c r="B17" s="104">
        <f>Billing!AF20</f>
        <v>594405</v>
      </c>
      <c r="C17" s="102">
        <f>Billing!AG20</f>
        <v>-0.28163862461224198</v>
      </c>
    </row>
    <row r="18" spans="1:3" ht="21" x14ac:dyDescent="0.4">
      <c r="A18" s="101" t="str">
        <f>Billing!R21</f>
        <v>Faizan</v>
      </c>
      <c r="B18" s="104">
        <f>Billing!AF21</f>
        <v>6728187</v>
      </c>
      <c r="C18" s="103">
        <f>Billing!AG21</f>
        <v>25885.787125092931</v>
      </c>
    </row>
    <row r="19" spans="1:3" ht="21" x14ac:dyDescent="0.4">
      <c r="A19" s="101" t="str">
        <f>Billing!R22</f>
        <v>Shafique Ansari</v>
      </c>
      <c r="B19" s="104">
        <f>Billing!AF22</f>
        <v>835660</v>
      </c>
      <c r="C19" s="103">
        <f>Billing!AG22</f>
        <v>356.82516459410544</v>
      </c>
    </row>
    <row r="20" spans="1:3" ht="21" x14ac:dyDescent="0.4">
      <c r="A20" s="101" t="str">
        <f>Billing!R23</f>
        <v>Amjad sohail</v>
      </c>
      <c r="B20" s="104">
        <f>Billing!AF23</f>
        <v>4417830</v>
      </c>
      <c r="C20" s="102">
        <f>Billing!AG23</f>
        <v>451112.02633504104</v>
      </c>
    </row>
    <row r="21" spans="1:3" ht="21" x14ac:dyDescent="0.4">
      <c r="A21" s="101" t="str">
        <f>Billing!R24</f>
        <v>Salman Zaffar</v>
      </c>
      <c r="B21" s="104">
        <f>Billing!AF24</f>
        <v>3296025</v>
      </c>
      <c r="C21" s="102">
        <f>Billing!AG24</f>
        <v>-26245.373079736717</v>
      </c>
    </row>
    <row r="22" spans="1:3" ht="21" x14ac:dyDescent="0.4">
      <c r="A22" s="101" t="str">
        <f>Billing!R25</f>
        <v>Shahid Qasayi</v>
      </c>
      <c r="B22" s="104">
        <f>Billing!AF25</f>
        <v>3645477</v>
      </c>
      <c r="C22" s="102">
        <f>Billing!AG25</f>
        <v>11419.488661302254</v>
      </c>
    </row>
    <row r="23" spans="1:3" ht="21" x14ac:dyDescent="0.4">
      <c r="A23" s="101" t="str">
        <f>Billing!R26</f>
        <v>Hameed corporation</v>
      </c>
      <c r="B23" s="104">
        <f>Billing!AF26</f>
        <v>424323</v>
      </c>
      <c r="C23" s="102">
        <f>Billing!AG26</f>
        <v>0.33577176299877465</v>
      </c>
    </row>
    <row r="24" spans="1:3" ht="21" x14ac:dyDescent="0.4">
      <c r="A24" s="101" t="str">
        <f>Billing!R27</f>
        <v>ibraheem behraam</v>
      </c>
      <c r="B24" s="104">
        <f>Billing!AF27</f>
        <v>1623500</v>
      </c>
      <c r="C24" s="102">
        <f>Billing!AG27</f>
        <v>3366.313094367506</v>
      </c>
    </row>
    <row r="25" spans="1:3" ht="21" x14ac:dyDescent="0.4">
      <c r="A25" s="101" t="str">
        <f>Billing!R28</f>
        <v>Zia-ullah karachi</v>
      </c>
      <c r="B25" s="104">
        <f>Billing!AF28</f>
        <v>124560</v>
      </c>
      <c r="C25" s="102">
        <f>Billing!AG28</f>
        <v>1.0826627651840681</v>
      </c>
    </row>
    <row r="26" spans="1:3" ht="21" x14ac:dyDescent="0.4">
      <c r="A26" s="101" t="str">
        <f>Billing!R29</f>
        <v>ZA</v>
      </c>
      <c r="B26" s="104">
        <f>Billing!AF29</f>
        <v>385000</v>
      </c>
      <c r="C26" s="102">
        <f>Billing!AG29</f>
        <v>138.07607900514267</v>
      </c>
    </row>
    <row r="27" spans="1:3" ht="21" x14ac:dyDescent="0.4">
      <c r="A27" s="101" t="str">
        <f>Billing!R30</f>
        <v>Ahmad Javaid</v>
      </c>
      <c r="B27" s="104">
        <f>Billing!AF30</f>
        <v>130000</v>
      </c>
      <c r="C27" s="102">
        <f>Billing!AG30</f>
        <v>21504.206291148497</v>
      </c>
    </row>
    <row r="28" spans="1:3" ht="21" x14ac:dyDescent="0.4">
      <c r="A28" s="101" t="str">
        <f>Billing!R31</f>
        <v>Shani Badshah</v>
      </c>
      <c r="B28" s="104">
        <f>Billing!AF31</f>
        <v>3116071</v>
      </c>
      <c r="C28" s="102">
        <f>Billing!AG31</f>
        <v>-0.22457937058061361</v>
      </c>
    </row>
    <row r="29" spans="1:3" ht="21" x14ac:dyDescent="0.4">
      <c r="A29" s="101" t="str">
        <f>Billing!R32</f>
        <v>Rehman Ali</v>
      </c>
      <c r="B29" s="104">
        <f>Billing!AF32</f>
        <v>550000</v>
      </c>
      <c r="C29" s="102">
        <f>Billing!AG32</f>
        <v>45924.46964155091</v>
      </c>
    </row>
    <row r="30" spans="1:3" ht="21" x14ac:dyDescent="0.4">
      <c r="A30" s="101" t="str">
        <f>Billing!R33</f>
        <v>Ahmad Shafique</v>
      </c>
      <c r="B30" s="104">
        <f>Billing!AF33</f>
        <v>636000</v>
      </c>
      <c r="C30" s="102">
        <f>Billing!AG33</f>
        <v>460.3145574250957</v>
      </c>
    </row>
    <row r="31" spans="1:3" ht="21" x14ac:dyDescent="0.4">
      <c r="A31" s="101" t="str">
        <f>Billing!R34</f>
        <v>Hafiz Shawl</v>
      </c>
      <c r="B31" s="104">
        <f>Billing!AF34</f>
        <v>55855</v>
      </c>
      <c r="C31" s="102">
        <f>Billing!AG34</f>
        <v>544044.41477688379</v>
      </c>
    </row>
    <row r="32" spans="1:3" ht="21" x14ac:dyDescent="0.4">
      <c r="A32" s="101" t="str">
        <f>Billing!R35</f>
        <v>Zahid Ejaz</v>
      </c>
      <c r="B32" s="104">
        <f>Billing!AF35</f>
        <v>169278</v>
      </c>
      <c r="C32" s="102">
        <f>Billing!AG35</f>
        <v>-7738.1316752011771</v>
      </c>
    </row>
    <row r="33" spans="1:3" ht="21" x14ac:dyDescent="0.4">
      <c r="A33" s="101" t="str">
        <f>Billing!R36</f>
        <v>Faizan Kamoki</v>
      </c>
      <c r="B33" s="104">
        <f>Billing!AF36</f>
        <v>4436982.4930504756</v>
      </c>
      <c r="C33" s="102">
        <f>Billing!AG36</f>
        <v>125753.4250182882</v>
      </c>
    </row>
    <row r="34" spans="1:3" ht="21" x14ac:dyDescent="0.4">
      <c r="A34" s="101" t="str">
        <f>Billing!R37</f>
        <v>KK fabrics</v>
      </c>
      <c r="B34" s="104">
        <f>Billing!AF37</f>
        <v>544000</v>
      </c>
      <c r="C34" s="102">
        <f>Billing!AG37</f>
        <v>1345.6474030724494</v>
      </c>
    </row>
    <row r="35" spans="1:3" ht="21" x14ac:dyDescent="0.4">
      <c r="A35" s="101" t="str">
        <f>Billing!R38</f>
        <v>Rauf Khan</v>
      </c>
      <c r="B35" s="104">
        <f>Billing!AF38</f>
        <v>0</v>
      </c>
      <c r="C35" s="102">
        <f>Billing!AG38</f>
        <v>204370.88514996343</v>
      </c>
    </row>
    <row r="36" spans="1:3" ht="21" x14ac:dyDescent="0.4">
      <c r="A36" s="101">
        <f>Billing!R39</f>
        <v>0</v>
      </c>
      <c r="B36" s="104">
        <f>Billing!AF39</f>
        <v>0</v>
      </c>
      <c r="C36" s="102">
        <f>Billing!AG39</f>
        <v>0</v>
      </c>
    </row>
    <row r="37" spans="1:3" ht="21" x14ac:dyDescent="0.4">
      <c r="A37" s="101">
        <f>Billing!R40</f>
        <v>0</v>
      </c>
      <c r="B37" s="104">
        <f>Billing!AF40</f>
        <v>0</v>
      </c>
      <c r="C37" s="102">
        <f>Billing!AG40</f>
        <v>0</v>
      </c>
    </row>
    <row r="38" spans="1:3" ht="21" x14ac:dyDescent="0.4">
      <c r="A38" s="101">
        <f>Billing!R41</f>
        <v>0</v>
      </c>
      <c r="B38" s="104">
        <f>Billing!AF41</f>
        <v>0</v>
      </c>
      <c r="C38" s="102">
        <f>Billing!AG41</f>
        <v>0</v>
      </c>
    </row>
    <row r="39" spans="1:3" ht="21" x14ac:dyDescent="0.4">
      <c r="A39" s="101">
        <f>Billing!R42</f>
        <v>0</v>
      </c>
      <c r="B39" s="104">
        <f>Billing!AF42</f>
        <v>0</v>
      </c>
      <c r="C39" s="102">
        <f>Billing!AG42</f>
        <v>0</v>
      </c>
    </row>
    <row r="40" spans="1:3" ht="21" x14ac:dyDescent="0.4">
      <c r="A40" s="101">
        <f>Billing!R43</f>
        <v>0</v>
      </c>
      <c r="B40" s="104">
        <f>Billing!AF43</f>
        <v>0</v>
      </c>
      <c r="C40" s="102">
        <f>Billing!AG43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5">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f t="shared" si="0"/>
        <v>0</v>
      </c>
      <c r="B36" s="10" t="e">
        <f>_xlfn.XLOOKUP($A36,[1]Billing!$Q$5:$Q$40,[1]Billing!$AD$5:$AD$40)</f>
        <v>#N/A</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2026-04-23T23:19:55Z</dcterms:modified>
  <cp:category/>
  <cp:contentStatus/>
</cp:coreProperties>
</file>