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032" documentId="8_{5FA7CF9A-3CD5-4319-9FC5-E34696581AAD}" xr6:coauthVersionLast="47" xr6:coauthVersionMax="47" xr10:uidLastSave="{D6D15C65-BE29-4D4B-8C62-484C4656962C}"/>
  <bookViews>
    <workbookView xWindow="-108" yWindow="-108" windowWidth="23256" windowHeight="12456" tabRatio="597" firstSheet="4"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2" i="1" l="1"/>
  <c r="J182" i="1" a="1"/>
  <c r="J182" i="1" s="1"/>
  <c r="I183" i="1"/>
  <c r="J183" i="1" a="1"/>
  <c r="J183" i="1"/>
  <c r="I184" i="1"/>
  <c r="J184" i="1" a="1"/>
  <c r="J184" i="1"/>
  <c r="H183" i="1"/>
  <c r="H184" i="1"/>
  <c r="H185" i="1"/>
  <c r="H186" i="1"/>
  <c r="H187" i="1"/>
  <c r="H188" i="1"/>
  <c r="H189" i="1"/>
  <c r="H190" i="1"/>
  <c r="G33" i="7"/>
  <c r="H33" i="7" s="1"/>
  <c r="J177" i="1" a="1"/>
  <c r="J177" i="1" s="1"/>
  <c r="J181" i="1" a="1"/>
  <c r="J181" i="1" s="1"/>
  <c r="I181" i="1"/>
  <c r="I175" i="1"/>
  <c r="J175" i="1" s="1" a="1"/>
  <c r="J175" i="1" s="1"/>
  <c r="I176" i="1"/>
  <c r="J176" i="1" s="1" a="1"/>
  <c r="J176" i="1" s="1"/>
  <c r="I177" i="1"/>
  <c r="I178" i="1"/>
  <c r="J178" i="1" s="1" a="1"/>
  <c r="J178" i="1" s="1"/>
  <c r="I179" i="1"/>
  <c r="J179" i="1" s="1" a="1"/>
  <c r="J179" i="1" s="1"/>
  <c r="I180" i="1"/>
  <c r="J180" i="1" s="1" a="1"/>
  <c r="J180" i="1" s="1"/>
  <c r="H182" i="1"/>
  <c r="F27" i="15"/>
  <c r="C490" i="17"/>
  <c r="C489" i="17"/>
  <c r="C4" i="8"/>
  <c r="G24" i="15"/>
  <c r="H24" i="15" s="1"/>
  <c r="G2" i="7"/>
  <c r="G25" i="7"/>
  <c r="H25" i="7" s="1"/>
  <c r="G26" i="7"/>
  <c r="H26" i="7" s="1"/>
  <c r="G27" i="7"/>
  <c r="H27" i="7" s="1"/>
  <c r="G3" i="7"/>
  <c r="G4" i="7"/>
  <c r="G5" i="7"/>
  <c r="G6" i="7"/>
  <c r="G7" i="7"/>
  <c r="G8" i="7"/>
  <c r="G9" i="7"/>
  <c r="G21" i="7"/>
  <c r="G22" i="7"/>
  <c r="H22" i="7" s="1"/>
  <c r="G23" i="7"/>
  <c r="H23" i="7" s="1"/>
  <c r="G24" i="7"/>
  <c r="H24" i="7" s="1"/>
  <c r="G28" i="7"/>
  <c r="H28" i="7" s="1"/>
  <c r="G29" i="7"/>
  <c r="H29" i="7" s="1"/>
  <c r="G30" i="7"/>
  <c r="H30" i="7" s="1"/>
  <c r="G31" i="7"/>
  <c r="G32" i="7"/>
  <c r="H32" i="7" s="1"/>
  <c r="C384" i="17"/>
  <c r="C416" i="17"/>
  <c r="D419" i="17"/>
  <c r="C417" i="17"/>
  <c r="C388" i="17"/>
  <c r="C379" i="17"/>
  <c r="C357" i="17"/>
  <c r="F30" i="15"/>
  <c r="F32" i="15"/>
  <c r="F34" i="15"/>
  <c r="F35" i="15"/>
  <c r="F36" i="15"/>
  <c r="G30" i="15"/>
  <c r="H30" i="15" s="1"/>
  <c r="G31" i="15"/>
  <c r="H31" i="15" s="1"/>
  <c r="G32" i="15"/>
  <c r="H32" i="15" s="1"/>
  <c r="G33" i="15"/>
  <c r="H33" i="15" s="1"/>
  <c r="G34" i="15"/>
  <c r="H34" i="15" s="1"/>
  <c r="G35" i="15"/>
  <c r="H35" i="15" s="1"/>
  <c r="G36" i="15"/>
  <c r="H36" i="15" s="1"/>
  <c r="I170" i="1"/>
  <c r="J170" i="1" s="1" a="1"/>
  <c r="J170" i="1" s="1"/>
  <c r="I171" i="1"/>
  <c r="J171" i="1" s="1" a="1"/>
  <c r="J171" i="1" s="1"/>
  <c r="I172" i="1"/>
  <c r="J172" i="1" s="1" a="1"/>
  <c r="J172" i="1" s="1"/>
  <c r="I173" i="1"/>
  <c r="J173" i="1" s="1" a="1"/>
  <c r="J173" i="1" s="1"/>
  <c r="I174" i="1"/>
  <c r="J174" i="1" s="1" a="1"/>
  <c r="J174" i="1" s="1"/>
  <c r="H177" i="1"/>
  <c r="H178" i="1"/>
  <c r="H179" i="1"/>
  <c r="H180" i="1"/>
  <c r="D163" i="17"/>
  <c r="C345" i="17"/>
  <c r="C347" i="17"/>
  <c r="D326" i="17"/>
  <c r="I157" i="1"/>
  <c r="J157" i="1" a="1"/>
  <c r="J157" i="1" s="1"/>
  <c r="I158" i="1"/>
  <c r="J158" i="1" a="1"/>
  <c r="J158" i="1" s="1"/>
  <c r="I159" i="1"/>
  <c r="J159" i="1" s="1" a="1"/>
  <c r="J159" i="1" s="1"/>
  <c r="I160" i="1"/>
  <c r="J160" i="1" s="1" a="1"/>
  <c r="J160" i="1" s="1"/>
  <c r="I161" i="1"/>
  <c r="J161" i="1" s="1" a="1"/>
  <c r="J161" i="1" s="1"/>
  <c r="I162" i="1"/>
  <c r="J162" i="1" s="1" a="1"/>
  <c r="J162" i="1" s="1"/>
  <c r="I163" i="1"/>
  <c r="J163" i="1" s="1" a="1"/>
  <c r="J163" i="1" s="1"/>
  <c r="I164" i="1"/>
  <c r="J164" i="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a="1"/>
  <c r="J140" i="1" s="1"/>
  <c r="I141" i="1"/>
  <c r="J141" i="1" s="1" a="1"/>
  <c r="J141" i="1" s="1"/>
  <c r="I142" i="1"/>
  <c r="J142" i="1" s="1" a="1"/>
  <c r="J142" i="1" s="1"/>
  <c r="I143" i="1"/>
  <c r="J143" i="1" s="1" a="1"/>
  <c r="J143" i="1" s="1"/>
  <c r="I144" i="1"/>
  <c r="J144" i="1" s="1" a="1"/>
  <c r="J144" i="1" s="1"/>
  <c r="I145" i="1"/>
  <c r="J145" i="1" s="1" a="1"/>
  <c r="J145" i="1" s="1"/>
  <c r="I146" i="1"/>
  <c r="J146" i="1" a="1"/>
  <c r="J146" i="1" s="1"/>
  <c r="I147" i="1"/>
  <c r="J147" i="1" a="1"/>
  <c r="J147" i="1" s="1"/>
  <c r="I148" i="1"/>
  <c r="J148" i="1" s="1" a="1"/>
  <c r="J148" i="1" s="1"/>
  <c r="I149" i="1"/>
  <c r="J149" i="1" s="1" a="1"/>
  <c r="J149" i="1" s="1"/>
  <c r="I150" i="1"/>
  <c r="J150" i="1" s="1" a="1"/>
  <c r="J150" i="1" s="1"/>
  <c r="I151" i="1"/>
  <c r="J151" i="1" s="1" a="1"/>
  <c r="J151" i="1" s="1"/>
  <c r="I152" i="1"/>
  <c r="J152" i="1" s="1" a="1"/>
  <c r="J152" i="1" s="1"/>
  <c r="I153" i="1"/>
  <c r="J153" i="1" a="1"/>
  <c r="J153" i="1" s="1"/>
  <c r="I154" i="1"/>
  <c r="J154" i="1" a="1"/>
  <c r="J154" i="1" s="1"/>
  <c r="I155" i="1"/>
  <c r="J155" i="1" s="1" a="1"/>
  <c r="J155" i="1" s="1"/>
  <c r="I156" i="1"/>
  <c r="J156" i="1" s="1" a="1"/>
  <c r="J156" i="1" s="1"/>
  <c r="F151" i="1"/>
  <c r="F150" i="1"/>
  <c r="F97" i="1"/>
  <c r="C272" i="17"/>
  <c r="I137" i="1"/>
  <c r="J137" i="1" s="1" a="1"/>
  <c r="J137" i="1" s="1"/>
  <c r="I35" i="6"/>
  <c r="I36" i="6"/>
  <c r="I37" i="6"/>
  <c r="I38" i="6"/>
  <c r="I39" i="6"/>
  <c r="I40" i="6"/>
  <c r="I41" i="6"/>
  <c r="I42" i="6"/>
  <c r="I122" i="6"/>
  <c r="I43" i="6"/>
  <c r="I44" i="6"/>
  <c r="I45" i="6"/>
  <c r="I46" i="6"/>
  <c r="I47" i="6"/>
  <c r="I48" i="6"/>
  <c r="I49" i="6"/>
  <c r="I50" i="6"/>
  <c r="I51" i="6"/>
  <c r="I52" i="6"/>
  <c r="I134" i="1"/>
  <c r="J134" i="1" s="1" a="1"/>
  <c r="J134" i="1" s="1"/>
  <c r="I135" i="1"/>
  <c r="J135" i="1" s="1" a="1"/>
  <c r="J135" i="1" s="1"/>
  <c r="I136" i="1"/>
  <c r="J136" i="1" s="1" a="1"/>
  <c r="J136" i="1" s="1"/>
  <c r="C251" i="17"/>
  <c r="J18" i="14" s="1"/>
  <c r="C244" i="17"/>
  <c r="D19" i="18" s="1"/>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s="1" a="1"/>
  <c r="J129" i="1" s="1"/>
  <c r="I130" i="1"/>
  <c r="J130" i="1" s="1" a="1"/>
  <c r="J130" i="1" s="1"/>
  <c r="I131" i="1"/>
  <c r="J131" i="1" s="1" a="1"/>
  <c r="J131" i="1" s="1"/>
  <c r="I132" i="1"/>
  <c r="J132" i="1" s="1" a="1"/>
  <c r="J132" i="1" s="1"/>
  <c r="I133" i="1"/>
  <c r="J133" i="1" s="1" a="1"/>
  <c r="J133" i="1" s="1"/>
  <c r="C242" i="17"/>
  <c r="I120" i="1"/>
  <c r="J120" i="1" s="1" a="1"/>
  <c r="J120" i="1" s="1"/>
  <c r="I121" i="1"/>
  <c r="J121" i="1" s="1" a="1"/>
  <c r="J121" i="1" s="1"/>
  <c r="I122" i="1"/>
  <c r="J122" i="1" s="1" a="1"/>
  <c r="J122" i="1" s="1"/>
  <c r="I123" i="1"/>
  <c r="J123" i="1" a="1"/>
  <c r="J123" i="1" s="1"/>
  <c r="I124" i="1"/>
  <c r="J124" i="1" s="1" a="1"/>
  <c r="J124" i="1" s="1"/>
  <c r="I125" i="1"/>
  <c r="J125" i="1" a="1"/>
  <c r="J125" i="1" s="1"/>
  <c r="I126" i="1"/>
  <c r="J126" i="1" s="1" a="1"/>
  <c r="J126" i="1" s="1"/>
  <c r="C144" i="17"/>
  <c r="F28" i="15"/>
  <c r="F29" i="15"/>
  <c r="F5" i="15"/>
  <c r="F6" i="15"/>
  <c r="F7" i="15"/>
  <c r="F8" i="15"/>
  <c r="F9" i="15"/>
  <c r="F10" i="15"/>
  <c r="F23" i="15"/>
  <c r="F25" i="15"/>
  <c r="C6" i="8"/>
  <c r="G28" i="15"/>
  <c r="H28" i="15" s="1"/>
  <c r="G29" i="15"/>
  <c r="H29" i="15" s="1"/>
  <c r="H10" i="15"/>
  <c r="C210" i="17"/>
  <c r="G27" i="15"/>
  <c r="H27" i="15" s="1"/>
  <c r="AD39" i="9" a="1"/>
  <c r="AD39" i="9" s="1"/>
  <c r="I112" i="1"/>
  <c r="J112" i="1" s="1"/>
  <c r="I113" i="1"/>
  <c r="J113" i="1" s="1"/>
  <c r="G25" i="6"/>
  <c r="I106" i="1"/>
  <c r="J106" i="1" s="1" a="1"/>
  <c r="J106" i="1" s="1"/>
  <c r="I107" i="1"/>
  <c r="J107" i="1" s="1" a="1"/>
  <c r="J107" i="1" s="1"/>
  <c r="I108" i="1"/>
  <c r="J108" i="1" a="1"/>
  <c r="J108" i="1" s="1"/>
  <c r="I109" i="1"/>
  <c r="J109" i="1" s="1" a="1"/>
  <c r="J109" i="1" s="1"/>
  <c r="I110" i="1"/>
  <c r="J110" i="1" s="1" a="1"/>
  <c r="J110" i="1" s="1"/>
  <c r="I111" i="1"/>
  <c r="J111" i="1" s="1" a="1"/>
  <c r="J111" i="1" s="1"/>
  <c r="I114" i="1"/>
  <c r="J114" i="1" a="1"/>
  <c r="J114" i="1" s="1"/>
  <c r="I115" i="1"/>
  <c r="J115" i="1" s="1" a="1"/>
  <c r="J115" i="1" s="1"/>
  <c r="I116" i="1"/>
  <c r="J116" i="1" s="1" a="1"/>
  <c r="J116" i="1" s="1"/>
  <c r="I117" i="1"/>
  <c r="J117" i="1" a="1"/>
  <c r="J117" i="1" s="1"/>
  <c r="I118" i="1"/>
  <c r="J118" i="1" s="1" a="1"/>
  <c r="J118" i="1" s="1"/>
  <c r="I119" i="1"/>
  <c r="J119" i="1" s="1" a="1"/>
  <c r="J119" i="1" s="1"/>
  <c r="D178" i="17"/>
  <c r="D120" i="17"/>
  <c r="C58" i="17"/>
  <c r="C162" i="17"/>
  <c r="I102" i="1"/>
  <c r="J102" i="1" s="1" a="1"/>
  <c r="J102" i="1" s="1"/>
  <c r="I103" i="1"/>
  <c r="J103" i="1" s="1" a="1"/>
  <c r="J103" i="1" s="1"/>
  <c r="I104" i="1"/>
  <c r="J104" i="1" s="1" a="1"/>
  <c r="J104" i="1" s="1"/>
  <c r="I105" i="1"/>
  <c r="J105" i="1" s="1" a="1"/>
  <c r="J105" i="1" s="1"/>
  <c r="I95" i="1"/>
  <c r="J95" i="1" s="1" a="1"/>
  <c r="J95" i="1" s="1"/>
  <c r="I96" i="1"/>
  <c r="J96" i="1" s="1" a="1"/>
  <c r="J96" i="1" s="1"/>
  <c r="I97" i="1"/>
  <c r="J97" i="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a="1"/>
  <c r="J89" i="1" s="1"/>
  <c r="I90" i="1"/>
  <c r="D89" i="17" s="1"/>
  <c r="I91" i="1"/>
  <c r="J91" i="1" s="1" a="1"/>
  <c r="J91" i="1" s="1"/>
  <c r="I92" i="1"/>
  <c r="J92" i="1" s="1" a="1"/>
  <c r="J92" i="1" s="1"/>
  <c r="I93" i="1"/>
  <c r="J93" i="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23" i="20" s="1"/>
  <c r="G14" i="6"/>
  <c r="A37" i="21"/>
  <c r="B37" i="21" s="1"/>
  <c r="A38" i="21"/>
  <c r="B38" i="21" s="1"/>
  <c r="G2" i="21" a="1"/>
  <c r="A14" i="21" s="1"/>
  <c r="B14" i="21" s="1"/>
  <c r="I72" i="1"/>
  <c r="J72" i="1" s="1" a="1"/>
  <c r="J72" i="1" s="1"/>
  <c r="I73" i="1"/>
  <c r="J73" i="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a="1"/>
  <c r="J82" i="1" s="1"/>
  <c r="G23" i="15"/>
  <c r="H23" i="15" s="1"/>
  <c r="G25" i="15"/>
  <c r="H25" i="15" s="1"/>
  <c r="G26" i="15"/>
  <c r="H26" i="15" s="1"/>
  <c r="E21" i="7"/>
  <c r="C5" i="8" s="1"/>
  <c r="I70" i="1"/>
  <c r="J70" i="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56" i="7" s="1"/>
  <c r="P38" i="7"/>
  <c r="P39" i="7"/>
  <c r="P40" i="7"/>
  <c r="P41" i="7"/>
  <c r="P42" i="7"/>
  <c r="P43" i="7"/>
  <c r="P44" i="7"/>
  <c r="P45" i="7"/>
  <c r="P46" i="7"/>
  <c r="P47" i="7"/>
  <c r="P48" i="7"/>
  <c r="P49" i="7"/>
  <c r="P50" i="7"/>
  <c r="P51" i="7"/>
  <c r="P52" i="7"/>
  <c r="P53" i="7"/>
  <c r="P54" i="7"/>
  <c r="P55" i="7"/>
  <c r="P34" i="7"/>
  <c r="K27" i="15"/>
  <c r="K26" i="15"/>
  <c r="K25" i="15"/>
  <c r="K30" i="15"/>
  <c r="B49" i="9" a="1"/>
  <c r="B18" i="9" s="1"/>
  <c r="C18"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84" i="9" a="1"/>
  <c r="B84" i="9" s="1"/>
  <c r="AD40" i="9" s="1" a="1"/>
  <c r="AD40" i="9" s="1"/>
  <c r="E40" i="7"/>
  <c r="E41" i="7"/>
  <c r="E42" i="7"/>
  <c r="E43" i="7"/>
  <c r="E44" i="7"/>
  <c r="E45" i="7"/>
  <c r="E46" i="7"/>
  <c r="E47" i="7"/>
  <c r="E48" i="7"/>
  <c r="E49" i="7"/>
  <c r="E50" i="7"/>
  <c r="E51" i="7"/>
  <c r="E52" i="7"/>
  <c r="E53" i="7"/>
  <c r="E54" i="7"/>
  <c r="E55" i="7"/>
  <c r="E56" i="7"/>
  <c r="E57" i="7"/>
  <c r="E58" i="7"/>
  <c r="E59" i="7"/>
  <c r="E60" i="7"/>
  <c r="E39" i="7"/>
  <c r="E65" i="7" s="1"/>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H59" i="2" s="1"/>
  <c r="I59" i="2" s="1"/>
  <c r="D59" i="2" s="1"/>
  <c r="G59" i="2"/>
  <c r="H164" i="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E65" i="2"/>
  <c r="F65" i="2"/>
  <c r="G65" i="2" s="1"/>
  <c r="H174" i="1" s="1"/>
  <c r="E66" i="2"/>
  <c r="F66" i="2"/>
  <c r="E67" i="2"/>
  <c r="F67" i="2"/>
  <c r="H67" i="2" s="1"/>
  <c r="I67" i="2" s="1"/>
  <c r="D67" i="2" s="1"/>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s="1"/>
  <c r="I45" i="2" s="1"/>
  <c r="D45" i="2" s="1"/>
  <c r="E46" i="2"/>
  <c r="F46" i="2"/>
  <c r="H46" i="2" s="1"/>
  <c r="I46" i="2" s="1"/>
  <c r="D46" i="2" s="1"/>
  <c r="E47" i="2"/>
  <c r="F47" i="2"/>
  <c r="H47" i="2" s="1"/>
  <c r="I47" i="2" s="1"/>
  <c r="D47" i="2" s="1"/>
  <c r="E48" i="2"/>
  <c r="F48" i="2"/>
  <c r="F20" i="2"/>
  <c r="H20" i="2" s="1"/>
  <c r="I20" i="2" s="1"/>
  <c r="D20" i="2" s="1"/>
  <c r="E20" i="2"/>
  <c r="E49" i="2"/>
  <c r="F49" i="2"/>
  <c r="H49" i="2" s="1"/>
  <c r="I49" i="2" s="1"/>
  <c r="D49" i="2" s="1"/>
  <c r="F21" i="2"/>
  <c r="H21" i="2" s="1"/>
  <c r="I21" i="2" s="1"/>
  <c r="D21" i="2" s="1"/>
  <c r="E21" i="2"/>
  <c r="E50" i="2"/>
  <c r="G50" i="2" s="1"/>
  <c r="H138" i="1" s="1"/>
  <c r="F50" i="2"/>
  <c r="E51" i="2"/>
  <c r="F51" i="2"/>
  <c r="H51" i="2" s="1"/>
  <c r="I51" i="2" s="1"/>
  <c r="D51" i="2" s="1"/>
  <c r="E52" i="2"/>
  <c r="F52" i="2"/>
  <c r="H52" i="2"/>
  <c r="I52" i="2" s="1"/>
  <c r="D52" i="2" s="1"/>
  <c r="E53" i="2"/>
  <c r="F53" i="2"/>
  <c r="G53" i="2" s="1"/>
  <c r="E54" i="2"/>
  <c r="F54" i="2"/>
  <c r="H54" i="2" s="1"/>
  <c r="I54" i="2" s="1"/>
  <c r="D54" i="2" s="1"/>
  <c r="F24" i="2"/>
  <c r="E24" i="2"/>
  <c r="E55" i="2"/>
  <c r="F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19" i="8"/>
  <c r="D16" i="14"/>
  <c r="J19" i="14"/>
  <c r="J20" i="14"/>
  <c r="E33" i="2"/>
  <c r="F33" i="2"/>
  <c r="H33" i="2" s="1"/>
  <c r="I33" i="2" s="1"/>
  <c r="D33" i="2" s="1"/>
  <c r="F6" i="2"/>
  <c r="G6" i="2" s="1"/>
  <c r="H88" i="1" s="1"/>
  <c r="E6" i="2"/>
  <c r="F5" i="2"/>
  <c r="H5" i="2"/>
  <c r="I5" i="2"/>
  <c r="D5" i="2" s="1"/>
  <c r="E5" i="2"/>
  <c r="E34" i="2"/>
  <c r="F34" i="2"/>
  <c r="H34" i="2" s="1"/>
  <c r="I34" i="2" s="1"/>
  <c r="D34" i="2" s="1"/>
  <c r="F18" i="2"/>
  <c r="E18" i="2"/>
  <c r="E35" i="2"/>
  <c r="F35" i="2"/>
  <c r="E36" i="2"/>
  <c r="F36" i="2"/>
  <c r="H36" i="2" s="1"/>
  <c r="I36" i="2" s="1"/>
  <c r="D36" i="2" s="1"/>
  <c r="F22" i="2"/>
  <c r="E22" i="2"/>
  <c r="F7" i="2"/>
  <c r="H7" i="2" s="1"/>
  <c r="I7" i="2" s="1"/>
  <c r="D7" i="2" s="1"/>
  <c r="E7" i="2"/>
  <c r="E37" i="2"/>
  <c r="F37" i="2"/>
  <c r="H37" i="2" s="1"/>
  <c r="I37" i="2" s="1"/>
  <c r="D37" i="2" s="1"/>
  <c r="E39" i="2"/>
  <c r="F39" i="2"/>
  <c r="G39" i="2" s="1"/>
  <c r="H119" i="1" s="1"/>
  <c r="E40" i="2"/>
  <c r="F40" i="2"/>
  <c r="H40" i="2"/>
  <c r="I40" i="2" s="1"/>
  <c r="D40" i="2" s="1"/>
  <c r="E41" i="2"/>
  <c r="F41" i="2"/>
  <c r="H41" i="2"/>
  <c r="I41" i="2" s="1"/>
  <c r="D41" i="2" s="1"/>
  <c r="E42" i="2"/>
  <c r="F42" i="2"/>
  <c r="E43" i="2"/>
  <c r="F43" i="2"/>
  <c r="G43" i="2" s="1"/>
  <c r="H126" i="1" s="1"/>
  <c r="E44" i="2"/>
  <c r="F44" i="2"/>
  <c r="G44" i="2" s="1"/>
  <c r="H127" i="1" s="1"/>
  <c r="F19" i="2"/>
  <c r="G19" i="2" s="1"/>
  <c r="E19" i="2"/>
  <c r="F38" i="2"/>
  <c r="H38" i="2" s="1"/>
  <c r="I38" i="2" s="1"/>
  <c r="D38" i="2" s="1"/>
  <c r="E38" i="2"/>
  <c r="G38" i="2" s="1"/>
  <c r="H161"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H16" i="2" s="1"/>
  <c r="I16" i="2" s="1"/>
  <c r="D16" i="2" s="1"/>
  <c r="E16" i="2"/>
  <c r="F26" i="2"/>
  <c r="H26" i="2" s="1"/>
  <c r="I26" i="2" s="1"/>
  <c r="D26" i="2" s="1"/>
  <c r="E26" i="2"/>
  <c r="F29" i="2"/>
  <c r="H29" i="2" s="1"/>
  <c r="I29" i="2" s="1"/>
  <c r="D29" i="2" s="1"/>
  <c r="E29" i="2"/>
  <c r="F30" i="2"/>
  <c r="G30" i="2" s="1"/>
  <c r="H103" i="1" s="1"/>
  <c r="F31" i="2"/>
  <c r="H31" i="2" s="1"/>
  <c r="I31" i="2" s="1"/>
  <c r="D31" i="2" s="1"/>
  <c r="E31" i="2"/>
  <c r="F32" i="2"/>
  <c r="F14" i="2"/>
  <c r="H14" i="2" s="1"/>
  <c r="I14" i="2" s="1"/>
  <c r="D14" i="2" s="1"/>
  <c r="E14" i="2"/>
  <c r="E30" i="2"/>
  <c r="E32" i="2"/>
  <c r="G32" i="2"/>
  <c r="H118" i="1" s="1"/>
  <c r="N4" i="17"/>
  <c r="F12" i="2"/>
  <c r="E12" i="2"/>
  <c r="F11" i="2"/>
  <c r="H11" i="2" s="1"/>
  <c r="I11" i="2" s="1"/>
  <c r="E11" i="2"/>
  <c r="E17" i="2"/>
  <c r="F17" i="2"/>
  <c r="H17" i="2" s="1"/>
  <c r="I17" i="2" s="1"/>
  <c r="D17" i="2" s="1"/>
  <c r="F9" i="2"/>
  <c r="E9" i="2"/>
  <c r="E8" i="2"/>
  <c r="F8" i="2"/>
  <c r="H8" i="2" s="1"/>
  <c r="I8" i="2" s="1"/>
  <c r="D8" i="2" s="1"/>
  <c r="E10" i="2"/>
  <c r="E4" i="2"/>
  <c r="G4" i="2" s="1"/>
  <c r="C8" i="8"/>
  <c r="F10" i="2"/>
  <c r="H10" i="2"/>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H76" i="2"/>
  <c r="I76" i="2"/>
  <c r="D76" i="2"/>
  <c r="G68" i="2"/>
  <c r="G81" i="2"/>
  <c r="H72" i="2"/>
  <c r="I72" i="2"/>
  <c r="D72" i="2"/>
  <c r="G75" i="2"/>
  <c r="G74" i="2"/>
  <c r="H71" i="2"/>
  <c r="I71" i="2"/>
  <c r="D71" i="2"/>
  <c r="G79" i="2"/>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50" i="2"/>
  <c r="I50" i="2" s="1"/>
  <c r="D50" i="2" s="1"/>
  <c r="H42" i="2"/>
  <c r="I42" i="2" s="1"/>
  <c r="D42" i="2" s="1"/>
  <c r="H30" i="2"/>
  <c r="I30" i="2" s="1"/>
  <c r="D30" i="2" s="1"/>
  <c r="G33" i="2"/>
  <c r="H110" i="1" s="1"/>
  <c r="F37" i="15"/>
  <c r="H18" i="2"/>
  <c r="I18" i="2" s="1"/>
  <c r="D18" i="2" s="1"/>
  <c r="H39" i="2"/>
  <c r="I39" i="2" s="1"/>
  <c r="D39" i="2" s="1"/>
  <c r="H32" i="2"/>
  <c r="I32" i="2" s="1"/>
  <c r="D32" i="2" s="1"/>
  <c r="H44" i="2"/>
  <c r="I44" i="2" s="1"/>
  <c r="D44" i="2" s="1"/>
  <c r="A36" i="21"/>
  <c r="B36" i="21"/>
  <c r="A36" i="20"/>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H65" i="2"/>
  <c r="I65" i="2"/>
  <c r="D65" i="2" s="1"/>
  <c r="G60" i="2"/>
  <c r="H165" i="1" s="1"/>
  <c r="G36" i="2"/>
  <c r="H115" i="1" s="1"/>
  <c r="H48" i="2"/>
  <c r="I48" i="2" s="1"/>
  <c r="D48" i="2" s="1"/>
  <c r="G17" i="2"/>
  <c r="H133" i="1" s="1"/>
  <c r="G37" i="2"/>
  <c r="H116" i="1" s="1"/>
  <c r="G20" i="2"/>
  <c r="H170" i="1" s="1"/>
  <c r="G25" i="2"/>
  <c r="H98" i="1" s="1"/>
  <c r="G18" i="2"/>
  <c r="H78" i="1"/>
  <c r="G41" i="2"/>
  <c r="H123" i="1" s="1"/>
  <c r="H55" i="2"/>
  <c r="I55" i="2" s="1"/>
  <c r="D55" i="2" s="1"/>
  <c r="H64" i="2"/>
  <c r="I64" i="2" s="1"/>
  <c r="D64" i="2" s="1"/>
  <c r="H4" i="2"/>
  <c r="I4" i="2" s="1"/>
  <c r="D4" i="2" s="1"/>
  <c r="G63" i="2"/>
  <c r="H169" i="1" s="1"/>
  <c r="A10" i="20"/>
  <c r="H163" i="1"/>
  <c r="H85" i="1"/>
  <c r="H159" i="1"/>
  <c r="C2" i="2"/>
  <c r="A16" i="20" l="1"/>
  <c r="A20" i="20"/>
  <c r="R5" i="9"/>
  <c r="A32" i="20"/>
  <c r="A19" i="20"/>
  <c r="D114" i="9"/>
  <c r="T35" i="9" s="1" a="1"/>
  <c r="T35" i="9" s="1"/>
  <c r="J72" i="9" a="1"/>
  <c r="J72" i="9" s="1"/>
  <c r="AD32" i="9" a="1"/>
  <c r="AD32" i="9" s="1"/>
  <c r="AD10" i="9" a="1"/>
  <c r="AD10" i="9" s="1"/>
  <c r="N69" i="9" a="1"/>
  <c r="N69" i="9" s="1"/>
  <c r="H114" i="9"/>
  <c r="X35" i="9" s="1" a="1"/>
  <c r="X35" i="9" s="1"/>
  <c r="B9" i="9"/>
  <c r="C9" i="9" s="1"/>
  <c r="I88" i="9"/>
  <c r="Y9" i="9" s="1" a="1"/>
  <c r="Y9" i="9" s="1"/>
  <c r="P102" i="9"/>
  <c r="AF23" i="9" s="1"/>
  <c r="B20" i="20" s="1"/>
  <c r="K94" i="9"/>
  <c r="AA15" i="9" s="1" a="1"/>
  <c r="AA15" i="9" s="1"/>
  <c r="L88" i="9"/>
  <c r="AB9" i="9" s="1" a="1"/>
  <c r="AB9" i="9" s="1"/>
  <c r="J86" i="9"/>
  <c r="Z7" i="9" s="1" a="1"/>
  <c r="Z7" i="9" s="1"/>
  <c r="U37" i="9" a="1"/>
  <c r="U37" i="9" s="1"/>
  <c r="G72" i="9" a="1"/>
  <c r="G72" i="9" s="1"/>
  <c r="E98" i="9"/>
  <c r="L97" i="9"/>
  <c r="AB18" i="9" s="1" a="1"/>
  <c r="AB18" i="9" s="1"/>
  <c r="M77" i="9" a="1"/>
  <c r="M77" i="9" s="1"/>
  <c r="E85" i="9"/>
  <c r="U6" i="9" s="1" a="1"/>
  <c r="U6" i="9" s="1"/>
  <c r="G113" i="9"/>
  <c r="W34" i="9" s="1" a="1"/>
  <c r="W34" i="9" s="1"/>
  <c r="I86" i="9"/>
  <c r="Y7" i="9" s="1" a="1"/>
  <c r="Y7" i="9" s="1"/>
  <c r="H97" i="9"/>
  <c r="X18" i="9" s="1" a="1"/>
  <c r="X18" i="9" s="1"/>
  <c r="K87" i="9"/>
  <c r="AA8" i="9" s="1" a="1"/>
  <c r="AA8" i="9" s="1"/>
  <c r="P90" i="9"/>
  <c r="AF11" i="9" s="1"/>
  <c r="B8" i="20" s="1"/>
  <c r="H111" i="9"/>
  <c r="X32" i="9" s="1" a="1"/>
  <c r="X32" i="9" s="1"/>
  <c r="M76" i="9" a="1"/>
  <c r="M76" i="9" s="1"/>
  <c r="C87" i="9"/>
  <c r="S8" i="9" s="1" a="1"/>
  <c r="S8" i="9" s="1"/>
  <c r="L114" i="9"/>
  <c r="AB35" i="9" s="1" a="1"/>
  <c r="AB35" i="9" s="1"/>
  <c r="D109" i="9"/>
  <c r="T30" i="9" s="1" a="1"/>
  <c r="T30" i="9" s="1"/>
  <c r="K95" i="9"/>
  <c r="AA16" i="9" s="1" a="1"/>
  <c r="AA16" i="9" s="1"/>
  <c r="P97" i="9"/>
  <c r="AF18" i="9" s="1"/>
  <c r="B15" i="20" s="1"/>
  <c r="H74" i="9" a="1"/>
  <c r="H74" i="9" s="1"/>
  <c r="H101" i="9"/>
  <c r="X22" i="9" s="1" a="1"/>
  <c r="X22" i="9" s="1"/>
  <c r="I68" i="9" a="1"/>
  <c r="I68" i="9" s="1"/>
  <c r="P60" i="9"/>
  <c r="T38" i="9" a="1"/>
  <c r="T38" i="9" s="1"/>
  <c r="H81" i="9" a="1"/>
  <c r="H81" i="9" s="1"/>
  <c r="G102" i="9"/>
  <c r="W23" i="9" s="1" a="1"/>
  <c r="W23" i="9" s="1"/>
  <c r="C85" i="9"/>
  <c r="S6" i="9" s="1" a="1"/>
  <c r="S6" i="9" s="1"/>
  <c r="A19" i="21"/>
  <c r="B19" i="21" s="1"/>
  <c r="A8" i="21"/>
  <c r="B8" i="21" s="1"/>
  <c r="A18" i="21"/>
  <c r="B18" i="21" s="1"/>
  <c r="A9" i="21"/>
  <c r="B9" i="21" s="1"/>
  <c r="G2" i="21"/>
  <c r="A2" i="21" s="1"/>
  <c r="B2" i="21" s="1"/>
  <c r="A7" i="21"/>
  <c r="B7" i="21" s="1"/>
  <c r="A5" i="20"/>
  <c r="A6" i="21"/>
  <c r="B6" i="21" s="1"/>
  <c r="A30" i="21"/>
  <c r="B30" i="21" s="1"/>
  <c r="A5" i="21"/>
  <c r="B5" i="21" s="1"/>
  <c r="A4" i="21"/>
  <c r="B4" i="21" s="1"/>
  <c r="A25" i="21"/>
  <c r="B25" i="21" s="1"/>
  <c r="A22" i="21"/>
  <c r="B22" i="21" s="1"/>
  <c r="A26" i="21"/>
  <c r="B26" i="21" s="1"/>
  <c r="K72" i="9" a="1"/>
  <c r="K72" i="9" s="1"/>
  <c r="M101" i="9"/>
  <c r="AC22" i="9" s="1" a="1"/>
  <c r="AC22" i="9" s="1"/>
  <c r="J114" i="9"/>
  <c r="Z35" i="9" s="1" a="1"/>
  <c r="Z35" i="9" s="1"/>
  <c r="A21" i="21"/>
  <c r="B21" i="21" s="1"/>
  <c r="A20" i="21"/>
  <c r="B20" i="21" s="1"/>
  <c r="A10" i="21"/>
  <c r="B10" i="21" s="1"/>
  <c r="A15" i="21"/>
  <c r="B15" i="21" s="1"/>
  <c r="A31" i="21"/>
  <c r="B31" i="21" s="1"/>
  <c r="A3" i="21"/>
  <c r="B3" i="21" s="1"/>
  <c r="A12" i="21"/>
  <c r="B12" i="21" s="1"/>
  <c r="A35" i="21"/>
  <c r="B35" i="21" s="1"/>
  <c r="I191" i="1" a="1"/>
  <c r="I191" i="1" s="1"/>
  <c r="E4" i="8" s="1"/>
  <c r="J90" i="1" a="1"/>
  <c r="J90" i="1" s="1"/>
  <c r="J191" i="1" s="1" a="1"/>
  <c r="J191" i="1" s="1"/>
  <c r="C7" i="8"/>
  <c r="G21" i="2"/>
  <c r="H90" i="1" s="1"/>
  <c r="H162" i="1"/>
  <c r="H158" i="1"/>
  <c r="H43" i="2"/>
  <c r="I43" i="2" s="1"/>
  <c r="D43" i="2" s="1"/>
  <c r="G45" i="2"/>
  <c r="G9" i="2"/>
  <c r="H82" i="1" s="1"/>
  <c r="G52" i="2"/>
  <c r="G48" i="2"/>
  <c r="H136" i="1" s="1"/>
  <c r="G27" i="2"/>
  <c r="H100" i="1" s="1"/>
  <c r="H172" i="1"/>
  <c r="H135" i="1"/>
  <c r="G66" i="2"/>
  <c r="H181" i="1" s="1"/>
  <c r="G61" i="2"/>
  <c r="H166" i="1" s="1"/>
  <c r="H109" i="1"/>
  <c r="G57" i="2"/>
  <c r="H154" i="1" s="1"/>
  <c r="H146" i="1"/>
  <c r="H145" i="1"/>
  <c r="H53" i="2"/>
  <c r="I53" i="2" s="1"/>
  <c r="D53" i="2" s="1"/>
  <c r="G8" i="2"/>
  <c r="H142" i="1"/>
  <c r="G26" i="2"/>
  <c r="H99" i="1" s="1"/>
  <c r="G35" i="2"/>
  <c r="H112" i="1" s="1"/>
  <c r="G64" i="2"/>
  <c r="H171" i="1" s="1"/>
  <c r="H77" i="1"/>
  <c r="G46" i="2"/>
  <c r="H141" i="1" s="1"/>
  <c r="G16" i="2"/>
  <c r="H76" i="1" s="1"/>
  <c r="G62" i="2"/>
  <c r="H168" i="1" s="1"/>
  <c r="G12" i="2"/>
  <c r="H79" i="1" s="1"/>
  <c r="G40" i="2"/>
  <c r="H57" i="2"/>
  <c r="I57" i="2" s="1"/>
  <c r="D57" i="2" s="1"/>
  <c r="G47" i="2"/>
  <c r="H132" i="1" s="1"/>
  <c r="H117" i="1"/>
  <c r="G42" i="2"/>
  <c r="H125" i="1" s="1"/>
  <c r="G55" i="2"/>
  <c r="H148" i="1" s="1"/>
  <c r="G58" i="2"/>
  <c r="H157" i="1" s="1"/>
  <c r="G49" i="2"/>
  <c r="H137" i="1" s="1"/>
  <c r="G7" i="2"/>
  <c r="H81" i="1" s="1"/>
  <c r="G22" i="2"/>
  <c r="H94" i="1" s="1"/>
  <c r="H22" i="2"/>
  <c r="I22" i="2" s="1"/>
  <c r="D22" i="2" s="1"/>
  <c r="G10" i="2"/>
  <c r="H80" i="1" s="1"/>
  <c r="G31" i="2"/>
  <c r="G15" i="2"/>
  <c r="H74" i="1" s="1"/>
  <c r="G34" i="2"/>
  <c r="H111" i="1" s="1"/>
  <c r="G24" i="2"/>
  <c r="H96" i="1" s="1"/>
  <c r="G28" i="2"/>
  <c r="G11" i="2"/>
  <c r="H91" i="1" s="1"/>
  <c r="G54" i="2"/>
  <c r="H147" i="1" s="1"/>
  <c r="G23" i="2"/>
  <c r="G5" i="2"/>
  <c r="H139" i="1" s="1"/>
  <c r="H66" i="2"/>
  <c r="I66" i="2" s="1"/>
  <c r="D66" i="2" s="1"/>
  <c r="G56" i="2"/>
  <c r="H156" i="1" s="1"/>
  <c r="H107" i="1"/>
  <c r="H106" i="1"/>
  <c r="H73" i="1"/>
  <c r="H175" i="1"/>
  <c r="H176" i="1"/>
  <c r="H89" i="1"/>
  <c r="H87" i="1"/>
  <c r="H84" i="1"/>
  <c r="H120" i="1"/>
  <c r="H122" i="1"/>
  <c r="H93" i="1"/>
  <c r="H153" i="1"/>
  <c r="H144" i="1"/>
  <c r="H160" i="1"/>
  <c r="H113" i="1"/>
  <c r="H24" i="2"/>
  <c r="I24" i="2" s="1"/>
  <c r="D24" i="2" s="1"/>
  <c r="G51" i="2"/>
  <c r="H12" i="2"/>
  <c r="I12" i="2" s="1"/>
  <c r="D12" i="2" s="1"/>
  <c r="H104" i="1"/>
  <c r="H9" i="2"/>
  <c r="I9" i="2" s="1"/>
  <c r="D9" i="2" s="1"/>
  <c r="H15" i="2"/>
  <c r="I15" i="2" s="1"/>
  <c r="D15" i="2" s="1"/>
  <c r="H19" i="2"/>
  <c r="I19" i="2" s="1"/>
  <c r="D19" i="2" s="1"/>
  <c r="H6" i="2"/>
  <c r="I6" i="2" s="1"/>
  <c r="D6" i="2" s="1"/>
  <c r="H27" i="2"/>
  <c r="I27" i="2" s="1"/>
  <c r="D27" i="2" s="1"/>
  <c r="G67" i="2"/>
  <c r="H35" i="2"/>
  <c r="I35" i="2" s="1"/>
  <c r="D35" i="2" s="1"/>
  <c r="H131" i="1"/>
  <c r="H58" i="2"/>
  <c r="I58" i="2" s="1"/>
  <c r="D58" i="2" s="1"/>
  <c r="H130" i="1"/>
  <c r="G13" i="2"/>
  <c r="H124" i="1"/>
  <c r="H114" i="1"/>
  <c r="G29" i="2"/>
  <c r="G14" i="2"/>
  <c r="C96" i="9"/>
  <c r="S17" i="9" s="1" a="1"/>
  <c r="S17" i="9" s="1"/>
  <c r="J113" i="9"/>
  <c r="Z34" i="9" s="1" a="1"/>
  <c r="Z34" i="9" s="1"/>
  <c r="E108" i="9"/>
  <c r="U29" i="9" s="1" a="1"/>
  <c r="U29" i="9" s="1"/>
  <c r="M51" i="9" a="1"/>
  <c r="M51" i="9" s="1"/>
  <c r="F106" i="9"/>
  <c r="V27" i="9" s="1" a="1"/>
  <c r="V27" i="9" s="1"/>
  <c r="F95" i="9"/>
  <c r="V16" i="9" s="1" a="1"/>
  <c r="V16" i="9" s="1"/>
  <c r="H93" i="9"/>
  <c r="X14" i="9" s="1" a="1"/>
  <c r="X14" i="9" s="1"/>
  <c r="F102" i="9"/>
  <c r="V23" i="9" s="1" a="1"/>
  <c r="V23" i="9" s="1"/>
  <c r="N64" i="9" a="1"/>
  <c r="N64" i="9" s="1"/>
  <c r="N65" i="9" a="1"/>
  <c r="N65" i="9" s="1"/>
  <c r="C88" i="9"/>
  <c r="S9" i="9" s="1" a="1"/>
  <c r="S9" i="9" s="1"/>
  <c r="D112" i="9"/>
  <c r="T33" i="9" s="1" a="1"/>
  <c r="T33" i="9" s="1"/>
  <c r="J91" i="9"/>
  <c r="Z12" i="9" s="1" a="1"/>
  <c r="Z12" i="9" s="1"/>
  <c r="G106" i="9"/>
  <c r="W27" i="9" s="1" a="1"/>
  <c r="W27" i="9" s="1"/>
  <c r="T37" i="9" a="1"/>
  <c r="T37" i="9" s="1"/>
  <c r="J61" i="9" a="1"/>
  <c r="J61" i="9" s="1"/>
  <c r="M95" i="9"/>
  <c r="AC16" i="9" s="1" a="1"/>
  <c r="AC16" i="9" s="1"/>
  <c r="J97" i="9"/>
  <c r="Z18" i="9" s="1" a="1"/>
  <c r="Z18" i="9" s="1"/>
  <c r="M68" i="9" a="1"/>
  <c r="M68" i="9" s="1"/>
  <c r="J107" i="9"/>
  <c r="Z28" i="9" s="1" a="1"/>
  <c r="Z28" i="9" s="1"/>
  <c r="J63" i="9" a="1"/>
  <c r="J63" i="9" s="1"/>
  <c r="G93" i="9"/>
  <c r="W14" i="9" s="1" a="1"/>
  <c r="W14" i="9" s="1"/>
  <c r="B49" i="9"/>
  <c r="E49" i="9" s="1" a="1"/>
  <c r="E49" i="9" s="1"/>
  <c r="F92" i="9"/>
  <c r="V13" i="9" s="1" a="1"/>
  <c r="V13" i="9" s="1"/>
  <c r="D14" i="19" s="1" a="1"/>
  <c r="D14" i="19" s="1"/>
  <c r="E14" i="19" s="1"/>
  <c r="F98" i="9"/>
  <c r="V19" i="9" s="1" a="1"/>
  <c r="V19" i="9" s="1"/>
  <c r="J104" i="9"/>
  <c r="Z25" i="9" s="1" a="1"/>
  <c r="Z25" i="9" s="1"/>
  <c r="G88" i="9"/>
  <c r="W9" i="9" s="1" a="1"/>
  <c r="W9" i="9" s="1"/>
  <c r="P52" i="9"/>
  <c r="L65" i="9" a="1"/>
  <c r="L65" i="9" s="1"/>
  <c r="F97" i="9"/>
  <c r="V18" i="9" s="1" a="1"/>
  <c r="V18" i="9" s="1"/>
  <c r="L92" i="9"/>
  <c r="L58" i="9" a="1"/>
  <c r="L58" i="9" s="1"/>
  <c r="E103" i="9"/>
  <c r="U24" i="9" s="1" a="1"/>
  <c r="U24" i="9" s="1"/>
  <c r="D85" i="9"/>
  <c r="T6" i="9" s="1" a="1"/>
  <c r="T6" i="9" s="1"/>
  <c r="I71" i="9" a="1"/>
  <c r="I71" i="9" s="1"/>
  <c r="K103" i="9"/>
  <c r="AA24" i="9" s="1" a="1"/>
  <c r="AA24" i="9" s="1"/>
  <c r="H63" i="9" a="1"/>
  <c r="H63" i="9" s="1"/>
  <c r="A2" i="20"/>
  <c r="Y38" i="9" a="1"/>
  <c r="Y38" i="9" s="1"/>
  <c r="A8" i="20"/>
  <c r="J111" i="9"/>
  <c r="Z32" i="9" s="1" a="1"/>
  <c r="Z32" i="9" s="1"/>
  <c r="G107" i="9"/>
  <c r="W28" i="9" s="1" a="1"/>
  <c r="W28" i="9" s="1"/>
  <c r="B10" i="9"/>
  <c r="E10" i="9" s="1"/>
  <c r="H100" i="9"/>
  <c r="P92" i="9"/>
  <c r="AF13" i="9" s="1"/>
  <c r="B10" i="20" s="1"/>
  <c r="P114" i="9"/>
  <c r="AF35" i="9" s="1"/>
  <c r="B32" i="20" s="1"/>
  <c r="P87" i="9"/>
  <c r="AF8" i="9" s="1"/>
  <c r="B5" i="20" s="1"/>
  <c r="F85" i="9"/>
  <c r="V6" i="9" s="1" a="1"/>
  <c r="V6" i="9" s="1"/>
  <c r="G104" i="9"/>
  <c r="W25" i="9" s="1" a="1"/>
  <c r="W25" i="9" s="1"/>
  <c r="M80" i="9" a="1"/>
  <c r="M80" i="9" s="1"/>
  <c r="L59" i="9" a="1"/>
  <c r="L59" i="9" s="1"/>
  <c r="N53" i="9" a="1"/>
  <c r="N53" i="9" s="1"/>
  <c r="J53" i="9" a="1"/>
  <c r="J53" i="9" s="1"/>
  <c r="I56" i="9" a="1"/>
  <c r="I56" i="9" s="1"/>
  <c r="H92" i="9"/>
  <c r="X13" i="9" s="1" a="1"/>
  <c r="X13" i="9" s="1"/>
  <c r="D113" i="9"/>
  <c r="T34" i="9" s="1" a="1"/>
  <c r="T34" i="9" s="1"/>
  <c r="L100" i="9"/>
  <c r="AB21" i="9" s="1" a="1"/>
  <c r="AB21" i="9" s="1"/>
  <c r="G58" i="9" a="1"/>
  <c r="G58" i="9" s="1"/>
  <c r="J76" i="9" a="1"/>
  <c r="J76" i="9" s="1"/>
  <c r="H62" i="9" a="1"/>
  <c r="H62" i="9" s="1"/>
  <c r="F93" i="9"/>
  <c r="V14" i="9" s="1" a="1"/>
  <c r="V14" i="9" s="1"/>
  <c r="I99" i="9"/>
  <c r="Y20" i="9" s="1" a="1"/>
  <c r="Y20" i="9" s="1"/>
  <c r="I58" i="9" a="1"/>
  <c r="I58" i="9" s="1"/>
  <c r="M90" i="9"/>
  <c r="AC11" i="9" s="1" a="1"/>
  <c r="AC11" i="9" s="1"/>
  <c r="AD20" i="9" a="1"/>
  <c r="AD20" i="9" s="1"/>
  <c r="K109" i="9"/>
  <c r="AA30" i="9" s="1" a="1"/>
  <c r="AA30" i="9" s="1"/>
  <c r="H89" i="9"/>
  <c r="X10" i="9" s="1" a="1"/>
  <c r="X10" i="9" s="1"/>
  <c r="N55" i="9" a="1"/>
  <c r="N55" i="9" s="1"/>
  <c r="P58" i="9"/>
  <c r="M86" i="9"/>
  <c r="AC7" i="9" s="1" a="1"/>
  <c r="AC7" i="9" s="1"/>
  <c r="AD13" i="9" a="1"/>
  <c r="AD13" i="9" s="1"/>
  <c r="P72" i="9"/>
  <c r="L71" i="9" a="1"/>
  <c r="L71" i="9" s="1"/>
  <c r="E112" i="9"/>
  <c r="U33" i="9" s="1" a="1"/>
  <c r="U33" i="9" s="1"/>
  <c r="H70" i="9" a="1"/>
  <c r="H70" i="9" s="1"/>
  <c r="H107" i="9"/>
  <c r="X28" i="9" s="1" a="1"/>
  <c r="X28" i="9" s="1"/>
  <c r="D103" i="9"/>
  <c r="T24" i="9" s="1" a="1"/>
  <c r="T24" i="9" s="1"/>
  <c r="G61" i="9" a="1"/>
  <c r="G61" i="9" s="1"/>
  <c r="M56" i="9" a="1"/>
  <c r="M56" i="9" s="1"/>
  <c r="G91" i="9"/>
  <c r="W12" i="9" s="1" a="1"/>
  <c r="W12" i="9" s="1"/>
  <c r="I81" i="9" a="1"/>
  <c r="I81" i="9" s="1"/>
  <c r="J56" i="9" a="1"/>
  <c r="J56" i="9" s="1"/>
  <c r="G86" i="9"/>
  <c r="W7" i="9" s="1" a="1"/>
  <c r="W7" i="9" s="1"/>
  <c r="C90" i="9"/>
  <c r="S11" i="9" s="1" a="1"/>
  <c r="S11" i="9" s="1"/>
  <c r="L94" i="9"/>
  <c r="AB15" i="9" s="1" a="1"/>
  <c r="AB15" i="9" s="1"/>
  <c r="M67" i="9" a="1"/>
  <c r="M67" i="9" s="1"/>
  <c r="L101" i="9"/>
  <c r="AB22" i="9" s="1" a="1"/>
  <c r="AB22" i="9" s="1"/>
  <c r="L57" i="9" a="1"/>
  <c r="L57" i="9" s="1"/>
  <c r="P101" i="9"/>
  <c r="AF22" i="9" s="1"/>
  <c r="B19" i="20" s="1"/>
  <c r="C108" i="9"/>
  <c r="S29" i="9" s="1" a="1"/>
  <c r="S29" i="9" s="1"/>
  <c r="G108" i="9"/>
  <c r="W29" i="9" s="1" a="1"/>
  <c r="W29" i="9" s="1"/>
  <c r="P109" i="9"/>
  <c r="AF30" i="9" s="1"/>
  <c r="B27" i="20" s="1"/>
  <c r="P94" i="9"/>
  <c r="AF15" i="9" s="1"/>
  <c r="B12" i="20" s="1"/>
  <c r="H113" i="9"/>
  <c r="X34" i="9" s="1" a="1"/>
  <c r="X34" i="9" s="1"/>
  <c r="P86" i="9"/>
  <c r="AF7" i="9" s="1"/>
  <c r="B4" i="20" s="1"/>
  <c r="I59" i="9" a="1"/>
  <c r="I59" i="9" s="1"/>
  <c r="C110" i="9"/>
  <c r="S31" i="9" s="1" a="1"/>
  <c r="S31" i="9" s="1"/>
  <c r="C95" i="9"/>
  <c r="S16" i="9" s="1" a="1"/>
  <c r="S16" i="9" s="1"/>
  <c r="K93" i="9"/>
  <c r="AA14" i="9" s="1" a="1"/>
  <c r="AA14" i="9" s="1"/>
  <c r="I114" i="9"/>
  <c r="Y35" i="9" s="1" a="1"/>
  <c r="Y35" i="9" s="1"/>
  <c r="K70" i="9" a="1"/>
  <c r="K70" i="9" s="1"/>
  <c r="M50" i="9" a="1"/>
  <c r="M50" i="9" s="1"/>
  <c r="Z37" i="9" a="1"/>
  <c r="Z37" i="9" s="1"/>
  <c r="E109" i="9"/>
  <c r="U30" i="9" s="1" a="1"/>
  <c r="U30" i="9" s="1"/>
  <c r="S38" i="9" a="1"/>
  <c r="S38" i="9" s="1"/>
  <c r="A14" i="20"/>
  <c r="F103" i="9"/>
  <c r="V24" i="9" s="1" a="1"/>
  <c r="V24" i="9" s="1"/>
  <c r="E110" i="9"/>
  <c r="U31" i="9" s="1" a="1"/>
  <c r="U31" i="9" s="1"/>
  <c r="N59" i="9" a="1"/>
  <c r="N59" i="9" s="1"/>
  <c r="K96" i="9"/>
  <c r="AA17" i="9" s="1" a="1"/>
  <c r="AA17" i="9" s="1"/>
  <c r="C105" i="9"/>
  <c r="S26" i="9" s="1" a="1"/>
  <c r="S26" i="9" s="1"/>
  <c r="P105" i="9"/>
  <c r="AF26" i="9" s="1"/>
  <c r="B23" i="20" s="1"/>
  <c r="L85" i="9"/>
  <c r="AB6" i="9" s="1" a="1"/>
  <c r="AB6" i="9" s="1"/>
  <c r="M60" i="9" a="1"/>
  <c r="M60" i="9" s="1"/>
  <c r="L104" i="9"/>
  <c r="AB25" i="9" s="1" a="1"/>
  <c r="AB25" i="9" s="1"/>
  <c r="M100" i="9"/>
  <c r="AC21" i="9" s="1" a="1"/>
  <c r="AC21" i="9" s="1"/>
  <c r="M63" i="9" a="1"/>
  <c r="M63" i="9" s="1"/>
  <c r="L63" i="9" a="1"/>
  <c r="L63" i="9" s="1"/>
  <c r="K100" i="9"/>
  <c r="AA21" i="9" s="1" a="1"/>
  <c r="AA21" i="9" s="1"/>
  <c r="X37" i="9" a="1"/>
  <c r="X37" i="9" s="1"/>
  <c r="B5" i="9"/>
  <c r="P59" i="9"/>
  <c r="E94" i="9"/>
  <c r="U15" i="9" s="1" a="1"/>
  <c r="U15" i="9" s="1"/>
  <c r="I107" i="9"/>
  <c r="Y28" i="9" s="1" a="1"/>
  <c r="Y28" i="9" s="1"/>
  <c r="I97" i="9"/>
  <c r="Y18" i="9" s="1" a="1"/>
  <c r="Y18" i="9" s="1"/>
  <c r="I54" i="9" a="1"/>
  <c r="I54" i="9" s="1"/>
  <c r="K69" i="9" a="1"/>
  <c r="K69" i="9" s="1"/>
  <c r="E92" i="9"/>
  <c r="U13" i="9" s="1" a="1"/>
  <c r="U13" i="9" s="1"/>
  <c r="D12" i="19" s="1" a="1"/>
  <c r="D12" i="19" s="1"/>
  <c r="K52" i="9" a="1"/>
  <c r="K52" i="9" s="1"/>
  <c r="H58" i="9" a="1"/>
  <c r="H58" i="9" s="1"/>
  <c r="L52" i="9" a="1"/>
  <c r="L52" i="9" s="1"/>
  <c r="D87" i="9"/>
  <c r="T8" i="9" s="1" a="1"/>
  <c r="T8" i="9" s="1"/>
  <c r="E90" i="9"/>
  <c r="U11" i="9" s="1" a="1"/>
  <c r="U11" i="9" s="1"/>
  <c r="G69" i="9" a="1"/>
  <c r="G69" i="9" s="1"/>
  <c r="G52" i="9" a="1"/>
  <c r="G52" i="9" s="1"/>
  <c r="L102" i="9"/>
  <c r="AB23" i="9" s="1" a="1"/>
  <c r="AB23" i="9" s="1"/>
  <c r="AD15" i="9" a="1"/>
  <c r="AD15" i="9" s="1"/>
  <c r="G111" i="9"/>
  <c r="W32" i="9" s="1" a="1"/>
  <c r="W32" i="9" s="1"/>
  <c r="L111" i="9"/>
  <c r="AB32" i="9" s="1" a="1"/>
  <c r="AB32" i="9" s="1"/>
  <c r="AD7" i="9" a="1"/>
  <c r="AD7" i="9" s="1"/>
  <c r="E95" i="9"/>
  <c r="U16" i="9" s="1" a="1"/>
  <c r="U16" i="9" s="1"/>
  <c r="C91" i="9"/>
  <c r="S12" i="9" s="1" a="1"/>
  <c r="S12" i="9" s="1"/>
  <c r="M114" i="9"/>
  <c r="AC35" i="9" s="1" a="1"/>
  <c r="AC35" i="9" s="1"/>
  <c r="M74" i="9" a="1"/>
  <c r="M74" i="9" s="1"/>
  <c r="N77" i="9" a="1"/>
  <c r="N77" i="9" s="1"/>
  <c r="A34" i="21"/>
  <c r="B34" i="21" s="1"/>
  <c r="K73" i="9" a="1"/>
  <c r="K73" i="9" s="1"/>
  <c r="G76" i="9" a="1"/>
  <c r="G76" i="9" s="1"/>
  <c r="J73" i="9" a="1"/>
  <c r="J73" i="9" s="1"/>
  <c r="H95" i="9"/>
  <c r="X16" i="9" s="1" a="1"/>
  <c r="X16" i="9" s="1"/>
  <c r="K88" i="9"/>
  <c r="AA9" i="9" s="1" a="1"/>
  <c r="AA9" i="9" s="1"/>
  <c r="G71" i="9" a="1"/>
  <c r="G71" i="9" s="1"/>
  <c r="L87" i="9"/>
  <c r="H104" i="9"/>
  <c r="X25" i="9" s="1" a="1"/>
  <c r="X25" i="9" s="1"/>
  <c r="P57" i="9"/>
  <c r="I85" i="9"/>
  <c r="Y6" i="9" s="1" a="1"/>
  <c r="Y6" i="9" s="1"/>
  <c r="AD17" i="9" a="1"/>
  <c r="AD17" i="9" s="1"/>
  <c r="I80" i="9" a="1"/>
  <c r="I80" i="9" s="1"/>
  <c r="G66" i="9" a="1"/>
  <c r="G66" i="9" s="1"/>
  <c r="I100" i="9"/>
  <c r="Y21" i="9" s="1" a="1"/>
  <c r="Y21" i="9" s="1"/>
  <c r="D90" i="9"/>
  <c r="T11" i="9" s="1" a="1"/>
  <c r="T11" i="9" s="1"/>
  <c r="G87" i="9"/>
  <c r="W8" i="9" s="1" a="1"/>
  <c r="W8" i="9" s="1"/>
  <c r="J96" i="9"/>
  <c r="Z17" i="9" s="1" a="1"/>
  <c r="Z17" i="9" s="1"/>
  <c r="I62" i="9" a="1"/>
  <c r="I62" i="9" s="1"/>
  <c r="I70" i="9" a="1"/>
  <c r="I70" i="9" s="1"/>
  <c r="I74" i="9" a="1"/>
  <c r="I74" i="9" s="1"/>
  <c r="P104" i="9"/>
  <c r="AF25" i="9" s="1"/>
  <c r="B22" i="20" s="1"/>
  <c r="L106" i="9"/>
  <c r="AB27" i="9" s="1" a="1"/>
  <c r="AB27" i="9" s="1"/>
  <c r="J70" i="9" a="1"/>
  <c r="J70" i="9" s="1"/>
  <c r="X38" i="9" a="1"/>
  <c r="X38" i="9" s="1"/>
  <c r="AD41" i="9" a="1"/>
  <c r="AD41" i="9" s="1"/>
  <c r="F104" i="9"/>
  <c r="V25" i="9" s="1" a="1"/>
  <c r="V25" i="9" s="1"/>
  <c r="F101" i="9"/>
  <c r="V22" i="9" s="1" a="1"/>
  <c r="V22" i="9" s="1"/>
  <c r="D89" i="9"/>
  <c r="T10" i="9" s="1" a="1"/>
  <c r="T10" i="9" s="1"/>
  <c r="E111" i="9"/>
  <c r="U32" i="9" s="1" a="1"/>
  <c r="U32" i="9" s="1"/>
  <c r="G60" i="9" a="1"/>
  <c r="G60" i="9" s="1"/>
  <c r="P54" i="9"/>
  <c r="E100" i="9"/>
  <c r="U21" i="9" s="1" a="1"/>
  <c r="U21" i="9" s="1"/>
  <c r="P88" i="9"/>
  <c r="AF9" i="9" s="1"/>
  <c r="B6" i="20" s="1"/>
  <c r="M58" i="9" a="1"/>
  <c r="M58" i="9" s="1"/>
  <c r="J69" i="9" a="1"/>
  <c r="J69" i="9" s="1"/>
  <c r="H112" i="9"/>
  <c r="X33" i="9" s="1" a="1"/>
  <c r="X33" i="9" s="1"/>
  <c r="M64" i="9" a="1"/>
  <c r="M64" i="9" s="1"/>
  <c r="N72" i="9" a="1"/>
  <c r="N72" i="9" s="1"/>
  <c r="L69" i="9" a="1"/>
  <c r="L69" i="9" s="1"/>
  <c r="P99" i="9"/>
  <c r="AF20" i="9" s="1"/>
  <c r="B17" i="20" s="1"/>
  <c r="H98" i="9"/>
  <c r="X19" i="9" s="1" a="1"/>
  <c r="X19" i="9" s="1"/>
  <c r="I93" i="9"/>
  <c r="Y14" i="9" s="1" a="1"/>
  <c r="Y14" i="9" s="1"/>
  <c r="I111" i="9"/>
  <c r="Y32" i="9" s="1" a="1"/>
  <c r="Y32" i="9" s="1"/>
  <c r="K53" i="9" a="1"/>
  <c r="K53" i="9" s="1"/>
  <c r="G114" i="9"/>
  <c r="W35" i="9" s="1" a="1"/>
  <c r="W35" i="9" s="1"/>
  <c r="P106" i="9"/>
  <c r="AF27" i="9" s="1"/>
  <c r="B24" i="20" s="1"/>
  <c r="F110" i="9"/>
  <c r="V31" i="9" s="1" a="1"/>
  <c r="V31" i="9" s="1"/>
  <c r="D93" i="9"/>
  <c r="T14" i="9" s="1" a="1"/>
  <c r="T14" i="9" s="1"/>
  <c r="J62" i="9" a="1"/>
  <c r="J62" i="9" s="1"/>
  <c r="I57" i="9" a="1"/>
  <c r="I57" i="9" s="1"/>
  <c r="I75" i="9" a="1"/>
  <c r="I75" i="9" s="1"/>
  <c r="J85" i="9"/>
  <c r="Z6" i="9" s="1" a="1"/>
  <c r="Z6" i="9" s="1"/>
  <c r="L74" i="9" a="1"/>
  <c r="L74" i="9" s="1"/>
  <c r="J74" i="9" a="1"/>
  <c r="J74" i="9" s="1"/>
  <c r="C111" i="9"/>
  <c r="S32" i="9" s="1" a="1"/>
  <c r="S32" i="9" s="1"/>
  <c r="M62" i="9" a="1"/>
  <c r="M62" i="9" s="1"/>
  <c r="I61" i="9" a="1"/>
  <c r="I61" i="9" s="1"/>
  <c r="E88" i="9"/>
  <c r="U9" i="9" s="1" a="1"/>
  <c r="U9" i="9" s="1"/>
  <c r="AD18" i="9" a="1"/>
  <c r="AD18" i="9" s="1"/>
  <c r="B6" i="9"/>
  <c r="E102" i="9"/>
  <c r="U23" i="9" s="1" a="1"/>
  <c r="U23" i="9" s="1"/>
  <c r="K114" i="9"/>
  <c r="AA35" i="9" s="1" a="1"/>
  <c r="AA35" i="9" s="1"/>
  <c r="N60" i="9" a="1"/>
  <c r="N60" i="9" s="1"/>
  <c r="H60" i="9" a="1"/>
  <c r="H60" i="9" s="1"/>
  <c r="D104" i="9"/>
  <c r="T25" i="9" s="1" a="1"/>
  <c r="T25" i="9" s="1"/>
  <c r="P115" i="9"/>
  <c r="A23" i="21"/>
  <c r="B23" i="21" s="1"/>
  <c r="H50" i="9" a="1"/>
  <c r="H50" i="9" s="1"/>
  <c r="C115" i="9"/>
  <c r="S36" i="9" s="1" a="1"/>
  <c r="S36" i="9" s="1"/>
  <c r="J58" i="9" a="1"/>
  <c r="J58" i="9" s="1"/>
  <c r="F109" i="9"/>
  <c r="V30" i="9" s="1" a="1"/>
  <c r="V30" i="9" s="1"/>
  <c r="L112" i="9"/>
  <c r="AB33" i="9" s="1" a="1"/>
  <c r="AB33" i="9" s="1"/>
  <c r="L62" i="9" a="1"/>
  <c r="L62" i="9" s="1"/>
  <c r="J64" i="9" a="1"/>
  <c r="J64" i="9" s="1"/>
  <c r="I102" i="9"/>
  <c r="Y23" i="9" s="1" a="1"/>
  <c r="Y23" i="9" s="1"/>
  <c r="K78" i="9" a="1"/>
  <c r="K78" i="9" s="1"/>
  <c r="M54" i="9" a="1"/>
  <c r="M54" i="9" s="1"/>
  <c r="M102" i="9"/>
  <c r="AC23" i="9" s="1" a="1"/>
  <c r="AC23" i="9" s="1"/>
  <c r="N81" i="9" a="1"/>
  <c r="N81" i="9" s="1"/>
  <c r="P112" i="9"/>
  <c r="AF33" i="9" s="1"/>
  <c r="B30" i="20" s="1"/>
  <c r="AF38" i="9"/>
  <c r="B35" i="20" s="1"/>
  <c r="U38" i="9" a="1"/>
  <c r="U38" i="9" s="1"/>
  <c r="A18" i="20"/>
  <c r="M108" i="9"/>
  <c r="AC29" i="9" s="1" a="1"/>
  <c r="AC29" i="9" s="1"/>
  <c r="I87" i="9"/>
  <c r="Y8" i="9" s="1" a="1"/>
  <c r="Y8" i="9" s="1"/>
  <c r="L107" i="9"/>
  <c r="AB28" i="9" s="1" a="1"/>
  <c r="AB28" i="9" s="1"/>
  <c r="B15" i="9"/>
  <c r="E15" i="9" s="1"/>
  <c r="H109" i="9"/>
  <c r="X30" i="9" s="1" a="1"/>
  <c r="X30" i="9" s="1"/>
  <c r="K61" i="9" a="1"/>
  <c r="K61" i="9" s="1"/>
  <c r="E91" i="9"/>
  <c r="U12" i="9" s="1" a="1"/>
  <c r="U12" i="9" s="1"/>
  <c r="I89" i="9"/>
  <c r="Y10" i="9" s="1" a="1"/>
  <c r="Y10" i="9" s="1"/>
  <c r="C112" i="9"/>
  <c r="S33" i="9" s="1" a="1"/>
  <c r="S33" i="9" s="1"/>
  <c r="Z14" i="9" a="1"/>
  <c r="Z14" i="9" s="1"/>
  <c r="L78" i="9" a="1"/>
  <c r="L78" i="9" s="1"/>
  <c r="N66" i="9" a="1"/>
  <c r="N66" i="9" s="1"/>
  <c r="I109" i="9"/>
  <c r="Y30" i="9" s="1" a="1"/>
  <c r="Y30" i="9" s="1"/>
  <c r="K57" i="9" a="1"/>
  <c r="K57" i="9" s="1"/>
  <c r="H86" i="9"/>
  <c r="X7" i="9" s="1" a="1"/>
  <c r="X7" i="9" s="1"/>
  <c r="C107" i="9"/>
  <c r="S28" i="9" s="1" a="1"/>
  <c r="S28" i="9" s="1"/>
  <c r="D100" i="9"/>
  <c r="T21" i="9" s="1" a="1"/>
  <c r="T21" i="9" s="1"/>
  <c r="AD29" i="9" a="1"/>
  <c r="AD29" i="9" s="1"/>
  <c r="I53" i="9" a="1"/>
  <c r="I53" i="9" s="1"/>
  <c r="P85" i="9"/>
  <c r="AF6" i="9" s="1"/>
  <c r="B3" i="20" s="1"/>
  <c r="H85" i="9"/>
  <c r="X6" i="9" s="1" a="1"/>
  <c r="X6" i="9" s="1"/>
  <c r="M93" i="9"/>
  <c r="AC14" i="9" s="1" a="1"/>
  <c r="AC14" i="9" s="1"/>
  <c r="I64" i="9" a="1"/>
  <c r="I64" i="9" s="1"/>
  <c r="K51" i="9" a="1"/>
  <c r="K51" i="9" s="1"/>
  <c r="I66" i="9" a="1"/>
  <c r="I66" i="9" s="1"/>
  <c r="C102" i="9"/>
  <c r="S23" i="9" s="1" a="1"/>
  <c r="S23" i="9" s="1"/>
  <c r="C94" i="9"/>
  <c r="S15" i="9" s="1" a="1"/>
  <c r="S15" i="9" s="1"/>
  <c r="P63" i="9"/>
  <c r="J50" i="9" a="1"/>
  <c r="J50" i="9" s="1"/>
  <c r="G70" i="9" a="1"/>
  <c r="G70" i="9" s="1"/>
  <c r="AD6" i="9" a="1"/>
  <c r="AD6" i="9" s="1"/>
  <c r="F89" i="9"/>
  <c r="V10" i="9" s="1" a="1"/>
  <c r="V10" i="9" s="1"/>
  <c r="B14" i="9"/>
  <c r="E14" i="9" s="1"/>
  <c r="P73" i="9"/>
  <c r="E86" i="9"/>
  <c r="U7" i="9" s="1" a="1"/>
  <c r="U7" i="9" s="1"/>
  <c r="L70" i="9" a="1"/>
  <c r="L70" i="9" s="1"/>
  <c r="H72" i="9" a="1"/>
  <c r="H72" i="9" s="1"/>
  <c r="J57" i="9" a="1"/>
  <c r="J57" i="9" s="1"/>
  <c r="C103" i="9"/>
  <c r="S24" i="9" s="1" a="1"/>
  <c r="S24" i="9" s="1"/>
  <c r="K54" i="9" a="1"/>
  <c r="K54" i="9" s="1"/>
  <c r="Z38" i="9" a="1"/>
  <c r="Z38" i="9" s="1"/>
  <c r="G115" i="9"/>
  <c r="W36" i="9" s="1" a="1"/>
  <c r="W36" i="9" s="1"/>
  <c r="F87" i="9"/>
  <c r="V8" i="9" s="1" a="1"/>
  <c r="V8" i="9" s="1"/>
  <c r="C86" i="9"/>
  <c r="S7" i="9" s="1" a="1"/>
  <c r="S7" i="9" s="1"/>
  <c r="L90" i="9"/>
  <c r="AB11" i="9" s="1" a="1"/>
  <c r="AB11" i="9" s="1"/>
  <c r="J112" i="9"/>
  <c r="Z33" i="9" s="1" a="1"/>
  <c r="Z33" i="9" s="1"/>
  <c r="M89" i="9"/>
  <c r="AC10" i="9" s="1" a="1"/>
  <c r="AC10" i="9" s="1"/>
  <c r="M70" i="9" a="1"/>
  <c r="M70" i="9" s="1"/>
  <c r="P89" i="9"/>
  <c r="AF10" i="9" s="1"/>
  <c r="B7" i="20" s="1"/>
  <c r="L81" i="9" a="1"/>
  <c r="L81" i="9" s="1"/>
  <c r="H110" i="9"/>
  <c r="X31" i="9" s="1" a="1"/>
  <c r="X31" i="9" s="1"/>
  <c r="K113" i="9"/>
  <c r="AA34" i="9" s="1" a="1"/>
  <c r="AA34" i="9" s="1"/>
  <c r="I113" i="9"/>
  <c r="Y34" i="9" s="1" a="1"/>
  <c r="Y34" i="9" s="1"/>
  <c r="J93" i="9"/>
  <c r="D108" i="9"/>
  <c r="T29" i="9" s="1" a="1"/>
  <c r="T29" i="9" s="1"/>
  <c r="M97" i="9"/>
  <c r="AC18" i="9" s="1" a="1"/>
  <c r="AC18" i="9" s="1"/>
  <c r="M87" i="9"/>
  <c r="AC8" i="9" s="1" a="1"/>
  <c r="AC8" i="9" s="1"/>
  <c r="J71" i="9" a="1"/>
  <c r="J71" i="9" s="1"/>
  <c r="J88" i="9"/>
  <c r="Z9" i="9" s="1" a="1"/>
  <c r="Z9" i="9" s="1"/>
  <c r="F107" i="9"/>
  <c r="V28" i="9" s="1" a="1"/>
  <c r="V28" i="9" s="1"/>
  <c r="I110" i="9"/>
  <c r="Y31" i="9" s="1" a="1"/>
  <c r="Y31" i="9" s="1"/>
  <c r="J54" i="9" a="1"/>
  <c r="J54" i="9" s="1"/>
  <c r="K81" i="9" a="1"/>
  <c r="K81" i="9" s="1"/>
  <c r="G96" i="9"/>
  <c r="W17" i="9" s="1" a="1"/>
  <c r="W17" i="9" s="1"/>
  <c r="C101" i="9"/>
  <c r="S22" i="9" s="1" a="1"/>
  <c r="S22" i="9" s="1"/>
  <c r="M115" i="9"/>
  <c r="AC36" i="9" s="1" a="1"/>
  <c r="AC36" i="9" s="1"/>
  <c r="M78" i="9" a="1"/>
  <c r="M78" i="9" s="1"/>
  <c r="L51" i="9" a="1"/>
  <c r="L51" i="9" s="1"/>
  <c r="L95" i="9"/>
  <c r="AB16" i="9" s="1" a="1"/>
  <c r="AB16" i="9" s="1"/>
  <c r="AD28" i="9" a="1"/>
  <c r="AD28" i="9" s="1"/>
  <c r="D115" i="9"/>
  <c r="T36" i="9" s="1" a="1"/>
  <c r="T36" i="9" s="1"/>
  <c r="M99" i="9"/>
  <c r="AC20" i="9" s="1" a="1"/>
  <c r="AC20" i="9" s="1"/>
  <c r="P55" i="9"/>
  <c r="L72" i="9" a="1"/>
  <c r="L72" i="9" s="1"/>
  <c r="I101" i="9"/>
  <c r="Y22" i="9" s="1" a="1"/>
  <c r="Y22" i="9" s="1"/>
  <c r="P65" i="9"/>
  <c r="K55" i="9" a="1"/>
  <c r="K55" i="9" s="1"/>
  <c r="H106" i="9"/>
  <c r="P75" i="9"/>
  <c r="M66" i="9" a="1"/>
  <c r="M66" i="9" s="1"/>
  <c r="K56" i="9" a="1"/>
  <c r="K56" i="9" s="1"/>
  <c r="K92" i="9"/>
  <c r="AA13" i="9" s="1" a="1"/>
  <c r="AA13" i="9" s="1"/>
  <c r="J115" i="9"/>
  <c r="Z36" i="9" s="1" a="1"/>
  <c r="Z36" i="9" s="1"/>
  <c r="H67" i="9" a="1"/>
  <c r="H67" i="9" s="1"/>
  <c r="V38" i="9" a="1"/>
  <c r="V38" i="9" s="1"/>
  <c r="AB13" i="9" a="1"/>
  <c r="AB13" i="9" s="1"/>
  <c r="B3" i="9"/>
  <c r="J87" i="9"/>
  <c r="Z8" i="9" s="1" a="1"/>
  <c r="Z8" i="9" s="1"/>
  <c r="P77" i="9"/>
  <c r="AA38" i="9" a="1"/>
  <c r="AA38" i="9" s="1"/>
  <c r="H68" i="9" a="1"/>
  <c r="H68" i="9" s="1"/>
  <c r="P98" i="9"/>
  <c r="AF19" i="9" s="1"/>
  <c r="B16" i="20" s="1"/>
  <c r="E104" i="9"/>
  <c r="U25" i="9" s="1" a="1"/>
  <c r="U25" i="9" s="1"/>
  <c r="K108" i="9"/>
  <c r="AA29" i="9" s="1" a="1"/>
  <c r="AA29" i="9" s="1"/>
  <c r="G105" i="9"/>
  <c r="W26" i="9" s="1" a="1"/>
  <c r="W26" i="9" s="1"/>
  <c r="I90" i="9"/>
  <c r="Y11" i="9" s="1" a="1"/>
  <c r="Y11" i="9" s="1"/>
  <c r="H79" i="9" a="1"/>
  <c r="H79" i="9" s="1"/>
  <c r="B11" i="9"/>
  <c r="E11" i="9" s="1"/>
  <c r="I95" i="9"/>
  <c r="Y16" i="9" s="1" a="1"/>
  <c r="Y16" i="9" s="1"/>
  <c r="F108" i="9"/>
  <c r="V29" i="9" s="1" a="1"/>
  <c r="V29" i="9" s="1"/>
  <c r="E105" i="9"/>
  <c r="U26" i="9" s="1" a="1"/>
  <c r="U26" i="9" s="1"/>
  <c r="D94" i="9"/>
  <c r="T15" i="9" s="1" a="1"/>
  <c r="T15" i="9" s="1"/>
  <c r="N70" i="9" a="1"/>
  <c r="N70" i="9" s="1"/>
  <c r="J94" i="9"/>
  <c r="Z15" i="9" s="1" a="1"/>
  <c r="Z15" i="9" s="1"/>
  <c r="I108" i="9"/>
  <c r="Y29" i="9" s="1" a="1"/>
  <c r="Y29" i="9" s="1"/>
  <c r="E101" i="9"/>
  <c r="U22" i="9" s="1" a="1"/>
  <c r="U22" i="9" s="1"/>
  <c r="C104" i="9"/>
  <c r="S25" i="9" s="1" a="1"/>
  <c r="S25" i="9" s="1"/>
  <c r="M85" i="9"/>
  <c r="AC6" i="9" s="1" a="1"/>
  <c r="AC6" i="9" s="1"/>
  <c r="M61" i="9" a="1"/>
  <c r="M61" i="9" s="1"/>
  <c r="L64" i="9" a="1"/>
  <c r="L64" i="9" s="1"/>
  <c r="H103" i="9"/>
  <c r="X24" i="9" s="1" a="1"/>
  <c r="X24" i="9" s="1"/>
  <c r="C109" i="9"/>
  <c r="S30" i="9" s="1" a="1"/>
  <c r="S30" i="9" s="1"/>
  <c r="M65" i="9" a="1"/>
  <c r="M65" i="9" s="1"/>
  <c r="B12" i="9"/>
  <c r="C12" i="9" s="1"/>
  <c r="P74" i="9"/>
  <c r="H52" i="9" a="1"/>
  <c r="H52" i="9" s="1"/>
  <c r="L99" i="9"/>
  <c r="AB20" i="9" s="1" a="1"/>
  <c r="AB20" i="9" s="1"/>
  <c r="J99" i="9"/>
  <c r="Z20" i="9" s="1" a="1"/>
  <c r="Z20" i="9" s="1"/>
  <c r="G74" i="9" a="1"/>
  <c r="G74" i="9" s="1"/>
  <c r="L79" i="9" a="1"/>
  <c r="L79" i="9" s="1"/>
  <c r="K97" i="9"/>
  <c r="AA18" i="9" s="1" a="1"/>
  <c r="AA18" i="9" s="1"/>
  <c r="G64" i="9" a="1"/>
  <c r="G64" i="9" s="1"/>
  <c r="N57" i="9" a="1"/>
  <c r="N57" i="9" s="1"/>
  <c r="J105" i="9"/>
  <c r="Z26" i="9" s="1" a="1"/>
  <c r="Z26" i="9" s="1"/>
  <c r="AD24" i="9" a="1"/>
  <c r="AD24" i="9" s="1"/>
  <c r="AD30" i="9" a="1"/>
  <c r="AD30" i="9" s="1"/>
  <c r="K112" i="9"/>
  <c r="AA33" i="9" s="1" a="1"/>
  <c r="AA33" i="9" s="1"/>
  <c r="H76" i="9" a="1"/>
  <c r="H76" i="9" s="1"/>
  <c r="D105" i="9"/>
  <c r="T26" i="9" s="1" a="1"/>
  <c r="T26" i="9" s="1"/>
  <c r="K50" i="9" a="1"/>
  <c r="K50" i="9" s="1"/>
  <c r="I96" i="9"/>
  <c r="Y17" i="9" s="1" a="1"/>
  <c r="Y17" i="9" s="1"/>
  <c r="G78" i="9" a="1"/>
  <c r="G78" i="9" s="1"/>
  <c r="I60" i="9" a="1"/>
  <c r="I60" i="9" s="1"/>
  <c r="H87" i="9"/>
  <c r="X8" i="9" s="1" a="1"/>
  <c r="X8" i="9" s="1"/>
  <c r="D96" i="9"/>
  <c r="T17" i="9" s="1" a="1"/>
  <c r="T17" i="9" s="1"/>
  <c r="P51" i="9"/>
  <c r="I76" i="9" a="1"/>
  <c r="I76" i="9" s="1"/>
  <c r="L54" i="9" a="1"/>
  <c r="L54" i="9" s="1"/>
  <c r="M111" i="9"/>
  <c r="AC32" i="9" s="1" a="1"/>
  <c r="AC32" i="9" s="1"/>
  <c r="C92" i="9"/>
  <c r="S13" i="9" s="1" a="1"/>
  <c r="S13" i="9" s="1"/>
  <c r="D8" i="19" s="1" a="1"/>
  <c r="D8" i="19" s="1"/>
  <c r="K67" i="9" a="1"/>
  <c r="K67" i="9" s="1"/>
  <c r="H77" i="9" a="1"/>
  <c r="H77" i="9" s="1"/>
  <c r="B4" i="9"/>
  <c r="E4" i="9" s="1"/>
  <c r="E18" i="9"/>
  <c r="AB38" i="9" a="1"/>
  <c r="AB38" i="9" s="1"/>
  <c r="B8" i="9"/>
  <c r="E8" i="9" s="1"/>
  <c r="P110" i="9"/>
  <c r="AF31" i="9" s="1"/>
  <c r="I103" i="9"/>
  <c r="Y24" i="9" s="1" a="1"/>
  <c r="Y24" i="9" s="1"/>
  <c r="G85" i="9"/>
  <c r="W6" i="9" s="1" a="1"/>
  <c r="W6" i="9" s="1"/>
  <c r="E87" i="9"/>
  <c r="U8" i="9" s="1" a="1"/>
  <c r="U8" i="9" s="1"/>
  <c r="C93" i="9"/>
  <c r="S14" i="9" s="1" a="1"/>
  <c r="S14" i="9" s="1"/>
  <c r="D107" i="9"/>
  <c r="T28" i="9" s="1" a="1"/>
  <c r="T28" i="9" s="1"/>
  <c r="M112" i="9"/>
  <c r="AC33" i="9" s="1" a="1"/>
  <c r="AC33" i="9" s="1"/>
  <c r="E99" i="9"/>
  <c r="U20" i="9" s="1" a="1"/>
  <c r="U20" i="9" s="1"/>
  <c r="D92" i="9"/>
  <c r="T13" i="9" s="1" a="1"/>
  <c r="T13" i="9" s="1"/>
  <c r="D10" i="19" s="1" a="1"/>
  <c r="D10" i="19" s="1"/>
  <c r="E107" i="9"/>
  <c r="U28" i="9" s="1" a="1"/>
  <c r="U28" i="9" s="1"/>
  <c r="H66" i="9" a="1"/>
  <c r="H66" i="9" s="1"/>
  <c r="G103" i="9"/>
  <c r="W24" i="9" s="1" a="1"/>
  <c r="W24" i="9" s="1"/>
  <c r="J103" i="9"/>
  <c r="Z24" i="9" s="1" a="1"/>
  <c r="Z24" i="9" s="1"/>
  <c r="G112" i="9"/>
  <c r="W33" i="9" s="1" a="1"/>
  <c r="W33" i="9" s="1"/>
  <c r="N80" i="9" a="1"/>
  <c r="N80" i="9" s="1"/>
  <c r="N56" i="9" a="1"/>
  <c r="N56" i="9" s="1"/>
  <c r="I65" i="9" a="1"/>
  <c r="I65" i="9" s="1"/>
  <c r="G90" i="9"/>
  <c r="W11" i="9" s="1" a="1"/>
  <c r="W11" i="9" s="1"/>
  <c r="L113" i="9"/>
  <c r="AB34" i="9" s="1" a="1"/>
  <c r="AB34" i="9" s="1"/>
  <c r="Y37" i="9" a="1"/>
  <c r="Y37" i="9" s="1"/>
  <c r="K71" i="9" a="1"/>
  <c r="K71" i="9" s="1"/>
  <c r="N62" i="9" a="1"/>
  <c r="N62" i="9" s="1"/>
  <c r="G89" i="9"/>
  <c r="W10" i="9" s="1" a="1"/>
  <c r="W10" i="9" s="1"/>
  <c r="D99" i="9"/>
  <c r="T20" i="9" s="1" a="1"/>
  <c r="T20" i="9" s="1"/>
  <c r="K98" i="9"/>
  <c r="AA19" i="9" s="1" a="1"/>
  <c r="AA19" i="9" s="1"/>
  <c r="AD21" i="9" a="1"/>
  <c r="AD21" i="9" s="1"/>
  <c r="C114" i="9"/>
  <c r="S35" i="9" s="1" a="1"/>
  <c r="S35" i="9" s="1"/>
  <c r="K102" i="9"/>
  <c r="AA23" i="9" s="1" a="1"/>
  <c r="AA23" i="9" s="1"/>
  <c r="J51" i="9" a="1"/>
  <c r="J51" i="9" s="1"/>
  <c r="M52" i="9" a="1"/>
  <c r="M52" i="9" s="1"/>
  <c r="D97" i="9"/>
  <c r="T18" i="9" s="1" a="1"/>
  <c r="T18" i="9" s="1"/>
  <c r="AD12" i="9" a="1"/>
  <c r="AD12" i="9" s="1"/>
  <c r="G110" i="9"/>
  <c r="W31" i="9" s="1" a="1"/>
  <c r="W31" i="9" s="1"/>
  <c r="C106" i="9"/>
  <c r="S27" i="9" s="1" a="1"/>
  <c r="S27" i="9" s="1"/>
  <c r="N61" i="9" a="1"/>
  <c r="N61" i="9" s="1"/>
  <c r="N52" i="9" a="1"/>
  <c r="N52" i="9" s="1"/>
  <c r="P64" i="9"/>
  <c r="K90" i="9"/>
  <c r="AA11" i="9" s="1" a="1"/>
  <c r="AA11" i="9" s="1"/>
  <c r="AD16" i="9" a="1"/>
  <c r="AD16" i="9" s="1"/>
  <c r="AC38" i="9" a="1"/>
  <c r="AC38" i="9" s="1"/>
  <c r="J67" i="9" a="1"/>
  <c r="J67" i="9" s="1"/>
  <c r="L109" i="9"/>
  <c r="AB30" i="9" s="1" a="1"/>
  <c r="AB30" i="9" s="1"/>
  <c r="C98" i="9"/>
  <c r="S19" i="9" s="1" a="1"/>
  <c r="S19" i="9" s="1"/>
  <c r="D98" i="9"/>
  <c r="T19" i="9" s="1" a="1"/>
  <c r="T19" i="9" s="1"/>
  <c r="G56" i="9" a="1"/>
  <c r="G56" i="9" s="1"/>
  <c r="P80" i="9"/>
  <c r="AD8" i="9" a="1"/>
  <c r="AD8" i="9" s="1"/>
  <c r="J89" i="9"/>
  <c r="Z10" i="9" s="1" a="1"/>
  <c r="Z10" i="9" s="1"/>
  <c r="H96" i="9"/>
  <c r="X17" i="9" s="1" a="1"/>
  <c r="X17" i="9" s="1"/>
  <c r="C89" i="9"/>
  <c r="S10" i="9" s="1" a="1"/>
  <c r="S10" i="9" s="1"/>
  <c r="K104" i="9"/>
  <c r="AA25" i="9" s="1" a="1"/>
  <c r="AA25" i="9" s="1"/>
  <c r="G95" i="9"/>
  <c r="W16" i="9" s="1" a="1"/>
  <c r="W16" i="9" s="1"/>
  <c r="K106" i="9"/>
  <c r="AA27" i="9" s="1" a="1"/>
  <c r="AA27" i="9" s="1"/>
  <c r="AD35" i="9" a="1"/>
  <c r="AD35" i="9" s="1"/>
  <c r="I67" i="9" a="1"/>
  <c r="I67" i="9" s="1"/>
  <c r="W38" i="9" a="1"/>
  <c r="W38" i="9" s="1"/>
  <c r="AD31" i="9" a="1"/>
  <c r="AD31" i="9" s="1"/>
  <c r="AD38" i="9" a="1"/>
  <c r="AD38" i="9" s="1"/>
  <c r="AD9" i="9" a="1"/>
  <c r="AD9" i="9" s="1"/>
  <c r="H102" i="9"/>
  <c r="X23" i="9" s="1" a="1"/>
  <c r="X23" i="9" s="1"/>
  <c r="M105" i="9"/>
  <c r="AC26" i="9" s="1" a="1"/>
  <c r="AC26" i="9" s="1"/>
  <c r="H99" i="9"/>
  <c r="X20" i="9" s="1" a="1"/>
  <c r="X20" i="9" s="1"/>
  <c r="E96" i="9"/>
  <c r="U17" i="9" s="1" a="1"/>
  <c r="U17" i="9" s="1"/>
  <c r="P95" i="9"/>
  <c r="AF16" i="9" s="1"/>
  <c r="B13" i="20" s="1"/>
  <c r="E113" i="9"/>
  <c r="U34" i="9" s="1" a="1"/>
  <c r="U34" i="9" s="1"/>
  <c r="L60" i="9" a="1"/>
  <c r="L60" i="9" s="1"/>
  <c r="K99" i="9"/>
  <c r="AA20" i="9" s="1" a="1"/>
  <c r="AA20" i="9" s="1"/>
  <c r="G94" i="9"/>
  <c r="W15" i="9" s="1" a="1"/>
  <c r="W15" i="9" s="1"/>
  <c r="L103" i="9"/>
  <c r="AB24" i="9" s="1" a="1"/>
  <c r="AB24" i="9" s="1"/>
  <c r="M59" i="9" a="1"/>
  <c r="M59" i="9" s="1"/>
  <c r="G100" i="9"/>
  <c r="W21" i="9" s="1" a="1"/>
  <c r="W21" i="9" s="1"/>
  <c r="K89" i="9"/>
  <c r="AA10" i="9" s="1" a="1"/>
  <c r="AA10" i="9" s="1"/>
  <c r="F115" i="9"/>
  <c r="V36" i="9" s="1" a="1"/>
  <c r="V36" i="9" s="1"/>
  <c r="G99" i="9"/>
  <c r="W20" i="9" s="1" a="1"/>
  <c r="W20" i="9" s="1"/>
  <c r="P100" i="9"/>
  <c r="AF21" i="9" s="1"/>
  <c r="B18" i="20" s="1"/>
  <c r="F111" i="9"/>
  <c r="V32" i="9" s="1" a="1"/>
  <c r="V32" i="9" s="1"/>
  <c r="D86" i="9"/>
  <c r="T7" i="9" s="1" a="1"/>
  <c r="T7" i="9" s="1"/>
  <c r="K75" i="9" a="1"/>
  <c r="K75" i="9" s="1"/>
  <c r="N51" i="9" a="1"/>
  <c r="N51" i="9" s="1"/>
  <c r="I115" i="9"/>
  <c r="Y36" i="9" s="1" a="1"/>
  <c r="Y36" i="9" s="1"/>
  <c r="P113" i="9"/>
  <c r="AF34" i="9" s="1"/>
  <c r="B31" i="20" s="1"/>
  <c r="L67" i="9" a="1"/>
  <c r="L67" i="9" s="1"/>
  <c r="P56" i="9"/>
  <c r="F96" i="9"/>
  <c r="V17" i="9" s="1" a="1"/>
  <c r="V17" i="9" s="1"/>
  <c r="H91" i="9"/>
  <c r="X12" i="9" s="1" a="1"/>
  <c r="X12" i="9" s="1"/>
  <c r="K107" i="9"/>
  <c r="AA28" i="9" s="1" a="1"/>
  <c r="AA28" i="9" s="1"/>
  <c r="I72" i="9" a="1"/>
  <c r="I72" i="9" s="1"/>
  <c r="J79" i="9" a="1"/>
  <c r="J79" i="9" s="1"/>
  <c r="J92" i="9"/>
  <c r="Z13" i="9" s="1" a="1"/>
  <c r="Z13" i="9" s="1"/>
  <c r="M69" i="9" a="1"/>
  <c r="M69" i="9" s="1"/>
  <c r="G57" i="9" a="1"/>
  <c r="G57" i="9" s="1"/>
  <c r="L93" i="9"/>
  <c r="AB14" i="9" s="1" a="1"/>
  <c r="AB14" i="9" s="1"/>
  <c r="P76" i="9"/>
  <c r="F112" i="9"/>
  <c r="V33" i="9" s="1" a="1"/>
  <c r="V33" i="9" s="1"/>
  <c r="M106" i="9"/>
  <c r="AC27" i="9" s="1" a="1"/>
  <c r="AC27" i="9" s="1"/>
  <c r="N74" i="9" a="1"/>
  <c r="N74" i="9" s="1"/>
  <c r="H56" i="9" a="1"/>
  <c r="H56" i="9" s="1"/>
  <c r="U19" i="9" a="1"/>
  <c r="U19" i="9" s="1"/>
  <c r="D101" i="9"/>
  <c r="T22" i="9" s="1" a="1"/>
  <c r="T22" i="9" s="1"/>
  <c r="P66" i="9"/>
  <c r="AD34" i="9" a="1"/>
  <c r="AD34" i="9" s="1"/>
  <c r="H51" i="9" a="1"/>
  <c r="H51" i="9" s="1"/>
  <c r="A24" i="20"/>
  <c r="G59" i="9" a="1"/>
  <c r="G59" i="9" s="1"/>
  <c r="A12" i="20"/>
  <c r="A11" i="20"/>
  <c r="A30" i="20"/>
  <c r="G67" i="9" a="1"/>
  <c r="G67" i="9" s="1"/>
  <c r="A21" i="20"/>
  <c r="A29" i="20"/>
  <c r="A31" i="20"/>
  <c r="A6" i="20"/>
  <c r="N78" i="9" a="1"/>
  <c r="N78" i="9" s="1"/>
  <c r="A28" i="20"/>
  <c r="A15" i="20"/>
  <c r="A35" i="20"/>
  <c r="A27" i="20"/>
  <c r="H71" i="9" a="1"/>
  <c r="H71" i="9" s="1"/>
  <c r="H64" i="9" a="1"/>
  <c r="H64" i="9" s="1"/>
  <c r="J81" i="9" a="1"/>
  <c r="J81" i="9" s="1"/>
  <c r="AD27" i="9" a="1"/>
  <c r="AD27" i="9" s="1"/>
  <c r="J78" i="9" a="1"/>
  <c r="J78" i="9" s="1"/>
  <c r="P93" i="9"/>
  <c r="AF14" i="9" s="1"/>
  <c r="B11" i="20" s="1"/>
  <c r="K110" i="9"/>
  <c r="AA31" i="9" s="1" a="1"/>
  <c r="AA31" i="9" s="1"/>
  <c r="I104" i="9"/>
  <c r="Y25" i="9" s="1" a="1"/>
  <c r="Y25" i="9" s="1"/>
  <c r="AD36" i="9" a="1"/>
  <c r="AD36" i="9" s="1"/>
  <c r="M73" i="9" a="1"/>
  <c r="M73" i="9" s="1"/>
  <c r="K63" i="9" a="1"/>
  <c r="K63" i="9" s="1"/>
  <c r="G55" i="9" a="1"/>
  <c r="G55" i="9" s="1"/>
  <c r="M98" i="9"/>
  <c r="AC19" i="9" s="1" a="1"/>
  <c r="AC19" i="9" s="1"/>
  <c r="K85" i="9"/>
  <c r="AA6" i="9" s="1" a="1"/>
  <c r="AA6" i="9" s="1"/>
  <c r="N75" i="9" a="1"/>
  <c r="N75" i="9" s="1"/>
  <c r="I73" i="9" a="1"/>
  <c r="I73" i="9" s="1"/>
  <c r="L86" i="9"/>
  <c r="AB7" i="9" s="1" a="1"/>
  <c r="AB7" i="9" s="1"/>
  <c r="H59" i="9" a="1"/>
  <c r="H59" i="9" s="1"/>
  <c r="K59" i="9" a="1"/>
  <c r="K59" i="9" s="1"/>
  <c r="G97" i="9"/>
  <c r="W18" i="9" s="1" a="1"/>
  <c r="W18" i="9" s="1"/>
  <c r="D102" i="9"/>
  <c r="T23" i="9" s="1" a="1"/>
  <c r="T23" i="9" s="1"/>
  <c r="H108" i="9"/>
  <c r="X29" i="9" s="1" a="1"/>
  <c r="X29" i="9" s="1"/>
  <c r="H90" i="9"/>
  <c r="X11" i="9" s="1" a="1"/>
  <c r="X11" i="9" s="1"/>
  <c r="J110" i="9"/>
  <c r="P62" i="9"/>
  <c r="AD19" i="9" a="1"/>
  <c r="AD19" i="9" s="1"/>
  <c r="G50" i="9" a="1"/>
  <c r="G50" i="9" s="1"/>
  <c r="K79" i="9" a="1"/>
  <c r="K79" i="9" s="1"/>
  <c r="J77" i="9" a="1"/>
  <c r="J77" i="9" s="1"/>
  <c r="E115" i="9"/>
  <c r="U36" i="9" s="1" a="1"/>
  <c r="U36" i="9" s="1"/>
  <c r="AC37" i="9" a="1"/>
  <c r="AC37" i="9" s="1"/>
  <c r="P108" i="9"/>
  <c r="AF29" i="9" s="1"/>
  <c r="B26" i="20" s="1"/>
  <c r="M96" i="9"/>
  <c r="AC17" i="9" s="1" a="1"/>
  <c r="AC17" i="9" s="1"/>
  <c r="I106" i="9"/>
  <c r="Y27" i="9" s="1" a="1"/>
  <c r="Y27" i="9" s="1"/>
  <c r="E114" i="9"/>
  <c r="U35" i="9" s="1" a="1"/>
  <c r="U35" i="9" s="1"/>
  <c r="J75" i="9" a="1"/>
  <c r="J75" i="9" s="1"/>
  <c r="F88" i="9"/>
  <c r="V9" i="9" s="1" a="1"/>
  <c r="V9" i="9" s="1"/>
  <c r="E93" i="9"/>
  <c r="U14" i="9" s="1" a="1"/>
  <c r="U14" i="9" s="1"/>
  <c r="P68" i="9"/>
  <c r="I55" i="9" a="1"/>
  <c r="I55" i="9" s="1"/>
  <c r="D106" i="9"/>
  <c r="T27" i="9" s="1" a="1"/>
  <c r="T27" i="9" s="1"/>
  <c r="N68" i="9" a="1"/>
  <c r="N68" i="9" s="1"/>
  <c r="I77" i="9" a="1"/>
  <c r="I77" i="9" s="1"/>
  <c r="F113" i="9"/>
  <c r="V34" i="9" s="1" a="1"/>
  <c r="V34" i="9" s="1"/>
  <c r="I91" i="9"/>
  <c r="D110" i="9"/>
  <c r="T31" i="9" s="1" a="1"/>
  <c r="T31" i="9" s="1"/>
  <c r="AD33" i="9" a="1"/>
  <c r="AD33" i="9" s="1"/>
  <c r="AA37" i="9" a="1"/>
  <c r="AA37" i="9" s="1"/>
  <c r="K58" i="9" a="1"/>
  <c r="K58" i="9" s="1"/>
  <c r="A26" i="20"/>
  <c r="J109" i="9"/>
  <c r="Z30" i="9" s="1" a="1"/>
  <c r="Z30" i="9" s="1"/>
  <c r="L108" i="9"/>
  <c r="AB29" i="9" s="1" a="1"/>
  <c r="AB29" i="9" s="1"/>
  <c r="D88" i="9"/>
  <c r="T9" i="9" s="1" a="1"/>
  <c r="T9" i="9" s="1"/>
  <c r="N76" i="9" a="1"/>
  <c r="N76" i="9" s="1"/>
  <c r="P53" i="9"/>
  <c r="J98" i="9"/>
  <c r="Z19" i="9" s="1" a="1"/>
  <c r="Z19" i="9" s="1"/>
  <c r="K65" i="9" a="1"/>
  <c r="K65" i="9" s="1"/>
  <c r="P78" i="9"/>
  <c r="F91" i="9"/>
  <c r="V12" i="9" s="1" a="1"/>
  <c r="V12" i="9" s="1"/>
  <c r="J100" i="9"/>
  <c r="Z21" i="9" s="1" a="1"/>
  <c r="Z21" i="9" s="1"/>
  <c r="D111" i="9"/>
  <c r="T32" i="9" s="1" a="1"/>
  <c r="T32" i="9" s="1"/>
  <c r="N67" i="9" a="1"/>
  <c r="N67" i="9" s="1"/>
  <c r="M55" i="9" a="1"/>
  <c r="M55" i="9" s="1"/>
  <c r="P111" i="9"/>
  <c r="AF32" i="9" s="1"/>
  <c r="B29" i="20" s="1"/>
  <c r="H94" i="9"/>
  <c r="X15" i="9" s="1" a="1"/>
  <c r="X15" i="9" s="1"/>
  <c r="D95" i="9"/>
  <c r="T16" i="9" s="1" a="1"/>
  <c r="T16" i="9" s="1"/>
  <c r="M104" i="9"/>
  <c r="AC25" i="9" s="1" a="1"/>
  <c r="AC25" i="9" s="1"/>
  <c r="K115" i="9"/>
  <c r="AA36" i="9" s="1" a="1"/>
  <c r="AA36" i="9" s="1"/>
  <c r="N63" i="9" a="1"/>
  <c r="N63" i="9" s="1"/>
  <c r="I79" i="9" a="1"/>
  <c r="I79" i="9" s="1"/>
  <c r="N58" i="9" a="1"/>
  <c r="N58" i="9" s="1"/>
  <c r="G62" i="9" a="1"/>
  <c r="G62" i="9" s="1"/>
  <c r="F100" i="9"/>
  <c r="V21" i="9" s="1" a="1"/>
  <c r="V21" i="9" s="1"/>
  <c r="K86" i="9"/>
  <c r="AA7" i="9" s="1" a="1"/>
  <c r="AA7" i="9" s="1"/>
  <c r="G73" i="9" a="1"/>
  <c r="G73" i="9" s="1"/>
  <c r="L61" i="9" a="1"/>
  <c r="L61" i="9" s="1"/>
  <c r="M71" i="9" a="1"/>
  <c r="M71" i="9" s="1"/>
  <c r="A9" i="20"/>
  <c r="E12" i="9"/>
  <c r="E106" i="9"/>
  <c r="U27" i="9" s="1" a="1"/>
  <c r="U27" i="9" s="1"/>
  <c r="F105" i="9"/>
  <c r="V26" i="9" s="1" a="1"/>
  <c r="V26" i="9" s="1"/>
  <c r="M113" i="9"/>
  <c r="AC34" i="9" s="1" a="1"/>
  <c r="AC34" i="9" s="1"/>
  <c r="AD26" i="9" a="1"/>
  <c r="AD26" i="9" s="1"/>
  <c r="K68" i="9" a="1"/>
  <c r="K68" i="9" s="1"/>
  <c r="K76" i="9" a="1"/>
  <c r="K76" i="9" s="1"/>
  <c r="I98" i="9"/>
  <c r="Y19" i="9" s="1" a="1"/>
  <c r="Y19" i="9" s="1"/>
  <c r="AD14" i="9" a="1"/>
  <c r="AD14" i="9" s="1"/>
  <c r="L115" i="9"/>
  <c r="G92" i="9"/>
  <c r="W13" i="9" s="1" a="1"/>
  <c r="W13" i="9" s="1"/>
  <c r="M107" i="9"/>
  <c r="AC28" i="9" s="1" a="1"/>
  <c r="AC28" i="9" s="1"/>
  <c r="E97" i="9"/>
  <c r="U18" i="9" s="1" a="1"/>
  <c r="U18" i="9" s="1"/>
  <c r="G98" i="9"/>
  <c r="W19" i="9" s="1" a="1"/>
  <c r="W19" i="9" s="1"/>
  <c r="C97" i="9"/>
  <c r="S18" i="9" s="1" a="1"/>
  <c r="S18" i="9" s="1"/>
  <c r="AD11" i="9" a="1"/>
  <c r="AD11" i="9" s="1"/>
  <c r="N50" i="9" a="1"/>
  <c r="N50" i="9" s="1"/>
  <c r="F86" i="9"/>
  <c r="V7" i="9" s="1" a="1"/>
  <c r="V7" i="9" s="1"/>
  <c r="P96" i="9"/>
  <c r="AF17" i="9" s="1"/>
  <c r="B14" i="20" s="1"/>
  <c r="M92" i="9"/>
  <c r="AC13" i="9" s="1" a="1"/>
  <c r="AC13" i="9" s="1"/>
  <c r="M94" i="9"/>
  <c r="AC15" i="9" s="1" a="1"/>
  <c r="AC15" i="9" s="1"/>
  <c r="S37" i="9" a="1"/>
  <c r="S37" i="9" s="1"/>
  <c r="N79" i="9" a="1"/>
  <c r="N79" i="9" s="1"/>
  <c r="L77" i="9" a="1"/>
  <c r="L77" i="9" s="1"/>
  <c r="J68" i="9" a="1"/>
  <c r="J68" i="9" s="1"/>
  <c r="L76" i="9" a="1"/>
  <c r="L76" i="9" s="1"/>
  <c r="I78" i="9" a="1"/>
  <c r="I78" i="9" s="1"/>
  <c r="AD23" i="9" a="1"/>
  <c r="AD23" i="9" s="1"/>
  <c r="I112" i="9"/>
  <c r="I92" i="9"/>
  <c r="Y13" i="9" s="1" a="1"/>
  <c r="Y13" i="9" s="1"/>
  <c r="L89" i="9"/>
  <c r="AB10" i="9" s="1" a="1"/>
  <c r="AB10" i="9" s="1"/>
  <c r="AD22" i="9" a="1"/>
  <c r="AD22" i="9" s="1"/>
  <c r="G63" i="9" a="1"/>
  <c r="G63" i="9" s="1"/>
  <c r="M91" i="9"/>
  <c r="AC12" i="9" s="1" a="1"/>
  <c r="AC12" i="9" s="1"/>
  <c r="P71" i="9"/>
  <c r="P79" i="9"/>
  <c r="J101" i="9"/>
  <c r="Z22" i="9" s="1" a="1"/>
  <c r="Z22" i="9" s="1"/>
  <c r="F94" i="9"/>
  <c r="V15" i="9" s="1" a="1"/>
  <c r="V15" i="9" s="1"/>
  <c r="L96" i="9"/>
  <c r="G53" i="9" a="1"/>
  <c r="G53" i="9" s="1"/>
  <c r="H75" i="9" a="1"/>
  <c r="H75" i="9" s="1"/>
  <c r="H78" i="9" a="1"/>
  <c r="H78" i="9" s="1"/>
  <c r="AF37" i="9"/>
  <c r="B34" i="20" s="1"/>
  <c r="J59" i="9" a="1"/>
  <c r="J59" i="9" s="1"/>
  <c r="L73" i="9" a="1"/>
  <c r="L73" i="9" s="1"/>
  <c r="M72" i="9" a="1"/>
  <c r="M72" i="9" s="1"/>
  <c r="N54" i="9" a="1"/>
  <c r="N54" i="9" s="1"/>
  <c r="K74" i="9" a="1"/>
  <c r="K74" i="9" s="1"/>
  <c r="H57" i="9" a="1"/>
  <c r="H57" i="9" s="1"/>
  <c r="C100" i="9"/>
  <c r="S21" i="9" s="1" a="1"/>
  <c r="S21" i="9" s="1"/>
  <c r="H105" i="9"/>
  <c r="X26" i="9" s="1" a="1"/>
  <c r="X26" i="9" s="1"/>
  <c r="J102" i="9"/>
  <c r="Z23" i="9" s="1" a="1"/>
  <c r="Z23" i="9" s="1"/>
  <c r="L91" i="9"/>
  <c r="AB12" i="9" s="1" a="1"/>
  <c r="AB12" i="9" s="1"/>
  <c r="J66" i="9" a="1"/>
  <c r="J66" i="9" s="1"/>
  <c r="D91" i="9"/>
  <c r="T12" i="9" s="1" a="1"/>
  <c r="T12" i="9" s="1"/>
  <c r="K105" i="9"/>
  <c r="AA26" i="9" s="1" a="1"/>
  <c r="AA26" i="9" s="1"/>
  <c r="M88" i="9"/>
  <c r="AC9" i="9" s="1" a="1"/>
  <c r="AC9" i="9" s="1"/>
  <c r="F114" i="9"/>
  <c r="V35" i="9" s="1" a="1"/>
  <c r="V35" i="9" s="1"/>
  <c r="I63" i="9" a="1"/>
  <c r="I63" i="9" s="1"/>
  <c r="J60" i="9" a="1"/>
  <c r="J60" i="9" s="1"/>
  <c r="G68" i="9" a="1"/>
  <c r="G68" i="9" s="1"/>
  <c r="I50" i="9" a="1"/>
  <c r="I50" i="9" s="1"/>
  <c r="F90" i="9"/>
  <c r="V11" i="9" s="1" a="1"/>
  <c r="V11" i="9" s="1"/>
  <c r="M103" i="9"/>
  <c r="AC24" i="9" s="1" a="1"/>
  <c r="AC24" i="9" s="1"/>
  <c r="I105" i="9"/>
  <c r="Y26" i="9" s="1" a="1"/>
  <c r="Y26" i="9" s="1"/>
  <c r="P70" i="9"/>
  <c r="B17" i="9"/>
  <c r="G109" i="9"/>
  <c r="W30" i="9" s="1" a="1"/>
  <c r="W30" i="9" s="1"/>
  <c r="P103" i="9"/>
  <c r="AF24" i="9" s="1"/>
  <c r="B21" i="20" s="1"/>
  <c r="M109" i="9"/>
  <c r="AC30" i="9" s="1" a="1"/>
  <c r="AC30" i="9" s="1"/>
  <c r="M110" i="9"/>
  <c r="AC31" i="9" s="1" a="1"/>
  <c r="AC31" i="9" s="1"/>
  <c r="AB37" i="9" a="1"/>
  <c r="AB37" i="9" s="1"/>
  <c r="H53" i="9" a="1"/>
  <c r="H53" i="9" s="1"/>
  <c r="L53" i="9" a="1"/>
  <c r="L53" i="9" s="1"/>
  <c r="J80" i="9" a="1"/>
  <c r="J80" i="9" s="1"/>
  <c r="L50" i="9" a="1"/>
  <c r="L50" i="9" s="1"/>
  <c r="K64" i="9" a="1"/>
  <c r="K64" i="9" s="1"/>
  <c r="P107" i="9"/>
  <c r="AF28" i="9" s="1"/>
  <c r="B25" i="20" s="1"/>
  <c r="J95" i="9"/>
  <c r="Z16" i="9" s="1" a="1"/>
  <c r="Z16" i="9" s="1"/>
  <c r="V37" i="9" a="1"/>
  <c r="V37" i="9" s="1"/>
  <c r="P81" i="9"/>
  <c r="M75" i="9" a="1"/>
  <c r="M75" i="9" s="1"/>
  <c r="AD37" i="9" a="1"/>
  <c r="AD37" i="9" s="1"/>
  <c r="H61" i="9" a="1"/>
  <c r="H61" i="9" s="1"/>
  <c r="K80" i="9" a="1"/>
  <c r="K80" i="9" s="1"/>
  <c r="M53" i="9" a="1"/>
  <c r="M53" i="9" s="1"/>
  <c r="G77" i="9" a="1"/>
  <c r="G77" i="9" s="1"/>
  <c r="L75" i="9" a="1"/>
  <c r="L75" i="9" s="1"/>
  <c r="K101" i="9"/>
  <c r="AA22" i="9" s="1" a="1"/>
  <c r="AA22" i="9" s="1"/>
  <c r="B7" i="9"/>
  <c r="K77" i="9" a="1"/>
  <c r="K77" i="9" s="1"/>
  <c r="H88" i="9"/>
  <c r="X9" i="9" s="1" a="1"/>
  <c r="X9" i="9" s="1"/>
  <c r="L98" i="9"/>
  <c r="AB19" i="9" s="1" a="1"/>
  <c r="AB19" i="9" s="1"/>
  <c r="K62" i="9" a="1"/>
  <c r="K62" i="9" s="1"/>
  <c r="J65" i="9" a="1"/>
  <c r="J65" i="9" s="1"/>
  <c r="K66" i="9" a="1"/>
  <c r="K66" i="9" s="1"/>
  <c r="I69" i="9" a="1"/>
  <c r="I69" i="9" s="1"/>
  <c r="H55" i="9" a="1"/>
  <c r="H55" i="9" s="1"/>
  <c r="E89" i="9"/>
  <c r="U10" i="9" s="1" a="1"/>
  <c r="U10" i="9" s="1"/>
  <c r="L105" i="9"/>
  <c r="AB26" i="9" s="1" a="1"/>
  <c r="AB26" i="9" s="1"/>
  <c r="I52" i="9" a="1"/>
  <c r="I52" i="9" s="1"/>
  <c r="A4" i="20"/>
  <c r="A13" i="20"/>
  <c r="AF36" i="9"/>
  <c r="B33" i="20" s="1"/>
  <c r="A34" i="20"/>
  <c r="J108" i="9"/>
  <c r="Z29" i="9" s="1" a="1"/>
  <c r="Z29" i="9" s="1"/>
  <c r="G80" i="9" a="1"/>
  <c r="G80" i="9" s="1"/>
  <c r="M79" i="9" a="1"/>
  <c r="M79" i="9" s="1"/>
  <c r="J52" i="9" a="1"/>
  <c r="J52" i="9" s="1"/>
  <c r="I51" i="9" a="1"/>
  <c r="I51" i="9" s="1"/>
  <c r="N71" i="9" a="1"/>
  <c r="N71" i="9" s="1"/>
  <c r="L68" i="9" a="1"/>
  <c r="L68" i="9" s="1"/>
  <c r="C99" i="9"/>
  <c r="S20" i="9" s="1" a="1"/>
  <c r="S20" i="9" s="1"/>
  <c r="J106" i="9"/>
  <c r="Z27" i="9" s="1" a="1"/>
  <c r="Z27" i="9" s="1"/>
  <c r="I94" i="9"/>
  <c r="Y15" i="9" s="1" a="1"/>
  <c r="Y15" i="9" s="1"/>
  <c r="L55" i="9" a="1"/>
  <c r="L55" i="9" s="1"/>
  <c r="M81" i="9" a="1"/>
  <c r="M81" i="9" s="1"/>
  <c r="F99" i="9"/>
  <c r="V20" i="9" s="1" a="1"/>
  <c r="V20" i="9" s="1"/>
  <c r="C113" i="9"/>
  <c r="S34" i="9" s="1" a="1"/>
  <c r="S34" i="9" s="1"/>
  <c r="K111" i="9"/>
  <c r="P67" i="9"/>
  <c r="H69" i="9" a="1"/>
  <c r="H69" i="9" s="1"/>
  <c r="B13" i="9"/>
  <c r="AD25" i="9" a="1"/>
  <c r="AD25" i="9" s="1"/>
  <c r="G65" i="9" a="1"/>
  <c r="G65" i="9" s="1"/>
  <c r="K60" i="9" a="1"/>
  <c r="K60" i="9" s="1"/>
  <c r="J90" i="9"/>
  <c r="Z11" i="9" s="1" a="1"/>
  <c r="Z11" i="9" s="1"/>
  <c r="L110" i="9"/>
  <c r="AB31" i="9" s="1" a="1"/>
  <c r="AB31" i="9" s="1"/>
  <c r="H54" i="9" a="1"/>
  <c r="H54" i="9" s="1"/>
  <c r="H115" i="9"/>
  <c r="J55" i="9" a="1"/>
  <c r="J55" i="9" s="1"/>
  <c r="N73" i="9" a="1"/>
  <c r="N73" i="9" s="1"/>
  <c r="L66" i="9" a="1"/>
  <c r="L66" i="9" s="1"/>
  <c r="H73" i="9" a="1"/>
  <c r="H73" i="9" s="1"/>
  <c r="M57" i="9" a="1"/>
  <c r="M57" i="9" s="1"/>
  <c r="P69" i="9"/>
  <c r="B16" i="9"/>
  <c r="P91" i="9"/>
  <c r="AF12" i="9" s="1"/>
  <c r="B9" i="20" s="1"/>
  <c r="G101" i="9"/>
  <c r="W22" i="9" s="1" a="1"/>
  <c r="W22" i="9" s="1"/>
  <c r="K91" i="9"/>
  <c r="AA12" i="9" s="1" a="1"/>
  <c r="AA12" i="9" s="1"/>
  <c r="P61" i="9"/>
  <c r="L56" i="9" a="1"/>
  <c r="L56" i="9" s="1"/>
  <c r="A22" i="20"/>
  <c r="H80" i="9" a="1"/>
  <c r="H80" i="9" s="1"/>
  <c r="W37" i="9" a="1"/>
  <c r="W37" i="9" s="1"/>
  <c r="G81" i="9" a="1"/>
  <c r="G81" i="9" s="1"/>
  <c r="G79" i="9" a="1"/>
  <c r="G79" i="9" s="1"/>
  <c r="H65" i="9" a="1"/>
  <c r="H65" i="9" s="1"/>
  <c r="G51" i="9" a="1"/>
  <c r="G51" i="9" s="1"/>
  <c r="G75" i="9" a="1"/>
  <c r="G75" i="9" s="1"/>
  <c r="G54" i="9" a="1"/>
  <c r="G54" i="9" s="1"/>
  <c r="X21" i="9" a="1"/>
  <c r="X21" i="9" s="1"/>
  <c r="X27" i="9" a="1"/>
  <c r="X27" i="9" s="1"/>
  <c r="A13" i="21"/>
  <c r="B13" i="21" s="1"/>
  <c r="A25" i="20"/>
  <c r="A11" i="21"/>
  <c r="B11" i="21" s="1"/>
  <c r="A27" i="21"/>
  <c r="B27" i="21" s="1"/>
  <c r="A16" i="21"/>
  <c r="B16" i="21" s="1"/>
  <c r="P50" i="9"/>
  <c r="A33" i="21"/>
  <c r="B33" i="21" s="1"/>
  <c r="A17" i="21"/>
  <c r="B17" i="21" s="1"/>
  <c r="A32" i="21"/>
  <c r="B32" i="21" s="1"/>
  <c r="A28" i="21"/>
  <c r="B28" i="21" s="1"/>
  <c r="A24" i="21"/>
  <c r="B24" i="21" s="1"/>
  <c r="A29" i="21"/>
  <c r="B29" i="21" s="1"/>
  <c r="A17" i="20"/>
  <c r="A7" i="20"/>
  <c r="A33" i="20"/>
  <c r="A3" i="20"/>
  <c r="E34" i="7"/>
  <c r="C16" i="10"/>
  <c r="N5" i="17"/>
  <c r="N7" i="17" s="1"/>
  <c r="C19" i="10" s="1"/>
  <c r="C544" i="17"/>
  <c r="K4" i="17" s="1"/>
  <c r="C12" i="10"/>
  <c r="D544" i="17"/>
  <c r="K5" i="17" s="1"/>
  <c r="G34" i="7"/>
  <c r="C43" i="12"/>
  <c r="I37" i="12"/>
  <c r="E44" i="18"/>
  <c r="D42" i="14"/>
  <c r="C10" i="8" s="1"/>
  <c r="J43" i="14"/>
  <c r="C12" i="8" s="1"/>
  <c r="D44" i="18"/>
  <c r="H37" i="15"/>
  <c r="H21" i="7"/>
  <c r="H31" i="7"/>
  <c r="G37" i="15"/>
  <c r="D2" i="2"/>
  <c r="E9" i="9" l="1"/>
  <c r="C15" i="9"/>
  <c r="L49" i="9" a="1"/>
  <c r="L49" i="9" s="1"/>
  <c r="K191" i="1"/>
  <c r="H49" i="9" a="1"/>
  <c r="H49" i="9" s="1"/>
  <c r="C12" i="19" a="1"/>
  <c r="C12" i="19" s="1"/>
  <c r="E12" i="19" s="1"/>
  <c r="E16" i="19" s="1"/>
  <c r="H84" i="9"/>
  <c r="C49" i="9" a="1"/>
  <c r="C49" i="9" s="1"/>
  <c r="AB36" i="9" a="1"/>
  <c r="AB36" i="9" s="1"/>
  <c r="L80" i="9" a="1"/>
  <c r="L80" i="9" s="1"/>
  <c r="O80" i="9" s="1"/>
  <c r="Q80" i="9" s="1"/>
  <c r="C8" i="9"/>
  <c r="O100" i="9"/>
  <c r="Q100" i="9" s="1"/>
  <c r="O85" i="9"/>
  <c r="Q85" i="9" s="1"/>
  <c r="O115" i="9"/>
  <c r="Q115" i="9" s="1"/>
  <c r="C10" i="9"/>
  <c r="O99" i="9"/>
  <c r="Q99" i="9" s="1"/>
  <c r="O114" i="9"/>
  <c r="Q114" i="9" s="1"/>
  <c r="E5" i="8"/>
  <c r="E12" i="8"/>
  <c r="E8" i="8"/>
  <c r="E10" i="8"/>
  <c r="E13" i="8"/>
  <c r="E6" i="8"/>
  <c r="E9" i="8"/>
  <c r="E7" i="8"/>
  <c r="J84" i="9"/>
  <c r="Z5" i="9" s="1" a="1"/>
  <c r="Z5" i="9" s="1"/>
  <c r="O95" i="9"/>
  <c r="Q95" i="9" s="1"/>
  <c r="AD5" i="9" a="1"/>
  <c r="AD5" i="9" s="1"/>
  <c r="D49" i="9" a="1"/>
  <c r="D49" i="9" s="1"/>
  <c r="O93" i="9"/>
  <c r="Q93" i="9" s="1"/>
  <c r="C14" i="9"/>
  <c r="L84" i="9"/>
  <c r="AB5" i="9" s="1" a="1"/>
  <c r="AB5" i="9" s="1"/>
  <c r="C11" i="9"/>
  <c r="E84" i="9"/>
  <c r="U5" i="9" s="1" a="1"/>
  <c r="U5" i="9" s="1"/>
  <c r="I49" i="9" a="1"/>
  <c r="I49" i="9" s="1"/>
  <c r="F84" i="9"/>
  <c r="V5" i="9" s="1" a="1"/>
  <c r="V5" i="9" s="1"/>
  <c r="X5" i="9" a="1"/>
  <c r="X5" i="9" s="1"/>
  <c r="G84" i="9"/>
  <c r="W5" i="9" s="1" a="1"/>
  <c r="W5" i="9" s="1"/>
  <c r="O87" i="9"/>
  <c r="Q87" i="9" s="1"/>
  <c r="O86" i="9"/>
  <c r="Q86" i="9" s="1"/>
  <c r="AE38" i="9"/>
  <c r="AG38" i="9" s="1"/>
  <c r="C35" i="20" s="1"/>
  <c r="G49" i="9" a="1"/>
  <c r="G49" i="9" s="1"/>
  <c r="O92" i="9"/>
  <c r="Q92" i="9" s="1"/>
  <c r="O104" i="9"/>
  <c r="Q104" i="9" s="1"/>
  <c r="F49" i="9" a="1"/>
  <c r="F49" i="9" s="1"/>
  <c r="O113" i="9"/>
  <c r="Q113" i="9" s="1"/>
  <c r="C4" i="9"/>
  <c r="E18" i="19" a="1"/>
  <c r="E18" i="19" s="1"/>
  <c r="H149" i="1"/>
  <c r="H140" i="1"/>
  <c r="H128" i="1"/>
  <c r="H129" i="1"/>
  <c r="H83" i="1"/>
  <c r="H152" i="1"/>
  <c r="H167" i="1"/>
  <c r="H92" i="1"/>
  <c r="H72" i="1"/>
  <c r="H86" i="1"/>
  <c r="H75" i="1"/>
  <c r="H173" i="1"/>
  <c r="H101" i="1"/>
  <c r="H105" i="1"/>
  <c r="B28" i="20"/>
  <c r="H34" i="7"/>
  <c r="H71" i="1"/>
  <c r="H70" i="1"/>
  <c r="H121" i="1"/>
  <c r="H108" i="1"/>
  <c r="H102" i="1"/>
  <c r="H134" i="1"/>
  <c r="H97" i="1"/>
  <c r="H150" i="1"/>
  <c r="H151" i="1"/>
  <c r="H155" i="1"/>
  <c r="H143" i="1"/>
  <c r="O58" i="9"/>
  <c r="Q58" i="9" s="1"/>
  <c r="O67" i="9"/>
  <c r="Q67" i="9" s="1"/>
  <c r="AE34" i="9"/>
  <c r="AG34" i="9" s="1"/>
  <c r="C31" i="20" s="1"/>
  <c r="AE20" i="9"/>
  <c r="AG20" i="9" s="1"/>
  <c r="C17" i="20" s="1"/>
  <c r="O72" i="9"/>
  <c r="Q72" i="9" s="1"/>
  <c r="AE35" i="9"/>
  <c r="AG35" i="9" s="1"/>
  <c r="C32" i="20" s="1"/>
  <c r="O81" i="9"/>
  <c r="Q81" i="9" s="1"/>
  <c r="O70" i="9"/>
  <c r="Q70" i="9" s="1"/>
  <c r="O74" i="9"/>
  <c r="Q74" i="9" s="1"/>
  <c r="E5" i="9"/>
  <c r="C5" i="9"/>
  <c r="E3" i="9"/>
  <c r="C3" i="9"/>
  <c r="E6" i="9"/>
  <c r="C6" i="9"/>
  <c r="AB8" i="9" a="1"/>
  <c r="AB8" i="9" s="1"/>
  <c r="AE8" i="9" s="1"/>
  <c r="AG8" i="9" s="1"/>
  <c r="C5" i="20" s="1"/>
  <c r="AE21" i="9"/>
  <c r="AG21" i="9" s="1"/>
  <c r="C18" i="20" s="1"/>
  <c r="O71" i="9"/>
  <c r="Q71" i="9" s="1"/>
  <c r="O108" i="9"/>
  <c r="Q108" i="9" s="1"/>
  <c r="O97" i="9"/>
  <c r="Q97" i="9" s="1"/>
  <c r="O56" i="9"/>
  <c r="Q56" i="9" s="1"/>
  <c r="O112" i="9"/>
  <c r="Q112" i="9" s="1"/>
  <c r="K49" i="9" a="1"/>
  <c r="K49" i="9" s="1"/>
  <c r="M84" i="9"/>
  <c r="AC5" i="9" s="1" a="1"/>
  <c r="AC5" i="9" s="1"/>
  <c r="M49" i="9" a="1"/>
  <c r="M49" i="9" s="1"/>
  <c r="K84" i="9"/>
  <c r="AA5" i="9" s="1" a="1"/>
  <c r="AA5" i="9" s="1"/>
  <c r="N49" i="9" a="1"/>
  <c r="N49" i="9" s="1"/>
  <c r="P84" i="9"/>
  <c r="AF5" i="9" s="1"/>
  <c r="B2" i="20" s="1"/>
  <c r="B2" i="9"/>
  <c r="P49" i="9"/>
  <c r="C84" i="9"/>
  <c r="S5" i="9" s="1" a="1"/>
  <c r="S5" i="9" s="1"/>
  <c r="J49" i="9" a="1"/>
  <c r="J49" i="9" s="1"/>
  <c r="D84" i="9"/>
  <c r="T5" i="9" s="1" a="1"/>
  <c r="T5" i="9" s="1"/>
  <c r="I84" i="9"/>
  <c r="Y5" i="9" s="1" a="1"/>
  <c r="Y5" i="9" s="1"/>
  <c r="O64" i="9"/>
  <c r="Q64" i="9" s="1"/>
  <c r="O107" i="9"/>
  <c r="Q107" i="9" s="1"/>
  <c r="O96" i="9"/>
  <c r="Q96" i="9" s="1"/>
  <c r="O102" i="9"/>
  <c r="Q102" i="9" s="1"/>
  <c r="AE28" i="9"/>
  <c r="AG28" i="9" s="1"/>
  <c r="C25" i="20" s="1"/>
  <c r="O53" i="9"/>
  <c r="Q53" i="9" s="1"/>
  <c r="O90" i="9"/>
  <c r="Q90" i="9" s="1"/>
  <c r="O109" i="9"/>
  <c r="Q109" i="9" s="1"/>
  <c r="O76" i="9"/>
  <c r="Q76" i="9" s="1"/>
  <c r="X36" i="9" a="1"/>
  <c r="X36" i="9" s="1"/>
  <c r="O59" i="9"/>
  <c r="Q59" i="9" s="1"/>
  <c r="O62" i="9"/>
  <c r="Q62" i="9" s="1"/>
  <c r="O60" i="9"/>
  <c r="Q60" i="9" s="1"/>
  <c r="O66" i="9"/>
  <c r="Q66" i="9" s="1"/>
  <c r="O52" i="9"/>
  <c r="Q52" i="9" s="1"/>
  <c r="O61" i="9"/>
  <c r="Q61" i="9" s="1"/>
  <c r="O78" i="9"/>
  <c r="Q78" i="9" s="1"/>
  <c r="AE13" i="9"/>
  <c r="AG13" i="9" s="1"/>
  <c r="C10" i="20" s="1"/>
  <c r="AE9" i="9"/>
  <c r="AG9" i="9" s="1"/>
  <c r="C6" i="20" s="1"/>
  <c r="O65" i="9"/>
  <c r="Q65" i="9" s="1"/>
  <c r="O63" i="9"/>
  <c r="Q63" i="9" s="1"/>
  <c r="O57" i="9"/>
  <c r="Q57" i="9" s="1"/>
  <c r="AE23" i="9"/>
  <c r="AG23" i="9" s="1"/>
  <c r="C20" i="20" s="1"/>
  <c r="O54" i="9"/>
  <c r="Q54" i="9" s="1"/>
  <c r="O73" i="9"/>
  <c r="Q73" i="9" s="1"/>
  <c r="AE25" i="9"/>
  <c r="AG25" i="9" s="1"/>
  <c r="C22" i="20" s="1"/>
  <c r="O50" i="9"/>
  <c r="Q50" i="9" s="1"/>
  <c r="AE29" i="9"/>
  <c r="AG29" i="9" s="1"/>
  <c r="C26" i="20" s="1"/>
  <c r="AE11" i="9"/>
  <c r="AG11" i="9" s="1"/>
  <c r="C8" i="20" s="1"/>
  <c r="O77" i="9"/>
  <c r="Q77" i="9" s="1"/>
  <c r="O68" i="9"/>
  <c r="Q68" i="9" s="1"/>
  <c r="AE30" i="9"/>
  <c r="AG30" i="9" s="1"/>
  <c r="C27" i="20" s="1"/>
  <c r="AE10" i="9"/>
  <c r="AG10" i="9" s="1"/>
  <c r="C7" i="20" s="1"/>
  <c r="AE27" i="9"/>
  <c r="AG27" i="9" s="1"/>
  <c r="C24" i="20" s="1"/>
  <c r="O69" i="9"/>
  <c r="Q69" i="9" s="1"/>
  <c r="AE37" i="9"/>
  <c r="AG37" i="9" s="1"/>
  <c r="C34" i="20" s="1"/>
  <c r="AE14" i="9"/>
  <c r="AG14" i="9" s="1"/>
  <c r="C11" i="20" s="1"/>
  <c r="O79" i="9"/>
  <c r="Q79" i="9" s="1"/>
  <c r="O55" i="9"/>
  <c r="Q55" i="9" s="1"/>
  <c r="AE22" i="9"/>
  <c r="AG22" i="9" s="1"/>
  <c r="C19" i="20" s="1"/>
  <c r="AE15" i="9"/>
  <c r="AG15" i="9" s="1"/>
  <c r="C12" i="20" s="1"/>
  <c r="AE16" i="9"/>
  <c r="AG16" i="9" s="1"/>
  <c r="C13" i="20" s="1"/>
  <c r="E13" i="9"/>
  <c r="C13" i="9"/>
  <c r="AB17" i="9" a="1"/>
  <c r="AB17" i="9" s="1"/>
  <c r="AE17" i="9" s="1"/>
  <c r="AG17" i="9" s="1"/>
  <c r="C14" i="20" s="1"/>
  <c r="AE26" i="9"/>
  <c r="AG26" i="9" s="1"/>
  <c r="C23" i="20" s="1"/>
  <c r="Y33" i="9" a="1"/>
  <c r="Y33" i="9" s="1"/>
  <c r="AE33" i="9" s="1"/>
  <c r="AG33" i="9" s="1"/>
  <c r="C30" i="20" s="1"/>
  <c r="AE24" i="9"/>
  <c r="AG24" i="9" s="1"/>
  <c r="C21" i="20" s="1"/>
  <c r="C7" i="9"/>
  <c r="E7" i="9" a="1"/>
  <c r="E7" i="9" s="1"/>
  <c r="C16" i="9"/>
  <c r="E16" i="9"/>
  <c r="O110" i="9"/>
  <c r="Q110" i="9" s="1"/>
  <c r="Z31" i="9" a="1"/>
  <c r="Z31" i="9" s="1"/>
  <c r="AE31" i="9" s="1"/>
  <c r="AG31" i="9" s="1"/>
  <c r="AA32" i="9" a="1"/>
  <c r="AA32" i="9" s="1"/>
  <c r="AE32" i="9" s="1"/>
  <c r="AG32" i="9" s="1"/>
  <c r="C29" i="20" s="1"/>
  <c r="O111" i="9"/>
  <c r="Q111" i="9" s="1"/>
  <c r="O75" i="9"/>
  <c r="Q75" i="9" s="1"/>
  <c r="O103" i="9"/>
  <c r="Q103" i="9" s="1"/>
  <c r="O106" i="9"/>
  <c r="Q106" i="9" s="1"/>
  <c r="O101" i="9"/>
  <c r="Q101" i="9" s="1"/>
  <c r="O98" i="9"/>
  <c r="Q98" i="9" s="1"/>
  <c r="AE18" i="9"/>
  <c r="AG18" i="9" s="1"/>
  <c r="C15" i="20" s="1"/>
  <c r="AE7" i="9"/>
  <c r="AG7" i="9" s="1"/>
  <c r="C4" i="20" s="1"/>
  <c r="E17" i="9"/>
  <c r="C17" i="9"/>
  <c r="Y12" i="9" a="1"/>
  <c r="Y12" i="9" s="1"/>
  <c r="AE12" i="9" s="1"/>
  <c r="AG12" i="9" s="1"/>
  <c r="C9" i="20" s="1"/>
  <c r="O91" i="9"/>
  <c r="Q91" i="9" s="1"/>
  <c r="O89" i="9"/>
  <c r="Q89" i="9" s="1"/>
  <c r="AE19" i="9"/>
  <c r="AG19" i="9" s="1"/>
  <c r="C16" i="20" s="1"/>
  <c r="O51" i="9"/>
  <c r="Q51" i="9" s="1"/>
  <c r="O105" i="9"/>
  <c r="Q105" i="9" s="1"/>
  <c r="O94" i="9"/>
  <c r="Q94" i="9" s="1"/>
  <c r="O88" i="9"/>
  <c r="Q88" i="9" s="1"/>
  <c r="AE6" i="9"/>
  <c r="AG6" i="9" s="1"/>
  <c r="C3" i="20" s="1"/>
  <c r="K6" i="17"/>
  <c r="F544" i="17"/>
  <c r="P7" i="17"/>
  <c r="F44" i="18"/>
  <c r="C11" i="8"/>
  <c r="AE36" i="9" l="1"/>
  <c r="AG36" i="9" s="1"/>
  <c r="C33" i="20" s="1"/>
  <c r="O84" i="9"/>
  <c r="Q84" i="9"/>
  <c r="AE5" i="9"/>
  <c r="AG5" i="9" s="1"/>
  <c r="C2" i="20" s="1"/>
  <c r="O49" i="9"/>
  <c r="Q49" i="9" s="1"/>
  <c r="E2" i="9"/>
  <c r="C2" i="9"/>
  <c r="C28" i="20"/>
  <c r="E20" i="19" a="1"/>
  <c r="E20" i="19" s="1"/>
  <c r="C21" i="9"/>
  <c r="C23" i="9"/>
  <c r="C3" i="10" s="1"/>
  <c r="C11" i="10" s="1"/>
  <c r="C13" i="10" s="1"/>
  <c r="C14" i="8"/>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<sst xmlns="http://schemas.openxmlformats.org/spreadsheetml/2006/main" count="2607" uniqueCount="596">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</sst>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cellXfs>
  <cellStyles count="2">
    <cellStyle name="Comma" xfId="1" builtinId="3"/>
    <cellStyle name="Normal" xfId="0" builtinId="0"/>
  </cellStyles>
  <dxfs count="136">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513935</xdr:colOff>
      <xdr:row>7</xdr:row>
      <xdr:rowOff>43181</xdr:rowOff>
    </xdr:from>
    <xdr:to>
      <xdr:col>13</xdr:col>
      <xdr:colOff>364110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212224</xdr:colOff>
      <xdr:row>12</xdr:row>
      <xdr:rowOff>138748</xdr:rowOff>
    </xdr:from>
    <xdr:to>
      <xdr:col>14</xdr:col>
      <xdr:colOff>499854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2337961" createdVersion="8" refreshedVersion="8" minRefreshableVersion="3" recordCount="181" xr:uid="{46CBB50D-3613-4E5B-8212-DD0313DCD05A}">
  <cacheSource type="worksheet">
    <worksheetSource name="Table1"/>
  </cacheSource>
  <cacheFields count="14">
    <cacheField name="Date" numFmtId="0">
      <sharedItems containsNonDate="0" containsDate="1" containsString="0" containsBlank="1" minDate="2026-02-19T00:00:00" maxDate="2026-04-12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MixedTypes="1" containsNumber="1" containsInteger="1" minValue="1509" maxValue="1620"/>
    </cacheField>
    <cacheField name="Quality" numFmtId="0">
      <sharedItems containsBlank="1"/>
    </cacheField>
    <cacheField name="Shipment Number" numFmtId="164">
      <sharedItems containsBlank="1" containsMixedTypes="1" containsNumber="1" containsInteger="1" minValue="1558" maxValue="17000" count="493">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Blank="1" containsMixedTypes="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2800923" createdVersion="8" refreshedVersion="8" minRefreshableVersion="3" recordCount="508" xr:uid="{B5BDFB73-D93A-4A7A-8149-666BC190B09B}">
  <cacheSource type="worksheet">
    <worksheetSource name="Table14"/>
  </cacheSource>
  <cacheFields count="7">
    <cacheField name="Date" numFmtId="14">
      <sharedItems containsNonDate="0" containsDate="1" containsString="0" containsBlank="1" minDate="2025-12-23T00:00:00" maxDate="2026-04-15T00:00:00"/>
    </cacheField>
    <cacheField name="Party" numFmtId="0">
      <sharedItems containsBlank="1" count="100">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ZA"/>
        <s v="kabaar"/>
        <s v="abid ghafoor"/>
        <s v="Babar wood"/>
        <s v="Ubaidullah"/>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03240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9619.604974396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148146"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5-05-16T00:00:00" maxDate="2026-04-09T00:00:00" count="87">
        <d v="2026-02-19T00:00:00"/>
        <m/>
        <d v="2026-02-20T00:00:00"/>
        <d v="2026-02-22T00:00:00"/>
        <d v="2026-02-23T00:00:00"/>
        <d v="2026-02-24T00:00:00"/>
        <d v="2026-02-25T00:00:00"/>
        <d v="2026-02-26T00:00:00"/>
        <d v="2026-03-05T00:00:00"/>
        <d v="2026-03-10T00:00:00"/>
        <d v="2026-03-17T00:00:00"/>
        <d v="2026-04-04T00:00:00"/>
        <d v="2026-04-08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3796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8">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726854" createdVersion="8" refreshedVersion="8" minRefreshableVersion="3" recordCount="32" xr:uid="{376A650C-1F79-4049-BC45-E34989F046B2}">
  <cacheSource type="worksheet">
    <worksheetSource name="Table2"/>
  </cacheSource>
  <cacheFields count="8">
    <cacheField name="Date" numFmtId="14">
      <sharedItems containsNonDate="0" containsDate="1" containsString="0" containsBlank="1" minDate="2026-02-20T00:00:00" maxDate="2026-04-10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m/>
    <x v="33"/>
    <n v="1615"/>
    <m/>
    <x v="0"/>
    <m/>
    <m/>
    <e v="#DIV/0!"/>
    <n v="0"/>
    <e v="#N/A"/>
    <m/>
  </r>
  <r>
    <m/>
    <x v="33"/>
    <n v="1616"/>
    <m/>
    <x v="0"/>
    <m/>
    <m/>
    <e v="#DIV/0!"/>
    <n v="0"/>
    <e v="#N/A"/>
    <m/>
  </r>
  <r>
    <m/>
    <x v="33"/>
    <n v="1617"/>
    <m/>
    <x v="0"/>
    <m/>
    <m/>
    <e v="#DIV/0!"/>
    <n v="0"/>
    <e v="#N/A"/>
    <m/>
  </r>
  <r>
    <m/>
    <x v="33"/>
    <n v="1618"/>
    <m/>
    <x v="0"/>
    <m/>
    <m/>
    <e v="#DIV/0!"/>
    <n v="0"/>
    <e v="#N/A"/>
    <m/>
  </r>
  <r>
    <d v="2026-04-11T00:00:00"/>
    <x v="8"/>
    <n v="1619"/>
    <s v="Silky"/>
    <x v="62"/>
    <n v="78365"/>
    <n v="35820"/>
    <n v="1.7584184749482432"/>
    <n v="32754.206291148505"/>
    <n v="393050.47549378208"/>
    <m/>
  </r>
  <r>
    <m/>
    <x v="33"/>
    <n v="162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8">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r>
    <d v="2026-03-17T00:00:00"/>
    <x v="1"/>
    <n v="100000"/>
    <m/>
    <s v="Hafiz qureshi 200k-100k uni"/>
    <s v="Bank"/>
    <m/>
  </r>
  <r>
    <d v="2026-03-17T00:00:00"/>
    <x v="15"/>
    <m/>
    <n v="200000"/>
    <m/>
    <s v="Bank"/>
    <m/>
  </r>
  <r>
    <d v="2026-03-17T00:00:00"/>
    <x v="31"/>
    <n v="100000"/>
    <m/>
    <m/>
    <s v="Bank"/>
    <m/>
  </r>
  <r>
    <d v="2026-03-18T00:00:00"/>
    <x v="23"/>
    <n v="50000"/>
    <m/>
    <s v="Ashfaq sahab boiler theka"/>
    <s v="Bank"/>
    <m/>
  </r>
  <r>
    <d v="2026-03-18T00:00:00"/>
    <x v="14"/>
    <n v="2710"/>
    <m/>
    <s v="karaya ect"/>
    <s v="Bank"/>
    <m/>
  </r>
  <r>
    <d v="2026-03-18T00:00:00"/>
    <x v="23"/>
    <n v="2666"/>
    <m/>
    <s v="nazim"/>
    <s v="Bank"/>
    <m/>
  </r>
  <r>
    <d v="2026-03-18T00:00:00"/>
    <x v="2"/>
    <n v="900"/>
    <m/>
    <s v="geyser switch"/>
    <s v="Bank"/>
    <m/>
  </r>
  <r>
    <d v="2026-03-18T00:00:00"/>
    <x v="4"/>
    <m/>
    <n v="100000"/>
    <s v="TID:699220"/>
    <s v="Bank"/>
    <m/>
  </r>
  <r>
    <d v="2026-03-18T00:00:00"/>
    <x v="14"/>
    <n v="20000"/>
    <m/>
    <s v="cheque//license factory"/>
    <s v="Bank"/>
    <m/>
  </r>
  <r>
    <d v="2026-03-18T00:00:00"/>
    <x v="3"/>
    <n v="1341"/>
    <m/>
    <m/>
    <s v="Bank"/>
    <m/>
  </r>
  <r>
    <d v="2026-03-19T00:00:00"/>
    <x v="5"/>
    <n v="50000"/>
    <m/>
    <s v="Ghulam mustafa"/>
    <s v="Bank"/>
    <m/>
  </r>
  <r>
    <d v="2026-03-19T00:00:00"/>
    <x v="1"/>
    <m/>
    <n v="50000"/>
    <s v="Ghulam mustafa"/>
    <s v="Bank"/>
    <m/>
  </r>
  <r>
    <d v="2026-03-19T00:00:00"/>
    <x v="1"/>
    <m/>
    <n v="1800000"/>
    <s v="Bank Deposit"/>
    <s v="Bank"/>
    <m/>
  </r>
  <r>
    <d v="2026-03-20T00:00:00"/>
    <x v="2"/>
    <n v="2500"/>
    <m/>
    <s v="trip exp"/>
    <s v="Bank"/>
    <m/>
  </r>
  <r>
    <d v="2026-03-22T00:00:00"/>
    <x v="2"/>
    <n v="50000"/>
    <m/>
    <s v="trip exp"/>
    <s v="Bank"/>
    <m/>
  </r>
  <r>
    <d v="2026-03-24T00:00:00"/>
    <x v="1"/>
    <m/>
    <n v="490000"/>
    <s v="TID:754023"/>
    <s v="Bank"/>
    <m/>
  </r>
  <r>
    <d v="2026-03-24T00:00:00"/>
    <x v="1"/>
    <m/>
    <n v="125000"/>
    <s v="Arshad silk"/>
    <s v="Bank"/>
    <m/>
  </r>
  <r>
    <d v="2026-03-24T00:00:00"/>
    <x v="8"/>
    <n v="2576170"/>
    <m/>
    <m/>
    <s v="Bank"/>
    <m/>
  </r>
  <r>
    <d v="2026-03-24T00:00:00"/>
    <x v="1"/>
    <m/>
    <n v="130000"/>
    <s v="cash deposit"/>
    <s v="Bank"/>
    <m/>
  </r>
  <r>
    <d v="2026-03-26T00:00:00"/>
    <x v="30"/>
    <m/>
    <n v="50000"/>
    <m/>
    <s v="Bank"/>
    <m/>
  </r>
  <r>
    <d v="2026-03-26T00:00:00"/>
    <x v="5"/>
    <n v="896"/>
    <m/>
    <m/>
    <s v="Bank"/>
    <m/>
  </r>
  <r>
    <d v="2026-03-26T00:00:00"/>
    <x v="5"/>
    <n v="4200"/>
    <m/>
    <m/>
    <s v="Bank"/>
    <m/>
  </r>
  <r>
    <d v="2026-03-27T00:00:00"/>
    <x v="34"/>
    <n v="5000"/>
    <m/>
    <s v="Tanveer sb"/>
    <s v="Bank"/>
    <m/>
  </r>
  <r>
    <d v="2026-03-28T00:00:00"/>
    <x v="5"/>
    <n v="1250"/>
    <m/>
    <s v="rods"/>
    <s v="Bank"/>
    <m/>
  </r>
  <r>
    <d v="2026-03-28T00:00:00"/>
    <x v="45"/>
    <m/>
    <n v="135000"/>
    <s v="TID:108212"/>
    <s v="Bank"/>
    <m/>
  </r>
  <r>
    <d v="2026-03-28T00:00:00"/>
    <x v="9"/>
    <m/>
    <n v="75000"/>
    <s v="Reciept #474"/>
    <s v="Bank"/>
    <m/>
  </r>
  <r>
    <d v="2026-03-28T00:00:00"/>
    <x v="19"/>
    <m/>
    <n v="125000"/>
    <s v="Reciept #475"/>
    <s v="Bank"/>
    <m/>
  </r>
  <r>
    <d v="2026-03-28T00:00:00"/>
    <x v="22"/>
    <n v="200100"/>
    <m/>
    <s v="TID:545990"/>
    <s v="Bank"/>
    <m/>
  </r>
  <r>
    <d v="2026-03-24T00:00:00"/>
    <x v="10"/>
    <n v="5000"/>
    <m/>
    <s v="petrol 697"/>
    <s v="Bank"/>
    <m/>
  </r>
  <r>
    <d v="2026-03-20T00:00:00"/>
    <x v="2"/>
    <n v="581"/>
    <m/>
    <s v="saman"/>
    <s v="Bank"/>
    <m/>
  </r>
  <r>
    <d v="2026-03-20T00:00:00"/>
    <x v="10"/>
    <n v="5000"/>
    <m/>
    <s v="petrol 464"/>
    <s v="Bank"/>
    <m/>
  </r>
  <r>
    <d v="2026-03-20T00:00:00"/>
    <x v="3"/>
    <n v="1120"/>
    <m/>
    <m/>
    <s v="Bank"/>
    <m/>
  </r>
  <r>
    <d v="2026-03-20T00:00:00"/>
    <x v="40"/>
    <m/>
    <n v="300000"/>
    <s v="TID:317547"/>
    <s v="Bank"/>
    <m/>
  </r>
  <r>
    <d v="2026-03-20T00:00:00"/>
    <x v="28"/>
    <n v="100470"/>
    <m/>
    <s v="TID:454415"/>
    <s v="Bank"/>
    <m/>
  </r>
  <r>
    <d v="2026-03-20T00:00:00"/>
    <x v="5"/>
    <n v="20000"/>
    <m/>
    <s v="folding"/>
    <s v="Bank"/>
    <m/>
  </r>
  <r>
    <d v="2026-03-20T00:00:00"/>
    <x v="12"/>
    <n v="104470"/>
    <m/>
    <s v="TID:964482"/>
    <s v="Bank"/>
    <m/>
  </r>
  <r>
    <d v="2026-03-20T00:00:00"/>
    <x v="1"/>
    <n v="75060"/>
    <m/>
    <s v="Sajad khan 300k balance"/>
    <s v="Bank"/>
    <m/>
  </r>
  <r>
    <d v="2026-03-20T00:00:00"/>
    <x v="10"/>
    <n v="8151"/>
    <m/>
    <s v="petrol 464"/>
    <s v="Bank"/>
    <m/>
  </r>
  <r>
    <d v="2026-03-21T00:00:00"/>
    <x v="2"/>
    <n v="35102"/>
    <m/>
    <s v="Nishat dolmen"/>
    <s v="Bank"/>
    <m/>
  </r>
  <r>
    <d v="2026-03-21T00:00:00"/>
    <x v="3"/>
    <n v="1200"/>
    <m/>
    <m/>
    <s v="Bank"/>
    <m/>
  </r>
  <r>
    <d v="2026-03-28T00:00:00"/>
    <x v="3"/>
    <n v="3040"/>
    <m/>
    <m/>
    <s v="Bank"/>
    <m/>
  </r>
  <r>
    <d v="2026-03-24T00:00:00"/>
    <x v="2"/>
    <n v="730"/>
    <m/>
    <m/>
    <s v="Bank"/>
    <m/>
  </r>
  <r>
    <d v="2026-03-28T00:00:00"/>
    <x v="2"/>
    <n v="3500"/>
    <m/>
    <s v="tarjuma kitaab"/>
    <s v="Bank"/>
    <m/>
  </r>
  <r>
    <d v="2026-03-29T00:00:00"/>
    <x v="25"/>
    <n v="10000"/>
    <m/>
    <s v="tractor"/>
    <s v="Bank"/>
    <m/>
  </r>
  <r>
    <d v="2026-03-31T00:00:00"/>
    <x v="46"/>
    <m/>
    <n v="463280"/>
    <m/>
    <s v="Bank"/>
    <m/>
  </r>
  <r>
    <d v="2026-03-31T00:00:00"/>
    <x v="25"/>
    <n v="52000"/>
    <m/>
    <s v="bricks"/>
    <s v="Bank"/>
    <m/>
  </r>
  <r>
    <d v="2026-03-31T00:00:00"/>
    <x v="34"/>
    <n v="5000"/>
    <m/>
    <s v="Tanveer sb"/>
    <s v="Bank"/>
    <m/>
  </r>
  <r>
    <d v="2026-03-31T00:00:00"/>
    <x v="25"/>
    <n v="3280"/>
    <m/>
    <s v="Mazdoor"/>
    <s v="Bank"/>
    <m/>
  </r>
  <r>
    <d v="2026-04-01T00:00:00"/>
    <x v="4"/>
    <m/>
    <n v="100000"/>
    <s v="TID:562667"/>
    <s v="Bank"/>
    <m/>
  </r>
  <r>
    <d v="2026-04-01T00:00:00"/>
    <x v="5"/>
    <n v="30000"/>
    <m/>
    <s v="monfort"/>
    <s v="Bank"/>
    <m/>
  </r>
  <r>
    <d v="2026-04-01T00:00:00"/>
    <x v="34"/>
    <n v="40000"/>
    <m/>
    <s v="Khubaib"/>
    <s v="Bank"/>
    <m/>
  </r>
  <r>
    <d v="2026-04-01T00:00:00"/>
    <x v="14"/>
    <n v="2000"/>
    <m/>
    <s v="khalid sb package"/>
    <s v="Bank"/>
    <m/>
  </r>
  <r>
    <d v="2026-04-01T00:00:00"/>
    <x v="5"/>
    <n v="2625"/>
    <m/>
    <m/>
    <s v="Bank"/>
    <m/>
  </r>
  <r>
    <d v="2026-04-01T00:00:00"/>
    <x v="21"/>
    <n v="150000"/>
    <m/>
    <s v="TID:639064"/>
    <s v="Bank"/>
    <m/>
  </r>
  <r>
    <d v="2026-04-01T00:00:00"/>
    <x v="3"/>
    <n v="250000"/>
    <m/>
    <s v="TID:638703"/>
    <s v="Bank"/>
    <m/>
  </r>
  <r>
    <d v="2026-04-01T00:00:00"/>
    <x v="3"/>
    <m/>
    <n v="5000"/>
    <s v="cash-&gt;abid looms"/>
    <s v="Bank"/>
    <m/>
  </r>
  <r>
    <d v="2026-04-01T00:00:00"/>
    <x v="26"/>
    <n v="5000"/>
    <m/>
    <m/>
    <s v="Bank"/>
    <m/>
  </r>
  <r>
    <d v="2026-04-01T00:00:00"/>
    <x v="25"/>
    <m/>
    <m/>
    <m/>
    <s v="Bank"/>
    <m/>
  </r>
  <r>
    <d v="2026-04-01T00:00:00"/>
    <x v="23"/>
    <m/>
    <m/>
    <s v="Bajwa//salary"/>
    <s v="Bank"/>
    <m/>
  </r>
  <r>
    <d v="2026-04-01T00:00:00"/>
    <x v="5"/>
    <n v="3400"/>
    <m/>
    <s v="tire"/>
    <s v="Bank"/>
    <m/>
  </r>
  <r>
    <d v="2026-04-02T00:00:00"/>
    <x v="3"/>
    <n v="100000"/>
    <m/>
    <s v="TID:484568"/>
    <s v="Bank"/>
    <m/>
  </r>
  <r>
    <d v="2026-04-02T00:00:00"/>
    <x v="25"/>
    <m/>
    <m/>
    <s v="mazdoor"/>
    <s v="Bank"/>
    <m/>
  </r>
  <r>
    <d v="2026-04-02T00:00:00"/>
    <x v="4"/>
    <m/>
    <n v="60635"/>
    <s v="TID:018126"/>
    <s v="Bank"/>
    <m/>
  </r>
  <r>
    <d v="2026-04-02T00:00:00"/>
    <x v="23"/>
    <n v="15150"/>
    <m/>
    <s v="Ashraf Guard"/>
    <s v="Bank"/>
    <m/>
  </r>
  <r>
    <d v="2026-03-30T00:00:00"/>
    <x v="10"/>
    <n v="5000"/>
    <m/>
    <s v="petrol 464"/>
    <s v="Bank"/>
    <m/>
  </r>
  <r>
    <d v="2026-04-02T00:00:00"/>
    <x v="19"/>
    <m/>
    <n v="100000"/>
    <s v="against cash"/>
    <s v="Bank"/>
    <m/>
  </r>
  <r>
    <d v="2026-04-02T00:00:00"/>
    <x v="22"/>
    <n v="150100"/>
    <m/>
    <s v="TID:331316"/>
    <s v="Bank"/>
    <m/>
  </r>
  <r>
    <d v="2026-04-02T00:00:00"/>
    <x v="10"/>
    <n v="12038"/>
    <m/>
    <m/>
    <s v="Bank"/>
    <m/>
  </r>
  <r>
    <d v="2026-04-02T00:00:00"/>
    <x v="3"/>
    <n v="7512"/>
    <m/>
    <m/>
    <s v="Bank"/>
    <m/>
  </r>
  <r>
    <d v="2026-04-02T00:00:00"/>
    <x v="2"/>
    <n v="4214"/>
    <m/>
    <s v="Petrol azm697"/>
    <s v="Bank"/>
    <m/>
  </r>
  <r>
    <d v="2026-04-03T00:00:00"/>
    <x v="2"/>
    <n v="5615"/>
    <m/>
    <s v="grocceries"/>
    <s v="Bank"/>
    <m/>
  </r>
  <r>
    <d v="2026-04-03T00:00:00"/>
    <x v="1"/>
    <m/>
    <n v="121000"/>
    <s v="pindi das"/>
    <s v="Bank"/>
    <m/>
  </r>
  <r>
    <d v="2026-04-03T00:00:00"/>
    <x v="28"/>
    <n v="60214"/>
    <m/>
    <s v="TID:702623"/>
    <s v="Bank"/>
    <m/>
  </r>
  <r>
    <d v="2026-04-04T00:00:00"/>
    <x v="31"/>
    <n v="100000"/>
    <m/>
    <m/>
    <s v="Bank"/>
    <m/>
  </r>
  <r>
    <d v="2026-04-04T00:00:00"/>
    <x v="1"/>
    <m/>
    <n v="100000"/>
    <s v="unicolor"/>
    <s v="Bank"/>
    <m/>
  </r>
  <r>
    <d v="2026-04-04T00:00:00"/>
    <x v="2"/>
    <n v="8000"/>
    <m/>
    <s v="abdullah groccery"/>
    <s v="Bank"/>
    <m/>
  </r>
  <r>
    <d v="2026-04-04T00:00:00"/>
    <x v="14"/>
    <n v="5000"/>
    <m/>
    <s v="cylinder"/>
    <s v="Bank"/>
    <m/>
  </r>
  <r>
    <d v="2026-04-06T00:00:00"/>
    <x v="10"/>
    <n v="4400"/>
    <m/>
    <s v="raksha karaya"/>
    <s v="Bank"/>
    <m/>
  </r>
  <r>
    <d v="2026-04-06T00:00:00"/>
    <x v="15"/>
    <m/>
    <n v="100000"/>
    <s v="tid:830448"/>
    <s v="Bank"/>
    <m/>
  </r>
  <r>
    <d v="2026-04-06T00:00:00"/>
    <x v="25"/>
    <n v="11340"/>
    <m/>
    <s v="excavation"/>
    <s v="Bank"/>
    <m/>
  </r>
  <r>
    <d v="2026-04-07T00:00:00"/>
    <x v="3"/>
    <m/>
    <n v="12000"/>
    <s v="TID:087404"/>
    <s v="Bank"/>
    <m/>
  </r>
  <r>
    <d v="2026-04-06T00:00:00"/>
    <x v="22"/>
    <n v="100000"/>
    <m/>
    <s v="TID:571979"/>
    <s v="Bank"/>
    <m/>
  </r>
  <r>
    <d v="2026-04-06T00:00:00"/>
    <x v="23"/>
    <n v="20000"/>
    <m/>
    <s v="nasir opt"/>
    <s v="Bank"/>
    <m/>
  </r>
  <r>
    <d v="2026-04-06T00:00:00"/>
    <x v="3"/>
    <m/>
    <n v="20000"/>
    <s v="TID:663499"/>
    <s v="Bank"/>
    <m/>
  </r>
  <r>
    <d v="2026-04-07T00:00:00"/>
    <x v="47"/>
    <n v="312000"/>
    <m/>
    <s v="starch"/>
    <s v="Bank"/>
    <m/>
  </r>
  <r>
    <d v="2026-04-07T00:00:00"/>
    <x v="3"/>
    <m/>
    <n v="12000"/>
    <s v="TID:673014"/>
    <s v="Bank"/>
    <m/>
  </r>
  <r>
    <d v="2026-04-07T00:00:00"/>
    <x v="1"/>
    <m/>
    <n v="300000"/>
    <s v="TID:1229322"/>
    <s v="Bank"/>
    <m/>
  </r>
  <r>
    <d v="2026-04-07T00:00:00"/>
    <x v="1"/>
    <m/>
    <n v="20000"/>
    <s v="jc"/>
    <s v="Bank"/>
    <m/>
  </r>
  <r>
    <d v="2026-04-07T00:00:00"/>
    <x v="23"/>
    <n v="10000"/>
    <m/>
    <s v="Tanveer sb"/>
    <s v="Bank"/>
    <m/>
  </r>
  <r>
    <d v="2026-04-07T00:00:00"/>
    <x v="23"/>
    <n v="10000"/>
    <m/>
    <s v="Khalid sahab"/>
    <s v="Bank"/>
    <m/>
  </r>
  <r>
    <d v="2026-04-08T00:00:00"/>
    <x v="1"/>
    <m/>
    <n v="150000"/>
    <s v="TID:991133"/>
    <s v="Bank"/>
    <m/>
  </r>
  <r>
    <d v="2026-04-08T00:00:00"/>
    <x v="12"/>
    <n v="150000"/>
    <m/>
    <s v="TID:991133"/>
    <s v="Bank"/>
    <m/>
  </r>
  <r>
    <d v="2026-04-08T00:00:00"/>
    <x v="1"/>
    <m/>
    <n v="30000"/>
    <s v="JC"/>
    <s v="Bank"/>
    <m/>
  </r>
  <r>
    <d v="2026-04-08T00:00:00"/>
    <x v="5"/>
    <n v="1600"/>
    <m/>
    <m/>
    <s v="Bank"/>
    <m/>
  </r>
  <r>
    <d v="2026-04-08T00:00:00"/>
    <x v="10"/>
    <n v="5305"/>
    <m/>
    <s v="bike+loader"/>
    <s v="Bank"/>
    <m/>
  </r>
  <r>
    <d v="2026-04-08T00:00:00"/>
    <x v="5"/>
    <n v="15673"/>
    <m/>
    <s v="Diesel 30l"/>
    <s v="Bank"/>
    <m/>
  </r>
  <r>
    <d v="2026-04-08T00:00:00"/>
    <x v="5"/>
    <n v="400"/>
    <m/>
    <m/>
    <s v="Bank"/>
    <m/>
  </r>
  <r>
    <d v="2026-04-08T00:00:00"/>
    <x v="1"/>
    <m/>
    <n v="74380"/>
    <s v="madina dyes"/>
    <s v="Bank"/>
    <m/>
  </r>
  <r>
    <d v="2026-04-08T00:00:00"/>
    <x v="27"/>
    <n v="74380"/>
    <m/>
    <s v="dyes"/>
    <s v="Bank"/>
    <m/>
  </r>
  <r>
    <d v="2026-04-08T00:00:00"/>
    <x v="10"/>
    <n v="2800"/>
    <m/>
    <s v="dyes transport"/>
    <s v="Bank"/>
    <m/>
  </r>
  <r>
    <d v="2026-04-09T00:00:00"/>
    <x v="5"/>
    <n v="1300"/>
    <m/>
    <m/>
    <s v="Bank"/>
    <m/>
  </r>
  <r>
    <d v="2026-04-09T00:00:00"/>
    <x v="20"/>
    <n v="34336"/>
    <m/>
    <s v="bill NILl"/>
    <s v="Bank"/>
    <m/>
  </r>
  <r>
    <d v="2026-04-09T00:00:00"/>
    <x v="3"/>
    <m/>
    <n v="34336"/>
    <s v="amjad wood"/>
    <s v="Bank"/>
    <m/>
  </r>
  <r>
    <d v="2026-04-08T00:00:00"/>
    <x v="5"/>
    <n v="6800"/>
    <m/>
    <s v="ball valve"/>
    <s v="Bank"/>
    <m/>
  </r>
  <r>
    <d v="2026-04-08T00:00:00"/>
    <x v="25"/>
    <n v="15000"/>
    <m/>
    <s v="3 din"/>
    <s v="Bank"/>
    <m/>
  </r>
  <r>
    <d v="2026-04-09T00:00:00"/>
    <x v="27"/>
    <n v="27000"/>
    <m/>
    <s v="pva+np9"/>
    <s v="Bank"/>
    <m/>
  </r>
  <r>
    <d v="2026-04-09T00:00:00"/>
    <x v="1"/>
    <m/>
    <n v="27000"/>
    <s v="madina dyes"/>
    <s v="Bank"/>
    <m/>
  </r>
  <r>
    <d v="2026-04-08T00:00:00"/>
    <x v="12"/>
    <n v="50000"/>
    <m/>
    <s v="TID:698371"/>
    <s v="Bank"/>
    <m/>
  </r>
  <r>
    <d v="2026-04-08T00:00:00"/>
    <x v="1"/>
    <m/>
    <n v="50000"/>
    <s v="TID:698371"/>
    <s v="Bank"/>
    <m/>
  </r>
  <r>
    <d v="2026-04-10T00:00:00"/>
    <x v="1"/>
    <m/>
    <n v="62000"/>
    <s v="TID:712499"/>
    <s v="Bank"/>
    <m/>
  </r>
  <r>
    <d v="2026-04-10T00:00:00"/>
    <x v="5"/>
    <n v="2200"/>
    <m/>
    <m/>
    <s v="Bank"/>
    <m/>
  </r>
  <r>
    <d v="2026-04-10T00:00:00"/>
    <x v="5"/>
    <n v="30000"/>
    <m/>
    <s v="Kluber"/>
    <s v="Bank"/>
    <m/>
  </r>
  <r>
    <d v="2026-04-10T00:00:00"/>
    <x v="48"/>
    <n v="50000"/>
    <m/>
    <s v="TID:906577"/>
    <s v="Bank"/>
    <m/>
  </r>
  <r>
    <d v="2026-04-10T00:00:00"/>
    <x v="1"/>
    <m/>
    <n v="77000"/>
    <s v="JC"/>
    <s v="Bank"/>
    <m/>
  </r>
  <r>
    <d v="2026-04-10T00:00:00"/>
    <x v="10"/>
    <n v="3044"/>
    <m/>
    <s v="loader"/>
    <s v="Bank"/>
    <m/>
  </r>
  <r>
    <d v="2026-04-10T00:00:00"/>
    <x v="23"/>
    <n v="40000"/>
    <m/>
    <s v="Khalid sb Apr 10th"/>
    <s v="Bank"/>
    <m/>
  </r>
  <r>
    <d v="2026-04-11T00:00:00"/>
    <x v="2"/>
    <n v="4471"/>
    <m/>
    <s v="optix"/>
    <s v="Bank"/>
    <m/>
  </r>
  <r>
    <d v="2026-04-10T00:00:00"/>
    <x v="5"/>
    <n v="1200"/>
    <m/>
    <m/>
    <s v="Bank"/>
    <m/>
  </r>
  <r>
    <d v="2026-04-10T00:00:00"/>
    <x v="14"/>
    <n v="600"/>
    <m/>
    <m/>
    <s v="Bank"/>
    <m/>
  </r>
  <r>
    <d v="2026-04-11T00:00:00"/>
    <x v="10"/>
    <n v="1500"/>
    <m/>
    <s v="dyes transport"/>
    <s v="Bank"/>
    <m/>
  </r>
  <r>
    <d v="2026-04-11T00:00:00"/>
    <x v="49"/>
    <m/>
    <n v="400000"/>
    <s v="TID:390444"/>
    <s v="Bank"/>
    <m/>
  </r>
  <r>
    <d v="2026-04-11T00:00:00"/>
    <x v="22"/>
    <n v="200200"/>
    <m/>
    <s v="TID:989700"/>
    <s v="Bank"/>
    <m/>
  </r>
  <r>
    <d v="2026-04-11T00:00:00"/>
    <x v="23"/>
    <n v="29000"/>
    <m/>
    <s v="Khubaib"/>
    <s v="Bank"/>
    <m/>
  </r>
  <r>
    <d v="2026-04-11T00:00:00"/>
    <x v="10"/>
    <n v="6000"/>
    <m/>
    <s v="yarn transport"/>
    <s v="Bank"/>
    <m/>
  </r>
  <r>
    <d v="2026-04-12T00:00:00"/>
    <x v="5"/>
    <n v="4500"/>
    <m/>
    <m/>
    <s v="Bank"/>
    <m/>
  </r>
  <r>
    <d v="2026-04-12T00:00:00"/>
    <x v="48"/>
    <n v="100000"/>
    <m/>
    <s v="TID:971496"/>
    <s v="Bank"/>
    <m/>
  </r>
  <r>
    <d v="2026-04-12T00:00:00"/>
    <x v="1"/>
    <m/>
    <n v="40000"/>
    <s v="TID:194758"/>
    <s v="Bank"/>
    <m/>
  </r>
  <r>
    <d v="2026-04-12T00:00:00"/>
    <x v="12"/>
    <n v="100000"/>
    <m/>
    <s v="TID:880579"/>
    <s v="Bank"/>
    <m/>
  </r>
  <r>
    <d v="2026-04-12T00:00:00"/>
    <x v="5"/>
    <n v="1600"/>
    <m/>
    <m/>
    <s v="Bank"/>
    <m/>
  </r>
  <r>
    <d v="2026-04-12T00:00:00"/>
    <x v="5"/>
    <n v="5040"/>
    <m/>
    <m/>
    <s v="Bank"/>
    <m/>
  </r>
  <r>
    <d v="2026-04-12T00:00:00"/>
    <x v="3"/>
    <m/>
    <n v="5040"/>
    <s v="TID:686582"/>
    <s v="Bank"/>
    <m/>
  </r>
  <r>
    <d v="2026-04-12T00:00:00"/>
    <x v="1"/>
    <m/>
    <n v="10000"/>
    <s v="TID:754017"/>
    <s v="Bank"/>
    <m/>
  </r>
  <r>
    <d v="2026-04-12T00:00:00"/>
    <x v="10"/>
    <n v="7392"/>
    <m/>
    <s v="petrol 464'"/>
    <s v="Bank"/>
    <m/>
  </r>
  <r>
    <d v="2026-04-11T00:00:00"/>
    <x v="3"/>
    <n v="1490"/>
    <m/>
    <m/>
    <s v="Bank"/>
    <m/>
  </r>
  <r>
    <d v="2026-04-10T00:00:00"/>
    <x v="10"/>
    <n v="7636.4"/>
    <m/>
    <s v="petrol 464"/>
    <s v="Bank"/>
    <m/>
  </r>
  <r>
    <m/>
    <x v="1"/>
    <m/>
    <n v="20000"/>
    <m/>
    <s v="Bank"/>
    <m/>
  </r>
  <r>
    <d v="2026-04-04T00:00:00"/>
    <x v="23"/>
    <n v="25000"/>
    <m/>
    <s v="Bajwa//salary"/>
    <s v="Bank"/>
    <m/>
  </r>
  <r>
    <d v="2026-04-04T00:00:00"/>
    <x v="14"/>
    <n v="15000"/>
    <m/>
    <s v="environment"/>
    <s v="Bank"/>
    <m/>
  </r>
  <r>
    <d v="2026-04-04T00:00:00"/>
    <x v="26"/>
    <n v="6000"/>
    <m/>
    <s v="abid master"/>
    <s v="Bank"/>
    <m/>
  </r>
  <r>
    <d v="2026-04-04T00:00:00"/>
    <x v="10"/>
    <n v="400"/>
    <m/>
    <m/>
    <s v="Bank"/>
    <m/>
  </r>
  <r>
    <d v="2026-04-04T00:00:00"/>
    <x v="25"/>
    <n v="17200"/>
    <m/>
    <s v="Mazdoor 8 din"/>
    <s v="Bank"/>
    <m/>
  </r>
  <r>
    <d v="2026-04-04T00:00:00"/>
    <x v="14"/>
    <n v="1480"/>
    <m/>
    <s v="khalid sb exp"/>
    <s v="Bank"/>
    <m/>
  </r>
  <r>
    <d v="2026-04-04T00:00:00"/>
    <x v="14"/>
    <n v="12100"/>
    <m/>
    <s v="medicine khalid sb"/>
    <s v="Bank"/>
    <m/>
  </r>
  <r>
    <m/>
    <x v="18"/>
    <m/>
    <m/>
    <m/>
    <m/>
    <m/>
  </r>
  <r>
    <d v="2026-04-06T00:00:00"/>
    <x v="3"/>
    <m/>
    <n v="2000"/>
    <s v="Khubaib"/>
    <s v="Bank"/>
    <m/>
  </r>
  <r>
    <d v="2026-04-06T00:00:00"/>
    <x v="34"/>
    <n v="2000"/>
    <m/>
    <s v="Khubaib"/>
    <s v="Bank"/>
    <m/>
  </r>
  <r>
    <d v="2026-04-10T00:00:00"/>
    <x v="1"/>
    <m/>
    <n v="50000"/>
    <s v="pindi das"/>
    <s v="Bank"/>
    <m/>
  </r>
  <r>
    <d v="2026-04-10T00:00:00"/>
    <x v="23"/>
    <n v="14000"/>
    <m/>
    <s v="aslam"/>
    <s v="Bank"/>
    <m/>
  </r>
  <r>
    <d v="2026-04-10T00:00:00"/>
    <x v="23"/>
    <n v="22400"/>
    <m/>
    <s v="mursaleen"/>
    <s v="Bank"/>
    <m/>
  </r>
  <r>
    <m/>
    <x v="18"/>
    <m/>
    <m/>
    <m/>
    <m/>
    <m/>
  </r>
  <r>
    <d v="2026-04-09T00:00:00"/>
    <x v="1"/>
    <m/>
    <n v="1000000"/>
    <s v="cash"/>
    <s v="Bank"/>
    <m/>
  </r>
  <r>
    <d v="2026-04-09T00:00:00"/>
    <x v="1"/>
    <m/>
    <n v="45000"/>
    <s v="cash"/>
    <s v="Bank"/>
    <m/>
  </r>
  <r>
    <d v="2026-04-09T00:00:00"/>
    <x v="23"/>
    <n v="841267"/>
    <m/>
    <s v="general "/>
    <s v="Bank"/>
    <m/>
  </r>
  <r>
    <d v="2026-04-09T00:00:00"/>
    <x v="23"/>
    <n v="165000"/>
    <m/>
    <s v="Ashfaq sahab boiler theka"/>
    <s v="Bank"/>
    <m/>
  </r>
  <r>
    <d v="2026-04-09T00:00:00"/>
    <x v="23"/>
    <n v="50000"/>
    <m/>
    <s v="Tanveer sb"/>
    <s v="Bank"/>
    <m/>
  </r>
  <r>
    <m/>
    <x v="18"/>
    <m/>
    <m/>
    <m/>
    <s v="Bank"/>
    <m/>
  </r>
  <r>
    <d v="2026-04-11T00:00:00"/>
    <x v="49"/>
    <m/>
    <n v="400000"/>
    <s v="TID:390444"/>
    <s v="Bank"/>
    <m/>
  </r>
  <r>
    <d v="2026-04-14T00:00:00"/>
    <x v="49"/>
    <m/>
    <n v="200000"/>
    <s v="TID:155611"/>
    <s v="Bank"/>
    <m/>
  </r>
  <r>
    <m/>
    <x v="18"/>
    <m/>
    <m/>
    <m/>
    <m/>
    <m/>
  </r>
  <r>
    <m/>
    <x v="18"/>
    <m/>
    <m/>
    <m/>
    <m/>
    <m/>
  </r>
  <r>
    <m/>
    <x v="18"/>
    <m/>
    <m/>
    <m/>
    <m/>
    <m/>
  </r>
  <r>
    <m/>
    <x v="18"/>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9619.604974396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0"/>
    <s v="Payment"/>
    <m/>
    <m/>
    <m/>
    <x v="0"/>
    <n v="100000"/>
    <n v="-100000"/>
    <m/>
  </r>
  <r>
    <x v="11"/>
    <s v="Payment"/>
    <m/>
    <m/>
    <m/>
    <x v="0"/>
    <n v="100000"/>
    <n v="-100000"/>
    <m/>
  </r>
  <r>
    <x v="12"/>
    <s v="Dyes"/>
    <m/>
    <m/>
    <n v="74380"/>
    <x v="1"/>
    <n v="7438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6">
      <pivotArea field="0" grandRow="1" outline="0" collapsedLevelsAreSubtotals="1" axis="axisRow" fieldPosition="0">
        <references count="1">
          <reference field="4294967294" count="1" selected="0">
            <x v="1"/>
          </reference>
        </references>
      </pivotArea>
    </format>
    <format dxfId="115">
      <pivotArea field="0" grandRow="1" outline="0" collapsedLevelsAreSubtotals="1" axis="axisRow" fieldPosition="0">
        <references count="1">
          <reference field="4294967294" count="1" selected="0">
            <x v="0"/>
          </reference>
        </references>
      </pivotArea>
    </format>
    <format dxfId="114">
      <pivotArea collapsedLevelsAreSubtotals="1" fieldPosition="0">
        <references count="2">
          <reference field="4294967294" count="1" selected="0">
            <x v="1"/>
          </reference>
          <reference field="0" count="0"/>
        </references>
      </pivotArea>
    </format>
    <format dxfId="11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209">
        <item m="1" x="192"/>
        <item m="1" x="193"/>
        <item m="1" x="194"/>
        <item m="1" x="195"/>
        <item m="1" x="196"/>
        <item m="1" x="197"/>
        <item m="1" x="198"/>
        <item m="1" x="207"/>
        <item m="1" x="188"/>
        <item m="1" x="199"/>
        <item m="1" x="200"/>
        <item m="1" x="201"/>
        <item m="1" x="202"/>
        <item m="1" x="203"/>
        <item m="1" x="204"/>
        <item m="1" x="205"/>
        <item m="1" x="159"/>
        <item m="1" x="160"/>
        <item m="1" x="206"/>
        <item m="1" x="161"/>
        <item m="1" x="158"/>
        <item m="1" x="162"/>
        <item m="1" x="164"/>
        <item m="1" x="165"/>
        <item m="1" x="166"/>
        <item m="1" x="168"/>
        <item m="1" x="169"/>
        <item m="1" x="170"/>
        <item m="1" x="163"/>
        <item m="1" x="167"/>
        <item m="1" x="171"/>
        <item m="1" x="172"/>
        <item m="1" x="173"/>
        <item m="1" x="174"/>
        <item m="1" x="157"/>
        <item m="1" x="175"/>
        <item m="1" x="189"/>
        <item m="1" x="190"/>
        <item m="1" x="191"/>
        <item m="1" x="176"/>
        <item m="1" x="177"/>
        <item m="1" x="178"/>
        <item m="1" x="179"/>
        <item m="1" x="180"/>
        <item m="1" x="181"/>
        <item m="1" x="182"/>
        <item m="1" x="183"/>
        <item m="1" x="184"/>
        <item m="1" x="185"/>
        <item m="1" x="186"/>
        <item m="1" x="187"/>
        <item m="1" x="128"/>
        <item m="1" x="129"/>
        <item m="1" x="130"/>
        <item m="1" x="131"/>
        <item m="1" x="132"/>
        <item m="1" x="133"/>
        <item m="1" x="134"/>
        <item m="1" x="135"/>
        <item m="1" x="137"/>
        <item m="1" x="138"/>
        <item m="1" x="139"/>
        <item m="1" x="136"/>
        <item m="1" x="140"/>
        <item m="1" x="141"/>
        <item m="1" x="142"/>
        <item m="1" x="143"/>
        <item m="1" x="144"/>
        <item m="1" x="145"/>
        <item m="1" x="146"/>
        <item m="1" x="147"/>
        <item m="1" x="148"/>
        <item m="1" x="149"/>
        <item m="1" x="150"/>
        <item m="1" x="151"/>
        <item m="1" x="152"/>
        <item m="1" x="153"/>
        <item m="1" x="154"/>
        <item m="1" x="155"/>
        <item m="1" x="156"/>
        <item m="1" x="74"/>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75"/>
        <item m="1" x="78"/>
        <item m="1" x="76"/>
        <item m="1" x="77"/>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42"/>
        <item m="1" x="43"/>
        <item m="1" x="44"/>
        <item m="1" x="45"/>
        <item m="1" x="46"/>
        <item m="1" x="47"/>
        <item m="1" x="48"/>
        <item m="1" x="49"/>
        <item x="1"/>
        <item m="1" x="50"/>
        <item m="1" x="51"/>
        <item m="1" x="52"/>
        <item m="1" x="53"/>
        <item m="1" x="54"/>
        <item m="1" x="55"/>
        <item m="1" x="73"/>
        <item m="1" x="56"/>
        <item m="1" x="57"/>
        <item m="1" x="41"/>
        <item m="1" x="40"/>
        <item m="1" x="58"/>
        <item m="1" x="59"/>
        <item m="1" x="60"/>
        <item m="1" x="61"/>
        <item m="1" x="62"/>
        <item m="1" x="63"/>
        <item m="1" x="64"/>
        <item m="1" x="65"/>
        <item m="1" x="66"/>
        <item m="1" x="67"/>
        <item m="1" x="68"/>
        <item m="1" x="69"/>
        <item m="1" x="70"/>
        <item m="1" x="71"/>
        <item m="1" x="72"/>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4"/>
        <item x="0"/>
        <item x="2"/>
        <item x="3"/>
        <item x="5"/>
        <item x="6"/>
        <item x="7"/>
        <item x="8"/>
        <item x="9"/>
        <item x="10"/>
        <item x="11"/>
        <item x="12"/>
        <item x="13"/>
        <item x="14"/>
        <item x="15"/>
        <item x="16"/>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7">
      <pivotArea dataOnly="0" labelOnly="1" outline="0" fieldPosition="0">
        <references count="1">
          <reference field="1" count="1">
            <x v="1"/>
          </reference>
        </references>
      </pivotArea>
    </format>
    <format dxfId="7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4" firstHeaderRow="0" firstDataRow="1" firstDataCol="1"/>
  <pivotFields count="7">
    <pivotField numFmtId="14" showAll="0"/>
    <pivotField axis="axisRow" showAll="0">
      <items count="101">
        <item x="34"/>
        <item x="19"/>
        <item m="1" x="70"/>
        <item m="1" x="87"/>
        <item m="1" x="90"/>
        <item x="13"/>
        <item x="21"/>
        <item x="14"/>
        <item x="5"/>
        <item x="36"/>
        <item x="23"/>
        <item m="1" x="98"/>
        <item m="1" x="66"/>
        <item x="10"/>
        <item m="1" x="53"/>
        <item m="1" x="96"/>
        <item x="2"/>
        <item m="1" x="51"/>
        <item x="3"/>
        <item x="4"/>
        <item x="18"/>
        <item x="40"/>
        <item m="1" x="99"/>
        <item m="1" x="67"/>
        <item x="15"/>
        <item m="1" x="97"/>
        <item m="1" x="89"/>
        <item x="31"/>
        <item m="1" x="91"/>
        <item m="1" x="92"/>
        <item m="1" x="93"/>
        <item m="1" x="94"/>
        <item x="49"/>
        <item m="1" x="95"/>
        <item x="41"/>
        <item m="1" x="61"/>
        <item x="35"/>
        <item m="1" x="59"/>
        <item m="1" x="86"/>
        <item m="1" x="82"/>
        <item m="1" x="64"/>
        <item x="22"/>
        <item x="17"/>
        <item m="1" x="88"/>
        <item x="1"/>
        <item x="24"/>
        <item m="1" x="77"/>
        <item x="7"/>
        <item x="27"/>
        <item m="1" x="78"/>
        <item m="1" x="79"/>
        <item m="1" x="80"/>
        <item m="1" x="81"/>
        <item m="1" x="83"/>
        <item m="1" x="58"/>
        <item m="1" x="71"/>
        <item m="1" x="84"/>
        <item m="1" x="85"/>
        <item m="1" x="69"/>
        <item m="1" x="60"/>
        <item m="1" x="68"/>
        <item x="8"/>
        <item m="1" x="72"/>
        <item x="47"/>
        <item m="1" x="76"/>
        <item x="26"/>
        <item x="30"/>
        <item m="1" x="74"/>
        <item x="32"/>
        <item m="1" x="73"/>
        <item x="28"/>
        <item m="1" x="75"/>
        <item x="20"/>
        <item x="45"/>
        <item x="0"/>
        <item m="1" x="62"/>
        <item m="1" x="50"/>
        <item m="1" x="65"/>
        <item x="12"/>
        <item m="1" x="57"/>
        <item m="1" x="63"/>
        <item m="1" x="52"/>
        <item x="9"/>
        <item x="33"/>
        <item m="1" x="54"/>
        <item m="1" x="55"/>
        <item m="1" x="56"/>
        <item x="44"/>
        <item x="25"/>
        <item x="11"/>
        <item x="6"/>
        <item x="16"/>
        <item x="29"/>
        <item x="37"/>
        <item x="38"/>
        <item x="39"/>
        <item x="42"/>
        <item x="43"/>
        <item x="46"/>
        <item x="48"/>
        <item t="default"/>
      </items>
    </pivotField>
    <pivotField dataField="1" showAll="0"/>
    <pivotField dataField="1" showAll="0"/>
    <pivotField showAll="0"/>
    <pivotField showAll="0"/>
    <pivotField showAll="0"/>
  </pivotFields>
  <rowFields count="1">
    <field x="1"/>
  </rowFields>
  <rowItems count="51">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t="grand">
      <x/>
    </i>
  </rowItems>
  <colFields count="1">
    <field x="-2"/>
  </colFields>
  <colItems count="2">
    <i>
      <x/>
    </i>
    <i i="1">
      <x v="1"/>
    </i>
  </colItems>
  <dataFields count="2">
    <dataField name="Sum of Credit" fld="3" baseField="0" baseItem="0"/>
    <dataField name="Sum of Debit" fld="2"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3" firstHeaderRow="0" firstDataRow="1" firstDataCol="1" rowPageCount="1" colPageCount="1"/>
  <pivotFields count="9">
    <pivotField axis="axisRow" showAll="0">
      <items count="88">
        <item m="1" x="82"/>
        <item m="1" x="83"/>
        <item m="1" x="84"/>
        <item m="1" x="85"/>
        <item m="1" x="86"/>
        <item m="1" x="81"/>
        <item m="1" x="69"/>
        <item m="1" x="70"/>
        <item m="1" x="74"/>
        <item m="1" x="75"/>
        <item m="1" x="71"/>
        <item m="1" x="76"/>
        <item m="1" x="77"/>
        <item m="1" x="78"/>
        <item m="1" x="79"/>
        <item m="1" x="80"/>
        <item m="1" x="68"/>
        <item m="1" x="72"/>
        <item m="1" x="73"/>
        <item m="1" x="61"/>
        <item m="1" x="62"/>
        <item m="1" x="63"/>
        <item m="1" x="64"/>
        <item m="1" x="65"/>
        <item m="1" x="66"/>
        <item m="1" x="67"/>
        <item m="1" x="37"/>
        <item m="1" x="53"/>
        <item m="1" x="54"/>
        <item m="1" x="55"/>
        <item m="1" x="56"/>
        <item m="1" x="57"/>
        <item m="1" x="58"/>
        <item m="1" x="59"/>
        <item m="1" x="60"/>
        <item m="1" x="38"/>
        <item m="1" x="39"/>
        <item m="1" x="40"/>
        <item m="1" x="41"/>
        <item m="1" x="42"/>
        <item m="1" x="43"/>
        <item m="1" x="44"/>
        <item m="1" x="46"/>
        <item m="1" x="47"/>
        <item m="1" x="45"/>
        <item m="1" x="48"/>
        <item m="1" x="49"/>
        <item m="1" x="50"/>
        <item m="1" x="51"/>
        <item m="1" x="52"/>
        <item m="1" x="13"/>
        <item m="1" x="24"/>
        <item m="1" x="25"/>
        <item m="1" x="26"/>
        <item m="1" x="27"/>
        <item m="1" x="28"/>
        <item m="1" x="29"/>
        <item m="1" x="30"/>
        <item m="1" x="31"/>
        <item m="1" x="32"/>
        <item m="1" x="33"/>
        <item m="1" x="34"/>
        <item m="1" x="35"/>
        <item m="1" x="36"/>
        <item m="1" x="14"/>
        <item m="1" x="15"/>
        <item m="1" x="16"/>
        <item m="1" x="17"/>
        <item m="1" x="18"/>
        <item x="1"/>
        <item m="1" x="19"/>
        <item m="1" x="20"/>
        <item m="1" x="21"/>
        <item m="1" x="22"/>
        <item m="1" x="23"/>
        <item x="0"/>
        <item x="2"/>
        <item x="3"/>
        <item x="4"/>
        <item x="5"/>
        <item x="6"/>
        <item x="7"/>
        <item x="8"/>
        <item x="9"/>
        <item x="10"/>
        <item x="11"/>
        <item x="12"/>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4">
    <i>
      <x v="69"/>
    </i>
    <i>
      <x v="75"/>
    </i>
    <i>
      <x v="76"/>
    </i>
    <i>
      <x v="77"/>
    </i>
    <i>
      <x v="78"/>
    </i>
    <i>
      <x v="79"/>
    </i>
    <i>
      <x v="80"/>
    </i>
    <i>
      <x v="81"/>
    </i>
    <i>
      <x v="82"/>
    </i>
    <i>
      <x v="83"/>
    </i>
    <i>
      <x v="84"/>
    </i>
    <i>
      <x v="85"/>
    </i>
    <i>
      <x v="8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7"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4">
        <item m="1" x="476"/>
        <item m="1" x="477"/>
        <item m="1" x="475"/>
        <item m="1" x="474"/>
        <item m="1" x="478"/>
        <item m="1" x="480"/>
        <item m="1" x="479"/>
        <item m="1" x="481"/>
        <item m="1" x="482"/>
        <item m="1" x="483"/>
        <item m="1" x="484"/>
        <item m="1" x="485"/>
        <item m="1" x="486"/>
        <item m="1" x="487"/>
        <item m="1" x="412"/>
        <item m="1" x="434"/>
        <item m="1" x="488"/>
        <item m="1" x="489"/>
        <item m="1" x="490"/>
        <item m="1" x="442"/>
        <item m="1" x="441"/>
        <item m="1" x="491"/>
        <item m="1" x="492"/>
        <item m="1" x="451"/>
        <item m="1" x="443"/>
        <item m="1" x="444"/>
        <item m="1" x="445"/>
        <item m="1" x="446"/>
        <item m="1" x="447"/>
        <item m="1" x="448"/>
        <item m="1" x="449"/>
        <item m="1" x="450"/>
        <item m="1" x="452"/>
        <item m="1" x="472"/>
        <item m="1" x="453"/>
        <item m="1" x="473"/>
        <item m="1" x="454"/>
        <item m="1" x="455"/>
        <item m="1" x="456"/>
        <item m="1" x="457"/>
        <item m="1" x="458"/>
        <item m="1" x="389"/>
        <item m="1" x="459"/>
        <item m="1" x="460"/>
        <item m="1" x="461"/>
        <item m="1" x="462"/>
        <item m="1" x="463"/>
        <item m="1" x="464"/>
        <item m="1" x="465"/>
        <item m="1" x="466"/>
        <item m="1" x="467"/>
        <item m="1" x="468"/>
        <item m="1" x="469"/>
        <item m="1" x="470"/>
        <item m="1" x="471"/>
        <item x="0"/>
        <item m="1" x="388"/>
        <item m="1" x="390"/>
        <item m="1" x="391"/>
        <item m="1" x="392"/>
        <item m="1" x="393"/>
        <item m="1" x="394"/>
        <item m="1" x="395"/>
        <item m="1" x="396"/>
        <item m="1" x="397"/>
        <item m="1" x="398"/>
        <item m="1" x="399"/>
        <item m="1" x="400"/>
        <item m="1" x="401"/>
        <item m="1" x="402"/>
        <item m="1" x="127"/>
        <item m="1" x="403"/>
        <item m="1" x="404"/>
        <item m="1" x="405"/>
        <item m="1" x="406"/>
        <item m="1" x="407"/>
        <item m="1" x="408"/>
        <item m="1" x="409"/>
        <item m="1" x="410"/>
        <item m="1" x="411"/>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5"/>
        <item m="1" x="436"/>
        <item m="1" x="437"/>
        <item m="1" x="438"/>
        <item m="1" x="439"/>
        <item m="1" x="440"/>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143"/>
        <item m="1" x="357"/>
        <item m="1" x="358"/>
        <item m="1" x="359"/>
        <item m="1" x="360"/>
        <item m="1" x="361"/>
        <item m="1" x="362"/>
        <item m="1" x="363"/>
        <item m="1" x="364"/>
        <item m="1" x="365"/>
        <item m="1" x="366"/>
        <item m="1" x="367"/>
        <item m="1" x="387"/>
        <item m="1" x="368"/>
        <item m="1" x="369"/>
        <item m="1" x="370"/>
        <item m="1" x="371"/>
        <item m="1" x="372"/>
        <item m="1" x="373"/>
        <item m="1" x="374"/>
        <item m="1" x="375"/>
        <item m="1" x="376"/>
        <item m="1" x="377"/>
        <item m="1" x="378"/>
        <item m="1" x="379"/>
        <item m="1" x="380"/>
        <item m="1" x="381"/>
        <item m="1" x="382"/>
        <item m="1" x="383"/>
        <item m="1" x="384"/>
        <item m="1" x="385"/>
        <item m="1" x="386"/>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183"/>
        <item m="1" x="306"/>
        <item m="1" x="174"/>
        <item m="1" x="175"/>
        <item m="1" x="176"/>
        <item m="1" x="177"/>
        <item m="1" x="178"/>
        <item m="1" x="179"/>
        <item m="1" x="180"/>
        <item m="1" x="181"/>
        <item m="1" x="182"/>
        <item m="1" x="184"/>
        <item m="1" x="185"/>
        <item m="1" x="186"/>
        <item m="1" x="187"/>
        <item m="1" x="188"/>
        <item m="1" x="189"/>
        <item m="1" x="190"/>
        <item m="1" x="191"/>
        <item m="1" x="192"/>
        <item m="1" x="193"/>
        <item m="1" x="194"/>
        <item m="1" x="195"/>
        <item m="1" x="196"/>
        <item m="1" x="197"/>
        <item m="1" x="124"/>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128"/>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125"/>
        <item m="1" x="249"/>
        <item m="1" x="250"/>
        <item m="1" x="122"/>
        <item m="1" x="131"/>
        <item m="1" x="123"/>
        <item m="1" x="126"/>
        <item m="1" x="129"/>
        <item m="1" x="130"/>
        <item m="1" x="132"/>
        <item m="1" x="133"/>
        <item m="1" x="134"/>
        <item m="1" x="135"/>
        <item m="1" x="136"/>
        <item m="1" x="137"/>
        <item m="1" x="138"/>
        <item m="1" x="139"/>
        <item m="1" x="140"/>
        <item m="1" x="141"/>
        <item x="46"/>
        <item m="1" x="142"/>
        <item m="1" x="144"/>
        <item m="1" x="145"/>
        <item m="1" x="146"/>
        <item m="1" x="102"/>
        <item m="1" x="78"/>
        <item m="1" x="147"/>
        <item m="1" x="148"/>
        <item m="1" x="149"/>
        <item m="1" x="70"/>
        <item m="1" x="150"/>
        <item m="1" x="151"/>
        <item m="1" x="152"/>
        <item m="1" x="153"/>
        <item m="1" x="118"/>
        <item m="1" x="154"/>
        <item m="1" x="155"/>
        <item m="1" x="156"/>
        <item m="1" x="157"/>
        <item m="1" x="158"/>
        <item m="1" x="159"/>
        <item m="1" x="160"/>
        <item m="1" x="161"/>
        <item m="1" x="162"/>
        <item m="1" x="163"/>
        <item m="1" x="164"/>
        <item m="1" x="165"/>
        <item m="1" x="173"/>
        <item m="1" x="166"/>
        <item m="1" x="167"/>
        <item m="1" x="67"/>
        <item m="1" x="68"/>
        <item m="1" x="168"/>
        <item m="1" x="79"/>
        <item m="1" x="169"/>
        <item m="1" x="170"/>
        <item m="1" x="171"/>
        <item m="1" x="172"/>
        <item m="1" x="66"/>
        <item m="1" x="64"/>
        <item m="1" x="63"/>
        <item m="1" x="65"/>
        <item m="1" x="69"/>
        <item x="13"/>
        <item x="9"/>
        <item m="1" x="71"/>
        <item m="1" x="72"/>
        <item m="1" x="73"/>
        <item m="1" x="74"/>
        <item m="1" x="75"/>
        <item m="1" x="76"/>
        <item m="1" x="77"/>
        <item m="1" x="80"/>
        <item m="1" x="81"/>
        <item m="1" x="82"/>
        <item m="1" x="83"/>
        <item m="1" x="84"/>
        <item m="1" x="85"/>
        <item m="1" x="86"/>
        <item m="1" x="87"/>
        <item m="1" x="88"/>
        <item m="1" x="89"/>
        <item m="1" x="90"/>
        <item m="1" x="91"/>
        <item m="1" x="92"/>
        <item m="1" x="93"/>
        <item x="2"/>
        <item m="1" x="94"/>
        <item m="1" x="95"/>
        <item m="1" x="96"/>
        <item x="10"/>
        <item m="1" x="97"/>
        <item m="1" x="98"/>
        <item m="1" x="99"/>
        <item m="1" x="100"/>
        <item m="1" x="101"/>
        <item m="1" x="103"/>
        <item m="1" x="104"/>
        <item m="1" x="105"/>
        <item m="1" x="106"/>
        <item x="8"/>
        <item m="1" x="107"/>
        <item m="1" x="108"/>
        <item m="1" x="109"/>
        <item m="1" x="110"/>
        <item m="1" x="111"/>
        <item m="1" x="112"/>
        <item x="15"/>
        <item m="1" x="113"/>
        <item m="1" x="114"/>
        <item m="1" x="115"/>
        <item x="7"/>
        <item m="1" x="116"/>
        <item m="1" x="117"/>
        <item x="19"/>
        <item m="1" x="119"/>
        <item m="1" x="120"/>
        <item m="1" x="121"/>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4">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4">
      <pivotArea type="all" dataOnly="0" outline="0" fieldPosition="0"/>
    </format>
    <format dxfId="33">
      <pivotArea outline="0" collapsedLevelsAreSubtotals="1" fieldPosition="0"/>
    </format>
    <format dxfId="32">
      <pivotArea field="4" type="button" dataOnly="0" labelOnly="1" outline="0" axis="axisRow" fieldPosition="0"/>
    </format>
    <format dxfId="31">
      <pivotArea dataOnly="0" labelOnly="1" fieldPosition="0">
        <references count="1">
          <reference field="4"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 dxfId="28">
      <pivotArea grandRow="1" outline="0" collapsedLevelsAreSubtotals="1" fieldPosition="0"/>
    </format>
    <format dxfId="27">
      <pivotArea field="4" type="button" dataOnly="0" labelOnly="1" outline="0" axis="axisRow"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3">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62" s="1"/>
        <i x="447" s="1" nd="1"/>
        <i x="476" s="1" nd="1"/>
        <i x="477" s="1" nd="1"/>
        <i x="485" s="1" nd="1"/>
        <i x="475" s="1" nd="1"/>
        <i x="474" s="1" nd="1"/>
        <i x="478" s="1" nd="1"/>
        <i x="489" s="1" nd="1"/>
        <i x="481" s="1" nd="1"/>
        <i x="482" s="1" nd="1"/>
        <i x="479" s="1" nd="1"/>
        <i x="480" s="1" nd="1"/>
        <i x="490" s="1" nd="1"/>
        <i x="483" s="1" nd="1"/>
        <i x="484" s="1" nd="1"/>
        <i x="487" s="1" nd="1"/>
        <i x="488" s="1" nd="1"/>
        <i x="486" s="1" nd="1"/>
        <i x="442" s="1" nd="1"/>
        <i x="492" s="1" nd="1"/>
        <i x="441" s="1" nd="1"/>
        <i x="491" s="1" nd="1"/>
        <i x="444" s="1" nd="1"/>
        <i x="405" s="1" nd="1"/>
        <i x="443" s="1" nd="1"/>
        <i x="445" s="1" nd="1"/>
        <i x="451" s="1" nd="1"/>
        <i x="446" s="1" nd="1"/>
        <i x="448" s="1" nd="1"/>
        <i x="464" s="1" nd="1"/>
        <i x="388" s="1" nd="1"/>
        <i x="452" s="1" nd="1"/>
        <i x="393" s="1" nd="1"/>
        <i x="458" s="1" nd="1"/>
        <i x="453" s="1" nd="1"/>
        <i x="456" s="1" nd="1"/>
        <i x="461" s="1" nd="1"/>
        <i x="472" s="1" nd="1"/>
        <i x="454" s="1" nd="1"/>
        <i x="466" s="1" nd="1"/>
        <i x="469" s="1" nd="1"/>
        <i x="460" s="1" nd="1"/>
        <i x="449" s="1" nd="1"/>
        <i x="457" s="1" nd="1"/>
        <i x="450" s="1" nd="1"/>
        <i x="455" s="1" nd="1"/>
        <i x="389" s="1" nd="1"/>
        <i x="459" s="1" nd="1"/>
        <i x="465" s="1" nd="1"/>
        <i x="127" s="1" nd="1"/>
        <i x="462" s="1" nd="1"/>
        <i x="467" s="1" nd="1"/>
        <i x="463" s="1" nd="1"/>
        <i x="429" s="1" nd="1"/>
        <i x="468" s="1" nd="1"/>
        <i x="470" s="1" nd="1"/>
        <i x="391" s="1" nd="1"/>
        <i x="398" s="1" nd="1"/>
        <i x="471" s="1" nd="1"/>
        <i x="395" s="1" nd="1"/>
        <i x="396" s="1" nd="1"/>
        <i x="390" s="1" nd="1"/>
        <i x="394" s="1" nd="1"/>
        <i x="282" s="1" nd="1"/>
        <i x="392" s="1" nd="1"/>
        <i x="401" s="1" nd="1"/>
        <i x="397" s="1" nd="1"/>
        <i x="399" s="1" nd="1"/>
        <i x="402" s="1" nd="1"/>
        <i x="409" s="1" nd="1"/>
        <i x="400" s="1" nd="1"/>
        <i x="408" s="1" nd="1"/>
        <i x="413" s="1" nd="1"/>
        <i x="407" s="1" nd="1"/>
        <i x="410" s="1" nd="1"/>
        <i x="420" s="1" nd="1"/>
        <i x="406" s="1" nd="1"/>
        <i x="403" s="1" nd="1"/>
        <i x="404" s="1" nd="1"/>
        <i x="419" s="1" nd="1"/>
        <i x="278" s="1" nd="1"/>
        <i x="412" s="1" nd="1"/>
        <i x="423" s="1" nd="1"/>
        <i x="418" s="1" nd="1"/>
        <i x="411" s="1" nd="1"/>
        <i x="435" s="1" nd="1"/>
        <i x="416" s="1" nd="1"/>
        <i x="426" s="1" nd="1"/>
        <i x="424" s="1" nd="1"/>
        <i x="414" s="1" nd="1"/>
        <i x="422" s="1" nd="1"/>
        <i x="421" s="1" nd="1"/>
        <i x="417" s="1" nd="1"/>
        <i x="427" s="1" nd="1"/>
        <i x="425" s="1" nd="1"/>
        <i x="428" s="1" nd="1"/>
        <i x="415" s="1" nd="1"/>
        <i x="357" s="1" nd="1"/>
        <i x="430" s="1" nd="1"/>
        <i x="431" s="1" nd="1"/>
        <i x="316" s="1" nd="1"/>
        <i x="318" s="1" nd="1"/>
        <i x="438" s="1" nd="1"/>
        <i x="312" s="1" nd="1"/>
        <i x="358" s="1" nd="1"/>
        <i x="432" s="1" nd="1"/>
        <i x="433" s="1" nd="1"/>
        <i x="315" s="1" nd="1"/>
        <i x="440" s="1" nd="1"/>
        <i x="314" s="1" nd="1"/>
        <i x="329" s="1" nd="1"/>
        <i x="439" s="1" nd="1"/>
        <i x="434" s="1" nd="1"/>
        <i x="333" s="1" nd="1"/>
        <i x="437" s="1" nd="1"/>
        <i x="436" s="1" nd="1"/>
        <i x="354" s="1" nd="1"/>
        <i x="307" s="1" nd="1"/>
        <i x="319" s="1" nd="1"/>
        <i x="355" s="1" nd="1"/>
        <i x="353" s="1" nd="1"/>
        <i x="311" s="1" nd="1"/>
        <i x="313" s="1" nd="1"/>
        <i x="146" s="1" nd="1"/>
        <i x="317" s="1" nd="1"/>
        <i x="308" s="1" nd="1"/>
        <i x="343" s="1" nd="1"/>
        <i x="348" s="1" nd="1"/>
        <i x="309" s="1" nd="1"/>
        <i x="310" s="1" nd="1"/>
        <i x="320" s="1" nd="1"/>
        <i x="323" s="1" nd="1"/>
        <i x="330" s="1" nd="1"/>
        <i x="322" s="1" nd="1"/>
        <i x="325" s="1" nd="1"/>
        <i x="324" s="1" nd="1"/>
        <i x="366" s="1" nd="1"/>
        <i x="321" s="1" nd="1"/>
        <i x="346" s="1" nd="1"/>
        <i x="361" s="1" nd="1"/>
        <i x="326" s="1" nd="1"/>
        <i x="351" s="1" nd="1"/>
        <i x="363" s="1" nd="1"/>
        <i x="335" s="1" nd="1"/>
        <i x="375" s="1" nd="1"/>
        <i x="334" s="1" nd="1"/>
        <i x="331" s="1" nd="1"/>
        <i x="327" s="1" nd="1"/>
        <i x="328" s="1" nd="1"/>
        <i x="347" s="1" nd="1"/>
        <i x="336" s="1" nd="1"/>
        <i x="259" s="1" nd="1"/>
        <i x="337" s="1" nd="1"/>
        <i x="332" s="1" nd="1"/>
        <i x="339" s="1" nd="1"/>
        <i x="340" s="1" nd="1"/>
        <i x="368" s="1" nd="1"/>
        <i x="338" s="1" nd="1"/>
        <i x="356" s="1" nd="1"/>
        <i x="344" s="1" nd="1"/>
        <i x="341" s="1" nd="1"/>
        <i x="345" s="1" nd="1"/>
        <i x="342" s="1" nd="1"/>
        <i x="349" s="1" nd="1"/>
        <i x="367" s="1" nd="1"/>
        <i x="362" s="1" nd="1"/>
        <i x="381" s="1" nd="1"/>
        <i x="350" s="1" nd="1"/>
        <i x="252" s="1" nd="1"/>
        <i x="360" s="1" nd="1"/>
        <i x="352" s="1" nd="1"/>
        <i x="376" s="1" nd="1"/>
        <i x="359" s="1" nd="1"/>
        <i x="374" s="1" nd="1"/>
        <i x="260" s="1" nd="1"/>
        <i x="365" s="1" nd="1"/>
        <i x="364" s="1" nd="1"/>
        <i x="380" s="1" nd="1"/>
        <i x="377" s="1" nd="1"/>
        <i x="271" s="1" nd="1"/>
        <i x="385" s="1" nd="1"/>
        <i x="369" s="1" nd="1"/>
        <i x="378" s="1" nd="1"/>
        <i x="383" s="1" nd="1"/>
        <i x="262" s="1" nd="1"/>
        <i x="288" s="1" nd="1"/>
        <i x="387" s="1" nd="1"/>
        <i x="384" s="1" nd="1"/>
        <i x="253" s="1" nd="1"/>
        <i x="273" s="1" nd="1"/>
        <i x="379" s="1" nd="1"/>
        <i x="255" s="1" nd="1"/>
        <i x="370" s="1" nd="1"/>
        <i x="373" s="1" nd="1"/>
        <i x="270" s="1" nd="1"/>
        <i x="382" s="1" nd="1"/>
        <i x="371" s="1" nd="1"/>
        <i x="372" s="1" nd="1"/>
        <i x="257" s="1" nd="1"/>
        <i x="275" s="1" nd="1"/>
        <i x="276" s="1" nd="1"/>
        <i x="289" s="1" nd="1"/>
        <i x="386" s="1" nd="1"/>
        <i x="251" s="1" nd="1"/>
        <i x="274" s="1" nd="1"/>
        <i x="267" s="1" nd="1"/>
        <i x="254" s="1" nd="1"/>
        <i x="258" s="1" nd="1"/>
        <i x="264" s="1" nd="1"/>
        <i x="256" s="1" nd="1"/>
        <i x="280" s="1" nd="1"/>
        <i x="284" s="1" nd="1"/>
        <i x="285" s="1" nd="1"/>
        <i x="277" s="1" nd="1"/>
        <i x="261" s="1" nd="1"/>
        <i x="126" s="1" nd="1"/>
        <i x="263" s="1" nd="1"/>
        <i x="265" s="1" nd="1"/>
        <i x="268" s="1" nd="1"/>
        <i x="281" s="1" nd="1"/>
        <i x="266" s="1" nd="1"/>
        <i x="287" s="1" nd="1"/>
        <i x="219" s="1" nd="1"/>
        <i x="198" s="1" nd="1"/>
        <i x="302" s="1" nd="1"/>
        <i x="269" s="1" nd="1"/>
        <i x="290" s="1" nd="1"/>
        <i x="286" s="1" nd="1"/>
        <i x="272" s="1" nd="1"/>
        <i x="294" s="1" nd="1"/>
        <i x="230" s="1" nd="1"/>
        <i x="193" s="1" nd="1"/>
        <i x="279" s="1" nd="1"/>
        <i x="303" s="1" nd="1"/>
        <i x="283" s="1" nd="1"/>
        <i x="306" s="1" nd="1"/>
        <i x="293" s="1" nd="1"/>
        <i x="298" s="1" nd="1"/>
        <i x="175" s="1" nd="1"/>
        <i x="295" s="1" nd="1"/>
        <i x="297" s="1" nd="1"/>
        <i x="215" s="1" nd="1"/>
        <i x="183" s="1" nd="1"/>
        <i x="292" s="1" nd="1"/>
        <i x="180" s="1" nd="1"/>
        <i x="291" s="1" nd="1"/>
        <i x="192" s="1" nd="1"/>
        <i x="176" s="1" nd="1"/>
        <i x="174" s="1" nd="1"/>
        <i x="296" s="1" nd="1"/>
        <i x="190" s="1" nd="1"/>
        <i x="184" s="1" nd="1"/>
        <i x="195" s="1" nd="1"/>
        <i x="212" s="1" nd="1"/>
        <i x="189" s="1" nd="1"/>
        <i x="200" s="1" nd="1"/>
        <i x="194" s="1" nd="1"/>
        <i x="191" s="1" nd="1"/>
        <i x="304" s="1" nd="1"/>
        <i x="248" s="1" nd="1"/>
        <i x="202" s="1" nd="1"/>
        <i x="203" s="1" nd="1"/>
        <i x="300" s="1" nd="1"/>
        <i x="299" s="1" nd="1"/>
        <i x="177" s="1" nd="1"/>
        <i x="179" s="1" nd="1"/>
        <i x="210" s="1" nd="1"/>
        <i x="186" s="1" nd="1"/>
        <i x="305" s="1" nd="1"/>
        <i x="244" s="1" nd="1"/>
        <i x="235" s="1" nd="1"/>
        <i x="223" s="1" nd="1"/>
        <i x="197" s="1" nd="1"/>
        <i x="182" s="1" nd="1"/>
        <i x="213" s="1" nd="1"/>
        <i x="232" s="1" nd="1"/>
        <i x="224" s="1" nd="1"/>
        <i x="220" s="1" nd="1"/>
        <i x="188" s="1" nd="1"/>
        <i x="208" s="1" nd="1"/>
        <i x="207" s="1" nd="1"/>
        <i x="222" s="1" nd="1"/>
        <i x="209" s="1" nd="1"/>
        <i x="301" s="1" nd="1"/>
        <i x="185" s="1" nd="1"/>
        <i x="181" s="1" nd="1"/>
        <i x="211" s="1" nd="1"/>
        <i x="178" s="1" nd="1"/>
        <i x="216" s="1" nd="1"/>
        <i x="217" s="1" nd="1"/>
        <i x="221" s="1" nd="1"/>
        <i x="125" s="1" nd="1"/>
        <i x="201" s="1" nd="1"/>
        <i x="196" s="1" nd="1"/>
        <i x="229" s="1" nd="1"/>
        <i x="228" s="1" nd="1"/>
        <i x="233" s="1" nd="1"/>
        <i x="187" s="1" nd="1"/>
        <i x="231" s="1" nd="1"/>
        <i x="218" s="1" nd="1"/>
        <i x="124" s="1" nd="1"/>
        <i x="199" s="1" nd="1"/>
        <i x="204" s="1" nd="1"/>
        <i x="205" s="1" nd="1"/>
        <i x="214" s="1" nd="1"/>
        <i x="206" s="1" nd="1"/>
        <i x="225" s="1" nd="1"/>
        <i x="142" s="1" nd="1"/>
        <i x="236" s="1" nd="1"/>
        <i x="226" s="1" nd="1"/>
        <i x="242" s="1" nd="1"/>
        <i x="239" s="1" nd="1"/>
        <i x="237" s="1" nd="1"/>
        <i x="137" s="1" nd="1"/>
        <i x="136" s="1" nd="1"/>
        <i x="249" s="1" nd="1"/>
        <i x="123" s="1" nd="1"/>
        <i x="135" s="1" nd="1"/>
        <i x="243" s="1" nd="1"/>
        <i x="250" s="1" nd="1"/>
        <i x="128" s="1" nd="1"/>
        <i x="245" s="1" nd="1"/>
        <i x="246" s="1" nd="1"/>
        <i x="227" s="1" nd="1"/>
        <i x="240" s="1" nd="1"/>
        <i x="247" s="1" nd="1"/>
        <i x="238" s="1" nd="1"/>
        <i x="158" s="1" nd="1"/>
        <i x="241" s="1" nd="1"/>
        <i x="122" s="1" nd="1"/>
        <i x="131" s="1" nd="1"/>
        <i x="130" s="1" nd="1"/>
        <i x="234" s="1" nd="1"/>
        <i x="118" s="1" nd="1"/>
        <i x="111" s="1" nd="1"/>
        <i x="82" s="1" nd="1"/>
        <i x="117" s="1" nd="1"/>
        <i x="134" s="1" nd="1"/>
        <i x="132" s="1" nd="1"/>
        <i x="139" s="1" nd="1"/>
        <i x="140" s="1" nd="1"/>
        <i x="138" s="1" nd="1"/>
        <i x="133" s="1" nd="1"/>
        <i x="129" s="1" nd="1"/>
        <i x="78" s="1" nd="1"/>
        <i x="102" s="1" nd="1"/>
        <i x="155" s="1" nd="1"/>
        <i x="145" s="1" nd="1"/>
        <i x="141" s="1" nd="1"/>
        <i x="159" s="1" nd="1"/>
        <i x="144" s="1" nd="1"/>
        <i x="154" s="1" nd="1"/>
        <i x="156" s="1" nd="1"/>
        <i x="143" s="1" nd="1"/>
        <i x="147" s="1" nd="1"/>
        <i x="157" s="1" nd="1"/>
        <i x="150" s="1" nd="1"/>
        <i x="148" s="1" nd="1"/>
        <i x="149" s="1" nd="1"/>
        <i x="70" s="1" nd="1"/>
        <i x="153" s="1" nd="1"/>
        <i x="151" s="1" nd="1"/>
        <i x="152" s="1" nd="1"/>
        <i x="161" s="1" nd="1"/>
        <i x="160" s="1" nd="1"/>
        <i x="79" s="1" nd="1"/>
        <i x="170" s="1" nd="1"/>
        <i x="169" s="1" nd="1"/>
        <i x="80" s="1" nd="1"/>
        <i x="168" s="1" nd="1"/>
        <i x="173" s="1" nd="1"/>
        <i x="166" s="1" nd="1"/>
        <i x="172" s="1" nd="1"/>
        <i x="71" s="1" nd="1"/>
        <i x="76" s="1" nd="1"/>
        <i x="162" s="1" nd="1"/>
        <i x="64" s="1" nd="1"/>
        <i x="63" s="1" nd="1"/>
        <i x="65" s="1" nd="1"/>
        <i x="68" s="1" nd="1"/>
        <i x="163" s="1" nd="1"/>
        <i x="164" s="1" nd="1"/>
        <i x="165" s="1" nd="1"/>
        <i x="167" s="1" nd="1"/>
        <i x="171" s="1" nd="1"/>
        <i x="75" s="1" nd="1"/>
        <i x="74" s="1" nd="1"/>
        <i x="72" s="1" nd="1"/>
        <i x="89" s="1" nd="1"/>
        <i x="67" s="1" nd="1"/>
        <i x="66" s="1" nd="1"/>
        <i x="69" s="1" nd="1"/>
        <i x="88" s="1" nd="1"/>
        <i x="83" s="1" nd="1"/>
        <i x="84" s="1" nd="1"/>
        <i x="114" s="1" nd="1"/>
        <i x="73" s="1" nd="1"/>
        <i x="96" s="1" nd="1"/>
        <i x="119" s="1" nd="1"/>
        <i x="85" s="1" nd="1"/>
        <i x="87" s="1" nd="1"/>
        <i x="77" s="1" nd="1"/>
        <i x="93" s="1" nd="1"/>
        <i x="97" s="1" nd="1"/>
        <i x="91" s="1" nd="1"/>
        <i x="90" s="1" nd="1"/>
        <i x="86" s="1" nd="1"/>
        <i x="81" s="1" nd="1"/>
        <i x="104" s="1" nd="1"/>
        <i x="105" s="1" nd="1"/>
        <i x="103" s="1" nd="1"/>
        <i x="92" s="1" nd="1"/>
        <i x="115" s="1" nd="1"/>
        <i x="95" s="1" nd="1"/>
        <i x="94" s="1" nd="1"/>
        <i x="101" s="1" nd="1"/>
        <i x="106" s="1" nd="1"/>
        <i x="110" s="1" nd="1"/>
        <i x="121" s="1" nd="1"/>
        <i x="120" s="1" nd="1"/>
        <i x="100" s="1" nd="1"/>
        <i x="99" s="1" nd="1"/>
        <i x="113" s="1" nd="1"/>
        <i x="109" s="1" nd="1"/>
        <i x="98" s="1" nd="1"/>
        <i x="108" s="1" nd="1"/>
        <i x="107" s="1" nd="1"/>
        <i x="112" s="1" nd="1"/>
        <i x="116" s="1" nd="1"/>
        <i x="4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2">
      <calculatedColumnFormula>B49</calculatedColumnFormula>
    </tableColumn>
    <tableColumn id="2" xr3:uid="{7EDCC2ED-0339-42B3-9633-FFEA7A3DD9F3}" name="Tiyaar" dataDxfId="111">
      <calculatedColumnFormula>SUMIFS(ledger!G:G, ledger!B:B, B2, ledger!E:E, "&lt;&gt;*RD*") / 1.0936</calculatedColumnFormula>
    </tableColumn>
    <tableColumn id="3" xr3:uid="{CC1535DD-3FE7-4F55-8040-E7643388A78E}" name="Rate"/>
    <tableColumn id="4" xr3:uid="{059CB70B-ADAD-4985-84AA-0D530BAC5567}" name="Total" dataDxfId="11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9" dataDxfId="108">
  <autoFilter ref="B7:E20" xr:uid="{449E5D32-DF9C-4018-96AB-CA98E118D910}"/>
  <tableColumns count="4">
    <tableColumn id="1" xr3:uid="{F663704C-91DD-4BB9-B7EB-EEB0C5EDED6C}" name="Description" dataDxfId="107"/>
    <tableColumn id="2" xr3:uid="{6D94D495-CD0B-4FD3-9771-81D731982A97}" name="Rate" dataDxfId="106" dataCellStyle="Comma"/>
    <tableColumn id="3" xr3:uid="{2D14CEAD-3602-40E7-A488-3584EBC9141E}" name="gazana" dataDxfId="105" dataCellStyle="Comma"/>
    <tableColumn id="4" xr3:uid="{06FEE63C-6480-4079-8426-51BC26B38B34}" name="sum" dataDxfId="10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3" totalsRowDxfId="102" dataCellStyle="Comma">
      <totalsRowFormula>SUM(Table12[Amount])</totalsRowFormula>
    </tableColumn>
    <tableColumn id="3" xr3:uid="{12F975D1-A51D-47BD-82DF-F0C35A709016}" name="Description"/>
    <tableColumn id="4" xr3:uid="{96712812-B120-49C2-B905-59FC86A743E8}" name="cost per meter" totalsRowFunction="custom" dataDxfId="101" totalsRowDxfId="10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9" dataDxfId="98" headerRowCellStyle="Comma" dataCellStyle="Comma">
  <autoFilter ref="B2:C5" xr:uid="{136E8F7F-D03F-4198-8335-91A003EA9E45}"/>
  <tableColumns count="2">
    <tableColumn id="1" xr3:uid="{279FA697-9952-479A-AC05-0D4992B41374}" name="Column1" dataDxfId="97" dataCellStyle="Comma"/>
    <tableColumn id="2" xr3:uid="{8A64998B-65EF-41CD-BCB0-3DDB7B359C54}" name="Column2" dataDxfId="9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5"/>
    <tableColumn id="2" xr3:uid="{51D27FA2-8DDF-4369-BAF7-7D1FE90E16A0}" name="Column2" dataDxfId="9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3" totalsRowDxfId="9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1" totalsRowCount="1" headerRowDxfId="90" dataDxfId="89" headerRowCellStyle="Comma" dataCellStyle="Comma">
  <autoFilter ref="A1:K190" xr:uid="{11DACEC6-751B-4B1D-817F-5C5BCD38EF6D}"/>
  <tableColumns count="11">
    <tableColumn id="1" xr3:uid="{2FCE3FA8-A48C-4685-8919-AE44C6C71FD9}" name="Date" dataDxfId="88" dataCellStyle="Comma"/>
    <tableColumn id="2" xr3:uid="{5780FD5F-0890-44E6-B59C-8E37A559FE36}" name="Party Name" dataDxfId="87" dataCellStyle="Comma"/>
    <tableColumn id="3" xr3:uid="{5B3ECD85-9174-40AC-BFBD-49CAC97A83D3}" name="Bill Number" dataDxfId="86" dataCellStyle="Comma"/>
    <tableColumn id="4" xr3:uid="{11B50761-04B6-4262-AD4D-7182450037D1}" name="Quality" dataDxfId="85" dataCellStyle="Comma"/>
    <tableColumn id="5" xr3:uid="{2C556969-B713-4967-BD24-466AACCBE5F5}" name="Shipment Number" dataDxfId="84" totalsRowDxfId="10" dataCellStyle="Comma"/>
    <tableColumn id="6" xr3:uid="{F4E1FD2B-9017-4DEB-B772-BF447ECE56F7}" name="Kora/metre" dataDxfId="83" totalsRowDxfId="9" dataCellStyle="Comma"/>
    <tableColumn id="7" xr3:uid="{52ACC1DA-7A76-4A90-B809-3A1AE728E7EA}" name="Tiyaar/gaz" dataDxfId="82" totalsRowDxfId="8" dataCellStyle="Comma"/>
    <tableColumn id="8" xr3:uid="{31A0FF5E-56F0-44D1-9865-73256B964660}" name="shortage %" dataDxfId="81" totalsRowDxfId="7" dataCellStyle="Comma">
      <calculatedColumnFormula>_xlfn.XLOOKUP(Table1[[#This Row],[Shipment Number]], 'pivot '!A:A,'pivot '!G:G, "NF")</calculatedColumnFormula>
    </tableColumn>
    <tableColumn id="9" xr3:uid="{F99075E0-AC8E-094D-BB85-272AD2C6C568}" name="tiyar/meters" totalsRowFunction="custom" dataDxfId="80" totalsRowDxfId="6"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9" totalsRowDxfId="5"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8" totalsRowDxfId="4"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75" headerRowBorderDxfId="74" tableBorderDxfId="73">
  <autoFilter ref="A1:I121" xr:uid="{F8E8C957-ABE7-4E4F-8D4E-7D44E26B334F}"/>
  <tableColumns count="9">
    <tableColumn id="1" xr3:uid="{C2E817D6-AB98-4DDD-8890-736B27F261CD}" name="Date" dataDxfId="72" totalsRowDxfId="71"/>
    <tableColumn id="2" xr3:uid="{CFB51890-CCDC-463C-81C9-3F8BD7469CB9}" name="Party Name"/>
    <tableColumn id="3" xr3:uid="{A113D971-1C9D-4733-99C4-BD0CC4333209}" name="Vehicle Number"/>
    <tableColumn id="4" xr3:uid="{49780304-3DD1-4AE9-98EE-2BC7EB8F3B57}" name="Weight" dataDxfId="70" totalsRowDxfId="69" dataCellStyle="Comma"/>
    <tableColumn id="5" xr3:uid="{FCAF1BC6-1D8C-42AD-8BBC-F924BF2DC7FE}" name="Rate" dataDxfId="68" totalsRowDxfId="67" dataCellStyle="Comma"/>
    <tableColumn id="6" xr3:uid="{8C70A624-4134-410C-9C45-9FDEB51D51BF}" name="Rent" dataDxfId="66" totalsRowDxfId="65" dataCellStyle="Comma"/>
    <tableColumn id="7" xr3:uid="{EBCE10AE-9634-4982-9C95-37ABC8A7078C}" name="Total" totalsRowFunction="sum" dataDxfId="64" totalsRowDxfId="63" dataCellStyle="Comma">
      <calculatedColumnFormula>D2*E2</calculatedColumnFormula>
    </tableColumn>
    <tableColumn id="9" xr3:uid="{D4788559-C94A-44D9-B9AE-E72B214355AC}" name="Paid" totalsRowFunction="sum" dataDxfId="62" totalsRowDxfId="61" dataCellStyle="Comma"/>
    <tableColumn id="8" xr3:uid="{E26F5BF0-1875-4FC6-994D-49F202ED562B}" name="balance" totalsRowFunction="sum" dataDxfId="60" totalsRowDxfId="5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44" totalsRowCount="1">
  <autoFilter ref="A1:G543" xr:uid="{CB032221-B416-47A8-9A76-693DE76CFD04}"/>
  <tableColumns count="7">
    <tableColumn id="1" xr3:uid="{554B1EED-65B6-4E9A-B646-82727FAC40DE}" name="Date" dataDxfId="134" totalsRowDxfId="3"/>
    <tableColumn id="2" xr3:uid="{32259059-42CF-4947-83DE-115AA430BE2B}" name="Party"/>
    <tableColumn id="3" xr3:uid="{A1320223-D55D-483C-91C3-AB19B95CC9D8}" name="Debit" totalsRowFunction="sum" dataDxfId="133" totalsRowDxfId="2" dataCellStyle="Comma"/>
    <tableColumn id="4" xr3:uid="{E9745767-9FF0-4B1C-9052-FF335D1D7588}" name="Credit" totalsRowFunction="sum" dataDxfId="132" totalsRowDxfId="1" dataCellStyle="Comma"/>
    <tableColumn id="5" xr3:uid="{5C88A48E-2467-4E6D-B626-2442B7FD0BE4}" name="Description"/>
    <tableColumn id="6" xr3:uid="{63CA4666-144E-4BE6-8B7C-7CB992BD3041}" name="Mode" totalsRowFunction="custom" dataDxfId="131"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0" tableBorderDxfId="129" totalsRowBorderDxfId="128">
  <autoFilter ref="J3:K6" xr:uid="{DCE01694-23ED-48BF-8B92-4186B9ED10A8}"/>
  <tableColumns count="2">
    <tableColumn id="1" xr3:uid="{C8484DAF-2989-4C2F-9AEC-A6917E1C57F6}" name="Type" dataDxfId="127"/>
    <tableColumn id="2" xr3:uid="{B07B7A2A-4D4E-4654-BED6-FE2F0A7BEC34}" name="Amount" dataDxfId="12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5" headerRowBorderDxfId="124" tableBorderDxfId="123" totalsRowBorderDxfId="122">
  <autoFilter ref="M3:O6" xr:uid="{D166BDD1-ACD7-45D7-8AE9-7350373F8CEB}"/>
  <tableColumns count="3">
    <tableColumn id="1" xr3:uid="{64F0205E-DEA7-4571-BA86-E4374A5FEE28}" name="Type" totalsRowLabel="Total" dataDxfId="121" totalsRowDxfId="120"/>
    <tableColumn id="2" xr3:uid="{15FA05F9-789C-4459-9BE0-5C1EC84D3365}" name="amount" totalsRowFunction="custom" dataDxfId="119" totalsRowDxfId="118">
      <totalsRowFormula>SUM(N5:N6)</totalsRowFormula>
    </tableColumn>
    <tableColumn id="3" xr3:uid="{3681D409-90C6-44D0-BDE2-4B5943A516F0}" name="Actual" totalsRowFunction="custom" totalsRowDxfId="11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8" totalsRowDxfId="57"/>
    <tableColumn id="2" xr3:uid="{5B9D0FEE-4304-4C5C-A05C-5B27CF7841D3}" name="Type"/>
    <tableColumn id="3" xr3:uid="{6A91CA0D-C802-4C6F-9F39-CA53687E8EDE}" name="Description"/>
    <tableColumn id="4" xr3:uid="{A251D40C-AB87-4BB4-85F8-444B20E32FDF}" name="Total" totalsRowFunction="custom" dataDxfId="56" totalsRowDxfId="5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4" totalsRowCount="1" headerRowDxfId="54" headerRowBorderDxfId="53">
  <autoFilter ref="A1:I3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2"/>
    <tableColumn id="4" xr3:uid="{1889A312-9B41-4EC4-BD8F-05252F27084A}" name="Price" totalsRowFunction="sum"/>
    <tableColumn id="6" xr3:uid="{8B974B20-F003-4E67-8660-024FA4F324A9}" name="Party"/>
    <tableColumn id="7" xr3:uid="{0A5A5C21-FD61-47DA-9F54-66A6479FA557}" name="Paid" totalsRowFunction="sum" dataDxfId="51">
      <calculatedColumnFormula>SUMIFS(Table14[Debit], Table14[Date], Table8[[#This Row],[Date]], Table14[Party], Table8[[#This Row],[Party]])</calculatedColumnFormula>
    </tableColumn>
    <tableColumn id="8" xr3:uid="{8DCB3B43-2161-4081-82EC-CDB0F4DE4E6F}" name="Balance" totalsRowFunction="sum" dataDxfId="5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7" totalsRowCount="1" headerRowDxfId="49" headerRowBorderDxfId="48">
  <autoFilter ref="A4:H36" xr:uid="{A4C80688-A8BA-4BA7-90B4-791CD99446B4}"/>
  <sortState xmlns:xlrd2="http://schemas.microsoft.com/office/spreadsheetml/2017/richdata2" ref="A5:H6">
    <sortCondition ref="A4:A6"/>
  </sortState>
  <tableColumns count="8">
    <tableColumn id="1" xr3:uid="{4A818912-918E-4111-ACFC-BC93FEF7C1AD}" name="Date" dataDxfId="47" totalsRowDxfId="1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5" totalsRowDxfId="2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3" totalsRowDxfId="2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21">
      <calculatedColumnFormula>Billing!R5</calculatedColumnFormula>
    </tableColumn>
    <tableColumn id="2" xr3:uid="{7093A59E-B58F-487D-888A-9AA8156B5F9A}" name="Amount Paid" dataDxfId="2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9">
      <calculatedColumnFormula>G2</calculatedColumnFormula>
    </tableColumn>
    <tableColumn id="2" xr3:uid="{F72CFEEB-BA11-4A49-BD19-88592EB6A27C}" name="Credit" dataDxfId="1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A44" zoomScaleNormal="100" workbookViewId="0">
      <selection activeCell="M46" sqref="M4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4.109375"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674634.23555230442</v>
      </c>
      <c r="D2">
        <v>10</v>
      </c>
      <c r="E2" s="14">
        <f>(SUMIFS(ledger!G:G, ledger!B:B, B2, ledger!E:E, "&lt;&gt;*RD*",ledger!D:D, "Silky") / 1.0936)*12 + (SUMIFS(ledger!G:G, ledger!B:B, B2, ledger!E:E, "&lt;&gt;*RD*",ledger!D:D, "Chamki") / 1.0936)*10</f>
        <v>4298818.5808339426</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89969.824433065107</v>
      </c>
      <c r="D4">
        <v>10</v>
      </c>
      <c r="E4" s="14">
        <f>(SUMIFS(ledger!G:G, ledger!B:B, B4, ledger!E:E, "&lt;&gt;*RD*",ledger!D:D, "Silky") / 1.0936)*12 + (SUMIFS(ledger!G:G, ledger!B:B, B4, ledger!E:E, "&lt;&gt;*RD*",ledger!D:D, "Chamki") / 1.0936)*10</f>
        <v>938396.12289685453</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4390546.8824000005</v>
      </c>
      <c r="T5" s="22" cm="1">
        <f t="array" ref="T5">_xlfn.BYROW(B49, _xlfn.LAMBDA(_xlpm.party, SUMIFS(ledger!G:G, ledger!B:B, _xlpm.party, ledger!E:E, "&lt;&gt;*RD*") / 1.0936 ))+_xlfn.IFNA(D84,0)</f>
        <v>4014764.8888076083</v>
      </c>
      <c r="U5" s="22" cm="1">
        <f t="array" ref="U5">(_xlfn.BYROW(B49,_xlfn.LAMBDA(_xlpm.party,SUMIFS(ledger!G:G,ledger!B:B,_xlpm.party,ledger!E:E,"&lt;&gt;*RD*",ledger!D:D,"Chamki")+SUMIFS(ledger!G:G, ledger!B:B, _xlpm.party, ledger!E:E, "&lt;&gt;*RD*", ledger!D:D, "Crinkle")))/1.0936)+_xlfn.IFNA(E84,0)</f>
        <v>3128673.0819312367</v>
      </c>
      <c r="V5" s="70" cm="1">
        <f t="array" ref="V5">(_xlfn.BYROW(B49,_xlfn.LAMBDA(_xlpm.party,SUMIFS(ledger!G:G,ledger!B:B,_xlpm.party,ledger!E:E,"&lt;&gt;*RD*",ledger!D:D,"Silky")))/1.0936)+_xlfn.IFNA(F84,0)</f>
        <v>692719.45866861753</v>
      </c>
      <c r="W5" s="22" cm="1">
        <f t="array" ref="W5">(_xlfn.BYROW(B49,_xlfn.LAMBDA(_xlpm.party,
(SUMIFS(ledger!J:J,ledger!B:B,_xlpm.party,ledger!E:E,"&lt;&gt;*RD*",ledger!D:D,"Chamki",ledger!C:C,"&lt;&gt;January Closing CF")+
SUMIFS(ledger!J:J,ledger!B:B,_xlpm.party,ledger!E:E,"&lt;&gt;*RD*",ledger!D:D,"Crinkle",ledger!C:C,"&lt;&gt;January Closing CF")
)+_xlfn.IFNA(G84,0))))</f>
        <v>31286730.819312371</v>
      </c>
      <c r="X5" s="70" cm="1">
        <f t="array" ref="X5">_xlfn.BYROW(B49, _xlfn.LAMBDA(_xlpm.party,
   SUMIFS(ledger!J:J, ledger!B:B, _xlpm.party, ledger!E:E, "&lt;&gt;*RD*", ledger!D:D, "Silky", ledger!C:C, "&lt;&gt;January Closing CF")
)) + _xlfn.IFNA(H84, 0)</f>
        <v>8916997.0738844182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42330823.723482087</v>
      </c>
      <c r="AF5" s="22">
        <f>(SUMIF(Table14[Party],#REF!,Table14[Credit]))+_xlfn.IFNA(P84,0)</f>
        <v>19750734</v>
      </c>
      <c r="AG5" s="33">
        <f>AE5-AF5</f>
        <v>22580089.723482087</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7214622</v>
      </c>
      <c r="AG6" s="33">
        <f t="shared" ref="AG6:AG36" si="2">AE6-AF6</f>
        <v>0.34820775501430035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992984</v>
      </c>
      <c r="T7" s="22" cm="1">
        <f t="array" ref="T7">_xlfn.BYROW(B51, _xlfn.LAMBDA(_xlpm.party, SUMIFS(ledger!G:G, ledger!B:B, _xlpm.party, ledger!E:E, "&lt;&gt;*RD*") / 1.0936 ))+_xlfn.IFNA(D86,0)</f>
        <v>907995.61082662782</v>
      </c>
      <c r="U7" s="22" cm="1">
        <f t="array" ref="U7">(_xlfn.BYROW(B51,_xlfn.LAMBDA(_xlpm.party,SUMIFS(ledger!G:G,ledger!B:B,_xlpm.party,ledger!E:E,"&lt;&gt;*RD*",ledger!D:D,"Chamki")+SUMIFS(ledger!G:G, ledger!B:B, _xlpm.party, ledger!E:E, "&lt;&gt;*RD*", ledger!D:D, "Crinkle")))/1.0936)+_xlfn.IFNA(E86,0)</f>
        <v>742469.82443306514</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7424698.2443306521</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9561739.2099487931</v>
      </c>
      <c r="AF7" s="22">
        <f>(SUMIF(Table14[Party],R7,Table14[Credit]))+_xlfn.IFNA(P86,0)</f>
        <v>9377501</v>
      </c>
      <c r="AG7" s="33">
        <f t="shared" si="2"/>
        <v>184238.20994879305</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257727</v>
      </c>
      <c r="T13" s="22" cm="1">
        <f t="array" ref="T13">_xlfn.BYROW(B57, _xlfn.LAMBDA(_xlpm.party, SUMIFS(ledger!G:G, ledger!B:B, _xlpm.party, ledger!E:E, "&lt;&gt;*RD*") / 1.0936 ))+_xlfn.IFNA(D92,0)</f>
        <v>235668.4345281639</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2371978.7856620336</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2833308.3394294074</v>
      </c>
      <c r="AF13" s="22">
        <f>(SUMIF(Table14[Party],R13,Table14[Credit]))+_xlfn.IFNA(P92,0)</f>
        <v>2508190</v>
      </c>
      <c r="AG13" s="33">
        <f t="shared" si="2"/>
        <v>325118.33942940738</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5639259</v>
      </c>
      <c r="AG15" s="33">
        <f t="shared" si="2"/>
        <v>194510.20263350476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18981712.692026339</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18981712.692026339</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302981</v>
      </c>
      <c r="T36" s="22" cm="1">
        <f t="array" ref="T36">_xlfn.BYROW(B80, _xlfn.LAMBDA(_xlpm.party, SUMIFS(ledger!G:G, ledger!B:B, _xlpm.party, ledger!E:E, "&lt;&gt;*RD*") / 1.0936 ))+_xlfn.IFNA(D115,0)</f>
        <v>277049.19531821512</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217087.60058522315</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2822138.8076079008</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3481716.3496708125</v>
      </c>
      <c r="AF36" s="22">
        <f>(SUMIF(Table14[Party],R36,Table14[Credit]))+_xlfn.IFNA(P115,0)</f>
        <v>3426791.4930504756</v>
      </c>
      <c r="AG36" s="33">
        <f t="shared" si="2"/>
        <v>54924.856620336883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737780</v>
      </c>
      <c r="D49" s="22" cm="1">
        <f t="array" ref="D49:D82">_xlfn.BYROW(_xlfn.ANCHORARRAY(B49), _xlfn.LAMBDA(_xlpm.party, SUMIFS(ledger!G:G, ledger!B:B, _xlpm.party, ledger!E:E, "&lt;&gt;*RD*") / 1.0936 ))</f>
        <v>674634.23555230442</v>
      </c>
      <c r="E49" s="63" cm="1">
        <f t="array" ref="E49:E82">(_xlfn.BYROW(_xlfn.ANCHORARRAY(B49),_xlfn.LAMBDA(_xlpm.party,SUMIFS(ledger!G:G,ledger!B:B,_xlpm.party,ledger!E:E,"&lt;&gt;*RD*",ledger!D:D,"Chamki")+SUMIFS(ledger!G:G, ledger!B:B, _xlpm.party, ledger!E:E, "&lt;&gt;*RD*", ledger!D:D, "Crinkle")))/1.0936)</f>
        <v>361089.06364301394</v>
      </c>
      <c r="F49" s="63" cm="1">
        <f t="array" ref="F49:F82">(_xlfn.BYROW(_xlfn.ANCHORARRAY(B49),_xlfn.LAMBDA(_xlpm.party,SUMIFS(ledger!G:G,ledger!B:B,_xlpm.party,ledger!E:E,"&lt;&gt;*RD*",ledger!D:D,"Silky")))/1.0936)</f>
        <v>131688.00292611559</v>
      </c>
      <c r="G49" s="22" cm="1">
        <f t="array" ref="G49">(_xlfn.BYROW(B49,_xlfn.LAMBDA(_xlpm.party,
(SUMIFS(ledger!J:J,ledger!B:B,_xlpm.party,ledger!E:E,"&lt;&gt;*RD*",ledger!D:D,"Chamki",ledger!C:C,"&lt;&gt;January Closing CF")+
SUMIFS(ledger!J:J,ledger!B:B,_xlpm.party,ledger!E:E,"&lt;&gt;*RD*",ledger!D:D,"Crinkle",ledger!C:C,"&lt;&gt;January Closing CF")
))))</f>
        <v>3610890.6364301397</v>
      </c>
      <c r="H49" s="22" cm="1">
        <f t="array" ref="H49">_xlfn.BYROW(B49, _xlfn.LAMBDA(_xlpm.party,
   SUMIFS(ledger!J:J, ledger!B:B, _xlpm.party, ledger!E:E, "&lt;&gt;*RD*", ledger!D:D, "Silky", ledger!C:C, "&lt;&gt;January Closing CF")
))</f>
        <v>1711944.0380395025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7323263.5332845654</v>
      </c>
      <c r="P49" s="22">
        <f>(SUMIF(Table14[Party],B49,Table14[Credit]))</f>
        <v>0</v>
      </c>
      <c r="Q49" s="37">
        <f t="shared" ref="Q49:Q80" si="6">O49-P49</f>
        <v>7323263.5332845654</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1147303</v>
      </c>
      <c r="Q50" s="37">
        <f t="shared" si="6"/>
        <v>-329453.69495245046</v>
      </c>
      <c r="R50" s="21">
        <v>10</v>
      </c>
      <c r="S50" s="21">
        <v>12</v>
      </c>
    </row>
    <row r="51" spans="1:24" x14ac:dyDescent="0.3">
      <c r="B51" s="24" t="str">
        <v>Arshad</v>
      </c>
      <c r="C51" s="22">
        <v>98391</v>
      </c>
      <c r="D51" s="22">
        <v>89969.824433065107</v>
      </c>
      <c r="E51" s="63">
        <v>70620.885149963433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706208.85149963433</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957745.06217995624</v>
      </c>
      <c r="P51" s="22">
        <f>(SUMIF(Table14[Party],B51,Table14[Credit]))</f>
        <v>885000</v>
      </c>
      <c r="Q51" s="37">
        <f t="shared" si="6"/>
        <v>72745.062179956236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839000</v>
      </c>
      <c r="Q54" s="37">
        <f t="shared" si="6"/>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923844.1843452818</v>
      </c>
      <c r="P57" s="22">
        <f>(SUMIF(Table14[Party],B57,Table14[Credit]))</f>
        <v>600000</v>
      </c>
      <c r="Q57" s="37">
        <f t="shared" si="6"/>
        <v>323844.1843452818</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3819619.6049743965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1493080</v>
      </c>
      <c r="Q59" s="37">
        <f t="shared" si="6"/>
        <v>183529.36356986128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208000</v>
      </c>
      <c r="Q71" s="37">
        <f t="shared" si="6"/>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1145820.226773958</v>
      </c>
      <c r="X75" s="14">
        <v>9354553.7673738115</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302981</v>
      </c>
      <c r="D80">
        <v>277049.19531821512</v>
      </c>
      <c r="E80">
        <v>0</v>
      </c>
      <c r="F80">
        <v>217087.60058522315</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2822138.8076079008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3481716.3496708125</v>
      </c>
      <c r="P80" s="22">
        <f>SUMIF(Table14[Party], B80, Table14[Credit])</f>
        <v>3426791.4930504756</v>
      </c>
      <c r="Q80" s="37">
        <f t="shared" si="6"/>
        <v>54924.856620336883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384</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35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257727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235668.4345281639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46132.955376737387</v>
      </c>
      <c r="E12" s="91">
        <f ca="1">Table21[[#This Row],[gazana]]*Table21[[#This Row],[Rate]]</f>
        <v>461329.5537673739</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189535.47915142652</v>
      </c>
      <c r="E14" s="66">
        <f>Table21[[#This Row],[gazana]]*Table21[[#This Row],[Rate]]</f>
        <v>2463961.2289685449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2925290.7827359186</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2508190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325118.33942940738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F11" sqref="F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3.1561129291586685</v>
      </c>
    </row>
    <row r="5" spans="1:5" x14ac:dyDescent="0.3">
      <c r="B5" t="s">
        <v>48</v>
      </c>
      <c r="C5" s="11">
        <f>SUM(Table8[Price])+(301660)</f>
        <v>640165</v>
      </c>
      <c r="E5" s="43">
        <f ca="1">Table12[[#This Row],[Amount]]/Table1[[#Totals],[tiyar/meters]]</f>
        <v>0.37734563116110864</v>
      </c>
    </row>
    <row r="6" spans="1:5" x14ac:dyDescent="0.3">
      <c r="B6" t="s">
        <v>49</v>
      </c>
      <c r="C6" s="11">
        <f>SUM(Table2[Price])</f>
        <v>720450</v>
      </c>
      <c r="D6" t="s">
        <v>188</v>
      </c>
      <c r="E6" s="43">
        <f ca="1">Table12[[#This Row],[Amount]]/Table1[[#Totals],[tiyar/meters]]</f>
        <v>0.42466967105358888</v>
      </c>
    </row>
    <row r="7" spans="1:5" x14ac:dyDescent="0.3">
      <c r="B7" t="s">
        <v>50</v>
      </c>
      <c r="C7" s="11">
        <f>SUMIFS(Table14[Debit], Table14[Party],Table12[[#This Row],[Type]])</f>
        <v>84450</v>
      </c>
      <c r="E7" s="43">
        <f ca="1">Table12[[#This Row],[Amount]]/Table1[[#Totals],[tiyar/meters]]</f>
        <v>4.9779101562184166E-2</v>
      </c>
    </row>
    <row r="8" spans="1:5" x14ac:dyDescent="0.3">
      <c r="B8" t="s">
        <v>51</v>
      </c>
      <c r="C8" s="11">
        <f>Electricity!E3</f>
        <v>2576170</v>
      </c>
      <c r="E8" s="43">
        <f ca="1">Table12[[#This Row],[Amount]]/Table1[[#Totals],[tiyar/meters]]</f>
        <v>1.5185249031551449</v>
      </c>
    </row>
    <row r="9" spans="1:5" x14ac:dyDescent="0.3">
      <c r="B9" t="s">
        <v>52</v>
      </c>
      <c r="C9" s="11">
        <f>SUMIFS(Table14[Debit], Table14[Party],Table12[[#This Row],[Type]])+SUMIFS(Table14[Debit], Table14[Party],"Advance Salary")</f>
        <v>2976513</v>
      </c>
      <c r="E9" s="43">
        <f ca="1">Table12[[#This Row],[Amount]]/Table1[[#Totals],[tiyar/meters]]</f>
        <v>1.7545073170889458</v>
      </c>
    </row>
    <row r="10" spans="1:5" x14ac:dyDescent="0.3">
      <c r="B10" t="s">
        <v>53</v>
      </c>
      <c r="C10" s="11">
        <f>Table5[[#Totals],[Amount]]</f>
        <v>115145</v>
      </c>
      <c r="E10" s="43">
        <f ca="1">Table12[[#This Row],[Amount]]/Table1[[#Totals],[tiyar/meters]]</f>
        <v>6.787228714479214E-2</v>
      </c>
    </row>
    <row r="11" spans="1:5" x14ac:dyDescent="0.3">
      <c r="B11" t="s">
        <v>54</v>
      </c>
      <c r="C11" s="11">
        <f>Table13[[#Totals],[Debit]]</f>
        <v>126926</v>
      </c>
      <c r="E11" s="43">
        <f ca="1">Table12[[#This Row],[Amount]]/Table1[[#Totals],[tiyar/meters]]</f>
        <v>7.4816604439097545E-2</v>
      </c>
    </row>
    <row r="12" spans="1:5" x14ac:dyDescent="0.3">
      <c r="B12" t="s">
        <v>55</v>
      </c>
      <c r="C12" s="11">
        <f>Table15[[#Totals],[Amount]]</f>
        <v>831690</v>
      </c>
      <c r="E12" s="43">
        <f ca="1">Table12[[#This Row],[Amount]]/Table1[[#Totals],[tiyar/meters]]</f>
        <v>0.49024015367972706</v>
      </c>
    </row>
    <row r="13" spans="1:5" x14ac:dyDescent="0.3">
      <c r="C13" s="11"/>
      <c r="E13" s="43">
        <f ca="1">Table12[[#This Row],[Amount]]/Table1[[#Totals],[tiyar/meters]]</f>
        <v>0</v>
      </c>
    </row>
    <row r="14" spans="1:5" x14ac:dyDescent="0.3">
      <c r="C14" s="14">
        <f>SUM(Table12[Amount])</f>
        <v>13425839</v>
      </c>
      <c r="E14" s="43">
        <f ca="1">SUM(Table12[cost per meter])</f>
        <v>7.9138685984432566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6" sqref="C6"/>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18981712.692026339</v>
      </c>
    </row>
    <row r="4" spans="1:3" x14ac:dyDescent="0.3">
      <c r="B4" s="11" t="s">
        <v>44</v>
      </c>
      <c r="C4" s="11">
        <f>Table12[[#Totals],[Amount]]</f>
        <v>13425839</v>
      </c>
    </row>
    <row r="5" spans="1:3" x14ac:dyDescent="0.3">
      <c r="A5" s="6"/>
      <c r="B5" s="15" t="s">
        <v>68</v>
      </c>
      <c r="C5" s="15">
        <f>C3-C4</f>
        <v>5555873.6920263395</v>
      </c>
    </row>
    <row r="10" spans="1:3" ht="15" thickBot="1" x14ac:dyDescent="0.35">
      <c r="B10" t="s">
        <v>66</v>
      </c>
      <c r="C10" s="14" t="s">
        <v>67</v>
      </c>
    </row>
    <row r="11" spans="1:3" x14ac:dyDescent="0.3">
      <c r="B11" s="56" t="s">
        <v>0</v>
      </c>
      <c r="C11" s="57">
        <f>C3</f>
        <v>18981712.692026339</v>
      </c>
    </row>
    <row r="12" spans="1:3" x14ac:dyDescent="0.3">
      <c r="B12" s="58" t="s">
        <v>69</v>
      </c>
      <c r="C12" s="59">
        <f>SUM(Table14[Credit])</f>
        <v>28427169.229517192</v>
      </c>
    </row>
    <row r="13" spans="1:3" ht="15" thickBot="1" x14ac:dyDescent="0.35">
      <c r="B13" s="74" t="s">
        <v>93</v>
      </c>
      <c r="C13" s="73">
        <f>(C11-C12)</f>
        <v>-9445456.5374908522</v>
      </c>
    </row>
    <row r="14" spans="1:3" ht="15" thickBot="1" x14ac:dyDescent="0.35">
      <c r="B14" s="58"/>
      <c r="C14" s="59"/>
    </row>
    <row r="15" spans="1:3" x14ac:dyDescent="0.3">
      <c r="B15" s="56" t="s">
        <v>44</v>
      </c>
      <c r="C15" s="57">
        <f>C4</f>
        <v>13425839</v>
      </c>
    </row>
    <row r="16" spans="1:3" x14ac:dyDescent="0.3">
      <c r="B16" s="58" t="s">
        <v>70</v>
      </c>
      <c r="C16" s="59">
        <f>SUM(Table14[Debit])</f>
        <v>28366388.399999999</v>
      </c>
    </row>
    <row r="17" spans="2:6" ht="15" thickBot="1" x14ac:dyDescent="0.35">
      <c r="B17" s="74" t="s">
        <v>71</v>
      </c>
      <c r="C17" s="73">
        <f>C15-C16</f>
        <v>-14940549.399999999</v>
      </c>
    </row>
    <row r="18" spans="2:6" ht="15" thickBot="1" x14ac:dyDescent="0.35">
      <c r="B18" s="58"/>
      <c r="C18" s="59"/>
    </row>
    <row r="19" spans="2:6" ht="15" thickBot="1" x14ac:dyDescent="0.35">
      <c r="B19" s="75" t="s">
        <v>72</v>
      </c>
      <c r="C19" s="76">
        <f>Table18[[#Totals],[amount]]</f>
        <v>61280.829517193139</v>
      </c>
    </row>
    <row r="20" spans="2:6" ht="15" thickBot="1" x14ac:dyDescent="0.35">
      <c r="B20" s="71"/>
      <c r="C20" s="72"/>
    </row>
    <row r="21" spans="2:6" ht="15" thickBot="1" x14ac:dyDescent="0.35">
      <c r="B21" s="60" t="s">
        <v>73</v>
      </c>
      <c r="C21" s="61">
        <f>(C13-C17)+C19</f>
        <v>5556373.6920263395</v>
      </c>
      <c r="E21" s="79" t="s">
        <v>74</v>
      </c>
      <c r="F21" s="125">
        <f>C5*0.05</f>
        <v>277793.68460131699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1"/>
  <sheetViews>
    <sheetView topLeftCell="A169" zoomScale="107" zoomScaleNormal="107" workbookViewId="0">
      <selection activeCell="A174" sqref="A174:J17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5">
        <v>46094</v>
      </c>
      <c r="B174" s="136" t="s">
        <v>22</v>
      </c>
      <c r="C174" s="137">
        <v>1612</v>
      </c>
      <c r="D174" s="137" t="s">
        <v>86</v>
      </c>
      <c r="E174" s="138">
        <v>2133</v>
      </c>
      <c r="F174" s="138">
        <v>30295</v>
      </c>
      <c r="G174" s="138">
        <v>31787</v>
      </c>
      <c r="H174" s="139">
        <f>_xlfn.XLOOKUP(Table1[[#This Row],[Shipment Number]], 'pivot '!A:A,'pivot '!G:G, "NF")</f>
        <v>4.0555000915769313</v>
      </c>
      <c r="I174" s="140">
        <f>Table1[[#This Row],[Tiyaar/gaz]]/1.0936</f>
        <v>29066.386247256771</v>
      </c>
      <c r="J174" s="14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t="str">
        <f>_xlfn.XLOOKUP(Table1[[#This Row],[Shipment Number]], 'pivot '!A:A,'pivot '!G:G, "NF")</f>
        <v>NF</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t="str">
        <f>_xlfn.XLOOKUP(Table1[[#This Row],[Shipment Number]], 'pivot '!A:A,'pivot '!G:G, "NF")</f>
        <v>NF</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t="str">
        <f>_xlfn.XLOOKUP(Table1[[#This Row],[Shipment Number]], 'pivot '!A:A,'pivot '!G:G, "NF")</f>
        <v>NF</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t="str">
        <f>_xlfn.XLOOKUP(Table1[[#This Row],[Shipment Number]], 'pivot '!A:A,'pivot '!G:G, "NF")</f>
        <v>NF</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t="str">
        <f>_xlfn.XLOOKUP(Table1[[#This Row],[Shipment Number]], 'pivot '!A:A,'pivot '!G:G, "NF")</f>
        <v>NF</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t="str">
        <f>_xlfn.XLOOKUP(Table1[[#This Row],[Shipment Number]], 'pivot '!A:A,'pivot '!G:G, "NF")</f>
        <v>NF</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t="str">
        <f>_xlfn.XLOOKUP(Table1[[#This Row],[Shipment Number]], 'pivot '!A:A,'pivot '!G:G, "NF")</f>
        <v>NF</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17"/>
      <c r="B185" s="120"/>
      <c r="C185" s="117"/>
      <c r="D185" s="117"/>
      <c r="E185" s="11"/>
      <c r="F185" s="11"/>
      <c r="G185" s="11"/>
      <c r="H185" s="118" t="e">
        <f>_xlfn.XLOOKUP(Table1[[#This Row],[Shipment Number]], 'pivot '!A:A,'pivot '!G:G, "NF")</f>
        <v>#DIV/0!</v>
      </c>
      <c r="I185" s="119"/>
      <c r="J185" s="119"/>
      <c r="K185" s="117"/>
    </row>
    <row r="186" spans="1:11" x14ac:dyDescent="0.3">
      <c r="A186" s="117"/>
      <c r="B186" s="120"/>
      <c r="C186" s="117"/>
      <c r="D186" s="117"/>
      <c r="E186" s="11"/>
      <c r="F186" s="11"/>
      <c r="G186" s="11"/>
      <c r="H186" s="118" t="e">
        <f>_xlfn.XLOOKUP(Table1[[#This Row],[Shipment Number]], 'pivot '!A:A,'pivot '!G:G, "NF")</f>
        <v>#DIV/0!</v>
      </c>
      <c r="I186" s="119"/>
      <c r="J186" s="119"/>
      <c r="K186" s="117"/>
    </row>
    <row r="187" spans="1:11" x14ac:dyDescent="0.3">
      <c r="A187" s="117"/>
      <c r="B187" s="120"/>
      <c r="C187" s="117"/>
      <c r="D187" s="117"/>
      <c r="E187" s="11"/>
      <c r="F187" s="11"/>
      <c r="G187" s="11"/>
      <c r="H187" s="118" t="e">
        <f>_xlfn.XLOOKUP(Table1[[#This Row],[Shipment Number]], 'pivot '!A:A,'pivot '!G:G, "NF")</f>
        <v>#DIV/0!</v>
      </c>
      <c r="I187" s="119"/>
      <c r="J187" s="119"/>
      <c r="K187" s="117"/>
    </row>
    <row r="188" spans="1:11" x14ac:dyDescent="0.3">
      <c r="A188" s="117"/>
      <c r="B188" s="120"/>
      <c r="C188" s="117"/>
      <c r="D188" s="117"/>
      <c r="E188" s="11"/>
      <c r="F188" s="11"/>
      <c r="G188" s="11"/>
      <c r="H188" s="118" t="e">
        <f>_xlfn.XLOOKUP(Table1[[#This Row],[Shipment Number]], 'pivot '!A:A,'pivot '!G:G, "NF")</f>
        <v>#DIV/0!</v>
      </c>
      <c r="I188" s="119"/>
      <c r="J188" s="119"/>
      <c r="K188" s="117"/>
    </row>
    <row r="189" spans="1:11" x14ac:dyDescent="0.3">
      <c r="A189" s="117"/>
      <c r="B189" s="120"/>
      <c r="C189" s="117"/>
      <c r="D189" s="117"/>
      <c r="E189" s="11"/>
      <c r="F189" s="11"/>
      <c r="G189" s="11"/>
      <c r="H189" s="118" t="e">
        <f>_xlfn.XLOOKUP(Table1[[#This Row],[Shipment Number]], 'pivot '!A:A,'pivot '!G:G, "NF")</f>
        <v>#DIV/0!</v>
      </c>
      <c r="I189" s="119"/>
      <c r="J189" s="119"/>
      <c r="K189" s="117"/>
    </row>
    <row r="190" spans="1:11" x14ac:dyDescent="0.3">
      <c r="A190" s="117"/>
      <c r="B190" s="120"/>
      <c r="C190" s="117"/>
      <c r="D190" s="117"/>
      <c r="E190" s="11"/>
      <c r="F190" s="11"/>
      <c r="G190" s="11"/>
      <c r="H190" s="118" t="e">
        <f>_xlfn.XLOOKUP(Table1[[#This Row],[Shipment Number]], 'pivot '!A:A,'pivot '!G:G, "NF")</f>
        <v>#DIV/0!</v>
      </c>
      <c r="I190" s="119"/>
      <c r="J190" s="119"/>
      <c r="K190" s="117"/>
    </row>
    <row r="191" spans="1:11" x14ac:dyDescent="0.3">
      <c r="A191"/>
      <c r="B191"/>
      <c r="C191"/>
      <c r="D191"/>
      <c r="E191" s="14"/>
      <c r="F191" s="14"/>
      <c r="G191" s="14"/>
      <c r="H191" s="43"/>
      <c r="I191" s="93" cm="1">
        <f t="array" aca="1" ref="I191" ca="1">SUMPRODUCT( SUBTOTAL(109, OFFSET(Table1[tiyar/meters], ROW(Table1[tiyar/meters])-MIN(ROW(Table1[tiyar/meters])), 0, 1)), --(Table1[Bill Number]&lt;&gt;"January Closing CF") )</f>
        <v>1696495.0621799566</v>
      </c>
      <c r="J191" s="43" cm="1">
        <f t="array" aca="1" ref="J191" ca="1">SUMPRODUCT( SUBTOTAL(109, OFFSET(Table1[billing], ROW(Table1[billing])-MIN(ROW(Table1[billing])), 0, 1)), --(Table1[Bill Number]&lt;&gt;"January Closing CF") )</f>
        <v>19033349.48792978</v>
      </c>
      <c r="K191" s="14">
        <f>SUMIFS(Table1[billing], Table1[Bill Number], "&lt;&gt;January Closing CF")</f>
        <v>19033349.48792978</v>
      </c>
    </row>
  </sheetData>
  <phoneticPr fontId="7" alignment="center"/>
  <conditionalFormatting sqref="H2:H191">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5" zoomScale="145" zoomScaleNormal="90" workbookViewId="0">
      <selection activeCell="B49" sqref="B4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c r="D44" s="11"/>
      <c r="E44" s="11"/>
      <c r="F44" s="11"/>
      <c r="G44" s="11">
        <f t="shared" si="2"/>
        <v>0</v>
      </c>
      <c r="H44" s="11"/>
      <c r="I44" s="11">
        <f>(D44*E44)-Table3[[#This Row],[Paid]]</f>
        <v>0</v>
      </c>
      <c r="L44" s="26" t="s">
        <v>28</v>
      </c>
      <c r="M44" s="14">
        <v>6346</v>
      </c>
      <c r="N44" s="14">
        <v>4544330</v>
      </c>
      <c r="O44" s="14">
        <v>0</v>
      </c>
      <c r="P44" s="14">
        <v>8598356</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544"/>
  <sheetViews>
    <sheetView tabSelected="1" topLeftCell="A526" zoomScale="128" zoomScaleNormal="85" workbookViewId="0">
      <selection activeCell="C531" sqref="C53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5546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28366388.399999999</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28427169.229517192</v>
      </c>
      <c r="M5" s="45" t="s">
        <v>108</v>
      </c>
      <c r="N5" s="46">
        <f>(SUMIFS(Table14[Credit],Table14[Mode],"Bank")-SUMIFS(Table14[Debit],Table14[Mode],"Bank")-SUMIFS(Table14[Withdrawal],Table14[Mode],"Transfer"))</f>
        <v>672196.82951719314</v>
      </c>
      <c r="O5">
        <v>360000</v>
      </c>
    </row>
    <row r="6" spans="1:16" x14ac:dyDescent="0.3">
      <c r="A6" s="114">
        <v>46014</v>
      </c>
      <c r="B6" s="80" t="s">
        <v>212</v>
      </c>
      <c r="C6" s="11"/>
      <c r="D6" s="11">
        <v>658663</v>
      </c>
      <c r="E6" s="80" t="s">
        <v>223</v>
      </c>
      <c r="F6" s="87" t="s">
        <v>108</v>
      </c>
      <c r="J6" s="52" t="s">
        <v>43</v>
      </c>
      <c r="K6" s="53">
        <f>(K5-K4)</f>
        <v>60780.829517193139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61280.829517193139</v>
      </c>
      <c r="O7" s="89">
        <f>SUM(O5,O6)</f>
        <v>410000</v>
      </c>
      <c r="P7" s="14">
        <f>Table18[[#Totals],[amount]]-Table18[[#Totals],[Actual]]</f>
        <v>-348719.17048280686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290</v>
      </c>
      <c r="F61" s="110" t="s">
        <v>108</v>
      </c>
    </row>
    <row r="62" spans="1:6" x14ac:dyDescent="0.3">
      <c r="A62" s="38">
        <v>46076</v>
      </c>
      <c r="B62" t="s">
        <v>220</v>
      </c>
      <c r="C62" s="11"/>
      <c r="D62" s="11"/>
      <c r="E62" t="s">
        <v>292</v>
      </c>
      <c r="F62" s="110" t="s">
        <v>108</v>
      </c>
    </row>
    <row r="63" spans="1:6" x14ac:dyDescent="0.3">
      <c r="A63" s="38">
        <v>46076</v>
      </c>
      <c r="B63" t="s">
        <v>55</v>
      </c>
      <c r="C63" s="11">
        <v>1470</v>
      </c>
      <c r="D63" s="11"/>
      <c r="E63" t="s">
        <v>291</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293</v>
      </c>
      <c r="F65" s="110" t="s">
        <v>108</v>
      </c>
    </row>
    <row r="66" spans="1:6" x14ac:dyDescent="0.3">
      <c r="A66" s="38">
        <v>46076</v>
      </c>
      <c r="B66" t="s">
        <v>294</v>
      </c>
      <c r="C66" s="11">
        <v>10000</v>
      </c>
      <c r="D66" s="11"/>
      <c r="E66" t="s">
        <v>295</v>
      </c>
      <c r="F66" s="110" t="s">
        <v>108</v>
      </c>
    </row>
    <row r="67" spans="1:6" x14ac:dyDescent="0.3">
      <c r="A67" s="38">
        <v>46076</v>
      </c>
      <c r="B67" t="s">
        <v>55</v>
      </c>
      <c r="C67" s="11">
        <v>27000</v>
      </c>
      <c r="D67" s="11"/>
      <c r="E67" t="s">
        <v>296</v>
      </c>
      <c r="F67" s="110" t="s">
        <v>108</v>
      </c>
    </row>
    <row r="68" spans="1:6" x14ac:dyDescent="0.3">
      <c r="A68" s="38">
        <v>46076</v>
      </c>
      <c r="B68" t="s">
        <v>176</v>
      </c>
      <c r="C68" s="11">
        <v>7800</v>
      </c>
      <c r="D68" s="11"/>
      <c r="E68" t="s">
        <v>297</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298</v>
      </c>
      <c r="C71" s="11">
        <v>101000</v>
      </c>
      <c r="D71" s="11"/>
      <c r="E71" t="s">
        <v>299</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300</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301</v>
      </c>
      <c r="F76" s="110" t="s">
        <v>108</v>
      </c>
    </row>
    <row r="77" spans="1:6" x14ac:dyDescent="0.3">
      <c r="A77" s="38">
        <v>46077</v>
      </c>
      <c r="B77" t="s">
        <v>176</v>
      </c>
      <c r="C77" s="11">
        <v>27200</v>
      </c>
      <c r="D77" s="11"/>
      <c r="E77" t="s">
        <v>302</v>
      </c>
      <c r="F77" s="110" t="s">
        <v>108</v>
      </c>
    </row>
    <row r="78" spans="1:6" x14ac:dyDescent="0.3">
      <c r="A78" s="38">
        <v>46077</v>
      </c>
      <c r="B78" t="s">
        <v>312</v>
      </c>
      <c r="C78" s="11"/>
      <c r="D78" s="11">
        <v>500000</v>
      </c>
      <c r="E78" t="s">
        <v>303</v>
      </c>
      <c r="F78" s="110" t="s">
        <v>108</v>
      </c>
    </row>
    <row r="79" spans="1:6" x14ac:dyDescent="0.3">
      <c r="A79" s="38">
        <v>46077</v>
      </c>
      <c r="B79" t="s">
        <v>54</v>
      </c>
      <c r="C79" s="11">
        <v>300</v>
      </c>
      <c r="D79" s="11"/>
      <c r="E79" t="s">
        <v>304</v>
      </c>
      <c r="F79" s="110" t="s">
        <v>108</v>
      </c>
    </row>
    <row r="80" spans="1:6" x14ac:dyDescent="0.3">
      <c r="A80" s="38">
        <v>46077</v>
      </c>
      <c r="B80" t="s">
        <v>55</v>
      </c>
      <c r="C80" s="11">
        <v>900</v>
      </c>
      <c r="D80" s="11"/>
      <c r="E80" t="s">
        <v>305</v>
      </c>
      <c r="F80" s="110" t="s">
        <v>108</v>
      </c>
    </row>
    <row r="81" spans="1:6" x14ac:dyDescent="0.3">
      <c r="A81" s="38">
        <v>46077</v>
      </c>
      <c r="B81" t="s">
        <v>222</v>
      </c>
      <c r="C81" s="11">
        <v>150000</v>
      </c>
      <c r="D81" s="11"/>
      <c r="E81" t="s">
        <v>306</v>
      </c>
      <c r="F81" s="110" t="s">
        <v>108</v>
      </c>
    </row>
    <row r="82" spans="1:6" x14ac:dyDescent="0.3">
      <c r="A82" s="38">
        <v>46077</v>
      </c>
      <c r="B82" t="s">
        <v>94</v>
      </c>
      <c r="C82" s="11">
        <v>150000</v>
      </c>
      <c r="D82" s="11"/>
      <c r="E82" t="s">
        <v>307</v>
      </c>
      <c r="F82" s="110" t="s">
        <v>108</v>
      </c>
    </row>
    <row r="83" spans="1:6" x14ac:dyDescent="0.3">
      <c r="A83" s="38">
        <v>46077</v>
      </c>
      <c r="B83" t="s">
        <v>169</v>
      </c>
      <c r="C83" s="11">
        <v>201500</v>
      </c>
      <c r="D83" s="11"/>
      <c r="E83" t="s">
        <v>308</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309</v>
      </c>
      <c r="F86" s="110" t="s">
        <v>108</v>
      </c>
    </row>
    <row r="87" spans="1:6" x14ac:dyDescent="0.3">
      <c r="A87" s="38">
        <v>46077</v>
      </c>
      <c r="B87" t="s">
        <v>220</v>
      </c>
      <c r="C87" s="11"/>
      <c r="D87" s="11">
        <v>45000</v>
      </c>
      <c r="E87" t="s">
        <v>310</v>
      </c>
      <c r="F87" s="110" t="s">
        <v>108</v>
      </c>
    </row>
    <row r="88" spans="1:6" x14ac:dyDescent="0.3">
      <c r="A88" s="38">
        <v>46077</v>
      </c>
      <c r="B88" t="s">
        <v>220</v>
      </c>
      <c r="C88" s="11"/>
      <c r="D88" s="11">
        <v>19700</v>
      </c>
      <c r="E88" t="s">
        <v>311</v>
      </c>
      <c r="F88" s="110" t="s">
        <v>108</v>
      </c>
    </row>
    <row r="89" spans="1:6" x14ac:dyDescent="0.3">
      <c r="A89" s="38">
        <v>46077</v>
      </c>
      <c r="B89" t="s">
        <v>312</v>
      </c>
      <c r="C89" s="11"/>
      <c r="D89" s="11">
        <f>SUM(ledger!I90,ledger!I92:I94)*0.1</f>
        <v>7928.4930504754948</v>
      </c>
      <c r="E89" t="s">
        <v>313</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315</v>
      </c>
      <c r="F91" s="110" t="s">
        <v>108</v>
      </c>
    </row>
    <row r="92" spans="1:6" x14ac:dyDescent="0.3">
      <c r="A92" s="38">
        <v>46078</v>
      </c>
      <c r="B92" t="s">
        <v>257</v>
      </c>
      <c r="C92" s="11">
        <v>34000</v>
      </c>
      <c r="D92" s="11"/>
      <c r="E92" t="s">
        <v>109</v>
      </c>
      <c r="F92" s="110" t="s">
        <v>108</v>
      </c>
    </row>
    <row r="93" spans="1:6" x14ac:dyDescent="0.3">
      <c r="A93" s="38">
        <v>46078</v>
      </c>
      <c r="B93" t="s">
        <v>312</v>
      </c>
      <c r="C93" s="11"/>
      <c r="D93" s="11">
        <v>505052</v>
      </c>
      <c r="E93" t="s">
        <v>316</v>
      </c>
      <c r="F93" s="110" t="s">
        <v>108</v>
      </c>
    </row>
    <row r="94" spans="1:6" x14ac:dyDescent="0.3">
      <c r="A94" s="38">
        <v>46078</v>
      </c>
      <c r="B94" t="s">
        <v>298</v>
      </c>
      <c r="C94" s="11">
        <v>100000</v>
      </c>
      <c r="D94" s="11"/>
      <c r="E94" t="s">
        <v>317</v>
      </c>
      <c r="F94" s="110" t="s">
        <v>108</v>
      </c>
    </row>
    <row r="95" spans="1:6" x14ac:dyDescent="0.3">
      <c r="A95" s="38">
        <v>46078</v>
      </c>
      <c r="B95" t="s">
        <v>282</v>
      </c>
      <c r="C95" s="11"/>
      <c r="D95" s="11"/>
      <c r="E95" t="s">
        <v>318</v>
      </c>
      <c r="F95" s="110" t="s">
        <v>108</v>
      </c>
    </row>
    <row r="96" spans="1:6" x14ac:dyDescent="0.3">
      <c r="A96" s="38">
        <v>46078</v>
      </c>
      <c r="B96" t="s">
        <v>55</v>
      </c>
      <c r="C96" s="11">
        <v>2810</v>
      </c>
      <c r="D96" s="11"/>
      <c r="E96" t="s">
        <v>319</v>
      </c>
      <c r="F96" s="110" t="s">
        <v>108</v>
      </c>
    </row>
    <row r="97" spans="1:13" x14ac:dyDescent="0.3">
      <c r="A97" s="38">
        <v>46078</v>
      </c>
      <c r="B97" t="s">
        <v>277</v>
      </c>
      <c r="C97" s="11">
        <v>50000</v>
      </c>
      <c r="D97" s="11"/>
      <c r="E97" t="s">
        <v>320</v>
      </c>
      <c r="F97" s="110" t="s">
        <v>108</v>
      </c>
    </row>
    <row r="98" spans="1:13" x14ac:dyDescent="0.3">
      <c r="A98" s="38">
        <v>46078</v>
      </c>
      <c r="B98" t="s">
        <v>55</v>
      </c>
      <c r="C98" s="95">
        <v>51500</v>
      </c>
      <c r="D98" s="95"/>
      <c r="E98" t="s">
        <v>321</v>
      </c>
      <c r="F98" s="110" t="s">
        <v>108</v>
      </c>
    </row>
    <row r="99" spans="1:13" x14ac:dyDescent="0.3">
      <c r="A99" s="38">
        <v>46078</v>
      </c>
      <c r="B99" t="s">
        <v>192</v>
      </c>
      <c r="C99" s="11"/>
      <c r="D99" s="11">
        <v>30000</v>
      </c>
      <c r="E99" t="s">
        <v>322</v>
      </c>
      <c r="F99" s="110" t="s">
        <v>108</v>
      </c>
    </row>
    <row r="100" spans="1:13" x14ac:dyDescent="0.3">
      <c r="A100" s="38">
        <v>46078</v>
      </c>
      <c r="B100" t="s">
        <v>54</v>
      </c>
      <c r="C100" s="11">
        <v>1500</v>
      </c>
      <c r="D100" s="11"/>
      <c r="E100" t="s">
        <v>323</v>
      </c>
      <c r="F100" s="110" t="s">
        <v>108</v>
      </c>
    </row>
    <row r="101" spans="1:13" x14ac:dyDescent="0.3">
      <c r="A101" s="38">
        <v>46078</v>
      </c>
      <c r="B101" t="s">
        <v>54</v>
      </c>
      <c r="C101" s="11">
        <v>5000</v>
      </c>
      <c r="D101" s="11"/>
      <c r="E101" t="s">
        <v>290</v>
      </c>
      <c r="F101" s="110" t="s">
        <v>108</v>
      </c>
    </row>
    <row r="102" spans="1:13" x14ac:dyDescent="0.3">
      <c r="A102" s="38">
        <v>46078</v>
      </c>
      <c r="B102" t="s">
        <v>221</v>
      </c>
      <c r="C102" s="11">
        <v>2000</v>
      </c>
      <c r="D102" s="11"/>
      <c r="E102" t="s">
        <v>324</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325</v>
      </c>
      <c r="F105" s="110" t="s">
        <v>108</v>
      </c>
      <c r="I105">
        <v>15400</v>
      </c>
      <c r="K105">
        <v>4300</v>
      </c>
      <c r="L105">
        <v>4300</v>
      </c>
      <c r="M105">
        <v>4300</v>
      </c>
    </row>
    <row r="106" spans="1:13" x14ac:dyDescent="0.3">
      <c r="A106" s="38">
        <v>46079</v>
      </c>
      <c r="B106" t="s">
        <v>249</v>
      </c>
      <c r="C106" s="11">
        <v>10000</v>
      </c>
      <c r="D106" s="11"/>
      <c r="E106" t="s">
        <v>326</v>
      </c>
      <c r="F106" s="110" t="s">
        <v>108</v>
      </c>
      <c r="I106">
        <v>4300</v>
      </c>
      <c r="K106">
        <v>1200</v>
      </c>
      <c r="L106">
        <v>1200</v>
      </c>
      <c r="M106">
        <v>1200</v>
      </c>
    </row>
    <row r="107" spans="1:13" x14ac:dyDescent="0.3">
      <c r="A107" s="38">
        <v>46079</v>
      </c>
      <c r="B107" t="s">
        <v>282</v>
      </c>
      <c r="C107" s="11"/>
      <c r="D107" s="11"/>
      <c r="E107" t="s">
        <v>327</v>
      </c>
      <c r="F107" s="110" t="s">
        <v>108</v>
      </c>
      <c r="I107">
        <v>13400</v>
      </c>
      <c r="K107">
        <v>22700</v>
      </c>
      <c r="L107">
        <v>22700</v>
      </c>
      <c r="M107">
        <v>22700</v>
      </c>
    </row>
    <row r="108" spans="1:13" x14ac:dyDescent="0.3">
      <c r="A108" s="38">
        <v>46079</v>
      </c>
      <c r="B108" t="s">
        <v>9</v>
      </c>
      <c r="C108" s="11"/>
      <c r="D108" s="11">
        <v>200000</v>
      </c>
      <c r="E108" t="s">
        <v>328</v>
      </c>
      <c r="F108" s="110" t="s">
        <v>108</v>
      </c>
      <c r="I108">
        <v>14900</v>
      </c>
      <c r="K108">
        <v>15000</v>
      </c>
      <c r="L108">
        <v>15000</v>
      </c>
      <c r="M108">
        <v>15000</v>
      </c>
    </row>
    <row r="109" spans="1:13" x14ac:dyDescent="0.3">
      <c r="A109" s="38">
        <v>46079</v>
      </c>
      <c r="B109" t="s">
        <v>115</v>
      </c>
      <c r="C109" s="11">
        <v>150000</v>
      </c>
      <c r="D109" s="11"/>
      <c r="E109" t="s">
        <v>365</v>
      </c>
      <c r="F109" s="110" t="s">
        <v>108</v>
      </c>
      <c r="I109">
        <v>15000</v>
      </c>
      <c r="K109">
        <v>15150</v>
      </c>
      <c r="L109">
        <v>15150</v>
      </c>
      <c r="M109">
        <v>15150</v>
      </c>
    </row>
    <row r="110" spans="1:13" x14ac:dyDescent="0.3">
      <c r="A110" s="38">
        <v>46079</v>
      </c>
      <c r="B110" t="s">
        <v>282</v>
      </c>
      <c r="C110" s="11"/>
      <c r="D110" s="11"/>
      <c r="E110" t="s">
        <v>329</v>
      </c>
      <c r="F110" s="110" t="s">
        <v>108</v>
      </c>
      <c r="I110">
        <v>11650</v>
      </c>
      <c r="K110">
        <v>22400</v>
      </c>
      <c r="L110">
        <v>22400</v>
      </c>
      <c r="M110">
        <v>22400</v>
      </c>
    </row>
    <row r="111" spans="1:13" x14ac:dyDescent="0.3">
      <c r="A111" s="38">
        <v>46079</v>
      </c>
      <c r="B111" t="s">
        <v>277</v>
      </c>
      <c r="C111" s="11">
        <v>50000</v>
      </c>
      <c r="D111" s="11"/>
      <c r="E111" t="s">
        <v>330</v>
      </c>
      <c r="F111" s="110" t="s">
        <v>108</v>
      </c>
      <c r="I111">
        <v>22700</v>
      </c>
      <c r="K111">
        <v>25000</v>
      </c>
      <c r="L111">
        <v>25000</v>
      </c>
      <c r="M111">
        <v>25000</v>
      </c>
    </row>
    <row r="112" spans="1:13" x14ac:dyDescent="0.3">
      <c r="A112" s="38">
        <v>46079</v>
      </c>
      <c r="B112" t="s">
        <v>222</v>
      </c>
      <c r="C112" s="11">
        <v>100295</v>
      </c>
      <c r="D112" s="11"/>
      <c r="E112" t="s">
        <v>331</v>
      </c>
      <c r="F112" s="110" t="s">
        <v>108</v>
      </c>
      <c r="I112">
        <v>17000</v>
      </c>
      <c r="K112">
        <v>20880</v>
      </c>
      <c r="L112">
        <v>20880</v>
      </c>
      <c r="M112">
        <v>20880</v>
      </c>
    </row>
    <row r="113" spans="1:13" x14ac:dyDescent="0.3">
      <c r="A113" s="38">
        <v>46079</v>
      </c>
      <c r="B113" t="s">
        <v>55</v>
      </c>
      <c r="C113" s="11">
        <v>15000</v>
      </c>
      <c r="D113" s="11"/>
      <c r="E113" t="s">
        <v>332</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333</v>
      </c>
      <c r="F115" s="110" t="s">
        <v>108</v>
      </c>
      <c r="I115">
        <v>25600</v>
      </c>
      <c r="K115">
        <v>45200</v>
      </c>
      <c r="L115">
        <v>45200</v>
      </c>
      <c r="M115">
        <v>45200</v>
      </c>
    </row>
    <row r="116" spans="1:13" x14ac:dyDescent="0.3">
      <c r="A116" s="38">
        <v>46078</v>
      </c>
      <c r="B116" t="s">
        <v>115</v>
      </c>
      <c r="C116" s="11">
        <v>150000</v>
      </c>
      <c r="D116" s="11"/>
      <c r="E116" t="s">
        <v>334</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296</v>
      </c>
      <c r="F119" s="110" t="s">
        <v>108</v>
      </c>
      <c r="I119">
        <v>5200</v>
      </c>
      <c r="K119">
        <v>21600</v>
      </c>
      <c r="L119">
        <v>21600</v>
      </c>
      <c r="M119">
        <v>21600</v>
      </c>
    </row>
    <row r="120" spans="1:13" x14ac:dyDescent="0.3">
      <c r="A120" s="114">
        <v>46078</v>
      </c>
      <c r="B120" t="s">
        <v>220</v>
      </c>
      <c r="C120" s="11"/>
      <c r="D120" s="11">
        <f>25000+19500</f>
        <v>44500</v>
      </c>
      <c r="E120" t="s">
        <v>335</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336</v>
      </c>
      <c r="F122" s="110" t="s">
        <v>108</v>
      </c>
      <c r="I122">
        <v>21700</v>
      </c>
      <c r="K122">
        <v>35000</v>
      </c>
      <c r="L122">
        <v>35000</v>
      </c>
      <c r="M122">
        <v>35000</v>
      </c>
    </row>
    <row r="123" spans="1:13" x14ac:dyDescent="0.3">
      <c r="A123" s="114">
        <v>46078</v>
      </c>
      <c r="B123" t="s">
        <v>220</v>
      </c>
      <c r="C123" s="11">
        <v>20340</v>
      </c>
      <c r="D123" s="11"/>
      <c r="E123" t="s">
        <v>337</v>
      </c>
      <c r="F123" s="110" t="s">
        <v>108</v>
      </c>
      <c r="I123">
        <v>6000</v>
      </c>
      <c r="K123">
        <v>80000</v>
      </c>
      <c r="L123">
        <v>80000</v>
      </c>
      <c r="M123">
        <v>80000</v>
      </c>
    </row>
    <row r="124" spans="1:13" x14ac:dyDescent="0.3">
      <c r="A124" s="114">
        <v>46078</v>
      </c>
      <c r="B124" t="s">
        <v>228</v>
      </c>
      <c r="C124" s="11"/>
      <c r="D124" s="11">
        <v>75000</v>
      </c>
      <c r="E124" t="s">
        <v>338</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339</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341</v>
      </c>
      <c r="F129" s="110" t="s">
        <v>108</v>
      </c>
      <c r="I129">
        <v>34000</v>
      </c>
      <c r="K129">
        <v>14900</v>
      </c>
      <c r="L129">
        <v>14900</v>
      </c>
      <c r="M129">
        <v>14900</v>
      </c>
    </row>
    <row r="130" spans="1:13" x14ac:dyDescent="0.3">
      <c r="A130" s="114">
        <v>46080</v>
      </c>
      <c r="B130" t="s">
        <v>169</v>
      </c>
      <c r="C130" s="95">
        <v>4000</v>
      </c>
      <c r="D130" s="95"/>
      <c r="E130" t="s">
        <v>341</v>
      </c>
      <c r="F130" s="110" t="s">
        <v>108</v>
      </c>
      <c r="I130">
        <v>22400</v>
      </c>
      <c r="K130">
        <v>11650</v>
      </c>
      <c r="L130">
        <v>11650</v>
      </c>
      <c r="M130">
        <v>11650</v>
      </c>
    </row>
    <row r="131" spans="1:13" x14ac:dyDescent="0.3">
      <c r="A131" s="114">
        <v>46080</v>
      </c>
      <c r="B131" t="s">
        <v>257</v>
      </c>
      <c r="C131" s="11">
        <v>2000</v>
      </c>
      <c r="D131" s="11"/>
      <c r="E131" t="s">
        <v>341</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341</v>
      </c>
      <c r="F133" s="110" t="s">
        <v>108</v>
      </c>
      <c r="I133">
        <v>2500</v>
      </c>
      <c r="K133">
        <v>6000</v>
      </c>
      <c r="L133">
        <v>15300</v>
      </c>
      <c r="M133">
        <v>15300</v>
      </c>
    </row>
    <row r="134" spans="1:13" x14ac:dyDescent="0.3">
      <c r="A134" s="114">
        <v>46080</v>
      </c>
      <c r="B134" t="s">
        <v>222</v>
      </c>
      <c r="C134" s="11">
        <v>4000</v>
      </c>
      <c r="D134" s="11"/>
      <c r="E134" t="s">
        <v>341</v>
      </c>
      <c r="F134" s="110" t="s">
        <v>108</v>
      </c>
      <c r="I134">
        <v>9500</v>
      </c>
      <c r="K134">
        <v>16550</v>
      </c>
      <c r="L134">
        <v>15000</v>
      </c>
      <c r="M134">
        <v>15000</v>
      </c>
    </row>
    <row r="135" spans="1:13" x14ac:dyDescent="0.3">
      <c r="A135" s="114">
        <v>46080</v>
      </c>
      <c r="B135" t="s">
        <v>225</v>
      </c>
      <c r="C135" s="11"/>
      <c r="D135" s="11">
        <v>105000</v>
      </c>
      <c r="E135" t="s">
        <v>342</v>
      </c>
      <c r="F135" s="110" t="s">
        <v>108</v>
      </c>
      <c r="I135">
        <v>20880</v>
      </c>
      <c r="K135">
        <v>13400</v>
      </c>
      <c r="L135">
        <v>6000</v>
      </c>
      <c r="M135">
        <v>6000</v>
      </c>
    </row>
    <row r="136" spans="1:13" x14ac:dyDescent="0.3">
      <c r="A136" s="114">
        <v>46080</v>
      </c>
      <c r="B136" t="s">
        <v>55</v>
      </c>
      <c r="C136" s="11">
        <v>8315</v>
      </c>
      <c r="D136" s="11"/>
      <c r="E136" t="s">
        <v>343</v>
      </c>
      <c r="F136" s="110" t="s">
        <v>108</v>
      </c>
      <c r="I136">
        <v>150000</v>
      </c>
      <c r="K136">
        <v>11650</v>
      </c>
      <c r="L136">
        <v>16550</v>
      </c>
      <c r="M136">
        <v>16550</v>
      </c>
    </row>
    <row r="137" spans="1:13" x14ac:dyDescent="0.3">
      <c r="A137" s="114">
        <v>46080</v>
      </c>
      <c r="B137" t="s">
        <v>165</v>
      </c>
      <c r="C137" s="11">
        <v>60000</v>
      </c>
      <c r="D137" s="11"/>
      <c r="E137" t="s">
        <v>344</v>
      </c>
      <c r="F137" s="110" t="s">
        <v>108</v>
      </c>
      <c r="K137">
        <v>2500</v>
      </c>
      <c r="L137">
        <v>13400</v>
      </c>
      <c r="M137">
        <v>13400</v>
      </c>
    </row>
    <row r="138" spans="1:13" x14ac:dyDescent="0.3">
      <c r="A138" s="114">
        <v>46080</v>
      </c>
      <c r="B138" t="s">
        <v>55</v>
      </c>
      <c r="C138" s="11">
        <v>3000</v>
      </c>
      <c r="D138" s="11"/>
      <c r="E138" t="s">
        <v>345</v>
      </c>
      <c r="F138" s="110" t="s">
        <v>108</v>
      </c>
      <c r="K138">
        <v>5700</v>
      </c>
      <c r="L138">
        <v>11650</v>
      </c>
      <c r="M138">
        <v>11650</v>
      </c>
    </row>
    <row r="139" spans="1:13" x14ac:dyDescent="0.3">
      <c r="A139" s="114">
        <v>46080</v>
      </c>
      <c r="B139" t="s">
        <v>55</v>
      </c>
      <c r="C139" s="11">
        <v>2800</v>
      </c>
      <c r="D139" s="11"/>
      <c r="E139" t="s">
        <v>346</v>
      </c>
      <c r="F139" s="110" t="s">
        <v>108</v>
      </c>
      <c r="L139">
        <v>2500</v>
      </c>
      <c r="M139">
        <v>2500</v>
      </c>
    </row>
    <row r="140" spans="1:13" x14ac:dyDescent="0.3">
      <c r="A140" s="114">
        <v>46080</v>
      </c>
      <c r="B140" t="s">
        <v>55</v>
      </c>
      <c r="C140" s="11">
        <v>400</v>
      </c>
      <c r="D140" s="11"/>
      <c r="E140" t="s">
        <v>347</v>
      </c>
      <c r="F140" s="110" t="s">
        <v>108</v>
      </c>
      <c r="L140">
        <v>5700</v>
      </c>
      <c r="M140">
        <v>5700</v>
      </c>
    </row>
    <row r="141" spans="1:13" x14ac:dyDescent="0.3">
      <c r="A141" s="114">
        <v>46080</v>
      </c>
      <c r="B141" t="s">
        <v>246</v>
      </c>
      <c r="C141" s="95">
        <v>190</v>
      </c>
      <c r="D141" s="95"/>
      <c r="E141" t="s">
        <v>348</v>
      </c>
      <c r="F141" s="110" t="s">
        <v>108</v>
      </c>
      <c r="L141">
        <v>5000</v>
      </c>
      <c r="M141">
        <v>5000</v>
      </c>
    </row>
    <row r="142" spans="1:13" x14ac:dyDescent="0.3">
      <c r="A142" s="114">
        <v>46080</v>
      </c>
      <c r="B142" t="s">
        <v>221</v>
      </c>
      <c r="C142" s="11">
        <v>4100</v>
      </c>
      <c r="D142" s="11"/>
      <c r="E142" t="s">
        <v>349</v>
      </c>
      <c r="F142" s="110" t="s">
        <v>108</v>
      </c>
    </row>
    <row r="143" spans="1:13" x14ac:dyDescent="0.3">
      <c r="A143" s="38">
        <v>46080</v>
      </c>
      <c r="B143" t="s">
        <v>221</v>
      </c>
      <c r="C143" s="95">
        <v>500</v>
      </c>
      <c r="D143" s="95"/>
      <c r="E143" t="s">
        <v>350</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364</v>
      </c>
      <c r="F150" s="110" t="s">
        <v>108</v>
      </c>
    </row>
    <row r="151" spans="1:6" x14ac:dyDescent="0.3">
      <c r="A151" s="114">
        <v>46081</v>
      </c>
      <c r="B151" t="s">
        <v>220</v>
      </c>
      <c r="C151" s="11"/>
      <c r="D151" s="11">
        <v>18000</v>
      </c>
      <c r="E151" t="s">
        <v>364</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352</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353</v>
      </c>
      <c r="F155" s="110" t="s">
        <v>108</v>
      </c>
    </row>
    <row r="156" spans="1:6" x14ac:dyDescent="0.3">
      <c r="A156" s="38">
        <v>46081</v>
      </c>
      <c r="B156" t="s">
        <v>220</v>
      </c>
      <c r="C156" s="11"/>
      <c r="D156" s="11">
        <v>150000</v>
      </c>
      <c r="E156" t="s">
        <v>354</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355</v>
      </c>
      <c r="F159" s="110" t="s">
        <v>108</v>
      </c>
    </row>
    <row r="160" spans="1:6" x14ac:dyDescent="0.3">
      <c r="A160" s="38">
        <v>46081</v>
      </c>
      <c r="B160" t="s">
        <v>54</v>
      </c>
      <c r="C160" s="11">
        <v>1500</v>
      </c>
      <c r="D160" s="11"/>
      <c r="E160" t="s">
        <v>323</v>
      </c>
      <c r="F160" s="110" t="s">
        <v>108</v>
      </c>
    </row>
    <row r="161" spans="1:15" x14ac:dyDescent="0.3">
      <c r="A161" s="38">
        <v>46081</v>
      </c>
      <c r="B161" t="s">
        <v>54</v>
      </c>
      <c r="C161" s="11">
        <v>5000</v>
      </c>
      <c r="D161" s="11"/>
      <c r="E161" t="s">
        <v>290</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478</v>
      </c>
      <c r="F163" s="110" t="s">
        <v>108</v>
      </c>
      <c r="J163" s="3" t="s">
        <v>6</v>
      </c>
      <c r="K163" t="s">
        <v>118</v>
      </c>
      <c r="L163" t="s">
        <v>119</v>
      </c>
      <c r="N163">
        <v>32600</v>
      </c>
      <c r="O163">
        <v>32600</v>
      </c>
    </row>
    <row r="164" spans="1:15" x14ac:dyDescent="0.3">
      <c r="A164" s="114">
        <v>46082</v>
      </c>
      <c r="B164" t="s">
        <v>477</v>
      </c>
      <c r="C164" s="11">
        <v>187052</v>
      </c>
      <c r="D164" s="11"/>
      <c r="F164" s="110" t="s">
        <v>108</v>
      </c>
      <c r="J164" s="4" t="s">
        <v>357</v>
      </c>
      <c r="K164" s="14"/>
      <c r="L164" s="14">
        <v>170000</v>
      </c>
      <c r="N164">
        <v>45600</v>
      </c>
      <c r="O164">
        <v>9200</v>
      </c>
    </row>
    <row r="165" spans="1:15" x14ac:dyDescent="0.3">
      <c r="A165" s="38">
        <v>46082</v>
      </c>
      <c r="B165" t="s">
        <v>246</v>
      </c>
      <c r="C165" s="11">
        <v>2500</v>
      </c>
      <c r="D165" s="11"/>
      <c r="E165" t="s">
        <v>356</v>
      </c>
      <c r="F165" s="110" t="s">
        <v>108</v>
      </c>
      <c r="J165" s="4" t="s">
        <v>9</v>
      </c>
      <c r="K165" s="14">
        <v>785000</v>
      </c>
      <c r="L165" s="14"/>
      <c r="N165">
        <v>49400</v>
      </c>
      <c r="O165">
        <v>45600</v>
      </c>
    </row>
    <row r="166" spans="1:15" x14ac:dyDescent="0.3">
      <c r="A166" s="38">
        <v>46082</v>
      </c>
      <c r="B166" t="s">
        <v>221</v>
      </c>
      <c r="C166" s="95">
        <v>1000</v>
      </c>
      <c r="D166" s="95"/>
      <c r="E166" t="s">
        <v>350</v>
      </c>
      <c r="F166" s="110" t="s">
        <v>108</v>
      </c>
      <c r="J166" s="4" t="s">
        <v>117</v>
      </c>
      <c r="K166" s="14"/>
      <c r="L166" s="14">
        <v>78000</v>
      </c>
      <c r="N166">
        <v>37200</v>
      </c>
      <c r="O166">
        <v>30000</v>
      </c>
    </row>
    <row r="167" spans="1:15" x14ac:dyDescent="0.3">
      <c r="A167" s="38">
        <v>46083</v>
      </c>
      <c r="B167" t="s">
        <v>282</v>
      </c>
      <c r="C167" s="11"/>
      <c r="D167" s="11"/>
      <c r="E167" t="s">
        <v>358</v>
      </c>
      <c r="F167" s="110" t="s">
        <v>108</v>
      </c>
      <c r="J167" s="4" t="s">
        <v>94</v>
      </c>
      <c r="K167" s="14"/>
      <c r="L167" s="14">
        <v>631577</v>
      </c>
      <c r="N167">
        <v>9200</v>
      </c>
      <c r="O167">
        <v>37200</v>
      </c>
    </row>
    <row r="168" spans="1:15" x14ac:dyDescent="0.3">
      <c r="A168" s="38">
        <v>46083</v>
      </c>
      <c r="B168" t="s">
        <v>220</v>
      </c>
      <c r="C168" s="11"/>
      <c r="D168" s="11">
        <v>200000</v>
      </c>
      <c r="E168" t="s">
        <v>359</v>
      </c>
      <c r="F168" s="110" t="s">
        <v>108</v>
      </c>
      <c r="J168" s="4" t="s">
        <v>246</v>
      </c>
      <c r="K168" s="14"/>
      <c r="L168" s="14">
        <v>81930</v>
      </c>
      <c r="N168">
        <v>50000</v>
      </c>
      <c r="O168">
        <v>49400</v>
      </c>
    </row>
    <row r="169" spans="1:15" x14ac:dyDescent="0.3">
      <c r="A169" s="38">
        <v>46083</v>
      </c>
      <c r="B169" t="s">
        <v>282</v>
      </c>
      <c r="C169" s="11"/>
      <c r="D169" s="11"/>
      <c r="E169" t="s">
        <v>360</v>
      </c>
      <c r="F169" s="110" t="s">
        <v>108</v>
      </c>
      <c r="J169" s="4" t="s">
        <v>55</v>
      </c>
      <c r="K169" s="14"/>
      <c r="L169" s="14">
        <v>938028</v>
      </c>
      <c r="N169">
        <v>60400</v>
      </c>
      <c r="O169">
        <v>60400</v>
      </c>
    </row>
    <row r="170" spans="1:15" x14ac:dyDescent="0.3">
      <c r="A170" s="38">
        <v>46083</v>
      </c>
      <c r="B170" t="s">
        <v>282</v>
      </c>
      <c r="C170" s="11"/>
      <c r="D170" s="11"/>
      <c r="E170" t="s">
        <v>361</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2799843</v>
      </c>
      <c r="N171">
        <v>13670</v>
      </c>
      <c r="O171">
        <v>1000</v>
      </c>
    </row>
    <row r="172" spans="1:15" x14ac:dyDescent="0.3">
      <c r="A172" s="38">
        <v>46083</v>
      </c>
      <c r="B172" t="s">
        <v>169</v>
      </c>
      <c r="C172" s="11">
        <v>1000</v>
      </c>
      <c r="D172" s="11"/>
      <c r="E172" t="s">
        <v>341</v>
      </c>
      <c r="F172" s="110" t="s">
        <v>108</v>
      </c>
      <c r="J172" s="4" t="s">
        <v>54</v>
      </c>
      <c r="K172" s="14"/>
      <c r="L172" s="14">
        <v>177441.4</v>
      </c>
      <c r="N172">
        <v>18120</v>
      </c>
      <c r="O172">
        <v>35000</v>
      </c>
    </row>
    <row r="173" spans="1:15" x14ac:dyDescent="0.3">
      <c r="A173" s="38">
        <v>46083</v>
      </c>
      <c r="B173" t="s">
        <v>282</v>
      </c>
      <c r="C173" s="11"/>
      <c r="D173" s="11"/>
      <c r="F173" s="110" t="s">
        <v>108</v>
      </c>
      <c r="J173" s="4" t="s">
        <v>221</v>
      </c>
      <c r="K173" s="14"/>
      <c r="L173" s="14">
        <v>971582</v>
      </c>
      <c r="N173">
        <v>7650</v>
      </c>
      <c r="O173">
        <v>29600</v>
      </c>
    </row>
    <row r="174" spans="1:15" x14ac:dyDescent="0.3">
      <c r="A174" s="38">
        <v>46083</v>
      </c>
      <c r="B174" t="s">
        <v>282</v>
      </c>
      <c r="C174" s="11"/>
      <c r="D174" s="11"/>
      <c r="E174" t="s">
        <v>362</v>
      </c>
      <c r="F174" s="110" t="s">
        <v>108</v>
      </c>
      <c r="J174" s="4" t="s">
        <v>212</v>
      </c>
      <c r="K174" s="14">
        <v>946090.73646671569</v>
      </c>
      <c r="L174" s="14">
        <v>401506</v>
      </c>
      <c r="N174">
        <v>25000</v>
      </c>
      <c r="O174">
        <v>20000</v>
      </c>
    </row>
    <row r="175" spans="1:15" x14ac:dyDescent="0.3">
      <c r="A175" s="38">
        <v>46082</v>
      </c>
      <c r="B175" t="s">
        <v>282</v>
      </c>
      <c r="C175" s="11"/>
      <c r="D175" s="11"/>
      <c r="E175" t="s">
        <v>363</v>
      </c>
      <c r="F175" s="110" t="s">
        <v>108</v>
      </c>
      <c r="J175" s="4" t="s">
        <v>225</v>
      </c>
      <c r="K175" s="14">
        <v>1147303</v>
      </c>
      <c r="L175" s="14"/>
      <c r="N175">
        <v>12000</v>
      </c>
      <c r="O175">
        <v>20800</v>
      </c>
    </row>
    <row r="176" spans="1:15" x14ac:dyDescent="0.3">
      <c r="A176" s="38">
        <v>46083</v>
      </c>
      <c r="B176" t="s">
        <v>282</v>
      </c>
      <c r="C176" s="11"/>
      <c r="D176" s="11"/>
      <c r="E176" t="s">
        <v>363</v>
      </c>
      <c r="F176" s="110" t="s">
        <v>108</v>
      </c>
      <c r="J176" s="4" t="s">
        <v>103</v>
      </c>
      <c r="K176" s="14"/>
      <c r="L176" s="14"/>
      <c r="N176">
        <v>22650</v>
      </c>
      <c r="O176">
        <v>19200</v>
      </c>
    </row>
    <row r="177" spans="1:15" x14ac:dyDescent="0.3">
      <c r="A177" s="38">
        <v>46083</v>
      </c>
      <c r="B177" t="s">
        <v>357</v>
      </c>
      <c r="C177" s="11">
        <v>12000</v>
      </c>
      <c r="D177" s="11"/>
      <c r="E177" t="s">
        <v>360</v>
      </c>
      <c r="F177" s="110" t="s">
        <v>108</v>
      </c>
      <c r="J177" s="4" t="s">
        <v>409</v>
      </c>
      <c r="K177" s="14">
        <v>675000</v>
      </c>
      <c r="L177" s="14"/>
      <c r="N177">
        <v>22650</v>
      </c>
    </row>
    <row r="178" spans="1:15" x14ac:dyDescent="0.3">
      <c r="A178" s="38">
        <v>46082</v>
      </c>
      <c r="B178" t="s">
        <v>220</v>
      </c>
      <c r="C178" s="11"/>
      <c r="D178" s="11">
        <f>9700+11200</f>
        <v>20900</v>
      </c>
      <c r="E178" t="s">
        <v>366</v>
      </c>
      <c r="F178" s="110" t="s">
        <v>108</v>
      </c>
      <c r="J178" s="4" t="s">
        <v>245</v>
      </c>
      <c r="K178" s="14">
        <v>1493080</v>
      </c>
      <c r="L178" s="14"/>
      <c r="N178">
        <v>24400</v>
      </c>
    </row>
    <row r="179" spans="1:15" x14ac:dyDescent="0.3">
      <c r="A179" s="38">
        <v>46083</v>
      </c>
      <c r="B179" t="s">
        <v>55</v>
      </c>
      <c r="C179" s="11">
        <v>20900</v>
      </c>
      <c r="D179" s="11"/>
      <c r="E179" t="s">
        <v>366</v>
      </c>
      <c r="F179" s="110" t="s">
        <v>108</v>
      </c>
      <c r="J179" s="4" t="s">
        <v>115</v>
      </c>
      <c r="K179" s="14"/>
      <c r="L179" s="14">
        <v>600000</v>
      </c>
      <c r="N179">
        <v>15000</v>
      </c>
      <c r="O179">
        <v>20850</v>
      </c>
    </row>
    <row r="180" spans="1:15" x14ac:dyDescent="0.3">
      <c r="A180" s="38">
        <v>46083</v>
      </c>
      <c r="B180" t="s">
        <v>297</v>
      </c>
      <c r="C180" s="11">
        <v>23000</v>
      </c>
      <c r="D180" s="11"/>
      <c r="E180" t="s">
        <v>367</v>
      </c>
      <c r="F180" s="110" t="s">
        <v>108</v>
      </c>
      <c r="J180" s="4" t="s">
        <v>35</v>
      </c>
      <c r="K180" s="14">
        <v>1000000</v>
      </c>
      <c r="L180" s="14"/>
      <c r="N180">
        <v>22650</v>
      </c>
      <c r="O180">
        <v>16630</v>
      </c>
    </row>
    <row r="181" spans="1:15" x14ac:dyDescent="0.3">
      <c r="A181" s="38">
        <v>46083</v>
      </c>
      <c r="B181" t="s">
        <v>220</v>
      </c>
      <c r="C181" s="11"/>
      <c r="D181" s="11">
        <v>23000</v>
      </c>
      <c r="E181" t="s">
        <v>367</v>
      </c>
      <c r="F181" s="110" t="s">
        <v>108</v>
      </c>
      <c r="J181" s="4" t="s">
        <v>422</v>
      </c>
      <c r="K181" s="14">
        <v>200000</v>
      </c>
      <c r="L181" s="14"/>
      <c r="N181">
        <v>25000</v>
      </c>
      <c r="O181">
        <v>16630</v>
      </c>
    </row>
    <row r="182" spans="1:15" x14ac:dyDescent="0.3">
      <c r="A182" s="38">
        <v>46083</v>
      </c>
      <c r="B182" t="s">
        <v>54</v>
      </c>
      <c r="C182" s="11">
        <v>2000</v>
      </c>
      <c r="D182" s="11"/>
      <c r="E182" t="s">
        <v>368</v>
      </c>
      <c r="F182" s="110" t="s">
        <v>108</v>
      </c>
      <c r="J182" s="4" t="s">
        <v>297</v>
      </c>
      <c r="K182" s="14"/>
      <c r="L182" s="14">
        <v>152125</v>
      </c>
      <c r="N182">
        <v>20000</v>
      </c>
      <c r="O182">
        <v>7650</v>
      </c>
    </row>
    <row r="183" spans="1:15" x14ac:dyDescent="0.3">
      <c r="A183" s="38">
        <v>46083</v>
      </c>
      <c r="B183" t="s">
        <v>225</v>
      </c>
      <c r="C183" s="11"/>
      <c r="D183" s="11">
        <v>100000</v>
      </c>
      <c r="E183" t="s">
        <v>369</v>
      </c>
      <c r="F183" s="110" t="s">
        <v>108</v>
      </c>
      <c r="J183" s="4" t="s">
        <v>169</v>
      </c>
      <c r="K183" s="14"/>
      <c r="L183" s="14">
        <v>2014860</v>
      </c>
      <c r="N183">
        <v>16650</v>
      </c>
      <c r="O183">
        <v>17000</v>
      </c>
    </row>
    <row r="184" spans="1:15" x14ac:dyDescent="0.3">
      <c r="A184" s="38">
        <v>46083</v>
      </c>
      <c r="B184" t="s">
        <v>55</v>
      </c>
      <c r="C184" s="11">
        <v>1600</v>
      </c>
      <c r="D184" s="11"/>
      <c r="E184" t="s">
        <v>370</v>
      </c>
      <c r="F184" s="110" t="s">
        <v>108</v>
      </c>
      <c r="J184" s="4" t="s">
        <v>273</v>
      </c>
      <c r="K184" s="14"/>
      <c r="L184" s="14">
        <v>251000</v>
      </c>
      <c r="N184">
        <v>29600</v>
      </c>
      <c r="O184">
        <v>16650</v>
      </c>
    </row>
    <row r="185" spans="1:15" x14ac:dyDescent="0.3">
      <c r="A185" s="38">
        <v>46083</v>
      </c>
      <c r="B185" t="s">
        <v>282</v>
      </c>
      <c r="C185" s="11"/>
      <c r="D185" s="11"/>
      <c r="E185" t="s">
        <v>371</v>
      </c>
      <c r="F185" s="110" t="s">
        <v>108</v>
      </c>
      <c r="J185" s="4" t="s">
        <v>220</v>
      </c>
      <c r="K185" s="14">
        <v>10054880</v>
      </c>
      <c r="L185" s="14">
        <v>8147708</v>
      </c>
      <c r="N185">
        <v>16630</v>
      </c>
      <c r="O185">
        <v>24400</v>
      </c>
    </row>
    <row r="186" spans="1:15" x14ac:dyDescent="0.3">
      <c r="A186" s="38">
        <v>46083</v>
      </c>
      <c r="B186" t="s">
        <v>55</v>
      </c>
      <c r="C186" s="11">
        <v>2120</v>
      </c>
      <c r="D186" s="11"/>
      <c r="E186" t="s">
        <v>372</v>
      </c>
      <c r="F186" s="110" t="s">
        <v>108</v>
      </c>
      <c r="J186" s="4" t="s">
        <v>165</v>
      </c>
      <c r="K186" s="14"/>
      <c r="L186" s="14">
        <v>185000</v>
      </c>
      <c r="N186">
        <v>16650</v>
      </c>
      <c r="O186">
        <v>15000</v>
      </c>
    </row>
    <row r="187" spans="1:15" x14ac:dyDescent="0.3">
      <c r="A187" s="38">
        <v>46083</v>
      </c>
      <c r="B187" t="s">
        <v>357</v>
      </c>
      <c r="C187" s="11">
        <v>5000</v>
      </c>
      <c r="D187" s="11"/>
      <c r="E187" t="s">
        <v>373</v>
      </c>
      <c r="F187" s="110" t="s">
        <v>108</v>
      </c>
      <c r="J187" s="4" t="s">
        <v>175</v>
      </c>
      <c r="K187" s="14">
        <v>704000</v>
      </c>
      <c r="L187" s="14"/>
      <c r="N187">
        <v>160000</v>
      </c>
      <c r="O187">
        <v>16650</v>
      </c>
    </row>
    <row r="188" spans="1:15" x14ac:dyDescent="0.3">
      <c r="A188" s="38">
        <v>46083</v>
      </c>
      <c r="B188" t="s">
        <v>357</v>
      </c>
      <c r="C188" s="11">
        <v>10000</v>
      </c>
      <c r="D188" s="11"/>
      <c r="E188" t="s">
        <v>275</v>
      </c>
      <c r="F188" s="110" t="s">
        <v>108</v>
      </c>
      <c r="J188" s="4" t="s">
        <v>176</v>
      </c>
      <c r="K188" s="14"/>
      <c r="L188" s="14">
        <v>136380</v>
      </c>
      <c r="N188">
        <v>17000</v>
      </c>
      <c r="O188">
        <v>13650</v>
      </c>
    </row>
    <row r="189" spans="1:15" x14ac:dyDescent="0.3">
      <c r="A189" s="38">
        <v>46083</v>
      </c>
      <c r="B189" t="s">
        <v>220</v>
      </c>
      <c r="C189" s="11"/>
      <c r="D189" s="11">
        <v>175000</v>
      </c>
      <c r="E189" t="s">
        <v>374</v>
      </c>
      <c r="F189" s="110" t="s">
        <v>108</v>
      </c>
      <c r="J189" s="4" t="s">
        <v>51</v>
      </c>
      <c r="K189" s="14"/>
      <c r="L189" s="14">
        <v>4798251</v>
      </c>
      <c r="N189">
        <v>19200</v>
      </c>
      <c r="O189">
        <v>12000</v>
      </c>
    </row>
    <row r="190" spans="1:15" x14ac:dyDescent="0.3">
      <c r="A190" s="38">
        <v>46083</v>
      </c>
      <c r="B190" t="s">
        <v>222</v>
      </c>
      <c r="C190" s="95">
        <v>125000</v>
      </c>
      <c r="D190" s="95"/>
      <c r="E190" t="s">
        <v>375</v>
      </c>
      <c r="F190" s="110" t="s">
        <v>108</v>
      </c>
      <c r="J190" s="4" t="s">
        <v>530</v>
      </c>
      <c r="K190" s="14"/>
      <c r="L190" s="14">
        <v>312000</v>
      </c>
      <c r="N190">
        <v>20000</v>
      </c>
      <c r="O190">
        <v>14000</v>
      </c>
    </row>
    <row r="191" spans="1:15" x14ac:dyDescent="0.3">
      <c r="A191" s="114">
        <v>46083</v>
      </c>
      <c r="B191" t="s">
        <v>246</v>
      </c>
      <c r="C191" s="11">
        <v>430</v>
      </c>
      <c r="D191" s="11"/>
      <c r="E191" t="s">
        <v>376</v>
      </c>
      <c r="F191" s="110" t="s">
        <v>108</v>
      </c>
      <c r="J191" s="4" t="s">
        <v>294</v>
      </c>
      <c r="K191" s="14"/>
      <c r="L191" s="14">
        <v>21000</v>
      </c>
      <c r="N191">
        <v>20850</v>
      </c>
      <c r="O191">
        <v>25000</v>
      </c>
    </row>
    <row r="192" spans="1:15" x14ac:dyDescent="0.3">
      <c r="A192" s="38">
        <v>46083</v>
      </c>
      <c r="B192" t="s">
        <v>221</v>
      </c>
      <c r="C192" s="95">
        <v>1000</v>
      </c>
      <c r="D192" s="95"/>
      <c r="E192" t="s">
        <v>350</v>
      </c>
      <c r="F192" s="110" t="s">
        <v>108</v>
      </c>
      <c r="J192" s="4" t="s">
        <v>192</v>
      </c>
      <c r="K192" s="14">
        <v>180000</v>
      </c>
      <c r="L192" s="14"/>
      <c r="N192">
        <v>16650</v>
      </c>
      <c r="O192">
        <v>20000</v>
      </c>
    </row>
    <row r="193" spans="1:15" x14ac:dyDescent="0.3">
      <c r="A193" s="114">
        <v>46083</v>
      </c>
      <c r="B193" t="s">
        <v>312</v>
      </c>
      <c r="C193" s="11"/>
      <c r="D193" s="11">
        <v>8701</v>
      </c>
      <c r="E193" t="s">
        <v>378</v>
      </c>
      <c r="F193" s="110" t="s">
        <v>108</v>
      </c>
      <c r="J193" s="4" t="s">
        <v>190</v>
      </c>
      <c r="K193" s="14">
        <v>20340</v>
      </c>
      <c r="L193" s="14"/>
      <c r="N193">
        <v>14000</v>
      </c>
      <c r="O193">
        <v>25000</v>
      </c>
    </row>
    <row r="194" spans="1:15" x14ac:dyDescent="0.3">
      <c r="A194" s="114">
        <v>46083</v>
      </c>
      <c r="B194" t="s">
        <v>54</v>
      </c>
      <c r="C194" s="11">
        <v>8701</v>
      </c>
      <c r="D194" s="11"/>
      <c r="E194" t="s">
        <v>267</v>
      </c>
      <c r="F194" s="110" t="s">
        <v>108</v>
      </c>
      <c r="J194" s="4" t="s">
        <v>298</v>
      </c>
      <c r="K194" s="14"/>
      <c r="L194" s="14">
        <v>611684</v>
      </c>
      <c r="N194">
        <v>3900</v>
      </c>
      <c r="O194">
        <v>3900</v>
      </c>
    </row>
    <row r="195" spans="1:15" x14ac:dyDescent="0.3">
      <c r="A195" s="114">
        <v>46083</v>
      </c>
      <c r="B195" t="s">
        <v>228</v>
      </c>
      <c r="C195" s="11"/>
      <c r="D195" s="11">
        <v>90000</v>
      </c>
      <c r="E195" t="s">
        <v>379</v>
      </c>
      <c r="F195" s="110" t="s">
        <v>108</v>
      </c>
      <c r="J195" s="4" t="s">
        <v>277</v>
      </c>
      <c r="K195" s="14"/>
      <c r="L195" s="14">
        <v>274336</v>
      </c>
      <c r="N195">
        <v>35000</v>
      </c>
      <c r="O195">
        <v>18120</v>
      </c>
    </row>
    <row r="196" spans="1:15" x14ac:dyDescent="0.3">
      <c r="A196" s="38">
        <v>46083</v>
      </c>
      <c r="B196" t="s">
        <v>220</v>
      </c>
      <c r="C196" s="95">
        <v>90000</v>
      </c>
      <c r="D196" s="95"/>
      <c r="E196" t="s">
        <v>264</v>
      </c>
      <c r="F196" s="110" t="s">
        <v>108</v>
      </c>
      <c r="J196" s="4" t="s">
        <v>202</v>
      </c>
      <c r="K196" s="14">
        <v>135000</v>
      </c>
      <c r="L196" s="14"/>
      <c r="O196">
        <v>22650</v>
      </c>
    </row>
    <row r="197" spans="1:15" x14ac:dyDescent="0.3">
      <c r="A197" s="114">
        <v>46084</v>
      </c>
      <c r="B197" t="s">
        <v>9</v>
      </c>
      <c r="C197" s="11"/>
      <c r="D197" s="11">
        <v>60000</v>
      </c>
      <c r="E197" t="s">
        <v>385</v>
      </c>
      <c r="F197" s="110" t="s">
        <v>108</v>
      </c>
      <c r="J197" s="4" t="s">
        <v>211</v>
      </c>
      <c r="K197" s="14">
        <v>5281726</v>
      </c>
      <c r="L197" s="14"/>
      <c r="O197">
        <v>22650</v>
      </c>
    </row>
    <row r="198" spans="1:15" x14ac:dyDescent="0.3">
      <c r="A198" s="114">
        <v>46084</v>
      </c>
      <c r="B198" t="s">
        <v>165</v>
      </c>
      <c r="C198" s="11">
        <v>2500</v>
      </c>
      <c r="D198" s="11"/>
      <c r="E198" t="s">
        <v>386</v>
      </c>
      <c r="F198" s="110" t="s">
        <v>108</v>
      </c>
      <c r="J198" s="4" t="s">
        <v>222</v>
      </c>
      <c r="K198" s="14"/>
      <c r="L198" s="14">
        <v>1480725</v>
      </c>
      <c r="O198">
        <v>160000</v>
      </c>
    </row>
    <row r="199" spans="1:15" x14ac:dyDescent="0.3">
      <c r="A199" s="114">
        <v>46084</v>
      </c>
      <c r="B199" t="s">
        <v>257</v>
      </c>
      <c r="C199" s="11">
        <v>100000</v>
      </c>
      <c r="D199" s="11"/>
      <c r="E199" t="s">
        <v>387</v>
      </c>
      <c r="F199" s="110" t="s">
        <v>108</v>
      </c>
      <c r="J199" s="4" t="s">
        <v>228</v>
      </c>
      <c r="K199" s="14">
        <v>1140000</v>
      </c>
      <c r="L199" s="14"/>
    </row>
    <row r="200" spans="1:15" x14ac:dyDescent="0.3">
      <c r="A200" s="114">
        <v>46084</v>
      </c>
      <c r="B200" t="s">
        <v>312</v>
      </c>
      <c r="C200" s="11"/>
      <c r="D200" s="11">
        <v>500000</v>
      </c>
      <c r="E200" t="s">
        <v>388</v>
      </c>
      <c r="F200" s="110" t="s">
        <v>108</v>
      </c>
      <c r="J200" s="4" t="s">
        <v>477</v>
      </c>
      <c r="K200" s="14"/>
      <c r="L200" s="14">
        <v>187052</v>
      </c>
    </row>
    <row r="201" spans="1:15" x14ac:dyDescent="0.3">
      <c r="A201" s="114">
        <v>46084</v>
      </c>
      <c r="B201" t="s">
        <v>55</v>
      </c>
      <c r="C201" s="11">
        <v>10500</v>
      </c>
      <c r="D201" s="11"/>
      <c r="E201" t="s">
        <v>389</v>
      </c>
      <c r="F201" s="110" t="s">
        <v>108</v>
      </c>
      <c r="J201" s="4" t="s">
        <v>463</v>
      </c>
      <c r="K201" s="14">
        <v>40000</v>
      </c>
      <c r="L201" s="14"/>
    </row>
    <row r="202" spans="1:15" x14ac:dyDescent="0.3">
      <c r="A202" s="114">
        <v>46084</v>
      </c>
      <c r="B202" t="s">
        <v>273</v>
      </c>
      <c r="C202" s="11">
        <v>150000</v>
      </c>
      <c r="D202" s="11"/>
      <c r="E202" t="s">
        <v>390</v>
      </c>
      <c r="F202" s="110" t="s">
        <v>108</v>
      </c>
      <c r="J202" s="4" t="s">
        <v>249</v>
      </c>
      <c r="K202" s="14"/>
      <c r="L202" s="14">
        <v>215795</v>
      </c>
    </row>
    <row r="203" spans="1:15" x14ac:dyDescent="0.3">
      <c r="A203" s="114">
        <v>46084</v>
      </c>
      <c r="B203" t="s">
        <v>222</v>
      </c>
      <c r="C203" s="11">
        <v>100210</v>
      </c>
      <c r="D203" s="11"/>
      <c r="E203" t="s">
        <v>391</v>
      </c>
      <c r="F203" s="110" t="s">
        <v>108</v>
      </c>
      <c r="J203" s="4" t="s">
        <v>252</v>
      </c>
      <c r="K203" s="14"/>
      <c r="L203" s="14">
        <v>100000</v>
      </c>
    </row>
    <row r="204" spans="1:15" x14ac:dyDescent="0.3">
      <c r="A204" s="114">
        <v>46084</v>
      </c>
      <c r="B204" t="s">
        <v>312</v>
      </c>
      <c r="C204" s="11"/>
      <c r="D204" s="11">
        <v>500000</v>
      </c>
      <c r="E204" t="s">
        <v>392</v>
      </c>
      <c r="F204" s="110" t="s">
        <v>108</v>
      </c>
      <c r="J204" s="4" t="s">
        <v>257</v>
      </c>
      <c r="K204" s="14"/>
      <c r="L204" s="14">
        <v>221490</v>
      </c>
    </row>
    <row r="205" spans="1:15" x14ac:dyDescent="0.3">
      <c r="A205" s="114">
        <v>46084</v>
      </c>
      <c r="B205" t="s">
        <v>113</v>
      </c>
      <c r="C205" s="11">
        <v>70415</v>
      </c>
      <c r="D205" s="11"/>
      <c r="E205" t="s">
        <v>216</v>
      </c>
      <c r="F205" s="110" t="s">
        <v>108</v>
      </c>
      <c r="J205" s="4" t="s">
        <v>232</v>
      </c>
      <c r="K205" s="14">
        <v>169278</v>
      </c>
      <c r="L205" s="14"/>
    </row>
    <row r="206" spans="1:15" x14ac:dyDescent="0.3">
      <c r="A206" s="114">
        <v>46084</v>
      </c>
      <c r="B206" t="s">
        <v>169</v>
      </c>
      <c r="C206" s="11">
        <v>250000</v>
      </c>
      <c r="D206" s="11"/>
      <c r="E206" t="s">
        <v>393</v>
      </c>
      <c r="F206" s="110" t="s">
        <v>108</v>
      </c>
      <c r="J206" s="4" t="s">
        <v>312</v>
      </c>
      <c r="K206" s="14">
        <v>2526791.4930504756</v>
      </c>
      <c r="L206" s="14"/>
    </row>
    <row r="207" spans="1:15" x14ac:dyDescent="0.3">
      <c r="A207" s="114">
        <v>46084</v>
      </c>
      <c r="B207" t="s">
        <v>298</v>
      </c>
      <c r="C207" s="11">
        <v>150000</v>
      </c>
      <c r="D207" s="11"/>
      <c r="E207" t="s">
        <v>394</v>
      </c>
      <c r="F207" s="110" t="s">
        <v>108</v>
      </c>
      <c r="J207" s="4" t="s">
        <v>377</v>
      </c>
      <c r="K207" s="14">
        <v>257000</v>
      </c>
      <c r="L207" s="14"/>
    </row>
    <row r="208" spans="1:15" x14ac:dyDescent="0.3">
      <c r="A208" s="114">
        <v>46084</v>
      </c>
      <c r="B208" t="s">
        <v>222</v>
      </c>
      <c r="C208" s="11">
        <v>31000</v>
      </c>
      <c r="D208" s="11"/>
      <c r="E208" t="s">
        <v>242</v>
      </c>
      <c r="F208" s="110" t="s">
        <v>108</v>
      </c>
      <c r="J208" s="4" t="s">
        <v>226</v>
      </c>
      <c r="K208" s="14"/>
      <c r="L208" s="14">
        <v>88500</v>
      </c>
    </row>
    <row r="209" spans="1:12" x14ac:dyDescent="0.3">
      <c r="A209" s="114">
        <v>46084</v>
      </c>
      <c r="B209" t="s">
        <v>377</v>
      </c>
      <c r="C209" s="11"/>
      <c r="D209" s="11">
        <v>257000</v>
      </c>
      <c r="E209" t="s">
        <v>395</v>
      </c>
      <c r="F209" s="110" t="s">
        <v>108</v>
      </c>
      <c r="J209" s="4" t="s">
        <v>229</v>
      </c>
      <c r="K209" s="14"/>
      <c r="L209" s="14">
        <v>400000</v>
      </c>
    </row>
    <row r="210" spans="1:12" x14ac:dyDescent="0.3">
      <c r="A210" s="114">
        <v>46084</v>
      </c>
      <c r="B210" t="s">
        <v>212</v>
      </c>
      <c r="C210" s="11">
        <f>650+760</f>
        <v>1410</v>
      </c>
      <c r="D210" s="11"/>
      <c r="F210" s="110" t="s">
        <v>108</v>
      </c>
      <c r="J210" s="4" t="s">
        <v>444</v>
      </c>
      <c r="K210" s="14"/>
      <c r="L210" s="14">
        <v>10000</v>
      </c>
    </row>
    <row r="211" spans="1:12" x14ac:dyDescent="0.3">
      <c r="A211" s="114">
        <v>46084</v>
      </c>
      <c r="B211" t="s">
        <v>222</v>
      </c>
      <c r="C211" s="11">
        <v>18500</v>
      </c>
      <c r="D211" s="11"/>
      <c r="E211" t="s">
        <v>242</v>
      </c>
      <c r="F211" s="110" t="s">
        <v>108</v>
      </c>
      <c r="J211" s="4" t="s">
        <v>462</v>
      </c>
      <c r="K211" s="14">
        <v>130000</v>
      </c>
      <c r="L211" s="14"/>
    </row>
    <row r="212" spans="1:12" x14ac:dyDescent="0.3">
      <c r="A212" s="114">
        <v>46084</v>
      </c>
      <c r="B212" t="s">
        <v>249</v>
      </c>
      <c r="C212" s="11">
        <v>3600</v>
      </c>
      <c r="D212" s="11"/>
      <c r="E212" t="s">
        <v>247</v>
      </c>
      <c r="F212" s="110" t="s">
        <v>108</v>
      </c>
      <c r="J212" s="4" t="s">
        <v>500</v>
      </c>
      <c r="K212" s="14">
        <v>463280</v>
      </c>
      <c r="L212" s="14"/>
    </row>
    <row r="213" spans="1:12" x14ac:dyDescent="0.3">
      <c r="A213" s="114">
        <v>46084</v>
      </c>
      <c r="B213" t="s">
        <v>54</v>
      </c>
      <c r="C213" s="11">
        <v>5000</v>
      </c>
      <c r="D213" s="11"/>
      <c r="E213" t="s">
        <v>290</v>
      </c>
      <c r="F213" s="110" t="s">
        <v>108</v>
      </c>
      <c r="J213" s="4" t="s">
        <v>546</v>
      </c>
      <c r="K213" s="14"/>
      <c r="L213" s="14">
        <v>150000</v>
      </c>
    </row>
    <row r="214" spans="1:12" x14ac:dyDescent="0.3">
      <c r="A214" s="114">
        <v>46085</v>
      </c>
      <c r="B214" t="s">
        <v>228</v>
      </c>
      <c r="C214" s="11"/>
      <c r="D214" s="11">
        <v>100000</v>
      </c>
      <c r="E214" t="s">
        <v>365</v>
      </c>
      <c r="F214" s="110" t="s">
        <v>108</v>
      </c>
      <c r="J214" s="4" t="s">
        <v>28</v>
      </c>
      <c r="K214" s="14">
        <v>27348769.229517188</v>
      </c>
      <c r="L214" s="14">
        <v>26722958.399999999</v>
      </c>
    </row>
    <row r="215" spans="1:12" x14ac:dyDescent="0.3">
      <c r="A215" s="114">
        <v>46085</v>
      </c>
      <c r="B215" t="s">
        <v>226</v>
      </c>
      <c r="C215" s="11">
        <v>84500</v>
      </c>
      <c r="D215" s="11"/>
      <c r="E215" t="s">
        <v>396</v>
      </c>
      <c r="F215" s="110" t="s">
        <v>108</v>
      </c>
    </row>
    <row r="216" spans="1:12" x14ac:dyDescent="0.3">
      <c r="A216" s="114">
        <v>46085</v>
      </c>
      <c r="B216" t="s">
        <v>222</v>
      </c>
      <c r="C216" s="11">
        <v>2000</v>
      </c>
      <c r="D216" s="11"/>
      <c r="E216" t="s">
        <v>341</v>
      </c>
      <c r="F216" s="110" t="s">
        <v>108</v>
      </c>
    </row>
    <row r="217" spans="1:12" x14ac:dyDescent="0.3">
      <c r="A217" s="114">
        <v>46085</v>
      </c>
      <c r="B217" t="s">
        <v>169</v>
      </c>
      <c r="C217" s="11">
        <v>1000</v>
      </c>
      <c r="D217" s="11"/>
      <c r="E217" t="s">
        <v>341</v>
      </c>
      <c r="F217" s="110" t="s">
        <v>108</v>
      </c>
    </row>
    <row r="218" spans="1:12" x14ac:dyDescent="0.3">
      <c r="A218" s="114">
        <v>46085</v>
      </c>
      <c r="B218" t="s">
        <v>282</v>
      </c>
      <c r="C218" s="11"/>
      <c r="D218" s="11"/>
      <c r="E218" t="s">
        <v>329</v>
      </c>
      <c r="F218" s="110" t="s">
        <v>108</v>
      </c>
    </row>
    <row r="219" spans="1:12" x14ac:dyDescent="0.3">
      <c r="A219" s="114">
        <v>46085</v>
      </c>
      <c r="B219" t="s">
        <v>55</v>
      </c>
      <c r="C219" s="11">
        <v>200000</v>
      </c>
      <c r="D219" s="11"/>
      <c r="E219" t="s">
        <v>397</v>
      </c>
      <c r="F219" s="110" t="s">
        <v>108</v>
      </c>
    </row>
    <row r="220" spans="1:12" x14ac:dyDescent="0.3">
      <c r="A220" s="114">
        <v>46085</v>
      </c>
      <c r="B220" t="s">
        <v>222</v>
      </c>
      <c r="C220" s="11">
        <v>140000</v>
      </c>
      <c r="D220" s="11"/>
      <c r="E220" t="s">
        <v>398</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400</v>
      </c>
      <c r="F223" s="110" t="s">
        <v>108</v>
      </c>
    </row>
    <row r="224" spans="1:12" x14ac:dyDescent="0.3">
      <c r="A224" s="114">
        <v>46085</v>
      </c>
      <c r="B224" t="s">
        <v>55</v>
      </c>
      <c r="C224" s="11">
        <v>1860</v>
      </c>
      <c r="D224" s="11"/>
      <c r="E224" t="s">
        <v>399</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312</v>
      </c>
      <c r="C228" s="11"/>
      <c r="D228" s="11">
        <v>5110</v>
      </c>
      <c r="E228" t="s">
        <v>402</v>
      </c>
      <c r="F228" s="110" t="s">
        <v>108</v>
      </c>
    </row>
    <row r="229" spans="1:6" x14ac:dyDescent="0.3">
      <c r="A229" s="114">
        <v>46086</v>
      </c>
      <c r="B229" t="s">
        <v>357</v>
      </c>
      <c r="C229" s="11">
        <v>25000</v>
      </c>
      <c r="D229" s="11"/>
      <c r="E229" t="s">
        <v>403</v>
      </c>
      <c r="F229" s="110" t="s">
        <v>108</v>
      </c>
    </row>
    <row r="230" spans="1:6" x14ac:dyDescent="0.3">
      <c r="A230" s="114">
        <v>46086</v>
      </c>
      <c r="B230" t="s">
        <v>282</v>
      </c>
      <c r="C230" s="11">
        <v>10000</v>
      </c>
      <c r="D230" s="11"/>
      <c r="E230" t="s">
        <v>404</v>
      </c>
      <c r="F230" s="110" t="s">
        <v>108</v>
      </c>
    </row>
    <row r="231" spans="1:6" x14ac:dyDescent="0.3">
      <c r="A231" s="114">
        <v>46086</v>
      </c>
      <c r="B231" t="s">
        <v>225</v>
      </c>
      <c r="C231" s="11"/>
      <c r="D231" s="11">
        <v>100000</v>
      </c>
      <c r="E231" t="s">
        <v>405</v>
      </c>
      <c r="F231" s="110" t="s">
        <v>108</v>
      </c>
    </row>
    <row r="232" spans="1:6" x14ac:dyDescent="0.3">
      <c r="A232" s="114">
        <v>46086</v>
      </c>
      <c r="B232" t="s">
        <v>226</v>
      </c>
      <c r="C232" s="11">
        <v>4000</v>
      </c>
      <c r="D232" s="11"/>
      <c r="E232" t="s">
        <v>407</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408</v>
      </c>
      <c r="F236" s="110" t="s">
        <v>108</v>
      </c>
    </row>
    <row r="237" spans="1:6" x14ac:dyDescent="0.3">
      <c r="A237" s="114">
        <v>46087</v>
      </c>
      <c r="B237" t="s">
        <v>409</v>
      </c>
      <c r="C237" s="11"/>
      <c r="D237" s="11">
        <v>200000</v>
      </c>
      <c r="E237" t="s">
        <v>410</v>
      </c>
      <c r="F237" s="110" t="s">
        <v>108</v>
      </c>
    </row>
    <row r="238" spans="1:6" x14ac:dyDescent="0.3">
      <c r="A238" s="114">
        <v>46087</v>
      </c>
      <c r="B238" t="s">
        <v>222</v>
      </c>
      <c r="C238" s="11">
        <v>201200</v>
      </c>
      <c r="D238" s="11"/>
      <c r="E238" t="s">
        <v>411</v>
      </c>
      <c r="F238" s="110" t="s">
        <v>108</v>
      </c>
    </row>
    <row r="239" spans="1:6" x14ac:dyDescent="0.3">
      <c r="A239" s="114">
        <v>46087</v>
      </c>
      <c r="B239" t="s">
        <v>246</v>
      </c>
      <c r="C239" s="11">
        <v>1500</v>
      </c>
      <c r="D239" s="11"/>
      <c r="E239" t="s">
        <v>412</v>
      </c>
      <c r="F239" s="110" t="s">
        <v>108</v>
      </c>
    </row>
    <row r="240" spans="1:6" x14ac:dyDescent="0.3">
      <c r="A240" s="114">
        <v>46087</v>
      </c>
      <c r="B240" t="s">
        <v>246</v>
      </c>
      <c r="C240" s="11">
        <v>2600</v>
      </c>
      <c r="D240" s="11"/>
      <c r="E240" t="s">
        <v>413</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414</v>
      </c>
      <c r="F243" s="110" t="s">
        <v>108</v>
      </c>
    </row>
    <row r="244" spans="1:6" x14ac:dyDescent="0.3">
      <c r="A244" s="114">
        <v>46088</v>
      </c>
      <c r="B244" t="s">
        <v>54</v>
      </c>
      <c r="C244" s="11">
        <f>5000+3000+3000</f>
        <v>11000</v>
      </c>
      <c r="D244" s="11"/>
      <c r="E244" t="s">
        <v>290</v>
      </c>
      <c r="F244" s="110" t="s">
        <v>108</v>
      </c>
    </row>
    <row r="245" spans="1:6" x14ac:dyDescent="0.3">
      <c r="A245" s="114">
        <v>46088</v>
      </c>
      <c r="B245" t="s">
        <v>55</v>
      </c>
      <c r="C245" s="11">
        <v>2600</v>
      </c>
      <c r="D245" s="11"/>
      <c r="E245" t="s">
        <v>416</v>
      </c>
      <c r="F245" s="110" t="s">
        <v>108</v>
      </c>
    </row>
    <row r="246" spans="1:6" x14ac:dyDescent="0.3">
      <c r="A246" s="114">
        <v>46088</v>
      </c>
      <c r="B246" t="s">
        <v>357</v>
      </c>
      <c r="C246" s="11">
        <v>3000</v>
      </c>
      <c r="D246" s="11"/>
      <c r="E246" t="s">
        <v>281</v>
      </c>
      <c r="F246" s="110" t="s">
        <v>108</v>
      </c>
    </row>
    <row r="247" spans="1:6" x14ac:dyDescent="0.3">
      <c r="A247" s="114">
        <v>46088</v>
      </c>
      <c r="B247" t="s">
        <v>249</v>
      </c>
      <c r="C247" s="11">
        <v>7200</v>
      </c>
      <c r="D247" s="11"/>
      <c r="E247" t="s">
        <v>417</v>
      </c>
      <c r="F247" s="110" t="s">
        <v>108</v>
      </c>
    </row>
    <row r="248" spans="1:6" x14ac:dyDescent="0.3">
      <c r="A248" s="114">
        <v>46088</v>
      </c>
      <c r="B248" t="s">
        <v>245</v>
      </c>
      <c r="C248" s="11"/>
      <c r="D248" s="11">
        <v>508900</v>
      </c>
      <c r="E248" t="s">
        <v>418</v>
      </c>
      <c r="F248" s="110" t="s">
        <v>108</v>
      </c>
    </row>
    <row r="249" spans="1:6" x14ac:dyDescent="0.3">
      <c r="A249" s="114">
        <v>46088</v>
      </c>
      <c r="B249" t="s">
        <v>222</v>
      </c>
      <c r="C249" s="11">
        <v>1000</v>
      </c>
      <c r="D249" s="11"/>
      <c r="E249" t="s">
        <v>341</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419</v>
      </c>
      <c r="F251" s="110" t="s">
        <v>108</v>
      </c>
    </row>
    <row r="252" spans="1:6" x14ac:dyDescent="0.3">
      <c r="A252" s="114">
        <v>46088</v>
      </c>
      <c r="B252" t="s">
        <v>169</v>
      </c>
      <c r="C252" s="11">
        <v>200310</v>
      </c>
      <c r="D252" s="11"/>
      <c r="E252" t="s">
        <v>420</v>
      </c>
      <c r="F252" s="110" t="s">
        <v>108</v>
      </c>
    </row>
    <row r="253" spans="1:6" x14ac:dyDescent="0.3">
      <c r="A253" s="114">
        <v>46088</v>
      </c>
      <c r="B253" t="s">
        <v>249</v>
      </c>
      <c r="C253" s="11">
        <v>29000</v>
      </c>
      <c r="D253" s="11"/>
      <c r="E253" t="s">
        <v>421</v>
      </c>
      <c r="F253" s="110" t="s">
        <v>108</v>
      </c>
    </row>
    <row r="254" spans="1:6" x14ac:dyDescent="0.3">
      <c r="A254" s="114">
        <v>46088</v>
      </c>
      <c r="B254" t="s">
        <v>277</v>
      </c>
      <c r="C254" s="11">
        <v>50000</v>
      </c>
      <c r="D254" s="11"/>
      <c r="F254" s="110" t="s">
        <v>108</v>
      </c>
    </row>
    <row r="255" spans="1:6" x14ac:dyDescent="0.3">
      <c r="A255" s="114">
        <v>46088</v>
      </c>
      <c r="B255" t="s">
        <v>422</v>
      </c>
      <c r="C255" s="11"/>
      <c r="D255" s="11">
        <v>50000</v>
      </c>
      <c r="F255" s="110" t="s">
        <v>108</v>
      </c>
    </row>
    <row r="256" spans="1:6" x14ac:dyDescent="0.3">
      <c r="A256" s="114">
        <v>46088</v>
      </c>
      <c r="B256" t="s">
        <v>298</v>
      </c>
      <c r="C256" s="11">
        <v>100000</v>
      </c>
      <c r="D256" s="11"/>
      <c r="F256" s="110" t="s">
        <v>108</v>
      </c>
    </row>
    <row r="257" spans="1:6" x14ac:dyDescent="0.3">
      <c r="A257" s="114">
        <v>46088</v>
      </c>
      <c r="B257" t="s">
        <v>312</v>
      </c>
      <c r="C257" s="11"/>
      <c r="D257" s="11">
        <v>500000</v>
      </c>
      <c r="E257" t="s">
        <v>423</v>
      </c>
      <c r="F257" s="110" t="s">
        <v>108</v>
      </c>
    </row>
    <row r="258" spans="1:6" x14ac:dyDescent="0.3">
      <c r="A258" s="114">
        <v>46088</v>
      </c>
      <c r="B258" t="s">
        <v>282</v>
      </c>
      <c r="C258" s="11">
        <v>30000</v>
      </c>
      <c r="D258" s="11"/>
      <c r="E258" t="s">
        <v>404</v>
      </c>
      <c r="F258" s="110" t="s">
        <v>108</v>
      </c>
    </row>
    <row r="259" spans="1:6" x14ac:dyDescent="0.3">
      <c r="A259" s="114">
        <v>46088</v>
      </c>
      <c r="B259" t="s">
        <v>192</v>
      </c>
      <c r="C259" s="11"/>
      <c r="D259" s="11">
        <v>100000</v>
      </c>
      <c r="E259" t="s">
        <v>424</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425</v>
      </c>
      <c r="F261" s="110" t="s">
        <v>108</v>
      </c>
    </row>
    <row r="262" spans="1:6" x14ac:dyDescent="0.3">
      <c r="A262" s="114">
        <v>46089</v>
      </c>
      <c r="B262" t="s">
        <v>55</v>
      </c>
      <c r="C262" s="11">
        <v>10121</v>
      </c>
      <c r="D262" s="11"/>
      <c r="E262" t="s">
        <v>426</v>
      </c>
      <c r="F262" s="110" t="s">
        <v>108</v>
      </c>
    </row>
    <row r="263" spans="1:6" x14ac:dyDescent="0.3">
      <c r="A263" s="114">
        <v>46089</v>
      </c>
      <c r="B263" t="s">
        <v>357</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428</v>
      </c>
      <c r="F265" s="110" t="s">
        <v>108</v>
      </c>
    </row>
    <row r="266" spans="1:6" x14ac:dyDescent="0.3">
      <c r="A266" s="114">
        <v>46090</v>
      </c>
      <c r="B266" t="s">
        <v>225</v>
      </c>
      <c r="C266" s="95"/>
      <c r="D266" s="95">
        <v>52214</v>
      </c>
      <c r="E266" t="s">
        <v>429</v>
      </c>
      <c r="F266" s="110" t="s">
        <v>108</v>
      </c>
    </row>
    <row r="267" spans="1:6" x14ac:dyDescent="0.3">
      <c r="A267" s="114">
        <v>46090</v>
      </c>
      <c r="B267" t="s">
        <v>55</v>
      </c>
      <c r="C267" s="11">
        <v>500</v>
      </c>
      <c r="D267" s="11"/>
      <c r="E267" t="s">
        <v>430</v>
      </c>
      <c r="F267" s="110" t="s">
        <v>108</v>
      </c>
    </row>
    <row r="268" spans="1:6" x14ac:dyDescent="0.3">
      <c r="A268" s="114">
        <v>46090</v>
      </c>
      <c r="B268" t="s">
        <v>431</v>
      </c>
      <c r="C268" s="11"/>
      <c r="D268" s="11">
        <v>75000</v>
      </c>
      <c r="E268" t="s">
        <v>432</v>
      </c>
      <c r="F268" s="110" t="s">
        <v>108</v>
      </c>
    </row>
    <row r="269" spans="1:6" x14ac:dyDescent="0.3">
      <c r="A269" s="114">
        <v>46090</v>
      </c>
      <c r="B269" t="s">
        <v>55</v>
      </c>
      <c r="C269" s="11">
        <v>8407</v>
      </c>
      <c r="D269" s="11"/>
      <c r="E269" t="s">
        <v>433</v>
      </c>
      <c r="F269" s="110" t="s">
        <v>108</v>
      </c>
    </row>
    <row r="270" spans="1:6" x14ac:dyDescent="0.3">
      <c r="A270" s="114">
        <v>46090</v>
      </c>
      <c r="B270" t="s">
        <v>222</v>
      </c>
      <c r="C270" s="11">
        <v>100000</v>
      </c>
      <c r="D270" s="11"/>
      <c r="E270" t="s">
        <v>434</v>
      </c>
      <c r="F270" s="110" t="s">
        <v>108</v>
      </c>
    </row>
    <row r="271" spans="1:6" x14ac:dyDescent="0.3">
      <c r="A271" s="114">
        <v>46090</v>
      </c>
      <c r="B271" t="s">
        <v>282</v>
      </c>
      <c r="C271" s="11"/>
      <c r="D271" s="11"/>
      <c r="E271" t="s">
        <v>329</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435</v>
      </c>
      <c r="F273" s="110" t="s">
        <v>108</v>
      </c>
    </row>
    <row r="274" spans="1:6" x14ac:dyDescent="0.3">
      <c r="A274" s="114">
        <v>46091</v>
      </c>
      <c r="B274" t="s">
        <v>55</v>
      </c>
      <c r="C274" s="11">
        <v>3900</v>
      </c>
      <c r="D274" s="11"/>
      <c r="E274" t="s">
        <v>436</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437</v>
      </c>
      <c r="F276" s="110" t="s">
        <v>108</v>
      </c>
    </row>
    <row r="277" spans="1:6" x14ac:dyDescent="0.3">
      <c r="A277" s="114">
        <v>46091</v>
      </c>
      <c r="B277" t="s">
        <v>169</v>
      </c>
      <c r="C277" s="11">
        <v>200250</v>
      </c>
      <c r="D277" s="11"/>
      <c r="E277" t="s">
        <v>438</v>
      </c>
      <c r="F277" s="110" t="s">
        <v>108</v>
      </c>
    </row>
    <row r="278" spans="1:6" x14ac:dyDescent="0.3">
      <c r="A278" s="114">
        <v>46091</v>
      </c>
      <c r="B278" t="s">
        <v>221</v>
      </c>
      <c r="C278" s="11">
        <v>4482</v>
      </c>
      <c r="D278" s="11"/>
      <c r="E278" t="s">
        <v>439</v>
      </c>
      <c r="F278" s="110" t="s">
        <v>108</v>
      </c>
    </row>
    <row r="279" spans="1:6" x14ac:dyDescent="0.3">
      <c r="A279" s="114">
        <v>46091</v>
      </c>
      <c r="B279" t="s">
        <v>54</v>
      </c>
      <c r="C279" s="11">
        <v>5000</v>
      </c>
      <c r="D279" s="11"/>
      <c r="E279" t="s">
        <v>440</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327</v>
      </c>
      <c r="F292" s="110" t="s">
        <v>108</v>
      </c>
    </row>
    <row r="293" spans="1:9" x14ac:dyDescent="0.3">
      <c r="A293" s="114">
        <v>46094</v>
      </c>
      <c r="B293" t="s">
        <v>277</v>
      </c>
      <c r="C293" s="11">
        <v>50000</v>
      </c>
      <c r="D293" s="11"/>
      <c r="E293" t="s">
        <v>450</v>
      </c>
      <c r="F293" s="110" t="s">
        <v>108</v>
      </c>
    </row>
    <row r="294" spans="1:9" x14ac:dyDescent="0.3">
      <c r="A294" s="114">
        <v>46094</v>
      </c>
      <c r="B294" t="s">
        <v>9</v>
      </c>
      <c r="C294" s="11"/>
      <c r="D294" s="11">
        <v>100000</v>
      </c>
      <c r="E294" t="s">
        <v>451</v>
      </c>
      <c r="F294" s="110" t="s">
        <v>108</v>
      </c>
    </row>
    <row r="295" spans="1:9" x14ac:dyDescent="0.3">
      <c r="A295" s="114">
        <v>46094</v>
      </c>
      <c r="B295" t="s">
        <v>357</v>
      </c>
      <c r="C295" s="11">
        <v>35000</v>
      </c>
      <c r="D295" s="11"/>
      <c r="E295" t="s">
        <v>403</v>
      </c>
      <c r="F295" s="110" t="s">
        <v>108</v>
      </c>
    </row>
    <row r="296" spans="1:9" x14ac:dyDescent="0.3">
      <c r="A296" s="114">
        <v>46094</v>
      </c>
      <c r="B296" t="s">
        <v>357</v>
      </c>
      <c r="C296" s="11">
        <v>8000</v>
      </c>
      <c r="D296" s="11"/>
      <c r="E296" t="s">
        <v>452</v>
      </c>
      <c r="F296" s="110" t="s">
        <v>108</v>
      </c>
    </row>
    <row r="297" spans="1:9" x14ac:dyDescent="0.3">
      <c r="A297" s="114">
        <v>46094</v>
      </c>
      <c r="B297" t="s">
        <v>169</v>
      </c>
      <c r="C297" s="11">
        <v>1000</v>
      </c>
      <c r="D297" s="11"/>
      <c r="E297" t="s">
        <v>341</v>
      </c>
      <c r="F297" s="110" t="s">
        <v>108</v>
      </c>
    </row>
    <row r="298" spans="1:9" x14ac:dyDescent="0.3">
      <c r="A298" s="114">
        <v>46094</v>
      </c>
      <c r="B298" t="s">
        <v>222</v>
      </c>
      <c r="C298" s="11">
        <v>1000</v>
      </c>
      <c r="D298" s="11"/>
      <c r="E298" t="s">
        <v>341</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363</v>
      </c>
      <c r="F300" s="110" t="s">
        <v>108</v>
      </c>
      <c r="I300">
        <v>6000</v>
      </c>
    </row>
    <row r="301" spans="1:9" x14ac:dyDescent="0.3">
      <c r="A301" s="114">
        <v>46094</v>
      </c>
      <c r="B301" t="s">
        <v>282</v>
      </c>
      <c r="C301" s="11">
        <v>970360</v>
      </c>
      <c r="D301" s="11"/>
      <c r="E301" t="s">
        <v>352</v>
      </c>
      <c r="F301" s="110" t="s">
        <v>108</v>
      </c>
      <c r="I301">
        <v>1000</v>
      </c>
    </row>
    <row r="302" spans="1:9" x14ac:dyDescent="0.3">
      <c r="A302" s="114">
        <v>46090</v>
      </c>
      <c r="B302" t="s">
        <v>431</v>
      </c>
      <c r="C302" s="11"/>
      <c r="D302" s="11">
        <v>55000</v>
      </c>
      <c r="E302" t="s">
        <v>365</v>
      </c>
      <c r="F302" s="110" t="s">
        <v>108</v>
      </c>
      <c r="I302">
        <v>42000</v>
      </c>
    </row>
    <row r="303" spans="1:9" x14ac:dyDescent="0.3">
      <c r="A303" s="114">
        <v>46090</v>
      </c>
      <c r="B303" t="s">
        <v>228</v>
      </c>
      <c r="C303" s="11"/>
      <c r="D303" s="11">
        <v>50000</v>
      </c>
      <c r="E303" t="s">
        <v>365</v>
      </c>
      <c r="F303" s="110" t="s">
        <v>108</v>
      </c>
      <c r="I303">
        <v>22800</v>
      </c>
    </row>
    <row r="304" spans="1:9" x14ac:dyDescent="0.3">
      <c r="A304" s="114">
        <v>46091</v>
      </c>
      <c r="B304" t="s">
        <v>228</v>
      </c>
      <c r="C304" s="11"/>
      <c r="D304" s="11">
        <v>65000</v>
      </c>
      <c r="E304" t="s">
        <v>365</v>
      </c>
      <c r="F304" s="110" t="s">
        <v>108</v>
      </c>
      <c r="I304">
        <v>11600</v>
      </c>
    </row>
    <row r="305" spans="1:9" x14ac:dyDescent="0.3">
      <c r="A305" s="114">
        <v>46093</v>
      </c>
      <c r="B305" t="s">
        <v>228</v>
      </c>
      <c r="C305" s="11"/>
      <c r="D305" s="11">
        <v>50000</v>
      </c>
      <c r="E305" t="s">
        <v>365</v>
      </c>
      <c r="F305" s="110" t="s">
        <v>108</v>
      </c>
      <c r="I305">
        <v>20800</v>
      </c>
    </row>
    <row r="306" spans="1:9" x14ac:dyDescent="0.3">
      <c r="A306" s="114">
        <v>46094</v>
      </c>
      <c r="B306" t="s">
        <v>228</v>
      </c>
      <c r="C306" s="11"/>
      <c r="D306" s="11">
        <v>50000</v>
      </c>
      <c r="E306" t="s">
        <v>365</v>
      </c>
      <c r="F306" s="110" t="s">
        <v>108</v>
      </c>
      <c r="I306">
        <v>37000</v>
      </c>
    </row>
    <row r="307" spans="1:9" x14ac:dyDescent="0.3">
      <c r="A307" s="114">
        <v>46094</v>
      </c>
      <c r="B307" t="s">
        <v>422</v>
      </c>
      <c r="C307" s="11"/>
      <c r="D307" s="11">
        <v>150000</v>
      </c>
      <c r="E307" t="s">
        <v>109</v>
      </c>
      <c r="F307" s="110" t="s">
        <v>108</v>
      </c>
      <c r="I307">
        <v>25200</v>
      </c>
    </row>
    <row r="308" spans="1:9" x14ac:dyDescent="0.3">
      <c r="A308" s="114">
        <v>46090</v>
      </c>
      <c r="B308" t="s">
        <v>220</v>
      </c>
      <c r="C308" s="11">
        <v>55000</v>
      </c>
      <c r="D308" s="95"/>
      <c r="E308" t="s">
        <v>431</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422</v>
      </c>
      <c r="F313" s="110" t="s">
        <v>108</v>
      </c>
      <c r="I313">
        <v>20000</v>
      </c>
    </row>
    <row r="314" spans="1:9" x14ac:dyDescent="0.3">
      <c r="A314" s="114">
        <v>46095</v>
      </c>
      <c r="B314" t="s">
        <v>246</v>
      </c>
      <c r="C314" s="11">
        <v>15000</v>
      </c>
      <c r="D314" s="11"/>
      <c r="E314" t="s">
        <v>453</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357</v>
      </c>
      <c r="C316" s="11">
        <v>10000</v>
      </c>
      <c r="D316" s="11"/>
      <c r="E316" t="s">
        <v>454</v>
      </c>
      <c r="F316" s="110" t="s">
        <v>108</v>
      </c>
      <c r="I316">
        <v>12000</v>
      </c>
    </row>
    <row r="317" spans="1:9" x14ac:dyDescent="0.3">
      <c r="A317" s="114">
        <v>46095</v>
      </c>
      <c r="B317" t="s">
        <v>220</v>
      </c>
      <c r="C317" s="11"/>
      <c r="D317" s="11">
        <v>130000</v>
      </c>
      <c r="E317" t="s">
        <v>455</v>
      </c>
      <c r="F317" s="110" t="s">
        <v>108</v>
      </c>
      <c r="I317">
        <v>11650</v>
      </c>
    </row>
    <row r="318" spans="1:9" x14ac:dyDescent="0.3">
      <c r="A318" s="114">
        <v>46095</v>
      </c>
      <c r="B318" t="s">
        <v>282</v>
      </c>
      <c r="C318" s="11">
        <v>60000</v>
      </c>
      <c r="D318" s="11"/>
      <c r="E318" t="s">
        <v>455</v>
      </c>
      <c r="F318" s="110" t="s">
        <v>108</v>
      </c>
      <c r="I318">
        <v>20200</v>
      </c>
    </row>
    <row r="319" spans="1:9" x14ac:dyDescent="0.3">
      <c r="A319" s="114">
        <v>46095</v>
      </c>
      <c r="B319" t="s">
        <v>169</v>
      </c>
      <c r="C319" s="11">
        <v>4000</v>
      </c>
      <c r="D319" s="11"/>
      <c r="E319" t="s">
        <v>341</v>
      </c>
      <c r="F319" s="110" t="s">
        <v>108</v>
      </c>
      <c r="I319">
        <v>22650</v>
      </c>
    </row>
    <row r="320" spans="1:9" x14ac:dyDescent="0.3">
      <c r="A320" s="114">
        <v>46095</v>
      </c>
      <c r="B320" t="s">
        <v>222</v>
      </c>
      <c r="C320" s="11">
        <v>2000</v>
      </c>
      <c r="D320" s="11"/>
      <c r="E320" t="s">
        <v>341</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456</v>
      </c>
      <c r="F322" s="110" t="s">
        <v>108</v>
      </c>
      <c r="I322">
        <v>10650</v>
      </c>
    </row>
    <row r="323" spans="1:9" x14ac:dyDescent="0.3">
      <c r="A323" s="114">
        <v>46095</v>
      </c>
      <c r="B323" t="s">
        <v>282</v>
      </c>
      <c r="C323" s="11">
        <v>54000</v>
      </c>
      <c r="D323" s="11"/>
      <c r="E323" t="s">
        <v>456</v>
      </c>
      <c r="F323" s="110" t="s">
        <v>108</v>
      </c>
      <c r="I323">
        <v>14400</v>
      </c>
    </row>
    <row r="324" spans="1:9" x14ac:dyDescent="0.3">
      <c r="A324" s="114">
        <v>46095</v>
      </c>
      <c r="B324" t="s">
        <v>220</v>
      </c>
      <c r="C324" s="11"/>
      <c r="D324" s="11">
        <v>120000</v>
      </c>
      <c r="E324" t="s">
        <v>457</v>
      </c>
      <c r="F324" s="110" t="s">
        <v>108</v>
      </c>
      <c r="I324">
        <v>14800</v>
      </c>
    </row>
    <row r="325" spans="1:9" x14ac:dyDescent="0.3">
      <c r="A325" s="114">
        <v>46095</v>
      </c>
      <c r="B325" t="s">
        <v>165</v>
      </c>
      <c r="C325" s="11">
        <v>120000</v>
      </c>
      <c r="D325" s="11"/>
      <c r="E325" t="s">
        <v>457</v>
      </c>
      <c r="F325" s="110" t="s">
        <v>108</v>
      </c>
      <c r="I325">
        <v>12800</v>
      </c>
    </row>
    <row r="326" spans="1:9" x14ac:dyDescent="0.3">
      <c r="A326" s="114">
        <v>46095</v>
      </c>
      <c r="B326" t="s">
        <v>225</v>
      </c>
      <c r="C326" s="11"/>
      <c r="D326" s="11">
        <f>50000+150000</f>
        <v>200000</v>
      </c>
      <c r="E326" t="s">
        <v>458</v>
      </c>
      <c r="F326" s="110" t="s">
        <v>108</v>
      </c>
      <c r="I326">
        <v>18000</v>
      </c>
    </row>
    <row r="327" spans="1:9" x14ac:dyDescent="0.3">
      <c r="A327" s="114">
        <v>46095</v>
      </c>
      <c r="B327" t="s">
        <v>54</v>
      </c>
      <c r="C327" s="11">
        <v>3000</v>
      </c>
      <c r="D327" s="11"/>
      <c r="E327" t="s">
        <v>459</v>
      </c>
      <c r="F327" s="110" t="s">
        <v>108</v>
      </c>
      <c r="I327">
        <v>14000</v>
      </c>
    </row>
    <row r="328" spans="1:9" x14ac:dyDescent="0.3">
      <c r="A328" s="114">
        <v>46096</v>
      </c>
      <c r="B328" t="s">
        <v>55</v>
      </c>
      <c r="C328" s="11">
        <v>2900</v>
      </c>
      <c r="D328" s="11"/>
      <c r="E328" t="s">
        <v>460</v>
      </c>
      <c r="F328" s="110" t="s">
        <v>108</v>
      </c>
      <c r="I328">
        <v>14000</v>
      </c>
    </row>
    <row r="329" spans="1:9" x14ac:dyDescent="0.3">
      <c r="A329" s="114">
        <v>46096</v>
      </c>
      <c r="B329" t="s">
        <v>169</v>
      </c>
      <c r="C329" s="11">
        <v>150000</v>
      </c>
      <c r="D329" s="11"/>
      <c r="E329" t="s">
        <v>461</v>
      </c>
      <c r="F329" s="110" t="s">
        <v>108</v>
      </c>
      <c r="I329">
        <v>55000</v>
      </c>
    </row>
    <row r="330" spans="1:9" x14ac:dyDescent="0.3">
      <c r="A330" s="114">
        <v>46096</v>
      </c>
      <c r="B330" t="s">
        <v>444</v>
      </c>
      <c r="C330" s="11">
        <v>5000</v>
      </c>
      <c r="D330" s="11"/>
      <c r="E330" t="s">
        <v>443</v>
      </c>
      <c r="F330" s="110" t="s">
        <v>108</v>
      </c>
      <c r="I330">
        <v>35000</v>
      </c>
    </row>
    <row r="331" spans="1:9" x14ac:dyDescent="0.3">
      <c r="A331" s="114">
        <v>46096</v>
      </c>
      <c r="B331" t="s">
        <v>462</v>
      </c>
      <c r="C331" s="11"/>
      <c r="D331" s="11">
        <v>130000</v>
      </c>
      <c r="E331" t="s">
        <v>475</v>
      </c>
      <c r="F331" s="110" t="s">
        <v>108</v>
      </c>
      <c r="I331">
        <v>14650</v>
      </c>
    </row>
    <row r="332" spans="1:9" x14ac:dyDescent="0.3">
      <c r="A332" s="114">
        <v>46096</v>
      </c>
      <c r="B332" t="s">
        <v>463</v>
      </c>
      <c r="C332" s="11"/>
      <c r="D332" s="11">
        <v>40000</v>
      </c>
      <c r="E332" t="s">
        <v>476</v>
      </c>
      <c r="F332" s="110" t="s">
        <v>108</v>
      </c>
      <c r="I332">
        <v>23000</v>
      </c>
    </row>
    <row r="333" spans="1:9" x14ac:dyDescent="0.3">
      <c r="A333" s="114">
        <v>46096</v>
      </c>
      <c r="B333" t="s">
        <v>55</v>
      </c>
      <c r="C333" s="11">
        <v>1400</v>
      </c>
      <c r="D333" s="11"/>
      <c r="E333" t="s">
        <v>464</v>
      </c>
      <c r="F333" s="110" t="s">
        <v>108</v>
      </c>
      <c r="I333">
        <v>2650</v>
      </c>
    </row>
    <row r="334" spans="1:9" x14ac:dyDescent="0.3">
      <c r="A334" s="114">
        <v>46096</v>
      </c>
      <c r="B334" t="s">
        <v>220</v>
      </c>
      <c r="C334" s="11">
        <v>150000</v>
      </c>
      <c r="D334" s="11"/>
      <c r="E334" t="s">
        <v>465</v>
      </c>
      <c r="F334" s="110" t="s">
        <v>108</v>
      </c>
      <c r="I334">
        <v>17060</v>
      </c>
    </row>
    <row r="335" spans="1:9" x14ac:dyDescent="0.3">
      <c r="A335" s="114">
        <v>46097</v>
      </c>
      <c r="B335" t="s">
        <v>55</v>
      </c>
      <c r="C335" s="11">
        <v>33000</v>
      </c>
      <c r="D335" s="11"/>
      <c r="E335" t="s">
        <v>466</v>
      </c>
      <c r="F335" s="110" t="s">
        <v>108</v>
      </c>
      <c r="I335">
        <v>10000</v>
      </c>
    </row>
    <row r="336" spans="1:9" x14ac:dyDescent="0.3">
      <c r="A336" s="114">
        <v>46097</v>
      </c>
      <c r="B336" t="s">
        <v>221</v>
      </c>
      <c r="C336" s="11">
        <v>50000</v>
      </c>
      <c r="D336" s="11"/>
      <c r="E336" t="s">
        <v>467</v>
      </c>
      <c r="F336" s="110" t="s">
        <v>108</v>
      </c>
      <c r="I336">
        <v>154000</v>
      </c>
    </row>
    <row r="337" spans="1:6" x14ac:dyDescent="0.3">
      <c r="A337" s="114">
        <v>46097</v>
      </c>
      <c r="B337" t="s">
        <v>55</v>
      </c>
      <c r="C337" s="95">
        <v>7000</v>
      </c>
      <c r="D337" s="95"/>
      <c r="E337" t="s">
        <v>468</v>
      </c>
      <c r="F337" s="110" t="s">
        <v>108</v>
      </c>
    </row>
    <row r="338" spans="1:6" x14ac:dyDescent="0.3">
      <c r="A338" s="114">
        <v>46097</v>
      </c>
      <c r="B338" t="s">
        <v>282</v>
      </c>
      <c r="C338" s="11">
        <v>40000</v>
      </c>
      <c r="D338" s="11"/>
      <c r="E338" t="s">
        <v>469</v>
      </c>
      <c r="F338" s="110" t="s">
        <v>108</v>
      </c>
    </row>
    <row r="339" spans="1:6" x14ac:dyDescent="0.3">
      <c r="A339" s="114">
        <v>46097</v>
      </c>
      <c r="B339" t="s">
        <v>54</v>
      </c>
      <c r="C339" s="11">
        <v>800</v>
      </c>
      <c r="D339" s="11"/>
      <c r="E339" t="s">
        <v>470</v>
      </c>
      <c r="F339" s="110" t="s">
        <v>108</v>
      </c>
    </row>
    <row r="340" spans="1:6" x14ac:dyDescent="0.3">
      <c r="A340" s="114">
        <v>46098</v>
      </c>
      <c r="B340" t="s">
        <v>282</v>
      </c>
      <c r="C340" s="11">
        <v>165000</v>
      </c>
      <c r="D340" s="11"/>
      <c r="E340" t="s">
        <v>329</v>
      </c>
      <c r="F340" s="110" t="s">
        <v>108</v>
      </c>
    </row>
    <row r="341" spans="1:6" x14ac:dyDescent="0.3">
      <c r="A341" s="114">
        <v>46098</v>
      </c>
      <c r="B341" t="s">
        <v>282</v>
      </c>
      <c r="C341" s="11">
        <v>50000</v>
      </c>
      <c r="D341" s="11"/>
      <c r="E341" t="s">
        <v>404</v>
      </c>
      <c r="F341" s="110" t="s">
        <v>108</v>
      </c>
    </row>
    <row r="342" spans="1:6" x14ac:dyDescent="0.3">
      <c r="A342" s="114">
        <v>46098</v>
      </c>
      <c r="B342" t="s">
        <v>113</v>
      </c>
      <c r="C342" s="11">
        <v>44730</v>
      </c>
      <c r="D342" s="11"/>
      <c r="E342" t="s">
        <v>471</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472</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473</v>
      </c>
      <c r="F346" s="110" t="s">
        <v>108</v>
      </c>
    </row>
    <row r="347" spans="1:6" x14ac:dyDescent="0.3">
      <c r="A347" s="114">
        <v>46097</v>
      </c>
      <c r="B347" t="s">
        <v>221</v>
      </c>
      <c r="C347" s="11">
        <f>5293+1282</f>
        <v>6575</v>
      </c>
      <c r="D347" s="11"/>
      <c r="E347" t="s">
        <v>474</v>
      </c>
      <c r="F347" s="110" t="s">
        <v>108</v>
      </c>
    </row>
    <row r="348" spans="1:6" x14ac:dyDescent="0.3">
      <c r="A348" s="114">
        <v>46098</v>
      </c>
      <c r="B348" t="s">
        <v>220</v>
      </c>
      <c r="C348" s="11">
        <v>100000</v>
      </c>
      <c r="D348" s="11"/>
      <c r="E348" t="s">
        <v>486</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14">
        <v>46099</v>
      </c>
      <c r="B351" t="s">
        <v>282</v>
      </c>
      <c r="C351" s="11">
        <v>50000</v>
      </c>
      <c r="D351" s="11"/>
      <c r="E351" t="s">
        <v>329</v>
      </c>
      <c r="F351" s="110" t="s">
        <v>108</v>
      </c>
    </row>
    <row r="352" spans="1:6" x14ac:dyDescent="0.3">
      <c r="A352" s="114">
        <v>46099</v>
      </c>
      <c r="B352" t="s">
        <v>246</v>
      </c>
      <c r="C352" s="11">
        <v>2710</v>
      </c>
      <c r="D352" s="11"/>
      <c r="E352" t="s">
        <v>480</v>
      </c>
      <c r="F352" s="110" t="s">
        <v>108</v>
      </c>
    </row>
    <row r="353" spans="1:6" x14ac:dyDescent="0.3">
      <c r="A353" s="114">
        <v>46099</v>
      </c>
      <c r="B353" t="s">
        <v>282</v>
      </c>
      <c r="C353" s="11">
        <v>2666</v>
      </c>
      <c r="D353" s="11"/>
      <c r="E353" t="s">
        <v>448</v>
      </c>
      <c r="F353" s="110" t="s">
        <v>108</v>
      </c>
    </row>
    <row r="354" spans="1:6" x14ac:dyDescent="0.3">
      <c r="A354" s="114">
        <v>46099</v>
      </c>
      <c r="B354" t="s">
        <v>221</v>
      </c>
      <c r="C354" s="11">
        <v>900</v>
      </c>
      <c r="D354" s="11"/>
      <c r="E354" t="s">
        <v>481</v>
      </c>
      <c r="F354" s="110" t="s">
        <v>108</v>
      </c>
    </row>
    <row r="355" spans="1:6" x14ac:dyDescent="0.3">
      <c r="A355" s="114">
        <v>46099</v>
      </c>
      <c r="B355" t="s">
        <v>225</v>
      </c>
      <c r="C355" s="11"/>
      <c r="D355" s="11">
        <v>100000</v>
      </c>
      <c r="E355" t="s">
        <v>482</v>
      </c>
      <c r="F355" s="110" t="s">
        <v>108</v>
      </c>
    </row>
    <row r="356" spans="1:6" x14ac:dyDescent="0.3">
      <c r="A356" s="114">
        <v>46099</v>
      </c>
      <c r="B356" t="s">
        <v>246</v>
      </c>
      <c r="C356" s="11">
        <v>20000</v>
      </c>
      <c r="D356" s="11"/>
      <c r="E356" t="s">
        <v>483</v>
      </c>
      <c r="F356" s="110" t="s">
        <v>108</v>
      </c>
    </row>
    <row r="357" spans="1:6" x14ac:dyDescent="0.3">
      <c r="A357" s="38">
        <v>46099</v>
      </c>
      <c r="B357" t="s">
        <v>212</v>
      </c>
      <c r="C357" s="95">
        <f>760+581</f>
        <v>1341</v>
      </c>
      <c r="D357" s="95"/>
      <c r="F357" s="110" t="s">
        <v>108</v>
      </c>
    </row>
    <row r="358" spans="1:6" x14ac:dyDescent="0.3">
      <c r="A358" s="38">
        <v>46100</v>
      </c>
      <c r="B358" t="s">
        <v>55</v>
      </c>
      <c r="C358" s="95">
        <v>50000</v>
      </c>
      <c r="D358" s="95"/>
      <c r="E358" t="s">
        <v>484</v>
      </c>
      <c r="F358" s="110" t="s">
        <v>108</v>
      </c>
    </row>
    <row r="359" spans="1:6" x14ac:dyDescent="0.3">
      <c r="A359" s="38">
        <v>46100</v>
      </c>
      <c r="B359" t="s">
        <v>220</v>
      </c>
      <c r="C359" s="95"/>
      <c r="D359" s="95">
        <v>50000</v>
      </c>
      <c r="E359" t="s">
        <v>484</v>
      </c>
      <c r="F359" s="110" t="s">
        <v>108</v>
      </c>
    </row>
    <row r="360" spans="1:6" x14ac:dyDescent="0.3">
      <c r="A360" s="38">
        <v>46100</v>
      </c>
      <c r="B360" t="s">
        <v>220</v>
      </c>
      <c r="C360" s="95"/>
      <c r="D360" s="95">
        <v>1800000</v>
      </c>
      <c r="E360" t="s">
        <v>485</v>
      </c>
      <c r="F360" s="110" t="s">
        <v>108</v>
      </c>
    </row>
    <row r="361" spans="1:6" x14ac:dyDescent="0.3">
      <c r="A361" s="38">
        <v>46101</v>
      </c>
      <c r="B361" t="s">
        <v>221</v>
      </c>
      <c r="C361" s="95">
        <v>2500</v>
      </c>
      <c r="D361" s="95"/>
      <c r="E361" t="s">
        <v>487</v>
      </c>
      <c r="F361" s="110" t="s">
        <v>108</v>
      </c>
    </row>
    <row r="362" spans="1:6" x14ac:dyDescent="0.3">
      <c r="A362" s="38">
        <v>46103</v>
      </c>
      <c r="B362" t="s">
        <v>221</v>
      </c>
      <c r="C362" s="95">
        <v>50000</v>
      </c>
      <c r="D362" s="95"/>
      <c r="E362" t="s">
        <v>487</v>
      </c>
      <c r="F362" s="110" t="s">
        <v>108</v>
      </c>
    </row>
    <row r="363" spans="1:6" x14ac:dyDescent="0.3">
      <c r="A363" s="38">
        <v>46105</v>
      </c>
      <c r="B363" t="s">
        <v>220</v>
      </c>
      <c r="C363" s="95"/>
      <c r="D363" s="95">
        <v>490000</v>
      </c>
      <c r="E363" t="s">
        <v>488</v>
      </c>
      <c r="F363" s="110" t="s">
        <v>108</v>
      </c>
    </row>
    <row r="364" spans="1:6" x14ac:dyDescent="0.3">
      <c r="A364" s="38">
        <v>46105</v>
      </c>
      <c r="B364" t="s">
        <v>220</v>
      </c>
      <c r="C364" s="95"/>
      <c r="D364" s="95">
        <v>125000</v>
      </c>
      <c r="E364" t="s">
        <v>489</v>
      </c>
      <c r="F364" s="110" t="s">
        <v>108</v>
      </c>
    </row>
    <row r="365" spans="1:6" x14ac:dyDescent="0.3">
      <c r="A365" s="114">
        <v>46105</v>
      </c>
      <c r="B365" t="s">
        <v>51</v>
      </c>
      <c r="C365" s="11">
        <v>2576170</v>
      </c>
      <c r="D365" s="11"/>
      <c r="F365" s="110" t="s">
        <v>108</v>
      </c>
    </row>
    <row r="366" spans="1:6" x14ac:dyDescent="0.3">
      <c r="A366" s="114">
        <v>46105</v>
      </c>
      <c r="B366" t="s">
        <v>220</v>
      </c>
      <c r="C366" s="11"/>
      <c r="D366" s="11">
        <v>130000</v>
      </c>
      <c r="E366" t="s">
        <v>490</v>
      </c>
      <c r="F366" s="110" t="s">
        <v>108</v>
      </c>
    </row>
    <row r="367" spans="1:6" x14ac:dyDescent="0.3">
      <c r="A367" s="114">
        <v>46107</v>
      </c>
      <c r="B367" t="s">
        <v>192</v>
      </c>
      <c r="C367" s="11"/>
      <c r="D367" s="11">
        <v>50000</v>
      </c>
      <c r="F367" s="110" t="s">
        <v>108</v>
      </c>
    </row>
    <row r="368" spans="1:6" x14ac:dyDescent="0.3">
      <c r="A368" s="114">
        <v>46107</v>
      </c>
      <c r="B368" t="s">
        <v>55</v>
      </c>
      <c r="C368" s="11">
        <v>896</v>
      </c>
      <c r="D368" s="11"/>
      <c r="F368" s="110" t="s">
        <v>108</v>
      </c>
    </row>
    <row r="369" spans="1:6" x14ac:dyDescent="0.3">
      <c r="A369" s="114">
        <v>46107</v>
      </c>
      <c r="B369" t="s">
        <v>55</v>
      </c>
      <c r="C369" s="11">
        <v>4200</v>
      </c>
      <c r="D369" s="11"/>
      <c r="F369" s="110" t="s">
        <v>108</v>
      </c>
    </row>
    <row r="370" spans="1:6" x14ac:dyDescent="0.3">
      <c r="A370" s="114">
        <v>46108</v>
      </c>
      <c r="B370" t="s">
        <v>357</v>
      </c>
      <c r="C370" s="11">
        <v>5000</v>
      </c>
      <c r="D370" s="11"/>
      <c r="E370" t="s">
        <v>469</v>
      </c>
      <c r="F370" s="110" t="s">
        <v>108</v>
      </c>
    </row>
    <row r="371" spans="1:6" x14ac:dyDescent="0.3">
      <c r="A371" s="114">
        <v>46109</v>
      </c>
      <c r="B371" t="s">
        <v>55</v>
      </c>
      <c r="C371" s="11">
        <v>1250</v>
      </c>
      <c r="D371" s="11"/>
      <c r="E371" t="s">
        <v>491</v>
      </c>
      <c r="F371" s="110" t="s">
        <v>108</v>
      </c>
    </row>
    <row r="372" spans="1:6" x14ac:dyDescent="0.3">
      <c r="A372" s="114">
        <v>46109</v>
      </c>
      <c r="B372" t="s">
        <v>202</v>
      </c>
      <c r="C372" s="11"/>
      <c r="D372" s="11">
        <v>135000</v>
      </c>
      <c r="E372" t="s">
        <v>492</v>
      </c>
      <c r="F372" s="110" t="s">
        <v>108</v>
      </c>
    </row>
    <row r="373" spans="1:6" x14ac:dyDescent="0.3">
      <c r="A373" s="114">
        <v>46109</v>
      </c>
      <c r="B373" t="s">
        <v>228</v>
      </c>
      <c r="C373" s="11"/>
      <c r="D373" s="11">
        <v>75000</v>
      </c>
      <c r="E373" t="s">
        <v>493</v>
      </c>
      <c r="F373" s="110" t="s">
        <v>108</v>
      </c>
    </row>
    <row r="374" spans="1:6" x14ac:dyDescent="0.3">
      <c r="A374" s="114">
        <v>46109</v>
      </c>
      <c r="B374" t="s">
        <v>9</v>
      </c>
      <c r="C374" s="11"/>
      <c r="D374" s="11">
        <v>125000</v>
      </c>
      <c r="E374" t="s">
        <v>494</v>
      </c>
      <c r="F374" s="110" t="s">
        <v>108</v>
      </c>
    </row>
    <row r="375" spans="1:6" x14ac:dyDescent="0.3">
      <c r="A375" s="114">
        <v>46109</v>
      </c>
      <c r="B375" t="s">
        <v>169</v>
      </c>
      <c r="C375" s="11">
        <v>200100</v>
      </c>
      <c r="D375" s="11"/>
      <c r="E375" t="s">
        <v>495</v>
      </c>
      <c r="F375" s="110" t="s">
        <v>108</v>
      </c>
    </row>
    <row r="376" spans="1:6" x14ac:dyDescent="0.3">
      <c r="A376" s="114">
        <v>46105</v>
      </c>
      <c r="B376" t="s">
        <v>54</v>
      </c>
      <c r="C376" s="11">
        <v>5000</v>
      </c>
      <c r="D376" s="11"/>
      <c r="E376" t="s">
        <v>496</v>
      </c>
      <c r="F376" s="110" t="s">
        <v>108</v>
      </c>
    </row>
    <row r="377" spans="1:6" x14ac:dyDescent="0.3">
      <c r="A377" s="114">
        <v>46101</v>
      </c>
      <c r="B377" t="s">
        <v>221</v>
      </c>
      <c r="C377" s="11">
        <v>581</v>
      </c>
      <c r="D377" s="11"/>
      <c r="E377" t="s">
        <v>497</v>
      </c>
      <c r="F377" s="110" t="s">
        <v>108</v>
      </c>
    </row>
    <row r="378" spans="1:6" x14ac:dyDescent="0.3">
      <c r="A378" s="114">
        <v>46101</v>
      </c>
      <c r="B378" t="s">
        <v>54</v>
      </c>
      <c r="C378" s="11">
        <v>5000</v>
      </c>
      <c r="D378" s="11"/>
      <c r="E378" t="s">
        <v>290</v>
      </c>
      <c r="F378" s="110" t="s">
        <v>108</v>
      </c>
    </row>
    <row r="379" spans="1:6" x14ac:dyDescent="0.3">
      <c r="A379" s="114">
        <v>46101</v>
      </c>
      <c r="B379" t="s">
        <v>212</v>
      </c>
      <c r="C379" s="11">
        <f>594+526</f>
        <v>1120</v>
      </c>
      <c r="D379" s="11"/>
      <c r="F379" s="110" t="s">
        <v>108</v>
      </c>
    </row>
    <row r="380" spans="1:6" x14ac:dyDescent="0.3">
      <c r="A380" s="114">
        <v>46101</v>
      </c>
      <c r="B380" t="s">
        <v>409</v>
      </c>
      <c r="C380" s="11"/>
      <c r="D380" s="11">
        <v>300000</v>
      </c>
      <c r="E380" t="s">
        <v>518</v>
      </c>
      <c r="F380" s="110" t="s">
        <v>108</v>
      </c>
    </row>
    <row r="381" spans="1:6" x14ac:dyDescent="0.3">
      <c r="A381" s="114">
        <v>46101</v>
      </c>
      <c r="B381" t="s">
        <v>298</v>
      </c>
      <c r="C381" s="11">
        <v>100470</v>
      </c>
      <c r="D381" s="11"/>
      <c r="E381" t="s">
        <v>519</v>
      </c>
      <c r="F381" s="110" t="s">
        <v>108</v>
      </c>
    </row>
    <row r="382" spans="1:6" x14ac:dyDescent="0.3">
      <c r="A382" s="114">
        <v>46101</v>
      </c>
      <c r="B382" t="s">
        <v>55</v>
      </c>
      <c r="C382" s="11">
        <v>20000</v>
      </c>
      <c r="D382" s="11"/>
      <c r="E382" t="s">
        <v>520</v>
      </c>
      <c r="F382" s="110" t="s">
        <v>108</v>
      </c>
    </row>
    <row r="383" spans="1:6" x14ac:dyDescent="0.3">
      <c r="A383" s="114">
        <v>46101</v>
      </c>
      <c r="B383" t="s">
        <v>222</v>
      </c>
      <c r="C383" s="11">
        <v>104470</v>
      </c>
      <c r="D383" s="11"/>
      <c r="E383" t="s">
        <v>521</v>
      </c>
      <c r="F383" s="110" t="s">
        <v>108</v>
      </c>
    </row>
    <row r="384" spans="1:6" x14ac:dyDescent="0.3">
      <c r="A384" s="114">
        <v>46101</v>
      </c>
      <c r="B384" t="s">
        <v>220</v>
      </c>
      <c r="C384" s="11">
        <f>300000-SUM(C381:C383)</f>
        <v>75060</v>
      </c>
      <c r="D384" s="11"/>
      <c r="E384" t="s">
        <v>522</v>
      </c>
      <c r="F384" s="110" t="s">
        <v>108</v>
      </c>
    </row>
    <row r="385" spans="1:6" x14ac:dyDescent="0.3">
      <c r="A385" s="114">
        <v>46101</v>
      </c>
      <c r="B385" t="s">
        <v>54</v>
      </c>
      <c r="C385" s="11">
        <v>8151</v>
      </c>
      <c r="D385" s="11"/>
      <c r="E385" t="s">
        <v>290</v>
      </c>
      <c r="F385" s="110" t="s">
        <v>108</v>
      </c>
    </row>
    <row r="386" spans="1:6" x14ac:dyDescent="0.3">
      <c r="A386" s="114">
        <v>46102</v>
      </c>
      <c r="B386" t="s">
        <v>221</v>
      </c>
      <c r="C386" s="11">
        <v>35102</v>
      </c>
      <c r="D386" s="11"/>
      <c r="E386" t="s">
        <v>498</v>
      </c>
      <c r="F386" s="110" t="s">
        <v>108</v>
      </c>
    </row>
    <row r="387" spans="1:6" x14ac:dyDescent="0.3">
      <c r="A387" s="114">
        <v>46102</v>
      </c>
      <c r="B387" t="s">
        <v>212</v>
      </c>
      <c r="C387" s="11">
        <v>1200</v>
      </c>
      <c r="D387" s="11"/>
      <c r="F387" s="110" t="s">
        <v>108</v>
      </c>
    </row>
    <row r="388" spans="1:6" x14ac:dyDescent="0.3">
      <c r="A388" s="38">
        <v>46109</v>
      </c>
      <c r="B388" t="s">
        <v>212</v>
      </c>
      <c r="C388" s="95">
        <f>760*4</f>
        <v>3040</v>
      </c>
      <c r="D388" s="95"/>
      <c r="F388" s="110" t="s">
        <v>108</v>
      </c>
    </row>
    <row r="389" spans="1:6" x14ac:dyDescent="0.3">
      <c r="A389" s="38">
        <v>46105</v>
      </c>
      <c r="B389" t="s">
        <v>221</v>
      </c>
      <c r="C389" s="95">
        <v>730</v>
      </c>
      <c r="D389" s="95"/>
      <c r="F389" s="110" t="s">
        <v>108</v>
      </c>
    </row>
    <row r="390" spans="1:6" x14ac:dyDescent="0.3">
      <c r="A390" s="114">
        <v>46109</v>
      </c>
      <c r="B390" t="s">
        <v>221</v>
      </c>
      <c r="C390" s="11">
        <v>3500</v>
      </c>
      <c r="D390" s="11"/>
      <c r="E390" t="s">
        <v>499</v>
      </c>
      <c r="F390" s="110" t="s">
        <v>108</v>
      </c>
    </row>
    <row r="391" spans="1:6" x14ac:dyDescent="0.3">
      <c r="A391" s="114">
        <v>46110</v>
      </c>
      <c r="B391" t="s">
        <v>249</v>
      </c>
      <c r="C391" s="11">
        <v>10000</v>
      </c>
      <c r="D391" s="11"/>
      <c r="E391" t="s">
        <v>447</v>
      </c>
      <c r="F391" s="110" t="s">
        <v>108</v>
      </c>
    </row>
    <row r="392" spans="1:6" x14ac:dyDescent="0.3">
      <c r="A392" s="114">
        <v>46112</v>
      </c>
      <c r="B392" t="s">
        <v>500</v>
      </c>
      <c r="C392" s="11"/>
      <c r="D392" s="11">
        <v>463280</v>
      </c>
      <c r="F392" s="110" t="s">
        <v>108</v>
      </c>
    </row>
    <row r="393" spans="1:6" x14ac:dyDescent="0.3">
      <c r="A393" s="114">
        <v>46112</v>
      </c>
      <c r="B393" t="s">
        <v>249</v>
      </c>
      <c r="C393" s="11">
        <v>52000</v>
      </c>
      <c r="D393" s="11"/>
      <c r="E393" t="s">
        <v>501</v>
      </c>
      <c r="F393" s="110" t="s">
        <v>108</v>
      </c>
    </row>
    <row r="394" spans="1:6" x14ac:dyDescent="0.3">
      <c r="A394" s="114">
        <v>46112</v>
      </c>
      <c r="B394" t="s">
        <v>357</v>
      </c>
      <c r="C394" s="11">
        <v>5000</v>
      </c>
      <c r="D394" s="11"/>
      <c r="E394" t="s">
        <v>469</v>
      </c>
      <c r="F394" s="110" t="s">
        <v>108</v>
      </c>
    </row>
    <row r="395" spans="1:6" x14ac:dyDescent="0.3">
      <c r="A395" s="114">
        <v>46112</v>
      </c>
      <c r="B395" t="s">
        <v>249</v>
      </c>
      <c r="C395" s="11">
        <v>3280</v>
      </c>
      <c r="D395" s="11"/>
      <c r="E395" t="s">
        <v>247</v>
      </c>
      <c r="F395" s="110" t="s">
        <v>108</v>
      </c>
    </row>
    <row r="396" spans="1:6" x14ac:dyDescent="0.3">
      <c r="A396" s="114">
        <v>46113</v>
      </c>
      <c r="B396" t="s">
        <v>225</v>
      </c>
      <c r="C396" s="11"/>
      <c r="D396" s="11">
        <v>100000</v>
      </c>
      <c r="E396" t="s">
        <v>502</v>
      </c>
      <c r="F396" s="110" t="s">
        <v>108</v>
      </c>
    </row>
    <row r="397" spans="1:6" x14ac:dyDescent="0.3">
      <c r="A397" s="38">
        <v>46113</v>
      </c>
      <c r="B397" t="s">
        <v>55</v>
      </c>
      <c r="C397" s="95">
        <v>30000</v>
      </c>
      <c r="D397" s="95"/>
      <c r="E397" t="s">
        <v>503</v>
      </c>
      <c r="F397" s="110" t="s">
        <v>108</v>
      </c>
    </row>
    <row r="398" spans="1:6" x14ac:dyDescent="0.3">
      <c r="A398" s="38">
        <v>46113</v>
      </c>
      <c r="B398" t="s">
        <v>357</v>
      </c>
      <c r="C398" s="95">
        <v>40000</v>
      </c>
      <c r="D398" s="95"/>
      <c r="E398" t="s">
        <v>281</v>
      </c>
      <c r="F398" s="110" t="s">
        <v>108</v>
      </c>
    </row>
    <row r="399" spans="1:6" x14ac:dyDescent="0.3">
      <c r="A399" s="38">
        <v>46113</v>
      </c>
      <c r="B399" t="s">
        <v>246</v>
      </c>
      <c r="C399" s="95">
        <v>2000</v>
      </c>
      <c r="D399" s="95"/>
      <c r="E399" t="s">
        <v>504</v>
      </c>
      <c r="F399" s="110" t="s">
        <v>108</v>
      </c>
    </row>
    <row r="400" spans="1:6" x14ac:dyDescent="0.3">
      <c r="A400" s="38">
        <v>46113</v>
      </c>
      <c r="B400" t="s">
        <v>55</v>
      </c>
      <c r="C400" s="95">
        <v>2625</v>
      </c>
      <c r="D400" s="95"/>
      <c r="F400" s="110" t="s">
        <v>108</v>
      </c>
    </row>
    <row r="401" spans="1:15" x14ac:dyDescent="0.3">
      <c r="A401" s="38">
        <v>46113</v>
      </c>
      <c r="B401" t="s">
        <v>94</v>
      </c>
      <c r="C401" s="95">
        <v>150000</v>
      </c>
      <c r="D401" s="11"/>
      <c r="E401" t="s">
        <v>505</v>
      </c>
      <c r="F401" s="110" t="s">
        <v>108</v>
      </c>
    </row>
    <row r="402" spans="1:15" x14ac:dyDescent="0.3">
      <c r="A402" s="38">
        <v>46113</v>
      </c>
      <c r="B402" t="s">
        <v>212</v>
      </c>
      <c r="C402" s="95">
        <v>250000</v>
      </c>
      <c r="D402" s="95"/>
      <c r="E402" t="s">
        <v>506</v>
      </c>
      <c r="F402" s="110" t="s">
        <v>108</v>
      </c>
    </row>
    <row r="403" spans="1:15" x14ac:dyDescent="0.3">
      <c r="A403" s="38">
        <v>46113</v>
      </c>
      <c r="B403" t="s">
        <v>212</v>
      </c>
      <c r="C403" s="95"/>
      <c r="D403" s="95">
        <v>5000</v>
      </c>
      <c r="E403" t="s">
        <v>507</v>
      </c>
      <c r="F403" s="110" t="s">
        <v>108</v>
      </c>
    </row>
    <row r="404" spans="1:15" x14ac:dyDescent="0.3">
      <c r="A404" s="38">
        <v>46113</v>
      </c>
      <c r="B404" t="s">
        <v>508</v>
      </c>
      <c r="C404" s="95">
        <v>5000</v>
      </c>
      <c r="D404" s="95"/>
      <c r="F404" s="110" t="s">
        <v>108</v>
      </c>
    </row>
    <row r="405" spans="1:15" x14ac:dyDescent="0.3">
      <c r="A405" s="38">
        <v>46113</v>
      </c>
      <c r="B405" t="s">
        <v>249</v>
      </c>
      <c r="C405" s="95"/>
      <c r="D405" s="95"/>
      <c r="F405" s="110" t="s">
        <v>108</v>
      </c>
    </row>
    <row r="406" spans="1:15" x14ac:dyDescent="0.3">
      <c r="A406" s="38">
        <v>46113</v>
      </c>
      <c r="B406" t="s">
        <v>282</v>
      </c>
      <c r="C406" s="95"/>
      <c r="D406" s="95"/>
      <c r="E406" t="s">
        <v>509</v>
      </c>
      <c r="F406" s="110" t="s">
        <v>108</v>
      </c>
    </row>
    <row r="407" spans="1:15" x14ac:dyDescent="0.3">
      <c r="A407" s="38">
        <v>46113</v>
      </c>
      <c r="B407" t="s">
        <v>55</v>
      </c>
      <c r="C407" s="95">
        <v>3400</v>
      </c>
      <c r="D407" s="95"/>
      <c r="E407" t="s">
        <v>510</v>
      </c>
      <c r="F407" s="110" t="s">
        <v>108</v>
      </c>
    </row>
    <row r="408" spans="1:15" x14ac:dyDescent="0.3">
      <c r="A408" s="38">
        <v>46114</v>
      </c>
      <c r="B408" t="s">
        <v>212</v>
      </c>
      <c r="C408" s="95">
        <v>100000</v>
      </c>
      <c r="D408" s="95"/>
      <c r="E408" t="s">
        <v>511</v>
      </c>
      <c r="F408" s="110" t="s">
        <v>108</v>
      </c>
    </row>
    <row r="409" spans="1:15" x14ac:dyDescent="0.3">
      <c r="A409" s="38">
        <v>46114</v>
      </c>
      <c r="B409" t="s">
        <v>249</v>
      </c>
      <c r="C409" s="95"/>
      <c r="D409" s="95"/>
      <c r="E409" t="s">
        <v>437</v>
      </c>
      <c r="F409" s="110" t="s">
        <v>108</v>
      </c>
    </row>
    <row r="410" spans="1:15" x14ac:dyDescent="0.3">
      <c r="A410" s="38">
        <v>46114</v>
      </c>
      <c r="B410" t="s">
        <v>225</v>
      </c>
      <c r="C410" s="95"/>
      <c r="D410" s="95">
        <v>60635</v>
      </c>
      <c r="E410" t="s">
        <v>512</v>
      </c>
      <c r="F410" s="110" t="s">
        <v>108</v>
      </c>
    </row>
    <row r="411" spans="1:15" x14ac:dyDescent="0.3">
      <c r="A411" s="38">
        <v>46114</v>
      </c>
      <c r="B411" t="s">
        <v>282</v>
      </c>
      <c r="C411" s="95">
        <v>15150</v>
      </c>
      <c r="D411" s="95"/>
      <c r="E411" t="s">
        <v>327</v>
      </c>
      <c r="F411" s="110" t="s">
        <v>108</v>
      </c>
    </row>
    <row r="412" spans="1:15" x14ac:dyDescent="0.3">
      <c r="A412" s="114">
        <v>46111</v>
      </c>
      <c r="B412" t="s">
        <v>54</v>
      </c>
      <c r="C412" s="95">
        <v>5000</v>
      </c>
      <c r="D412" s="95"/>
      <c r="E412" t="s">
        <v>290</v>
      </c>
      <c r="F412" s="110" t="s">
        <v>108</v>
      </c>
    </row>
    <row r="413" spans="1:15" x14ac:dyDescent="0.3">
      <c r="A413" s="38">
        <v>46114</v>
      </c>
      <c r="B413" t="s">
        <v>9</v>
      </c>
      <c r="C413" s="95"/>
      <c r="D413" s="95">
        <v>100000</v>
      </c>
      <c r="E413" t="s">
        <v>513</v>
      </c>
      <c r="F413" s="110" t="s">
        <v>108</v>
      </c>
    </row>
    <row r="414" spans="1:15" x14ac:dyDescent="0.3">
      <c r="A414" s="38">
        <v>46114</v>
      </c>
      <c r="B414" t="s">
        <v>169</v>
      </c>
      <c r="C414" s="95">
        <v>150100</v>
      </c>
      <c r="D414" s="95"/>
      <c r="E414" t="s">
        <v>514</v>
      </c>
      <c r="F414" s="110" t="s">
        <v>108</v>
      </c>
    </row>
    <row r="415" spans="1:15" x14ac:dyDescent="0.3">
      <c r="A415" s="38">
        <v>46114</v>
      </c>
      <c r="B415" t="s">
        <v>54</v>
      </c>
      <c r="C415" s="95">
        <v>12038</v>
      </c>
      <c r="D415" s="95"/>
      <c r="F415" s="110" t="s">
        <v>108</v>
      </c>
      <c r="J415">
        <v>30000</v>
      </c>
      <c r="L415">
        <v>10000</v>
      </c>
      <c r="M415">
        <v>16300</v>
      </c>
      <c r="O415">
        <v>5100</v>
      </c>
    </row>
    <row r="416" spans="1:15" x14ac:dyDescent="0.3">
      <c r="A416" s="38">
        <v>46114</v>
      </c>
      <c r="B416" t="s">
        <v>212</v>
      </c>
      <c r="C416" s="95">
        <f>620+1470+1470+481+2711+760</f>
        <v>7512</v>
      </c>
      <c r="D416" s="95"/>
      <c r="F416" s="110" t="s">
        <v>108</v>
      </c>
      <c r="J416">
        <v>119760</v>
      </c>
      <c r="L416">
        <v>3200</v>
      </c>
      <c r="M416">
        <v>12800</v>
      </c>
      <c r="O416">
        <v>12300</v>
      </c>
    </row>
    <row r="417" spans="1:15" x14ac:dyDescent="0.3">
      <c r="A417" s="38">
        <v>46114</v>
      </c>
      <c r="B417" t="s">
        <v>221</v>
      </c>
      <c r="C417" s="95">
        <f>9714-5500</f>
        <v>4214</v>
      </c>
      <c r="D417" s="95"/>
      <c r="E417" t="s">
        <v>515</v>
      </c>
      <c r="F417" s="110" t="s">
        <v>108</v>
      </c>
      <c r="J417">
        <v>35000</v>
      </c>
      <c r="L417">
        <v>22800</v>
      </c>
      <c r="M417">
        <v>22650</v>
      </c>
      <c r="O417">
        <v>10810</v>
      </c>
    </row>
    <row r="418" spans="1:15" x14ac:dyDescent="0.3">
      <c r="A418" s="114">
        <v>46115</v>
      </c>
      <c r="B418" t="s">
        <v>221</v>
      </c>
      <c r="C418" s="11">
        <v>5615</v>
      </c>
      <c r="D418" s="11"/>
      <c r="E418" t="s">
        <v>516</v>
      </c>
      <c r="F418" s="110" t="s">
        <v>108</v>
      </c>
      <c r="J418">
        <v>29600</v>
      </c>
      <c r="L418">
        <v>29600</v>
      </c>
      <c r="M418">
        <v>22800</v>
      </c>
      <c r="O418">
        <v>12000</v>
      </c>
    </row>
    <row r="419" spans="1:15" x14ac:dyDescent="0.3">
      <c r="A419" s="114">
        <v>46115</v>
      </c>
      <c r="B419" t="s">
        <v>220</v>
      </c>
      <c r="C419" s="11"/>
      <c r="D419" s="11">
        <f>71000+50000</f>
        <v>121000</v>
      </c>
      <c r="E419" t="s">
        <v>449</v>
      </c>
      <c r="F419" s="110" t="s">
        <v>108</v>
      </c>
      <c r="J419">
        <v>46600</v>
      </c>
      <c r="L419">
        <v>46600</v>
      </c>
      <c r="M419">
        <v>15000</v>
      </c>
      <c r="O419">
        <v>11650</v>
      </c>
    </row>
    <row r="420" spans="1:15" x14ac:dyDescent="0.3">
      <c r="A420" s="38">
        <v>46115</v>
      </c>
      <c r="B420" t="s">
        <v>298</v>
      </c>
      <c r="C420" s="95">
        <v>60214</v>
      </c>
      <c r="D420" s="95"/>
      <c r="E420" t="s">
        <v>517</v>
      </c>
      <c r="F420" s="110" t="s">
        <v>108</v>
      </c>
      <c r="J420">
        <v>22800</v>
      </c>
      <c r="L420">
        <v>20800</v>
      </c>
      <c r="M420">
        <v>18450</v>
      </c>
      <c r="O420">
        <v>16300</v>
      </c>
    </row>
    <row r="421" spans="1:15" x14ac:dyDescent="0.3">
      <c r="A421" s="38">
        <v>46116</v>
      </c>
      <c r="B421" t="s">
        <v>115</v>
      </c>
      <c r="C421" s="95">
        <v>100000</v>
      </c>
      <c r="D421" s="95"/>
      <c r="F421" s="110" t="s">
        <v>108</v>
      </c>
      <c r="J421">
        <v>3200</v>
      </c>
      <c r="L421">
        <v>20000</v>
      </c>
      <c r="M421">
        <v>24600</v>
      </c>
      <c r="O421">
        <v>17300</v>
      </c>
    </row>
    <row r="422" spans="1:15" x14ac:dyDescent="0.3">
      <c r="A422" s="114">
        <v>46116</v>
      </c>
      <c r="B422" t="s">
        <v>220</v>
      </c>
      <c r="C422" s="11"/>
      <c r="D422" s="11">
        <v>100000</v>
      </c>
      <c r="E422" t="s">
        <v>523</v>
      </c>
      <c r="F422" s="110" t="s">
        <v>108</v>
      </c>
      <c r="J422">
        <v>11640</v>
      </c>
      <c r="L422">
        <v>80000</v>
      </c>
      <c r="M422">
        <v>15000</v>
      </c>
      <c r="O422">
        <v>17460</v>
      </c>
    </row>
    <row r="423" spans="1:15" x14ac:dyDescent="0.3">
      <c r="A423" s="114">
        <v>46116</v>
      </c>
      <c r="B423" t="s">
        <v>221</v>
      </c>
      <c r="C423" s="11">
        <v>8000</v>
      </c>
      <c r="D423" s="11"/>
      <c r="E423" t="s">
        <v>524</v>
      </c>
      <c r="F423" s="110" t="s">
        <v>108</v>
      </c>
      <c r="J423">
        <v>17500</v>
      </c>
      <c r="L423">
        <v>30000</v>
      </c>
      <c r="M423">
        <v>12000</v>
      </c>
      <c r="O423">
        <v>18450</v>
      </c>
    </row>
    <row r="424" spans="1:15" x14ac:dyDescent="0.3">
      <c r="A424" s="114">
        <v>46116</v>
      </c>
      <c r="B424" t="s">
        <v>246</v>
      </c>
      <c r="C424" s="11">
        <v>5000</v>
      </c>
      <c r="D424" s="11"/>
      <c r="E424" t="s">
        <v>525</v>
      </c>
      <c r="F424" s="110" t="s">
        <v>108</v>
      </c>
      <c r="J424">
        <v>20800</v>
      </c>
      <c r="L424">
        <v>15600</v>
      </c>
      <c r="M424">
        <v>18300</v>
      </c>
      <c r="O424">
        <v>12800</v>
      </c>
    </row>
    <row r="425" spans="1:15" x14ac:dyDescent="0.3">
      <c r="A425" s="114">
        <v>46118</v>
      </c>
      <c r="B425" s="121" t="s">
        <v>54</v>
      </c>
      <c r="C425" s="11">
        <v>4400</v>
      </c>
      <c r="D425" s="11"/>
      <c r="E425" t="s">
        <v>459</v>
      </c>
      <c r="F425" s="110" t="s">
        <v>108</v>
      </c>
      <c r="J425">
        <v>15600</v>
      </c>
      <c r="L425">
        <v>15000</v>
      </c>
      <c r="M425">
        <v>20000</v>
      </c>
      <c r="O425">
        <v>24600</v>
      </c>
    </row>
    <row r="426" spans="1:15" x14ac:dyDescent="0.3">
      <c r="A426" s="114">
        <v>46118</v>
      </c>
      <c r="B426" t="s">
        <v>245</v>
      </c>
      <c r="C426" s="11"/>
      <c r="D426" s="11">
        <v>100000</v>
      </c>
      <c r="E426" t="s">
        <v>526</v>
      </c>
      <c r="F426" s="110" t="s">
        <v>108</v>
      </c>
      <c r="J426">
        <v>11000</v>
      </c>
      <c r="L426">
        <v>14300</v>
      </c>
      <c r="M426">
        <v>20000</v>
      </c>
      <c r="O426">
        <v>22800</v>
      </c>
    </row>
    <row r="427" spans="1:15" x14ac:dyDescent="0.3">
      <c r="A427" s="114">
        <v>46118</v>
      </c>
      <c r="B427" t="s">
        <v>249</v>
      </c>
      <c r="C427" s="11">
        <v>11340</v>
      </c>
      <c r="D427" s="11"/>
      <c r="E427" t="s">
        <v>527</v>
      </c>
      <c r="F427" s="110" t="s">
        <v>108</v>
      </c>
      <c r="J427">
        <v>17000</v>
      </c>
      <c r="L427">
        <v>16500</v>
      </c>
      <c r="M427">
        <v>38400</v>
      </c>
      <c r="O427">
        <v>20000</v>
      </c>
    </row>
    <row r="428" spans="1:15" x14ac:dyDescent="0.3">
      <c r="A428" s="114">
        <v>46119</v>
      </c>
      <c r="B428" t="s">
        <v>212</v>
      </c>
      <c r="C428" s="11"/>
      <c r="D428" s="11">
        <v>12000</v>
      </c>
      <c r="E428" t="s">
        <v>528</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46119</v>
      </c>
      <c r="B432" t="s">
        <v>530</v>
      </c>
      <c r="C432" s="11">
        <v>312000</v>
      </c>
      <c r="D432" s="11"/>
      <c r="E432" t="s">
        <v>531</v>
      </c>
      <c r="F432" s="110" t="s">
        <v>108</v>
      </c>
      <c r="L432">
        <v>5830</v>
      </c>
      <c r="M432">
        <v>9850</v>
      </c>
      <c r="O432">
        <v>7000</v>
      </c>
    </row>
    <row r="433" spans="1:15" x14ac:dyDescent="0.3">
      <c r="A433" s="114">
        <v>46119</v>
      </c>
      <c r="B433" t="s">
        <v>212</v>
      </c>
      <c r="C433" s="11"/>
      <c r="D433" s="11">
        <v>12000</v>
      </c>
      <c r="E433" t="s">
        <v>558</v>
      </c>
      <c r="F433" s="110" t="s">
        <v>108</v>
      </c>
      <c r="L433">
        <v>7000</v>
      </c>
      <c r="M433">
        <v>20000</v>
      </c>
      <c r="O433">
        <v>5850</v>
      </c>
    </row>
    <row r="434" spans="1:15" x14ac:dyDescent="0.3">
      <c r="A434" s="114">
        <v>46119</v>
      </c>
      <c r="B434" t="s">
        <v>220</v>
      </c>
      <c r="C434" s="11"/>
      <c r="D434" s="11">
        <v>300000</v>
      </c>
      <c r="E434" t="s">
        <v>532</v>
      </c>
      <c r="F434" s="110" t="s">
        <v>108</v>
      </c>
      <c r="L434">
        <v>5332</v>
      </c>
      <c r="O434">
        <v>3300</v>
      </c>
    </row>
    <row r="435" spans="1:15" x14ac:dyDescent="0.3">
      <c r="A435" s="38">
        <v>46119</v>
      </c>
      <c r="B435" t="s">
        <v>220</v>
      </c>
      <c r="C435" s="95"/>
      <c r="D435" s="95">
        <v>20000</v>
      </c>
      <c r="E435" t="s">
        <v>533</v>
      </c>
      <c r="F435" s="110" t="s">
        <v>108</v>
      </c>
      <c r="L435">
        <v>35000</v>
      </c>
      <c r="O435">
        <v>17500</v>
      </c>
    </row>
    <row r="436" spans="1:15" x14ac:dyDescent="0.3">
      <c r="A436" s="38">
        <v>46119</v>
      </c>
      <c r="B436" t="s">
        <v>282</v>
      </c>
      <c r="C436" s="95">
        <v>10000</v>
      </c>
      <c r="D436" s="95"/>
      <c r="E436" t="s">
        <v>469</v>
      </c>
      <c r="F436" s="110" t="s">
        <v>108</v>
      </c>
      <c r="L436">
        <v>11000</v>
      </c>
      <c r="M436">
        <v>17000</v>
      </c>
      <c r="O436">
        <v>17500</v>
      </c>
    </row>
    <row r="437" spans="1:15" x14ac:dyDescent="0.3">
      <c r="A437" s="38">
        <v>46119</v>
      </c>
      <c r="B437" t="s">
        <v>282</v>
      </c>
      <c r="C437" s="95">
        <v>10000</v>
      </c>
      <c r="D437" s="95"/>
      <c r="E437" t="s">
        <v>404</v>
      </c>
      <c r="F437" s="110" t="s">
        <v>108</v>
      </c>
      <c r="L437">
        <v>17460</v>
      </c>
      <c r="M437">
        <v>22000</v>
      </c>
      <c r="O437">
        <v>17500</v>
      </c>
    </row>
    <row r="438" spans="1:15" x14ac:dyDescent="0.3">
      <c r="A438" s="38">
        <v>46120</v>
      </c>
      <c r="B438" t="s">
        <v>220</v>
      </c>
      <c r="C438" s="95"/>
      <c r="D438" s="95">
        <v>150000</v>
      </c>
      <c r="E438" t="s">
        <v>534</v>
      </c>
      <c r="F438" s="110" t="s">
        <v>108</v>
      </c>
      <c r="L438">
        <v>11640</v>
      </c>
      <c r="O438">
        <v>16500</v>
      </c>
    </row>
    <row r="439" spans="1:15" x14ac:dyDescent="0.3">
      <c r="A439" s="38">
        <v>46120</v>
      </c>
      <c r="B439" t="s">
        <v>222</v>
      </c>
      <c r="C439" s="95">
        <v>150000</v>
      </c>
      <c r="D439" s="95"/>
      <c r="E439" t="s">
        <v>534</v>
      </c>
      <c r="F439" s="110" t="s">
        <v>108</v>
      </c>
      <c r="L439">
        <v>10800</v>
      </c>
      <c r="O439">
        <v>14300</v>
      </c>
    </row>
    <row r="440" spans="1:15" x14ac:dyDescent="0.3">
      <c r="A440" s="38">
        <v>46120</v>
      </c>
      <c r="B440" t="s">
        <v>220</v>
      </c>
      <c r="C440" s="95"/>
      <c r="D440" s="95">
        <v>30000</v>
      </c>
      <c r="E440" t="s">
        <v>535</v>
      </c>
      <c r="F440" s="110" t="s">
        <v>108</v>
      </c>
      <c r="L440">
        <v>17000</v>
      </c>
      <c r="O440">
        <v>15000</v>
      </c>
    </row>
    <row r="441" spans="1:15" x14ac:dyDescent="0.3">
      <c r="A441" s="38">
        <v>46120</v>
      </c>
      <c r="B441" t="s">
        <v>55</v>
      </c>
      <c r="C441" s="95">
        <v>1600</v>
      </c>
      <c r="D441" s="95"/>
      <c r="F441" s="110" t="s">
        <v>108</v>
      </c>
      <c r="O441">
        <v>22650</v>
      </c>
    </row>
    <row r="442" spans="1:15" x14ac:dyDescent="0.3">
      <c r="A442" s="38">
        <v>46120</v>
      </c>
      <c r="B442" t="s">
        <v>54</v>
      </c>
      <c r="C442" s="95">
        <v>5305</v>
      </c>
      <c r="D442" s="95"/>
      <c r="E442" t="s">
        <v>536</v>
      </c>
      <c r="F442" s="110" t="s">
        <v>108</v>
      </c>
      <c r="O442">
        <v>20000</v>
      </c>
    </row>
    <row r="443" spans="1:15" x14ac:dyDescent="0.3">
      <c r="A443" s="38">
        <v>46120</v>
      </c>
      <c r="B443" t="s">
        <v>55</v>
      </c>
      <c r="C443" s="95">
        <v>15673</v>
      </c>
      <c r="D443" s="95"/>
      <c r="E443" t="s">
        <v>537</v>
      </c>
      <c r="F443" s="110" t="s">
        <v>108</v>
      </c>
      <c r="O443">
        <v>15600</v>
      </c>
    </row>
    <row r="444" spans="1:15" x14ac:dyDescent="0.3">
      <c r="A444" s="38">
        <v>46120</v>
      </c>
      <c r="B444" t="s">
        <v>55</v>
      </c>
      <c r="C444" s="95">
        <v>400</v>
      </c>
      <c r="D444" s="95"/>
      <c r="F444" s="110" t="s">
        <v>108</v>
      </c>
      <c r="O444">
        <v>15000</v>
      </c>
    </row>
    <row r="445" spans="1:15" x14ac:dyDescent="0.3">
      <c r="A445" s="38">
        <v>46120</v>
      </c>
      <c r="B445" t="s">
        <v>220</v>
      </c>
      <c r="C445" s="95"/>
      <c r="D445" s="95">
        <v>74380</v>
      </c>
      <c r="E445" t="s">
        <v>176</v>
      </c>
      <c r="F445" s="110" t="s">
        <v>108</v>
      </c>
      <c r="O445">
        <v>400</v>
      </c>
    </row>
    <row r="446" spans="1:15" x14ac:dyDescent="0.3">
      <c r="A446" s="38">
        <v>46120</v>
      </c>
      <c r="B446" t="s">
        <v>176</v>
      </c>
      <c r="C446" s="11">
        <v>74380</v>
      </c>
      <c r="D446" s="11"/>
      <c r="E446" t="s">
        <v>297</v>
      </c>
      <c r="F446" s="110" t="s">
        <v>108</v>
      </c>
      <c r="O446">
        <v>20000</v>
      </c>
    </row>
    <row r="447" spans="1:15" x14ac:dyDescent="0.3">
      <c r="A447" s="38">
        <v>46120</v>
      </c>
      <c r="B447" t="s">
        <v>54</v>
      </c>
      <c r="C447" s="11">
        <v>2800</v>
      </c>
      <c r="D447" s="11"/>
      <c r="E447" t="s">
        <v>538</v>
      </c>
      <c r="F447" s="110" t="s">
        <v>108</v>
      </c>
      <c r="O447">
        <v>30000</v>
      </c>
    </row>
    <row r="448" spans="1:15" x14ac:dyDescent="0.3">
      <c r="A448" s="38">
        <v>46121</v>
      </c>
      <c r="B448" t="s">
        <v>55</v>
      </c>
      <c r="C448" s="11">
        <v>1300</v>
      </c>
      <c r="D448" s="11"/>
      <c r="F448" s="110" t="s">
        <v>108</v>
      </c>
      <c r="O448">
        <v>8350</v>
      </c>
    </row>
    <row r="449" spans="1:16" x14ac:dyDescent="0.3">
      <c r="A449" s="38">
        <v>46121</v>
      </c>
      <c r="B449" t="s">
        <v>277</v>
      </c>
      <c r="C449" s="11">
        <v>34336</v>
      </c>
      <c r="D449" s="11"/>
      <c r="E449" t="s">
        <v>539</v>
      </c>
      <c r="F449" s="110" t="s">
        <v>108</v>
      </c>
      <c r="O449">
        <v>9850</v>
      </c>
      <c r="P449">
        <v>17000</v>
      </c>
    </row>
    <row r="450" spans="1:16" x14ac:dyDescent="0.3">
      <c r="A450" s="38">
        <v>46121</v>
      </c>
      <c r="B450" t="s">
        <v>212</v>
      </c>
      <c r="C450" s="11"/>
      <c r="D450" s="11">
        <v>34336</v>
      </c>
      <c r="E450" t="s">
        <v>277</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46121</v>
      </c>
      <c r="B453" t="s">
        <v>176</v>
      </c>
      <c r="C453" s="11">
        <v>27000</v>
      </c>
      <c r="D453" s="11"/>
      <c r="E453" t="s">
        <v>542</v>
      </c>
      <c r="F453" s="110" t="s">
        <v>108</v>
      </c>
      <c r="O453">
        <v>46600</v>
      </c>
    </row>
    <row r="454" spans="1:16" x14ac:dyDescent="0.3">
      <c r="A454" s="38">
        <v>46121</v>
      </c>
      <c r="B454" t="s">
        <v>220</v>
      </c>
      <c r="C454" s="11"/>
      <c r="D454" s="11">
        <v>27000</v>
      </c>
      <c r="E454" t="s">
        <v>176</v>
      </c>
      <c r="F454" s="110" t="s">
        <v>108</v>
      </c>
      <c r="L454" s="19">
        <v>48600</v>
      </c>
      <c r="N454" s="19">
        <v>27400</v>
      </c>
      <c r="O454">
        <v>29600</v>
      </c>
    </row>
    <row r="455" spans="1:16" x14ac:dyDescent="0.3">
      <c r="A455" s="38">
        <v>46120</v>
      </c>
      <c r="B455" t="s">
        <v>222</v>
      </c>
      <c r="C455" s="11">
        <v>50000</v>
      </c>
      <c r="D455" s="11"/>
      <c r="E455" t="s">
        <v>543</v>
      </c>
      <c r="F455" s="110" t="s">
        <v>108</v>
      </c>
      <c r="L455">
        <v>49200</v>
      </c>
      <c r="N455">
        <v>3400</v>
      </c>
      <c r="O455">
        <v>22800</v>
      </c>
    </row>
    <row r="456" spans="1:16" x14ac:dyDescent="0.3">
      <c r="A456" s="38">
        <v>46120</v>
      </c>
      <c r="B456" t="s">
        <v>220</v>
      </c>
      <c r="C456" s="11"/>
      <c r="D456" s="11">
        <v>50000</v>
      </c>
      <c r="E456" t="s">
        <v>543</v>
      </c>
      <c r="F456" s="110" t="s">
        <v>108</v>
      </c>
      <c r="L456">
        <v>52000</v>
      </c>
      <c r="N456" s="19">
        <v>6200</v>
      </c>
      <c r="O456">
        <v>3200</v>
      </c>
    </row>
    <row r="457" spans="1:16" x14ac:dyDescent="0.3">
      <c r="A457" s="114">
        <v>46122</v>
      </c>
      <c r="B457" t="s">
        <v>220</v>
      </c>
      <c r="C457" s="11"/>
      <c r="D457" s="11">
        <v>62000</v>
      </c>
      <c r="E457" t="s">
        <v>544</v>
      </c>
      <c r="F457" s="110" t="s">
        <v>108</v>
      </c>
      <c r="L457">
        <v>42800</v>
      </c>
      <c r="N457">
        <v>3400</v>
      </c>
      <c r="O457">
        <v>48400</v>
      </c>
    </row>
    <row r="458" spans="1:16" x14ac:dyDescent="0.3">
      <c r="A458" s="114">
        <v>46122</v>
      </c>
      <c r="B458" t="s">
        <v>55</v>
      </c>
      <c r="C458" s="11">
        <v>2200</v>
      </c>
      <c r="D458" s="11"/>
      <c r="F458" s="110" t="s">
        <v>108</v>
      </c>
      <c r="L458">
        <v>25200</v>
      </c>
      <c r="N458" s="19">
        <v>25200</v>
      </c>
      <c r="O458">
        <v>5330</v>
      </c>
    </row>
    <row r="459" spans="1:16" x14ac:dyDescent="0.3">
      <c r="A459" s="114">
        <v>46122</v>
      </c>
      <c r="B459" t="s">
        <v>55</v>
      </c>
      <c r="C459" s="11">
        <v>30000</v>
      </c>
      <c r="D459" s="11"/>
      <c r="E459" t="s">
        <v>545</v>
      </c>
      <c r="F459" s="110" t="s">
        <v>108</v>
      </c>
      <c r="L459">
        <v>37600</v>
      </c>
      <c r="N459" s="19">
        <v>19500</v>
      </c>
      <c r="O459">
        <v>17000</v>
      </c>
    </row>
    <row r="460" spans="1:16" x14ac:dyDescent="0.3">
      <c r="A460" s="114">
        <v>46122</v>
      </c>
      <c r="B460" t="s">
        <v>546</v>
      </c>
      <c r="C460" s="11">
        <v>50000</v>
      </c>
      <c r="D460" s="11"/>
      <c r="E460" t="s">
        <v>547</v>
      </c>
      <c r="F460" s="110" t="s">
        <v>108</v>
      </c>
      <c r="L460">
        <v>23000</v>
      </c>
      <c r="N460" s="19">
        <v>20300</v>
      </c>
    </row>
    <row r="461" spans="1:16" x14ac:dyDescent="0.3">
      <c r="A461" s="114">
        <v>46122</v>
      </c>
      <c r="B461" t="s">
        <v>220</v>
      </c>
      <c r="C461" s="11"/>
      <c r="D461" s="11">
        <v>77000</v>
      </c>
      <c r="E461" t="s">
        <v>535</v>
      </c>
      <c r="F461" s="110" t="s">
        <v>108</v>
      </c>
      <c r="L461">
        <v>6200</v>
      </c>
      <c r="N461" s="19">
        <v>21000</v>
      </c>
    </row>
    <row r="462" spans="1:16" x14ac:dyDescent="0.3">
      <c r="A462" s="114">
        <v>46122</v>
      </c>
      <c r="B462" t="s">
        <v>54</v>
      </c>
      <c r="C462" s="11">
        <v>3044</v>
      </c>
      <c r="D462" s="11"/>
      <c r="E462" t="s">
        <v>548</v>
      </c>
      <c r="F462" s="110" t="s">
        <v>108</v>
      </c>
      <c r="L462">
        <v>3400</v>
      </c>
      <c r="N462" s="19">
        <v>40000</v>
      </c>
    </row>
    <row r="463" spans="1:16" x14ac:dyDescent="0.3">
      <c r="A463" s="114">
        <v>46122</v>
      </c>
      <c r="B463" t="s">
        <v>282</v>
      </c>
      <c r="C463" s="11">
        <v>40000</v>
      </c>
      <c r="D463" s="11"/>
      <c r="E463" t="s">
        <v>549</v>
      </c>
      <c r="F463" s="110" t="s">
        <v>108</v>
      </c>
      <c r="L463">
        <v>19800</v>
      </c>
      <c r="N463" s="19">
        <v>3000</v>
      </c>
    </row>
    <row r="464" spans="1:16" x14ac:dyDescent="0.3">
      <c r="A464" s="114">
        <v>46123</v>
      </c>
      <c r="B464" t="s">
        <v>221</v>
      </c>
      <c r="C464" s="11">
        <v>4471</v>
      </c>
      <c r="D464" s="11"/>
      <c r="E464" t="s">
        <v>439</v>
      </c>
      <c r="F464" s="110" t="s">
        <v>108</v>
      </c>
      <c r="L464">
        <v>3400</v>
      </c>
      <c r="N464" s="19">
        <v>20600</v>
      </c>
    </row>
    <row r="465" spans="1:14" x14ac:dyDescent="0.3">
      <c r="A465" s="114">
        <v>46122</v>
      </c>
      <c r="B465" t="s">
        <v>55</v>
      </c>
      <c r="C465" s="11">
        <v>1200</v>
      </c>
      <c r="D465" s="11"/>
      <c r="F465" s="110" t="s">
        <v>108</v>
      </c>
      <c r="L465">
        <v>31150</v>
      </c>
      <c r="N465" s="19">
        <v>12750</v>
      </c>
    </row>
    <row r="466" spans="1:14" x14ac:dyDescent="0.3">
      <c r="A466" s="114">
        <v>46122</v>
      </c>
      <c r="B466" t="s">
        <v>246</v>
      </c>
      <c r="C466" s="11">
        <v>600</v>
      </c>
      <c r="D466" s="11"/>
      <c r="F466" s="110" t="s">
        <v>108</v>
      </c>
      <c r="L466">
        <v>12750</v>
      </c>
      <c r="N466" s="19">
        <v>14400</v>
      </c>
    </row>
    <row r="467" spans="1:14" x14ac:dyDescent="0.3">
      <c r="A467" s="114">
        <v>46123</v>
      </c>
      <c r="B467" t="s">
        <v>54</v>
      </c>
      <c r="C467" s="11">
        <v>1500</v>
      </c>
      <c r="D467" s="11"/>
      <c r="E467" t="s">
        <v>538</v>
      </c>
      <c r="F467" s="110" t="s">
        <v>108</v>
      </c>
      <c r="L467">
        <v>27400</v>
      </c>
      <c r="N467" s="19">
        <v>9000</v>
      </c>
    </row>
    <row r="468" spans="1:14" x14ac:dyDescent="0.3">
      <c r="A468" s="114">
        <v>46123</v>
      </c>
      <c r="B468" t="s">
        <v>35</v>
      </c>
      <c r="C468" s="11"/>
      <c r="D468" s="11">
        <v>400000</v>
      </c>
      <c r="E468" t="s">
        <v>550</v>
      </c>
      <c r="F468" s="110" t="s">
        <v>108</v>
      </c>
      <c r="L468">
        <v>15700</v>
      </c>
      <c r="N468" s="19">
        <v>17400</v>
      </c>
    </row>
    <row r="469" spans="1:14" x14ac:dyDescent="0.3">
      <c r="A469" s="114">
        <v>46123</v>
      </c>
      <c r="B469" t="s">
        <v>169</v>
      </c>
      <c r="C469" s="11">
        <v>200200</v>
      </c>
      <c r="D469" s="11"/>
      <c r="E469" t="s">
        <v>551</v>
      </c>
      <c r="F469" s="110" t="s">
        <v>108</v>
      </c>
      <c r="L469">
        <v>12550</v>
      </c>
      <c r="N469" s="19">
        <v>19782</v>
      </c>
    </row>
    <row r="470" spans="1:14" x14ac:dyDescent="0.3">
      <c r="A470" s="114">
        <v>46123</v>
      </c>
      <c r="B470" t="s">
        <v>282</v>
      </c>
      <c r="C470" s="11">
        <v>29000</v>
      </c>
      <c r="D470" s="11"/>
      <c r="E470" t="s">
        <v>281</v>
      </c>
      <c r="F470" s="110" t="s">
        <v>108</v>
      </c>
      <c r="L470">
        <v>14800</v>
      </c>
      <c r="N470" s="19">
        <v>23000</v>
      </c>
    </row>
    <row r="471" spans="1:14" x14ac:dyDescent="0.3">
      <c r="A471" s="114">
        <v>46123</v>
      </c>
      <c r="B471" t="s">
        <v>54</v>
      </c>
      <c r="C471" s="11">
        <v>6000</v>
      </c>
      <c r="D471" s="11"/>
      <c r="E471" t="s">
        <v>552</v>
      </c>
      <c r="F471" s="110" t="s">
        <v>108</v>
      </c>
      <c r="L471">
        <v>14350</v>
      </c>
      <c r="N471" s="19">
        <v>15700</v>
      </c>
    </row>
    <row r="472" spans="1:14" x14ac:dyDescent="0.3">
      <c r="A472" s="114">
        <v>46124</v>
      </c>
      <c r="B472" t="s">
        <v>55</v>
      </c>
      <c r="C472" s="11">
        <v>4500</v>
      </c>
      <c r="D472" s="11"/>
      <c r="F472" s="110" t="s">
        <v>108</v>
      </c>
      <c r="L472">
        <v>40000</v>
      </c>
      <c r="N472" s="19">
        <v>14800</v>
      </c>
    </row>
    <row r="473" spans="1:14" x14ac:dyDescent="0.3">
      <c r="A473" s="114">
        <v>46124</v>
      </c>
      <c r="B473" t="s">
        <v>546</v>
      </c>
      <c r="C473" s="11">
        <v>100000</v>
      </c>
      <c r="D473" s="11"/>
      <c r="E473" t="s">
        <v>553</v>
      </c>
      <c r="F473" s="110" t="s">
        <v>108</v>
      </c>
      <c r="L473">
        <v>17400</v>
      </c>
      <c r="N473" s="19">
        <v>12550</v>
      </c>
    </row>
    <row r="474" spans="1:14" x14ac:dyDescent="0.3">
      <c r="A474" s="114">
        <v>46124</v>
      </c>
      <c r="B474" t="s">
        <v>220</v>
      </c>
      <c r="C474" s="11"/>
      <c r="D474" s="11">
        <v>40000</v>
      </c>
      <c r="E474" t="s">
        <v>554</v>
      </c>
      <c r="F474" s="110" t="s">
        <v>108</v>
      </c>
      <c r="L474">
        <v>19500</v>
      </c>
      <c r="N474" s="19">
        <v>31150</v>
      </c>
    </row>
    <row r="475" spans="1:14" x14ac:dyDescent="0.3">
      <c r="A475" s="114">
        <v>46124</v>
      </c>
      <c r="B475" t="s">
        <v>222</v>
      </c>
      <c r="C475" s="11">
        <v>100000</v>
      </c>
      <c r="D475" s="11"/>
      <c r="E475" t="s">
        <v>555</v>
      </c>
      <c r="F475" s="110" t="s">
        <v>108</v>
      </c>
      <c r="L475">
        <v>3000</v>
      </c>
      <c r="N475" s="19">
        <v>27500</v>
      </c>
    </row>
    <row r="476" spans="1:14" x14ac:dyDescent="0.3">
      <c r="A476" s="114">
        <v>46124</v>
      </c>
      <c r="B476" t="s">
        <v>55</v>
      </c>
      <c r="C476" s="11">
        <v>1600</v>
      </c>
      <c r="D476" s="11"/>
      <c r="F476" s="110" t="s">
        <v>108</v>
      </c>
      <c r="L476">
        <v>1000</v>
      </c>
      <c r="N476" s="19">
        <v>20000</v>
      </c>
    </row>
    <row r="477" spans="1:14" x14ac:dyDescent="0.3">
      <c r="A477" s="114">
        <v>46124</v>
      </c>
      <c r="B477" t="s">
        <v>55</v>
      </c>
      <c r="C477" s="11">
        <v>5040</v>
      </c>
      <c r="D477" s="11"/>
      <c r="F477" s="110" t="s">
        <v>108</v>
      </c>
      <c r="L477">
        <v>9000</v>
      </c>
      <c r="N477" s="19">
        <v>52000</v>
      </c>
    </row>
    <row r="478" spans="1:14" x14ac:dyDescent="0.3">
      <c r="A478" s="114">
        <v>46124</v>
      </c>
      <c r="B478" t="s">
        <v>212</v>
      </c>
      <c r="C478" s="11"/>
      <c r="D478" s="11">
        <v>5040</v>
      </c>
      <c r="E478" t="s">
        <v>559</v>
      </c>
      <c r="F478" s="110" t="s">
        <v>108</v>
      </c>
      <c r="L478">
        <v>21000</v>
      </c>
      <c r="N478" s="19">
        <v>49200</v>
      </c>
    </row>
    <row r="479" spans="1:14" x14ac:dyDescent="0.3">
      <c r="A479" s="114">
        <v>46124</v>
      </c>
      <c r="B479" t="s">
        <v>220</v>
      </c>
      <c r="C479" s="11"/>
      <c r="D479" s="11">
        <v>10000</v>
      </c>
      <c r="E479" t="s">
        <v>556</v>
      </c>
      <c r="F479" s="110" t="s">
        <v>108</v>
      </c>
      <c r="L479">
        <v>20300</v>
      </c>
      <c r="N479" s="19">
        <v>37600</v>
      </c>
    </row>
    <row r="480" spans="1:14" x14ac:dyDescent="0.3">
      <c r="A480" s="114">
        <v>46124</v>
      </c>
      <c r="B480" t="s">
        <v>54</v>
      </c>
      <c r="C480" s="11">
        <v>7392</v>
      </c>
      <c r="D480" s="11"/>
      <c r="E480" t="s">
        <v>557</v>
      </c>
      <c r="F480" s="110" t="s">
        <v>108</v>
      </c>
      <c r="L480">
        <v>27500</v>
      </c>
      <c r="N480" s="19">
        <v>48600</v>
      </c>
    </row>
    <row r="481" spans="1:14" x14ac:dyDescent="0.3">
      <c r="A481" s="114">
        <v>46123</v>
      </c>
      <c r="B481" t="s">
        <v>212</v>
      </c>
      <c r="C481" s="11">
        <v>1490</v>
      </c>
      <c r="D481" s="11"/>
      <c r="F481" s="110" t="s">
        <v>108</v>
      </c>
      <c r="L481">
        <v>20000</v>
      </c>
      <c r="N481" s="19">
        <v>42800</v>
      </c>
    </row>
    <row r="482" spans="1:14" x14ac:dyDescent="0.3">
      <c r="A482" s="38">
        <v>46122</v>
      </c>
      <c r="B482" t="s">
        <v>54</v>
      </c>
      <c r="C482" s="95">
        <v>7636.4</v>
      </c>
      <c r="D482" s="95"/>
      <c r="E482" t="s">
        <v>290</v>
      </c>
      <c r="F482" s="110" t="s">
        <v>108</v>
      </c>
      <c r="L482">
        <v>20600</v>
      </c>
    </row>
    <row r="483" spans="1:14" x14ac:dyDescent="0.3">
      <c r="A483" s="126"/>
      <c r="B483" s="127" t="s">
        <v>220</v>
      </c>
      <c r="C483" s="128"/>
      <c r="D483" s="128">
        <v>20000</v>
      </c>
      <c r="E483" s="127"/>
      <c r="F483" s="129" t="s">
        <v>108</v>
      </c>
      <c r="G483" s="127"/>
      <c r="L483">
        <v>3400</v>
      </c>
    </row>
    <row r="484" spans="1:14" x14ac:dyDescent="0.3">
      <c r="A484" s="114">
        <v>46116</v>
      </c>
      <c r="B484" t="s">
        <v>282</v>
      </c>
      <c r="C484" s="11">
        <v>25000</v>
      </c>
      <c r="D484" s="11"/>
      <c r="E484" t="s">
        <v>509</v>
      </c>
      <c r="F484" s="110" t="s">
        <v>108</v>
      </c>
    </row>
    <row r="485" spans="1:14" x14ac:dyDescent="0.3">
      <c r="A485" s="114">
        <v>46116</v>
      </c>
      <c r="B485" t="s">
        <v>246</v>
      </c>
      <c r="C485" s="11">
        <v>15000</v>
      </c>
      <c r="D485" s="11"/>
      <c r="E485" t="s">
        <v>561</v>
      </c>
      <c r="F485" s="110" t="s">
        <v>108</v>
      </c>
    </row>
    <row r="486" spans="1:14" x14ac:dyDescent="0.3">
      <c r="A486" s="114">
        <v>46116</v>
      </c>
      <c r="B486" t="s">
        <v>508</v>
      </c>
      <c r="C486" s="11">
        <v>6000</v>
      </c>
      <c r="D486" s="11"/>
      <c r="E486" t="s">
        <v>562</v>
      </c>
      <c r="F486" s="110" t="s">
        <v>108</v>
      </c>
    </row>
    <row r="487" spans="1:14" x14ac:dyDescent="0.3">
      <c r="A487" s="114">
        <v>46116</v>
      </c>
      <c r="B487" t="s">
        <v>54</v>
      </c>
      <c r="C487" s="11">
        <v>400</v>
      </c>
      <c r="D487" s="11"/>
      <c r="F487" s="110" t="s">
        <v>108</v>
      </c>
    </row>
    <row r="488" spans="1:14" x14ac:dyDescent="0.3">
      <c r="A488" s="114">
        <v>46116</v>
      </c>
      <c r="B488" t="s">
        <v>249</v>
      </c>
      <c r="C488" s="11">
        <v>17200</v>
      </c>
      <c r="D488" s="11"/>
      <c r="E488" t="s">
        <v>563</v>
      </c>
      <c r="F488" s="110" t="s">
        <v>108</v>
      </c>
    </row>
    <row r="489" spans="1:14" x14ac:dyDescent="0.3">
      <c r="A489" s="38">
        <v>46116</v>
      </c>
      <c r="B489" t="s">
        <v>246</v>
      </c>
      <c r="C489" s="95">
        <f>780+700</f>
        <v>1480</v>
      </c>
      <c r="D489" s="95"/>
      <c r="E489" t="s">
        <v>564</v>
      </c>
      <c r="F489" s="110" t="s">
        <v>108</v>
      </c>
    </row>
    <row r="490" spans="1:14" x14ac:dyDescent="0.3">
      <c r="A490" s="38">
        <v>46116</v>
      </c>
      <c r="B490" t="s">
        <v>246</v>
      </c>
      <c r="C490" s="95">
        <f>1500+10600</f>
        <v>12100</v>
      </c>
      <c r="D490" s="95"/>
      <c r="E490" t="s">
        <v>565</v>
      </c>
      <c r="F490" s="110" t="s">
        <v>108</v>
      </c>
    </row>
    <row r="491" spans="1:14" x14ac:dyDescent="0.3">
      <c r="A491" s="126"/>
      <c r="B491" s="127"/>
      <c r="C491" s="128"/>
      <c r="D491" s="128"/>
      <c r="E491" s="127"/>
      <c r="F491" s="129"/>
      <c r="G491" s="127"/>
    </row>
    <row r="492" spans="1:14" x14ac:dyDescent="0.3">
      <c r="A492" s="38">
        <v>46118</v>
      </c>
      <c r="B492" t="s">
        <v>212</v>
      </c>
      <c r="C492" s="95"/>
      <c r="D492" s="95">
        <v>2000</v>
      </c>
      <c r="E492" t="s">
        <v>281</v>
      </c>
      <c r="F492" s="110" t="s">
        <v>108</v>
      </c>
    </row>
    <row r="493" spans="1:14" x14ac:dyDescent="0.3">
      <c r="A493" s="38">
        <v>46118</v>
      </c>
      <c r="B493" t="s">
        <v>357</v>
      </c>
      <c r="C493" s="95">
        <v>2000</v>
      </c>
      <c r="D493" s="95"/>
      <c r="E493" t="s">
        <v>281</v>
      </c>
      <c r="F493" s="110" t="s">
        <v>108</v>
      </c>
    </row>
    <row r="494" spans="1:14" x14ac:dyDescent="0.3">
      <c r="A494" s="38">
        <v>46122</v>
      </c>
      <c r="B494" t="s">
        <v>220</v>
      </c>
      <c r="C494" s="95"/>
      <c r="D494" s="95">
        <v>50000</v>
      </c>
      <c r="E494" t="s">
        <v>449</v>
      </c>
      <c r="F494" s="110" t="s">
        <v>108</v>
      </c>
    </row>
    <row r="495" spans="1:14" x14ac:dyDescent="0.3">
      <c r="A495" s="38">
        <v>46122</v>
      </c>
      <c r="B495" t="s">
        <v>282</v>
      </c>
      <c r="C495" s="95">
        <v>14000</v>
      </c>
      <c r="D495" s="95"/>
      <c r="E495" t="s">
        <v>361</v>
      </c>
      <c r="F495" s="110" t="s">
        <v>108</v>
      </c>
    </row>
    <row r="496" spans="1:14" x14ac:dyDescent="0.3">
      <c r="A496" s="38">
        <v>46122</v>
      </c>
      <c r="B496" t="s">
        <v>282</v>
      </c>
      <c r="C496" s="95">
        <v>22400</v>
      </c>
      <c r="D496" s="95"/>
      <c r="E496" t="s">
        <v>566</v>
      </c>
      <c r="F496" s="110" t="s">
        <v>108</v>
      </c>
    </row>
    <row r="497" spans="1:10" x14ac:dyDescent="0.3">
      <c r="A497" s="126"/>
      <c r="B497" s="127"/>
      <c r="C497" s="128"/>
      <c r="D497" s="128"/>
      <c r="E497" s="127"/>
      <c r="F497" s="129"/>
      <c r="G497" s="127"/>
    </row>
    <row r="498" spans="1:10" x14ac:dyDescent="0.3">
      <c r="A498" s="114">
        <v>46121</v>
      </c>
      <c r="B498" t="s">
        <v>220</v>
      </c>
      <c r="C498" s="11"/>
      <c r="D498" s="11">
        <v>1000000</v>
      </c>
      <c r="E498" t="s">
        <v>365</v>
      </c>
      <c r="F498" s="110" t="s">
        <v>108</v>
      </c>
    </row>
    <row r="499" spans="1:10" x14ac:dyDescent="0.3">
      <c r="A499" s="114">
        <v>46121</v>
      </c>
      <c r="B499" t="s">
        <v>220</v>
      </c>
      <c r="C499" s="11"/>
      <c r="D499" s="11">
        <v>45000</v>
      </c>
      <c r="E499" t="s">
        <v>365</v>
      </c>
      <c r="F499" s="110" t="s">
        <v>108</v>
      </c>
    </row>
    <row r="500" spans="1:10" x14ac:dyDescent="0.3">
      <c r="A500" s="114">
        <v>46121</v>
      </c>
      <c r="B500" t="s">
        <v>282</v>
      </c>
      <c r="C500" s="11">
        <v>841267</v>
      </c>
      <c r="D500" s="11"/>
      <c r="E500" t="s">
        <v>568</v>
      </c>
      <c r="F500" s="110" t="s">
        <v>108</v>
      </c>
      <c r="I500">
        <v>150000</v>
      </c>
      <c r="J500">
        <v>32800</v>
      </c>
    </row>
    <row r="501" spans="1:10" x14ac:dyDescent="0.3">
      <c r="A501" s="114">
        <v>46121</v>
      </c>
      <c r="B501" t="s">
        <v>282</v>
      </c>
      <c r="C501" s="11">
        <v>165000</v>
      </c>
      <c r="D501" s="11"/>
      <c r="E501" t="s">
        <v>329</v>
      </c>
      <c r="F501" s="110" t="s">
        <v>108</v>
      </c>
      <c r="I501">
        <v>17334</v>
      </c>
      <c r="J501">
        <v>22400</v>
      </c>
    </row>
    <row r="502" spans="1:10" x14ac:dyDescent="0.3">
      <c r="A502" s="114">
        <v>46121</v>
      </c>
      <c r="B502" t="s">
        <v>282</v>
      </c>
      <c r="C502" s="11">
        <v>50000</v>
      </c>
      <c r="D502" s="11"/>
      <c r="E502" t="s">
        <v>469</v>
      </c>
      <c r="F502" s="110" t="s">
        <v>108</v>
      </c>
      <c r="I502">
        <v>40000</v>
      </c>
      <c r="J502">
        <v>26800</v>
      </c>
    </row>
    <row r="503" spans="1:10" x14ac:dyDescent="0.3">
      <c r="A503" s="114"/>
      <c r="C503" s="11"/>
      <c r="D503" s="11"/>
      <c r="F503" s="110" t="s">
        <v>108</v>
      </c>
      <c r="I503">
        <v>55000</v>
      </c>
      <c r="J503">
        <v>24800</v>
      </c>
    </row>
    <row r="504" spans="1:10" x14ac:dyDescent="0.3">
      <c r="A504" s="114">
        <v>46126</v>
      </c>
      <c r="B504" t="s">
        <v>55</v>
      </c>
      <c r="C504" s="11">
        <v>2600</v>
      </c>
      <c r="D504" s="11"/>
      <c r="F504" s="110" t="s">
        <v>108</v>
      </c>
      <c r="I504">
        <v>20000</v>
      </c>
      <c r="J504">
        <v>23600</v>
      </c>
    </row>
    <row r="505" spans="1:10" x14ac:dyDescent="0.3">
      <c r="A505" s="114">
        <v>46126</v>
      </c>
      <c r="B505" t="s">
        <v>246</v>
      </c>
      <c r="C505" s="11">
        <v>500</v>
      </c>
      <c r="D505" s="11"/>
      <c r="F505" s="110"/>
      <c r="I505">
        <v>22650</v>
      </c>
      <c r="J505">
        <v>12400</v>
      </c>
    </row>
    <row r="506" spans="1:10" x14ac:dyDescent="0.3">
      <c r="A506" s="114">
        <v>46125</v>
      </c>
      <c r="B506" t="s">
        <v>9</v>
      </c>
      <c r="C506" s="11"/>
      <c r="D506" s="11">
        <v>100000</v>
      </c>
      <c r="E506" t="s">
        <v>571</v>
      </c>
      <c r="F506" s="110" t="s">
        <v>108</v>
      </c>
      <c r="I506">
        <v>20550</v>
      </c>
      <c r="J506">
        <v>21600</v>
      </c>
    </row>
    <row r="507" spans="1:10" x14ac:dyDescent="0.3">
      <c r="A507" s="38">
        <v>46126</v>
      </c>
      <c r="B507" t="s">
        <v>35</v>
      </c>
      <c r="C507" s="95"/>
      <c r="D507" s="95">
        <v>200000</v>
      </c>
      <c r="E507" t="s">
        <v>570</v>
      </c>
      <c r="F507" s="110" t="s">
        <v>108</v>
      </c>
      <c r="I507">
        <v>4000</v>
      </c>
      <c r="J507">
        <v>80000</v>
      </c>
    </row>
    <row r="508" spans="1:10" x14ac:dyDescent="0.3">
      <c r="A508" s="114">
        <v>46125</v>
      </c>
      <c r="B508" t="s">
        <v>55</v>
      </c>
      <c r="C508" s="11">
        <v>1000</v>
      </c>
      <c r="D508" s="11"/>
      <c r="F508" s="110" t="s">
        <v>108</v>
      </c>
      <c r="I508">
        <v>14000</v>
      </c>
      <c r="J508">
        <v>50000</v>
      </c>
    </row>
    <row r="509" spans="1:10" x14ac:dyDescent="0.3">
      <c r="A509" s="38">
        <v>46125</v>
      </c>
      <c r="B509" t="s">
        <v>572</v>
      </c>
      <c r="C509" s="95">
        <v>65310</v>
      </c>
      <c r="D509" s="95"/>
      <c r="E509" t="s">
        <v>573</v>
      </c>
      <c r="F509" s="110" t="s">
        <v>108</v>
      </c>
      <c r="I509">
        <v>12220</v>
      </c>
      <c r="J509">
        <v>60000</v>
      </c>
    </row>
    <row r="510" spans="1:10" x14ac:dyDescent="0.3">
      <c r="A510" s="131">
        <v>46125</v>
      </c>
      <c r="B510" s="132" t="s">
        <v>212</v>
      </c>
      <c r="C510" s="95"/>
      <c r="D510" s="95">
        <v>70000</v>
      </c>
      <c r="E510" s="132" t="s">
        <v>574</v>
      </c>
      <c r="F510" s="133" t="s">
        <v>108</v>
      </c>
      <c r="G510" s="132"/>
      <c r="I510">
        <v>14213</v>
      </c>
      <c r="J510">
        <v>35000</v>
      </c>
    </row>
    <row r="511" spans="1:10" x14ac:dyDescent="0.3">
      <c r="A511" s="131">
        <v>46125</v>
      </c>
      <c r="B511" s="132" t="s">
        <v>222</v>
      </c>
      <c r="C511" s="95">
        <v>100000</v>
      </c>
      <c r="D511" s="95"/>
      <c r="E511" s="132" t="s">
        <v>575</v>
      </c>
      <c r="F511" s="133" t="s">
        <v>108</v>
      </c>
      <c r="G511" s="132"/>
      <c r="I511">
        <v>17500</v>
      </c>
      <c r="J511">
        <v>19600</v>
      </c>
    </row>
    <row r="512" spans="1:10" x14ac:dyDescent="0.3">
      <c r="A512" s="131">
        <v>46125</v>
      </c>
      <c r="B512" s="132" t="s">
        <v>54</v>
      </c>
      <c r="C512" s="95">
        <v>3920</v>
      </c>
      <c r="D512" s="95"/>
      <c r="E512" s="132"/>
      <c r="F512" s="133" t="s">
        <v>108</v>
      </c>
      <c r="G512" s="132"/>
      <c r="I512">
        <v>20800</v>
      </c>
      <c r="J512">
        <v>15600</v>
      </c>
    </row>
    <row r="513" spans="1:10" x14ac:dyDescent="0.3">
      <c r="A513" s="130">
        <v>46125</v>
      </c>
      <c r="B513" s="132" t="s">
        <v>169</v>
      </c>
      <c r="C513" s="95">
        <v>1000</v>
      </c>
      <c r="D513" s="95"/>
      <c r="E513" s="132" t="s">
        <v>341</v>
      </c>
      <c r="F513" s="133" t="s">
        <v>108</v>
      </c>
      <c r="G513" s="132"/>
      <c r="I513">
        <v>15600</v>
      </c>
      <c r="J513">
        <v>20800</v>
      </c>
    </row>
    <row r="514" spans="1:10" x14ac:dyDescent="0.3">
      <c r="A514" s="131">
        <v>46125</v>
      </c>
      <c r="B514" s="132" t="s">
        <v>169</v>
      </c>
      <c r="C514" s="95">
        <v>10000</v>
      </c>
      <c r="D514" s="95"/>
      <c r="E514" s="132" t="s">
        <v>576</v>
      </c>
      <c r="F514" s="133" t="s">
        <v>108</v>
      </c>
      <c r="G514" s="132"/>
      <c r="I514">
        <v>19600</v>
      </c>
      <c r="J514">
        <v>17500</v>
      </c>
    </row>
    <row r="515" spans="1:10" x14ac:dyDescent="0.3">
      <c r="A515" s="130">
        <v>46125</v>
      </c>
      <c r="B515" s="132" t="s">
        <v>192</v>
      </c>
      <c r="C515" s="95"/>
      <c r="D515" s="95">
        <v>28000</v>
      </c>
      <c r="E515" s="132" t="s">
        <v>595</v>
      </c>
      <c r="F515" s="133" t="s">
        <v>108</v>
      </c>
      <c r="G515" s="132"/>
      <c r="I515">
        <v>35000</v>
      </c>
      <c r="J515">
        <v>14220</v>
      </c>
    </row>
    <row r="516" spans="1:10" x14ac:dyDescent="0.3">
      <c r="A516" s="131">
        <v>46125</v>
      </c>
      <c r="B516" s="132" t="s">
        <v>54</v>
      </c>
      <c r="C516" s="95">
        <v>1700</v>
      </c>
      <c r="D516" s="95"/>
      <c r="E516" s="132" t="s">
        <v>577</v>
      </c>
      <c r="F516" s="133" t="s">
        <v>108</v>
      </c>
      <c r="G516" s="132"/>
      <c r="I516">
        <v>60000</v>
      </c>
      <c r="J516">
        <v>12220</v>
      </c>
    </row>
    <row r="517" spans="1:10" x14ac:dyDescent="0.3">
      <c r="A517" s="131">
        <v>46125</v>
      </c>
      <c r="B517" s="132" t="s">
        <v>176</v>
      </c>
      <c r="C517" s="95">
        <v>98950</v>
      </c>
      <c r="D517" s="95"/>
      <c r="E517" s="132" t="s">
        <v>578</v>
      </c>
      <c r="F517" s="133" t="s">
        <v>108</v>
      </c>
      <c r="G517" s="132"/>
      <c r="I517">
        <v>50000</v>
      </c>
      <c r="J517">
        <v>14000</v>
      </c>
    </row>
    <row r="518" spans="1:10" x14ac:dyDescent="0.3">
      <c r="A518" s="131">
        <v>46125</v>
      </c>
      <c r="B518" s="132" t="s">
        <v>220</v>
      </c>
      <c r="C518" s="95"/>
      <c r="D518" s="95">
        <v>100000</v>
      </c>
      <c r="E518" s="132" t="s">
        <v>176</v>
      </c>
      <c r="F518" s="133" t="s">
        <v>108</v>
      </c>
      <c r="G518" s="132"/>
      <c r="I518">
        <v>80000</v>
      </c>
      <c r="J518">
        <v>150000</v>
      </c>
    </row>
    <row r="519" spans="1:10" x14ac:dyDescent="0.3">
      <c r="A519" s="131">
        <v>46126</v>
      </c>
      <c r="B519" s="132" t="s">
        <v>222</v>
      </c>
      <c r="C519" s="95">
        <v>85000</v>
      </c>
      <c r="D519" s="95"/>
      <c r="E519" s="132" t="s">
        <v>579</v>
      </c>
      <c r="F519" s="133" t="s">
        <v>108</v>
      </c>
      <c r="G519" s="132"/>
      <c r="I519">
        <v>21600</v>
      </c>
      <c r="J519">
        <v>17350</v>
      </c>
    </row>
    <row r="520" spans="1:10" x14ac:dyDescent="0.3">
      <c r="A520" s="131">
        <v>46126</v>
      </c>
      <c r="B520" s="132" t="s">
        <v>220</v>
      </c>
      <c r="C520" s="95"/>
      <c r="D520" s="95">
        <v>85000</v>
      </c>
      <c r="E520" s="132" t="s">
        <v>580</v>
      </c>
      <c r="F520" s="133" t="s">
        <v>108</v>
      </c>
      <c r="G520" s="132"/>
      <c r="I520">
        <v>12400</v>
      </c>
      <c r="J520">
        <v>40000</v>
      </c>
    </row>
    <row r="521" spans="1:10" x14ac:dyDescent="0.3">
      <c r="A521" s="131">
        <v>46126</v>
      </c>
      <c r="B521" s="132" t="s">
        <v>246</v>
      </c>
      <c r="C521" s="95">
        <v>2020</v>
      </c>
      <c r="D521" s="95"/>
      <c r="E521" s="132" t="s">
        <v>581</v>
      </c>
      <c r="F521" s="133" t="s">
        <v>108</v>
      </c>
      <c r="G521" s="132"/>
      <c r="I521">
        <v>23600</v>
      </c>
      <c r="J521">
        <v>55000</v>
      </c>
    </row>
    <row r="522" spans="1:10" x14ac:dyDescent="0.3">
      <c r="A522" s="131">
        <v>46127</v>
      </c>
      <c r="B522" s="132" t="s">
        <v>409</v>
      </c>
      <c r="C522" s="95"/>
      <c r="D522" s="95">
        <v>164000</v>
      </c>
      <c r="E522" s="132"/>
      <c r="F522" s="133" t="s">
        <v>108</v>
      </c>
      <c r="G522" s="132"/>
      <c r="I522">
        <v>24800</v>
      </c>
      <c r="J522">
        <v>20000</v>
      </c>
    </row>
    <row r="523" spans="1:10" x14ac:dyDescent="0.3">
      <c r="A523" s="131">
        <v>46127</v>
      </c>
      <c r="B523" s="132" t="s">
        <v>220</v>
      </c>
      <c r="C523" s="95">
        <v>164000</v>
      </c>
      <c r="D523" s="95"/>
      <c r="E523" s="132" t="s">
        <v>593</v>
      </c>
      <c r="F523" s="133" t="s">
        <v>108</v>
      </c>
      <c r="G523" s="132"/>
      <c r="I523">
        <v>26800</v>
      </c>
      <c r="J523">
        <v>22650</v>
      </c>
    </row>
    <row r="524" spans="1:10" x14ac:dyDescent="0.3">
      <c r="A524" s="131">
        <v>46126</v>
      </c>
      <c r="B524" s="132" t="s">
        <v>582</v>
      </c>
      <c r="C524" s="95"/>
      <c r="D524" s="95">
        <v>500000</v>
      </c>
      <c r="E524" s="132" t="s">
        <v>583</v>
      </c>
      <c r="F524" s="133" t="s">
        <v>108</v>
      </c>
      <c r="G524" s="132"/>
      <c r="I524">
        <v>22400</v>
      </c>
      <c r="J524">
        <v>20550</v>
      </c>
    </row>
    <row r="525" spans="1:10" x14ac:dyDescent="0.3">
      <c r="A525" s="131">
        <v>46126</v>
      </c>
      <c r="B525" s="132" t="s">
        <v>220</v>
      </c>
      <c r="C525" s="95">
        <v>200000</v>
      </c>
      <c r="D525" s="95"/>
      <c r="E525" s="132" t="s">
        <v>584</v>
      </c>
      <c r="F525" s="133" t="s">
        <v>108</v>
      </c>
      <c r="G525" s="132"/>
      <c r="I525">
        <v>32800</v>
      </c>
      <c r="J525">
        <v>4000</v>
      </c>
    </row>
    <row r="526" spans="1:10" x14ac:dyDescent="0.3">
      <c r="A526" s="131">
        <v>46127</v>
      </c>
      <c r="B526" s="132" t="s">
        <v>229</v>
      </c>
      <c r="C526" s="95">
        <v>400000</v>
      </c>
      <c r="D526" s="95"/>
      <c r="E526" s="132" t="s">
        <v>585</v>
      </c>
      <c r="F526" s="133" t="s">
        <v>108</v>
      </c>
      <c r="G526" s="132"/>
      <c r="I526">
        <v>8400</v>
      </c>
      <c r="J526">
        <v>8400</v>
      </c>
    </row>
    <row r="527" spans="1:10" x14ac:dyDescent="0.3">
      <c r="A527" s="131">
        <v>46126</v>
      </c>
      <c r="B527" s="132" t="s">
        <v>587</v>
      </c>
      <c r="C527" s="95">
        <v>4000</v>
      </c>
      <c r="D527" s="95"/>
      <c r="E527" s="132" t="s">
        <v>470</v>
      </c>
      <c r="F527" s="133" t="s">
        <v>108</v>
      </c>
      <c r="G527" s="132"/>
    </row>
    <row r="528" spans="1:10" x14ac:dyDescent="0.3">
      <c r="A528" s="130">
        <v>46127</v>
      </c>
      <c r="B528" t="s">
        <v>55</v>
      </c>
      <c r="C528" s="11">
        <v>3210</v>
      </c>
      <c r="D528" s="11"/>
      <c r="E528" t="s">
        <v>588</v>
      </c>
      <c r="F528" s="110" t="s">
        <v>108</v>
      </c>
    </row>
    <row r="529" spans="1:7" x14ac:dyDescent="0.3">
      <c r="A529" s="130">
        <v>46127</v>
      </c>
      <c r="B529" t="s">
        <v>222</v>
      </c>
      <c r="C529" s="11">
        <v>50000</v>
      </c>
      <c r="D529" s="11"/>
      <c r="E529" t="s">
        <v>589</v>
      </c>
      <c r="F529" s="110" t="s">
        <v>108</v>
      </c>
    </row>
    <row r="530" spans="1:7" x14ac:dyDescent="0.3">
      <c r="A530" s="130">
        <v>46127</v>
      </c>
      <c r="B530" t="s">
        <v>212</v>
      </c>
      <c r="C530" s="11">
        <v>2490</v>
      </c>
      <c r="D530" s="11"/>
      <c r="F530" s="110" t="s">
        <v>108</v>
      </c>
    </row>
    <row r="531" spans="1:7" x14ac:dyDescent="0.3">
      <c r="A531" s="130">
        <v>46128</v>
      </c>
      <c r="B531" t="s">
        <v>55</v>
      </c>
      <c r="C531" s="11">
        <v>27000</v>
      </c>
      <c r="D531" s="11"/>
      <c r="F531" s="110" t="s">
        <v>108</v>
      </c>
    </row>
    <row r="532" spans="1:7" x14ac:dyDescent="0.3">
      <c r="A532" s="130">
        <v>46128</v>
      </c>
      <c r="B532" t="s">
        <v>220</v>
      </c>
      <c r="C532" s="11"/>
      <c r="D532" s="11">
        <v>27000</v>
      </c>
      <c r="E532" t="s">
        <v>55</v>
      </c>
      <c r="F532" s="110" t="s">
        <v>108</v>
      </c>
    </row>
    <row r="533" spans="1:7" x14ac:dyDescent="0.3">
      <c r="A533" s="131">
        <v>46128</v>
      </c>
      <c r="B533" s="132" t="s">
        <v>55</v>
      </c>
      <c r="C533" s="95">
        <v>600</v>
      </c>
      <c r="D533" s="95"/>
      <c r="E533" s="132"/>
      <c r="F533" s="133" t="s">
        <v>108</v>
      </c>
      <c r="G533" s="132"/>
    </row>
    <row r="534" spans="1:7" x14ac:dyDescent="0.3">
      <c r="A534" s="131">
        <v>46128</v>
      </c>
      <c r="B534" s="132" t="s">
        <v>220</v>
      </c>
      <c r="C534" s="95"/>
      <c r="D534" s="95">
        <v>600</v>
      </c>
      <c r="E534" s="132"/>
      <c r="F534" s="133" t="s">
        <v>108</v>
      </c>
      <c r="G534" s="132"/>
    </row>
    <row r="535" spans="1:7" x14ac:dyDescent="0.3">
      <c r="A535" s="131">
        <v>46128</v>
      </c>
      <c r="B535" s="132" t="s">
        <v>55</v>
      </c>
      <c r="C535" s="95">
        <v>3800</v>
      </c>
      <c r="D535" s="95"/>
      <c r="E535" s="132"/>
      <c r="F535" s="133" t="s">
        <v>108</v>
      </c>
      <c r="G535" s="132"/>
    </row>
    <row r="536" spans="1:7" x14ac:dyDescent="0.3">
      <c r="A536" s="131">
        <v>46128</v>
      </c>
      <c r="B536" s="132" t="s">
        <v>220</v>
      </c>
      <c r="C536" s="95"/>
      <c r="D536" s="95">
        <v>3800</v>
      </c>
      <c r="E536" s="132"/>
      <c r="F536" s="133" t="s">
        <v>108</v>
      </c>
      <c r="G536" s="132"/>
    </row>
    <row r="537" spans="1:7" x14ac:dyDescent="0.3">
      <c r="A537" s="131">
        <v>46128</v>
      </c>
      <c r="B537" s="132" t="s">
        <v>55</v>
      </c>
      <c r="C537" s="95">
        <v>2635</v>
      </c>
      <c r="D537" s="95"/>
      <c r="E537" s="132"/>
      <c r="F537" s="133" t="s">
        <v>108</v>
      </c>
      <c r="G537" s="132"/>
    </row>
    <row r="538" spans="1:7" x14ac:dyDescent="0.3">
      <c r="A538" s="131">
        <v>46128</v>
      </c>
      <c r="B538" s="132" t="s">
        <v>582</v>
      </c>
      <c r="C538" s="95"/>
      <c r="D538" s="95">
        <v>400000</v>
      </c>
      <c r="E538" s="132" t="s">
        <v>590</v>
      </c>
      <c r="F538" s="133" t="s">
        <v>108</v>
      </c>
      <c r="G538" s="132"/>
    </row>
    <row r="539" spans="1:7" x14ac:dyDescent="0.3">
      <c r="A539" s="131">
        <v>46128</v>
      </c>
      <c r="B539" s="132" t="s">
        <v>222</v>
      </c>
      <c r="C539" s="95">
        <v>200125</v>
      </c>
      <c r="D539" s="95"/>
      <c r="E539" s="132" t="s">
        <v>591</v>
      </c>
      <c r="F539" s="133" t="s">
        <v>108</v>
      </c>
      <c r="G539" s="132"/>
    </row>
    <row r="540" spans="1:7" x14ac:dyDescent="0.3">
      <c r="A540" s="131">
        <v>46128</v>
      </c>
      <c r="B540" s="132" t="s">
        <v>169</v>
      </c>
      <c r="C540" s="95">
        <v>203000</v>
      </c>
      <c r="D540" s="95"/>
      <c r="E540" s="132" t="s">
        <v>592</v>
      </c>
      <c r="F540" s="133" t="s">
        <v>108</v>
      </c>
      <c r="G540" s="132"/>
    </row>
    <row r="541" spans="1:7" x14ac:dyDescent="0.3">
      <c r="A541" s="131">
        <v>46126</v>
      </c>
      <c r="B541" s="132" t="s">
        <v>249</v>
      </c>
      <c r="C541" s="95">
        <v>3900</v>
      </c>
      <c r="D541" s="95"/>
      <c r="E541" s="132"/>
      <c r="F541" s="133" t="s">
        <v>108</v>
      </c>
      <c r="G541" s="132"/>
    </row>
    <row r="542" spans="1:7" x14ac:dyDescent="0.3">
      <c r="A542" s="131">
        <v>46126</v>
      </c>
      <c r="B542" s="132" t="s">
        <v>282</v>
      </c>
      <c r="C542" s="95">
        <v>6670</v>
      </c>
      <c r="D542" s="95"/>
      <c r="E542" s="132" t="s">
        <v>594</v>
      </c>
      <c r="F542" s="133" t="s">
        <v>108</v>
      </c>
      <c r="G542" s="132"/>
    </row>
    <row r="543" spans="1:7" x14ac:dyDescent="0.3">
      <c r="A543" s="131"/>
      <c r="B543" s="132"/>
      <c r="C543" s="95"/>
      <c r="D543" s="95"/>
      <c r="E543" s="132"/>
      <c r="F543" s="133"/>
      <c r="G543" s="132"/>
    </row>
    <row r="544" spans="1:7" x14ac:dyDescent="0.3">
      <c r="A544" s="38"/>
      <c r="C544" s="14">
        <f>SUBTOTAL(109,Table14[Debit])</f>
        <v>28366388.399999999</v>
      </c>
      <c r="D544" s="14">
        <f>SUBTOTAL(109,Table14[Credit])</f>
        <v>28427169.229517192</v>
      </c>
      <c r="F544" s="54">
        <f>(Table14[[#Totals],[Credit]]-Table14[[#Totals],[Debit]])</f>
        <v>60780.829517193139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6" zoomScale="107" zoomScaleNormal="210" workbookViewId="0">
      <selection activeCell="I33" sqref="I3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26">
        <v>46098</v>
      </c>
      <c r="M20">
        <v>-100000</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c r="K21" s="26">
        <v>46116</v>
      </c>
      <c r="M21">
        <v>-100000</v>
      </c>
    </row>
    <row r="22" spans="1:13" x14ac:dyDescent="0.3">
      <c r="A22" s="121">
        <v>46075</v>
      </c>
      <c r="B22" t="s">
        <v>64</v>
      </c>
      <c r="F22" t="s">
        <v>229</v>
      </c>
      <c r="G22">
        <f>SUMIFS(Table14[Debit], Table14[Date], Table8[[#This Row],[Date]], Table14[Party], Table8[[#This Row],[Party]])</f>
        <v>0</v>
      </c>
      <c r="H22">
        <f>Table8[[#This Row],[Price]]-Table8[[#This Row],[Paid]]</f>
        <v>0</v>
      </c>
      <c r="K22" s="26">
        <v>46120</v>
      </c>
      <c r="L22">
        <v>74380</v>
      </c>
      <c r="M22">
        <v>0</v>
      </c>
    </row>
    <row r="23" spans="1:13" x14ac:dyDescent="0.3">
      <c r="A23" s="121">
        <v>46076</v>
      </c>
      <c r="B23" t="s">
        <v>64</v>
      </c>
      <c r="E23">
        <v>7800</v>
      </c>
      <c r="F23" t="s">
        <v>176</v>
      </c>
      <c r="G23">
        <f>SUMIFS(Table14[Debit], Table14[Date], Table8[[#This Row],[Date]], Table14[Party], Table8[[#This Row],[Party]])</f>
        <v>7800</v>
      </c>
      <c r="H23">
        <f>Table8[[#This Row],[Price]]-Table8[[#This Row],[Paid]]</f>
        <v>0</v>
      </c>
      <c r="K23" s="4" t="s">
        <v>28</v>
      </c>
      <c r="L23">
        <v>338505</v>
      </c>
      <c r="M23">
        <v>247375</v>
      </c>
    </row>
    <row r="24" spans="1:13" x14ac:dyDescent="0.3">
      <c r="A24" s="121">
        <v>46077</v>
      </c>
      <c r="B24" t="s">
        <v>314</v>
      </c>
      <c r="E24">
        <v>27200</v>
      </c>
      <c r="F24" t="s">
        <v>176</v>
      </c>
      <c r="G24">
        <f>SUMIFS(Table14[Debit], Table14[Date], Table8[[#This Row],[Date]], Table14[Party], Table8[[#This Row],[Party]])</f>
        <v>27200</v>
      </c>
      <c r="H24">
        <f>Table8[[#This Row],[Price]]-Table8[[#This Row],[Paid]]</f>
        <v>0</v>
      </c>
    </row>
    <row r="25" spans="1:13" x14ac:dyDescent="0.3">
      <c r="A25" s="121">
        <v>46077</v>
      </c>
      <c r="B25" t="s">
        <v>340</v>
      </c>
      <c r="F25" t="s">
        <v>115</v>
      </c>
      <c r="G25">
        <f>SUMIFS(Table14[Debit], Table14[Date], Table8[[#This Row],[Date]], Table14[Party], Table8[[#This Row],[Party]])</f>
        <v>100000</v>
      </c>
      <c r="H25">
        <f>Table8[[#This Row],[Price]]-Table8[[#This Row],[Paid]]</f>
        <v>-100000</v>
      </c>
    </row>
    <row r="26" spans="1:13" x14ac:dyDescent="0.3">
      <c r="A26" s="121">
        <v>46078</v>
      </c>
      <c r="B26" t="s">
        <v>340</v>
      </c>
      <c r="F26" t="s">
        <v>115</v>
      </c>
      <c r="G26">
        <f>SUMIFS(Table14[Debit], Table14[Date], Table8[[#This Row],[Date]], Table14[Party], Table8[[#This Row],[Party]])</f>
        <v>150000</v>
      </c>
      <c r="H26">
        <f>Table8[[#This Row],[Price]]-Table8[[#This Row],[Paid]]</f>
        <v>-150000</v>
      </c>
    </row>
    <row r="27" spans="1:13" x14ac:dyDescent="0.3">
      <c r="A27" s="121">
        <v>46079</v>
      </c>
      <c r="B27" t="s">
        <v>340</v>
      </c>
      <c r="F27" t="s">
        <v>115</v>
      </c>
      <c r="G27">
        <f>SUMIFS(Table14[Debit], Table14[Date], Table8[[#This Row],[Date]], Table14[Party], Table8[[#This Row],[Party]])</f>
        <v>150000</v>
      </c>
      <c r="H27">
        <f>Table8[[#This Row],[Price]]-Table8[[#This Row],[Paid]]</f>
        <v>-150000</v>
      </c>
    </row>
    <row r="28" spans="1:13" x14ac:dyDescent="0.3">
      <c r="A28" s="121">
        <v>46086</v>
      </c>
      <c r="B28" t="s">
        <v>340</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297</v>
      </c>
      <c r="G29">
        <f>SUMIFS(Table14[Debit], Table14[Date], Table8[[#This Row],[Date]], Table14[Party], Table8[[#This Row],[Party]])</f>
        <v>129125</v>
      </c>
      <c r="H29">
        <f>Table8[[#This Row],[Price]]-Table8[[#This Row],[Paid]]</f>
        <v>0</v>
      </c>
    </row>
    <row r="30" spans="1:13" x14ac:dyDescent="0.3">
      <c r="A30" s="121">
        <v>46098</v>
      </c>
      <c r="B30" t="s">
        <v>340</v>
      </c>
      <c r="F30" t="s">
        <v>115</v>
      </c>
      <c r="G30">
        <f>SUMIFS(Table14[Debit], Table14[Date], Table8[[#This Row],[Date]], Table14[Party], Table8[[#This Row],[Party]])</f>
        <v>100000</v>
      </c>
      <c r="H30">
        <f>Table8[[#This Row],[Price]]-Table8[[#This Row],[Paid]]</f>
        <v>-100000</v>
      </c>
    </row>
    <row r="31" spans="1:13" x14ac:dyDescent="0.3">
      <c r="A31" s="121">
        <v>46116</v>
      </c>
      <c r="B31" t="s">
        <v>340</v>
      </c>
      <c r="F31" t="s">
        <v>115</v>
      </c>
      <c r="G31">
        <f>SUMIFS(Table14[Debit], Table14[Date], Table8[[#This Row],[Date]], Table14[Party], Table8[[#This Row],[Party]])</f>
        <v>100000</v>
      </c>
      <c r="H31">
        <f>Table8[[#This Row],[Price]]-Table8[[#This Row],[Paid]]</f>
        <v>-100000</v>
      </c>
    </row>
    <row r="32" spans="1:13" x14ac:dyDescent="0.3">
      <c r="A32" s="121">
        <v>46120</v>
      </c>
      <c r="B32" t="s">
        <v>297</v>
      </c>
      <c r="E32">
        <v>74380</v>
      </c>
      <c r="F32" t="s">
        <v>176</v>
      </c>
      <c r="G32">
        <f>SUMIFS(Table14[Debit], Table14[Date], Table8[[#This Row],[Date]], Table14[Party], Table8[[#This Row],[Party]])</f>
        <v>74380</v>
      </c>
      <c r="H32">
        <f>Table8[[#This Row],[Price]]-Table8[[#This Row],[Paid]]</f>
        <v>0</v>
      </c>
      <c r="L32" t="s">
        <v>163</v>
      </c>
    </row>
    <row r="33" spans="1:16" x14ac:dyDescent="0.3">
      <c r="A33" s="121">
        <v>46127</v>
      </c>
      <c r="B33" t="s">
        <v>340</v>
      </c>
      <c r="D33" s="134"/>
      <c r="F33" t="s">
        <v>229</v>
      </c>
      <c r="G33" s="134">
        <f>SUMIFS(Table14[Debit], Table14[Date], Table8[[#This Row],[Date]], Table14[Party], Table8[[#This Row],[Party]])</f>
        <v>400000</v>
      </c>
      <c r="H33" s="134">
        <f>Table8[[#This Row],[Price]]-Table8[[#This Row],[Paid]]</f>
        <v>-400000</v>
      </c>
      <c r="L33" t="s">
        <v>57</v>
      </c>
      <c r="M33" t="s">
        <v>156</v>
      </c>
      <c r="N33" t="s">
        <v>157</v>
      </c>
      <c r="O33" t="s">
        <v>4</v>
      </c>
      <c r="P33" t="s">
        <v>158</v>
      </c>
    </row>
    <row r="34" spans="1:16" x14ac:dyDescent="0.3">
      <c r="E34">
        <f>SUBTOTAL(109,Table8[Price])</f>
        <v>338505</v>
      </c>
      <c r="G34">
        <f>SUBTOTAL(109,Table8[Paid])</f>
        <v>1738505</v>
      </c>
      <c r="H34">
        <f>SUBTOTAL(109,Table8[Balance])</f>
        <v>-152625</v>
      </c>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7"/>
  <sheetViews>
    <sheetView topLeftCell="A27" zoomScale="104" workbookViewId="0">
      <selection activeCell="A36" sqref="A3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27000</v>
      </c>
      <c r="L10">
        <v>27000</v>
      </c>
      <c r="M10">
        <v>0</v>
      </c>
    </row>
    <row r="11" spans="1:13" x14ac:dyDescent="0.3">
      <c r="A11" s="1"/>
      <c r="B11" s="1"/>
      <c r="J11" s="4" t="s">
        <v>226</v>
      </c>
      <c r="K11">
        <v>84500</v>
      </c>
      <c r="L11">
        <v>88500</v>
      </c>
      <c r="M11">
        <v>-4000</v>
      </c>
    </row>
    <row r="12" spans="1:13" x14ac:dyDescent="0.3">
      <c r="A12" s="1"/>
      <c r="B12" s="1"/>
      <c r="J12" s="4" t="s">
        <v>427</v>
      </c>
      <c r="K12">
        <v>0</v>
      </c>
      <c r="L12">
        <v>0</v>
      </c>
      <c r="M12">
        <v>0</v>
      </c>
    </row>
    <row r="13" spans="1:13" x14ac:dyDescent="0.3">
      <c r="A13" s="1"/>
      <c r="B13" s="1"/>
      <c r="J13" s="4" t="s">
        <v>28</v>
      </c>
      <c r="K13">
        <v>621500</v>
      </c>
      <c r="L13">
        <v>690500</v>
      </c>
      <c r="M13">
        <v>51000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c r="B36" s="1"/>
      <c r="F36">
        <f>Table2[[#This Row],[Quantity]]*200*Table2[[#This Row],[Boxes]]</f>
        <v>0</v>
      </c>
      <c r="G36">
        <f>SUMIFS(Table14[Debit], Table14[Date], Table2[[#This Row],[Date]], Table14[Party], Table2[[#This Row],[Party Name]])</f>
        <v>0</v>
      </c>
      <c r="H36">
        <f>Table2[[#This Row],[Price]]-Table2[[#This Row],[Paid]]</f>
        <v>0</v>
      </c>
    </row>
    <row r="37" spans="1:8" x14ac:dyDescent="0.3">
      <c r="A37" s="1"/>
      <c r="F37">
        <f>SUBTOTAL(109,Table2[Price])</f>
        <v>720450</v>
      </c>
      <c r="G37">
        <f>SUBTOTAL(109,Table2[Paid])</f>
        <v>793450</v>
      </c>
      <c r="H37">
        <f>SUBTOTAL(109,Table2[Balance])</f>
        <v>47000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1702943</v>
      </c>
      <c r="C2" s="32">
        <f>GETPIVOTDATA("Sum of Tiyaar/gaz",$A$3)</f>
        <v>1720258</v>
      </c>
      <c r="D2" s="31">
        <f>((B2*48)+((C2/1.0936)*10))/C2</f>
        <v>56.66097436059129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t="s">
        <v>28</v>
      </c>
      <c r="B67" s="30">
        <v>101030</v>
      </c>
      <c r="C67" s="30">
        <v>1720258</v>
      </c>
      <c r="D67" s="28">
        <f t="shared" si="25"/>
        <v>11.963130200006075</v>
      </c>
      <c r="E67" s="11">
        <f t="shared" si="26"/>
        <v>110486.408</v>
      </c>
      <c r="F67" s="11">
        <f t="shared" si="27"/>
        <v>1720258</v>
      </c>
      <c r="G67" s="78">
        <f t="shared" si="28"/>
        <v>-1456.9860864695684</v>
      </c>
      <c r="H67" s="28">
        <f t="shared" si="29"/>
        <v>1573023.043160205</v>
      </c>
      <c r="I67" s="28">
        <f t="shared" si="30"/>
        <v>11.963130200006075</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J28" sqref="J2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22580089.723482087</v>
      </c>
    </row>
    <row r="3" spans="1:3" ht="21" x14ac:dyDescent="0.4">
      <c r="A3" s="101" t="str">
        <f>Billing!R6</f>
        <v>Ejaz Sahab</v>
      </c>
      <c r="B3" s="104">
        <f>Billing!AF6</f>
        <v>7214622</v>
      </c>
      <c r="C3" s="102">
        <f>Billing!AG6</f>
        <v>0.34820775501430035</v>
      </c>
    </row>
    <row r="4" spans="1:3" ht="21" x14ac:dyDescent="0.4">
      <c r="A4" s="101" t="str">
        <f>Billing!R7</f>
        <v>Arshad</v>
      </c>
      <c r="B4" s="104">
        <f>Billing!AF7</f>
        <v>9377501</v>
      </c>
      <c r="C4" s="103">
        <f>Billing!AG7</f>
        <v>184238.20994879305</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10448871</v>
      </c>
      <c r="C7" s="102">
        <f>Billing!AG10</f>
        <v>144.17922458052635</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2508190</v>
      </c>
      <c r="C10" s="102">
        <f>Billing!AG13</f>
        <v>325118.33942940738</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5639259</v>
      </c>
      <c r="C12" s="102">
        <f>Billing!AG15</f>
        <v>194510.20263350476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1623500</v>
      </c>
      <c r="C24" s="102">
        <f>Billing!AG27</f>
        <v>3366.313094367506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3426791.4930504756</v>
      </c>
      <c r="C33" s="102">
        <f>Billing!AG36</f>
        <v>54924.856620336883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12" priority="1" operator="lessThan">
      <formula>10</formula>
    </cfRule>
  </conditionalFormatting>
  <conditionalFormatting sqref="C2:C41">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2026-04-16T10:29:03Z</dcterms:modified>
  <cp:category/>
  <cp:contentStatus/>
</cp:coreProperties>
</file>