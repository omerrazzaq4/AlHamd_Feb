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771" documentId="8_{5FA7CF9A-3CD5-4319-9FC5-E34696581AAD}" xr6:coauthVersionLast="47" xr6:coauthVersionMax="47" xr10:uidLastSave="{2958875F-D5A4-4BD6-B154-991217B40BE1}"/>
  <bookViews>
    <workbookView xWindow="-108" yWindow="-108" windowWidth="23256" windowHeight="12456" tabRatio="597" firstSheet="9"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7" i="15" l="1"/>
  <c r="G55" i="15"/>
  <c r="H55" i="15" s="1"/>
  <c r="G56" i="15"/>
  <c r="H56" i="15" s="1"/>
  <c r="G57" i="15"/>
  <c r="H57" i="15" s="1"/>
  <c r="G81" i="6"/>
  <c r="G82" i="6"/>
  <c r="G83" i="6"/>
  <c r="G84" i="6"/>
  <c r="G85" i="6"/>
  <c r="G86" i="6"/>
  <c r="G87" i="6"/>
  <c r="G88" i="6"/>
  <c r="J88" i="14"/>
  <c r="I3" i="6"/>
  <c r="I261" i="1"/>
  <c r="J261" i="1" a="1"/>
  <c r="J261" i="1"/>
  <c r="I262" i="1"/>
  <c r="J262" i="1" s="1" a="1"/>
  <c r="J262" i="1" s="1"/>
  <c r="I263" i="1"/>
  <c r="J263" i="1" a="1"/>
  <c r="J263" i="1"/>
  <c r="I264" i="1"/>
  <c r="J264" i="1" s="1" a="1"/>
  <c r="J264" i="1" s="1"/>
  <c r="I265" i="1"/>
  <c r="J265" i="1" a="1"/>
  <c r="J265" i="1"/>
  <c r="E120" i="2"/>
  <c r="F120" i="2"/>
  <c r="H120" i="2" s="1"/>
  <c r="I120" i="2" s="1"/>
  <c r="D120" i="2" s="1"/>
  <c r="E121" i="2"/>
  <c r="G121" i="2" s="1"/>
  <c r="F121" i="2"/>
  <c r="H121" i="2" s="1"/>
  <c r="I121" i="2" s="1"/>
  <c r="D121" i="2" s="1"/>
  <c r="E122" i="2"/>
  <c r="F122" i="2"/>
  <c r="G122" i="2" s="1"/>
  <c r="H122" i="2"/>
  <c r="I122" i="2"/>
  <c r="D122" i="2" s="1"/>
  <c r="E123" i="2"/>
  <c r="G123" i="2" s="1"/>
  <c r="F123" i="2"/>
  <c r="H123" i="2"/>
  <c r="I123" i="2"/>
  <c r="D123" i="2" s="1"/>
  <c r="E124" i="2"/>
  <c r="F124" i="2"/>
  <c r="G124" i="2" s="1"/>
  <c r="H124" i="2"/>
  <c r="I124" i="2"/>
  <c r="D124" i="2" s="1"/>
  <c r="E125" i="2"/>
  <c r="G125" i="2" s="1"/>
  <c r="F125" i="2"/>
  <c r="H125" i="2"/>
  <c r="I125" i="2"/>
  <c r="D125" i="2" s="1"/>
  <c r="E126" i="2"/>
  <c r="F126" i="2"/>
  <c r="G126" i="2" s="1"/>
  <c r="H126" i="2"/>
  <c r="I126" i="2"/>
  <c r="D126" i="2" s="1"/>
  <c r="E127" i="2"/>
  <c r="G127" i="2" s="1"/>
  <c r="F127" i="2"/>
  <c r="H127" i="2"/>
  <c r="I127" i="2"/>
  <c r="D127" i="2" s="1"/>
  <c r="E128" i="2"/>
  <c r="F128" i="2"/>
  <c r="G128" i="2" s="1"/>
  <c r="H128" i="2"/>
  <c r="I128" i="2"/>
  <c r="D128" i="2" s="1"/>
  <c r="C896" i="17"/>
  <c r="C887" i="17"/>
  <c r="G53" i="15"/>
  <c r="H53" i="15" s="1"/>
  <c r="G54" i="15"/>
  <c r="H54" i="15" s="1"/>
  <c r="J77" i="14"/>
  <c r="J78" i="14"/>
  <c r="J79" i="14"/>
  <c r="J80" i="14"/>
  <c r="J81" i="14"/>
  <c r="J82" i="14"/>
  <c r="J83" i="14"/>
  <c r="J84" i="14"/>
  <c r="J85" i="14"/>
  <c r="J86" i="14"/>
  <c r="J87" i="14"/>
  <c r="D76" i="14"/>
  <c r="D77" i="14"/>
  <c r="D78" i="14"/>
  <c r="D79" i="14"/>
  <c r="D80" i="14"/>
  <c r="D81" i="14"/>
  <c r="D82" i="14"/>
  <c r="D83" i="14"/>
  <c r="D84" i="14"/>
  <c r="D85" i="14"/>
  <c r="I259" i="1"/>
  <c r="J259" i="1" a="1"/>
  <c r="J259" i="1" s="1"/>
  <c r="I260" i="1"/>
  <c r="J260" i="1" a="1"/>
  <c r="J260" i="1" s="1"/>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87" i="9" a="1"/>
  <c r="G87" i="9" s="1"/>
  <c r="H87" i="9" a="1"/>
  <c r="H87" i="9" s="1"/>
  <c r="I87" i="9" a="1"/>
  <c r="I87" i="9" s="1"/>
  <c r="J87" i="9" a="1"/>
  <c r="J87" i="9" s="1"/>
  <c r="K87" i="9" a="1"/>
  <c r="K87" i="9" s="1"/>
  <c r="L87" i="9" a="1"/>
  <c r="L87" i="9" s="1"/>
  <c r="M87" i="9" a="1"/>
  <c r="M87" i="9" s="1"/>
  <c r="N87" i="9" a="1"/>
  <c r="N87" i="9" s="1"/>
  <c r="P87" i="9"/>
  <c r="G88" i="9" a="1"/>
  <c r="G88" i="9" s="1"/>
  <c r="H88" i="9" a="1"/>
  <c r="H88" i="9" s="1"/>
  <c r="I88" i="9" a="1"/>
  <c r="I88" i="9" s="1"/>
  <c r="J88" i="9" a="1"/>
  <c r="J88" i="9" s="1"/>
  <c r="K88" i="9" a="1"/>
  <c r="K88" i="9" s="1"/>
  <c r="L88" i="9" a="1"/>
  <c r="L88" i="9" s="1"/>
  <c r="M88" i="9" a="1"/>
  <c r="M88" i="9" s="1"/>
  <c r="N88" i="9" a="1"/>
  <c r="N88" i="9" s="1"/>
  <c r="P88" i="9"/>
  <c r="G89" i="9" a="1"/>
  <c r="G89" i="9" s="1"/>
  <c r="H89" i="9" a="1"/>
  <c r="H89" i="9" s="1"/>
  <c r="I89" i="9" a="1"/>
  <c r="I89" i="9" s="1"/>
  <c r="J89" i="9" a="1"/>
  <c r="J89" i="9" s="1"/>
  <c r="K89" i="9" a="1"/>
  <c r="K89" i="9" s="1"/>
  <c r="L89" i="9" a="1"/>
  <c r="L89" i="9" s="1"/>
  <c r="M89" i="9" a="1"/>
  <c r="M89" i="9" s="1"/>
  <c r="N89" i="9" a="1"/>
  <c r="N89" i="9" s="1"/>
  <c r="P89" i="9"/>
  <c r="G86" i="9" a="1"/>
  <c r="G86" i="9" s="1"/>
  <c r="H86" i="9" a="1"/>
  <c r="H86" i="9" s="1"/>
  <c r="I86" i="9" a="1"/>
  <c r="I86" i="9" s="1"/>
  <c r="J86" i="9" a="1"/>
  <c r="J86" i="9" s="1"/>
  <c r="K86" i="9" a="1"/>
  <c r="K86" i="9" s="1"/>
  <c r="L86" i="9" a="1"/>
  <c r="L86" i="9" s="1"/>
  <c r="M86" i="9" a="1"/>
  <c r="M86" i="9" s="1"/>
  <c r="N86" i="9" a="1"/>
  <c r="N86" i="9" s="1"/>
  <c r="P86" i="9"/>
  <c r="I253" i="1"/>
  <c r="J253" i="1" s="1" a="1"/>
  <c r="J253" i="1" s="1"/>
  <c r="I254" i="1"/>
  <c r="J254" i="1" s="1" a="1"/>
  <c r="J254" i="1" s="1"/>
  <c r="I255" i="1"/>
  <c r="J255" i="1" s="1" a="1"/>
  <c r="J255" i="1" s="1"/>
  <c r="I256" i="1"/>
  <c r="J256" i="1" s="1" a="1"/>
  <c r="J256" i="1" s="1"/>
  <c r="I257" i="1"/>
  <c r="J257" i="1" a="1"/>
  <c r="J257" i="1" s="1"/>
  <c r="I258" i="1"/>
  <c r="J258" i="1" s="1" a="1"/>
  <c r="J258" i="1" s="1"/>
  <c r="I197" i="1"/>
  <c r="I242" i="1"/>
  <c r="J242" i="1" s="1" a="1"/>
  <c r="J242" i="1" s="1"/>
  <c r="I243" i="1"/>
  <c r="J243" i="1" a="1"/>
  <c r="J243" i="1" s="1"/>
  <c r="I244" i="1"/>
  <c r="J244" i="1" s="1" a="1"/>
  <c r="J244" i="1" s="1"/>
  <c r="I245" i="1"/>
  <c r="J245" i="1" s="1" a="1"/>
  <c r="J245" i="1" s="1"/>
  <c r="I246" i="1"/>
  <c r="J246" i="1" s="1" a="1"/>
  <c r="J246" i="1" s="1"/>
  <c r="I247" i="1"/>
  <c r="J247" i="1" s="1" a="1"/>
  <c r="J247" i="1" s="1"/>
  <c r="I248" i="1"/>
  <c r="J248" i="1" s="1" a="1"/>
  <c r="J248" i="1" s="1"/>
  <c r="I249" i="1"/>
  <c r="J249" i="1" s="1" a="1"/>
  <c r="J249" i="1" s="1"/>
  <c r="I250" i="1"/>
  <c r="J250" i="1" s="1" a="1"/>
  <c r="J250" i="1" s="1"/>
  <c r="I251" i="1"/>
  <c r="J251" i="1" s="1" a="1"/>
  <c r="J251" i="1" s="1"/>
  <c r="I252" i="1"/>
  <c r="J252" i="1" s="1" a="1"/>
  <c r="J252" i="1" s="1"/>
  <c r="G52" i="15"/>
  <c r="H52" i="15" s="1"/>
  <c r="C782" i="17"/>
  <c r="C99" i="23"/>
  <c r="C101" i="23"/>
  <c r="C102" i="23"/>
  <c r="C103" i="23"/>
  <c r="C104" i="23"/>
  <c r="C105" i="23"/>
  <c r="C106" i="23"/>
  <c r="C107" i="23"/>
  <c r="C108" i="23"/>
  <c r="C100" i="23"/>
  <c r="C109" i="23"/>
  <c r="C110" i="23"/>
  <c r="C111" i="23"/>
  <c r="C112" i="23"/>
  <c r="B114" i="23"/>
  <c r="I236" i="1"/>
  <c r="J236" i="1" s="1" a="1"/>
  <c r="J236" i="1" s="1"/>
  <c r="I237" i="1"/>
  <c r="J237" i="1" a="1"/>
  <c r="J237" i="1" s="1"/>
  <c r="I238" i="1"/>
  <c r="J238" i="1" s="1" a="1"/>
  <c r="J238" i="1" s="1"/>
  <c r="I239" i="1"/>
  <c r="J239" i="1" s="1" a="1"/>
  <c r="J239" i="1" s="1"/>
  <c r="I240" i="1"/>
  <c r="J240" i="1" s="1" a="1"/>
  <c r="J240" i="1" s="1"/>
  <c r="I241" i="1"/>
  <c r="J241" i="1" s="1" a="1"/>
  <c r="J241" i="1" s="1"/>
  <c r="F51" i="15"/>
  <c r="G51" i="15"/>
  <c r="G50" i="15"/>
  <c r="H50" i="15" s="1"/>
  <c r="F49" i="15"/>
  <c r="G49" i="15"/>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I231" i="1"/>
  <c r="J231" i="1" s="1" a="1"/>
  <c r="J231" i="1" s="1"/>
  <c r="I232" i="1"/>
  <c r="J232" i="1" s="1" a="1"/>
  <c r="J232" i="1" s="1"/>
  <c r="I233" i="1"/>
  <c r="J233" i="1" s="1" a="1"/>
  <c r="J233" i="1" s="1"/>
  <c r="I234" i="1"/>
  <c r="J234" i="1" s="1" a="1"/>
  <c r="J234" i="1" s="1"/>
  <c r="I235" i="1"/>
  <c r="J235" i="1" s="1" a="1"/>
  <c r="J235" i="1" s="1"/>
  <c r="G48" i="15"/>
  <c r="C753"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I70" i="6"/>
  <c r="I71" i="6"/>
  <c r="I72" i="6"/>
  <c r="I73" i="6"/>
  <c r="I74" i="6"/>
  <c r="I75" i="6"/>
  <c r="I76" i="6"/>
  <c r="I77" i="6"/>
  <c r="I78" i="6"/>
  <c r="I79" i="6"/>
  <c r="I80" i="6"/>
  <c r="G74" i="6"/>
  <c r="G75" i="6"/>
  <c r="G76" i="6"/>
  <c r="G77" i="6"/>
  <c r="G78" i="6"/>
  <c r="G70" i="6"/>
  <c r="G71" i="6"/>
  <c r="G72" i="6"/>
  <c r="G73" i="6"/>
  <c r="C752" i="17"/>
  <c r="K714" i="17"/>
  <c r="C735" i="17"/>
  <c r="G46" i="15" s="1"/>
  <c r="H46" i="15" s="1"/>
  <c r="I214" i="1"/>
  <c r="J214" i="1" s="1" a="1"/>
  <c r="J214" i="1" s="1"/>
  <c r="I215" i="1"/>
  <c r="J215" i="1" s="1" a="1"/>
  <c r="J215" i="1" s="1"/>
  <c r="I216" i="1"/>
  <c r="J216" i="1" s="1" a="1"/>
  <c r="J216" i="1" s="1"/>
  <c r="I217" i="1"/>
  <c r="J217" i="1" s="1" a="1"/>
  <c r="J217" i="1" s="1"/>
  <c r="B49" i="9" a="1"/>
  <c r="I85" i="9" s="1" a="1"/>
  <c r="I85" i="9" s="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s="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7" i="17"/>
  <c r="C641" i="17"/>
  <c r="J65" i="14" s="1"/>
  <c r="C640"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6" i="17"/>
  <c r="C425"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4" i="17"/>
  <c r="C411" i="17"/>
  <c r="D414" i="17"/>
  <c r="C412" i="17"/>
  <c r="C384" i="17"/>
  <c r="C359" i="17"/>
  <c r="C352" i="17"/>
  <c r="F30" i="15"/>
  <c r="F32" i="15"/>
  <c r="F34" i="15"/>
  <c r="F35" i="15"/>
  <c r="G30" i="15"/>
  <c r="G31" i="15"/>
  <c r="H31" i="15" s="1"/>
  <c r="G32" i="15"/>
  <c r="G33" i="15"/>
  <c r="H33" i="15" s="1"/>
  <c r="G34" i="15"/>
  <c r="G35" i="15"/>
  <c r="G36" i="15"/>
  <c r="H36" i="15" s="1"/>
  <c r="D157" i="17"/>
  <c r="C341" i="17"/>
  <c r="C335" i="17"/>
  <c r="D321" i="17"/>
  <c r="G168" i="1"/>
  <c r="I168" i="1" s="1"/>
  <c r="J168" i="1" s="1" a="1"/>
  <c r="J168" i="1" s="1"/>
  <c r="C292" i="17"/>
  <c r="F151" i="1"/>
  <c r="F150" i="1"/>
  <c r="F97" i="1"/>
  <c r="C267" i="17"/>
  <c r="I35" i="6"/>
  <c r="I36" i="6"/>
  <c r="I37" i="6"/>
  <c r="I38" i="6"/>
  <c r="I39" i="6"/>
  <c r="I40" i="6"/>
  <c r="I41" i="6"/>
  <c r="I42" i="6"/>
  <c r="I43" i="6"/>
  <c r="I44" i="6"/>
  <c r="I45" i="6"/>
  <c r="I46" i="6"/>
  <c r="I47" i="6"/>
  <c r="I48" i="6"/>
  <c r="I49" i="6"/>
  <c r="I50" i="6"/>
  <c r="I56" i="6"/>
  <c r="C246" i="17"/>
  <c r="J18" i="14" s="1"/>
  <c r="C239" i="17"/>
  <c r="D19" i="18" s="1"/>
  <c r="G28" i="6"/>
  <c r="G29" i="6"/>
  <c r="G30" i="6"/>
  <c r="G31" i="6"/>
  <c r="G32" i="6"/>
  <c r="G33" i="6"/>
  <c r="G34" i="6"/>
  <c r="G35" i="6"/>
  <c r="G36" i="6"/>
  <c r="G37" i="6"/>
  <c r="G38" i="6"/>
  <c r="G39" i="6"/>
  <c r="G40" i="6"/>
  <c r="G41" i="6"/>
  <c r="G42" i="6"/>
  <c r="G43" i="6"/>
  <c r="G44" i="6"/>
  <c r="G45" i="6"/>
  <c r="G46" i="6"/>
  <c r="G47" i="6"/>
  <c r="G48" i="6"/>
  <c r="G49" i="6"/>
  <c r="G50" i="6"/>
  <c r="G56" i="6"/>
  <c r="G57" i="6"/>
  <c r="C237" i="17"/>
  <c r="C138" i="17"/>
  <c r="F28" i="15"/>
  <c r="F5" i="15"/>
  <c r="F6" i="15"/>
  <c r="F7" i="15"/>
  <c r="F8" i="15"/>
  <c r="F9" i="15"/>
  <c r="F10" i="15"/>
  <c r="H10" i="15" s="1"/>
  <c r="F23" i="15"/>
  <c r="F25" i="15"/>
  <c r="F29" i="15"/>
  <c r="G28" i="15"/>
  <c r="G29" i="15"/>
  <c r="C205" i="17"/>
  <c r="G27" i="15"/>
  <c r="G25" i="6"/>
  <c r="D162" i="17"/>
  <c r="D104" i="17"/>
  <c r="C55" i="17"/>
  <c r="C156"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E101" i="2"/>
  <c r="F101" i="2"/>
  <c r="H101" i="2" s="1"/>
  <c r="I101" i="2" s="1"/>
  <c r="D101" i="2" s="1"/>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E112" i="2"/>
  <c r="F112" i="2"/>
  <c r="G112" i="2" s="1"/>
  <c r="H242" i="1" s="1"/>
  <c r="E113" i="2"/>
  <c r="F113" i="2"/>
  <c r="G113" i="2" s="1"/>
  <c r="H265" i="1" s="1"/>
  <c r="E114" i="2"/>
  <c r="F114" i="2"/>
  <c r="H114" i="2" s="1"/>
  <c r="I114" i="2" s="1"/>
  <c r="D114" i="2" s="1"/>
  <c r="E115" i="2"/>
  <c r="F115" i="2"/>
  <c r="H115" i="2" s="1"/>
  <c r="I115" i="2" s="1"/>
  <c r="D115" i="2" s="1"/>
  <c r="E116" i="2"/>
  <c r="F116" i="2"/>
  <c r="H116" i="2" s="1"/>
  <c r="I116" i="2" s="1"/>
  <c r="D116" i="2" s="1"/>
  <c r="E117" i="2"/>
  <c r="F117" i="2"/>
  <c r="H117" i="2" s="1"/>
  <c r="I117" i="2" s="1"/>
  <c r="D117" i="2" s="1"/>
  <c r="G117" i="2"/>
  <c r="E118" i="2"/>
  <c r="F118" i="2"/>
  <c r="H118" i="2" s="1"/>
  <c r="I118" i="2" s="1"/>
  <c r="D118" i="2" s="1"/>
  <c r="E119" i="2"/>
  <c r="F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E27" i="2"/>
  <c r="E59" i="2"/>
  <c r="F59" i="2"/>
  <c r="H59" i="2" s="1"/>
  <c r="I59" i="2" s="1"/>
  <c r="D59" i="2" s="1"/>
  <c r="F28" i="2"/>
  <c r="H28" i="2" s="1"/>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s="1"/>
  <c r="I47" i="2" s="1"/>
  <c r="D47" i="2" s="1"/>
  <c r="E48" i="2"/>
  <c r="F48" i="2"/>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F18" i="2"/>
  <c r="H18" i="2" s="1"/>
  <c r="I18" i="2" s="1"/>
  <c r="D18" i="2" s="1"/>
  <c r="E18" i="2"/>
  <c r="E35" i="2"/>
  <c r="F35" i="2"/>
  <c r="H35" i="2" s="1"/>
  <c r="I35" i="2" s="1"/>
  <c r="D35" i="2" s="1"/>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H4" i="2" s="1"/>
  <c r="I4" i="2" s="1"/>
  <c r="D4" i="2" s="1"/>
  <c r="N3" i="7"/>
  <c r="N5" i="7"/>
  <c r="E6" i="11"/>
  <c r="D6" i="11"/>
  <c r="F3" i="2"/>
  <c r="J15" i="14"/>
  <c r="B2" i="2"/>
  <c r="H127" i="6"/>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P56" i="7"/>
  <c r="E76" i="7"/>
  <c r="C2" i="2"/>
  <c r="H51" i="15" l="1"/>
  <c r="H49" i="15"/>
  <c r="G120" i="2"/>
  <c r="H263" i="1" s="1"/>
  <c r="H63" i="1"/>
  <c r="H57" i="1"/>
  <c r="H42" i="1"/>
  <c r="H50" i="1"/>
  <c r="H59" i="1"/>
  <c r="H9" i="1"/>
  <c r="H45" i="1"/>
  <c r="H6" i="1"/>
  <c r="H44" i="1"/>
  <c r="H69" i="1"/>
  <c r="H30" i="1"/>
  <c r="H7" i="1"/>
  <c r="H65" i="1"/>
  <c r="H55" i="1"/>
  <c r="H35" i="1"/>
  <c r="H25" i="1"/>
  <c r="H49" i="1"/>
  <c r="H58" i="1"/>
  <c r="H14" i="1"/>
  <c r="H13" i="1"/>
  <c r="H28" i="1"/>
  <c r="H37" i="1"/>
  <c r="H43" i="1"/>
  <c r="H46" i="1"/>
  <c r="H4" i="1"/>
  <c r="H62" i="1"/>
  <c r="H27" i="1"/>
  <c r="H33" i="1"/>
  <c r="H66" i="1"/>
  <c r="G111" i="2"/>
  <c r="H241" i="1" s="1"/>
  <c r="G119" i="2"/>
  <c r="H261" i="1" s="1"/>
  <c r="G4" i="2"/>
  <c r="G6" i="2"/>
  <c r="H88" i="1" s="1"/>
  <c r="G50" i="2"/>
  <c r="H137" i="1" s="1"/>
  <c r="H113" i="2"/>
  <c r="I113" i="2" s="1"/>
  <c r="D113" i="2" s="1"/>
  <c r="G118" i="2"/>
  <c r="H260" i="1" s="1"/>
  <c r="H264" i="1"/>
  <c r="G17" i="2"/>
  <c r="H76" i="1" s="1"/>
  <c r="G116" i="2"/>
  <c r="H255" i="1" s="1"/>
  <c r="H119" i="2"/>
  <c r="I119" i="2" s="1"/>
  <c r="D119" i="2" s="1"/>
  <c r="G115" i="2"/>
  <c r="H68" i="1" s="1"/>
  <c r="H85" i="9" a="1"/>
  <c r="H85" i="9" s="1"/>
  <c r="P84" i="9"/>
  <c r="P85" i="9"/>
  <c r="L84" i="9" a="1"/>
  <c r="L84" i="9" s="1"/>
  <c r="N84" i="9" a="1"/>
  <c r="N84" i="9" s="1"/>
  <c r="N85" i="9" a="1"/>
  <c r="N85" i="9" s="1"/>
  <c r="M85" i="9" a="1"/>
  <c r="M85" i="9" s="1"/>
  <c r="K84" i="9" a="1"/>
  <c r="K84" i="9" s="1"/>
  <c r="L85" i="9" a="1"/>
  <c r="L85" i="9" s="1"/>
  <c r="J84" i="9" a="1"/>
  <c r="J84" i="9" s="1"/>
  <c r="K85" i="9" a="1"/>
  <c r="K85" i="9" s="1"/>
  <c r="I84" i="9" a="1"/>
  <c r="I84" i="9" s="1"/>
  <c r="G85" i="9" a="1"/>
  <c r="G85" i="9" s="1"/>
  <c r="M84" i="9" a="1"/>
  <c r="M84" i="9" s="1"/>
  <c r="J85" i="9" a="1"/>
  <c r="J85" i="9" s="1"/>
  <c r="H84" i="9" a="1"/>
  <c r="H84" i="9" s="1"/>
  <c r="G84" i="9" a="1"/>
  <c r="G84" i="9" s="1"/>
  <c r="O89" i="9"/>
  <c r="Q89" i="9" s="1"/>
  <c r="O88" i="9"/>
  <c r="Q88" i="9" s="1"/>
  <c r="O87" i="9"/>
  <c r="Q87" i="9" s="1"/>
  <c r="O86" i="9"/>
  <c r="Q86" i="9" s="1"/>
  <c r="G80" i="2"/>
  <c r="H197" i="1" s="1"/>
  <c r="H258" i="1"/>
  <c r="G94" i="2"/>
  <c r="H214" i="1" s="1"/>
  <c r="G59" i="2"/>
  <c r="H157" i="1" s="1"/>
  <c r="H257" i="1"/>
  <c r="H256" i="1"/>
  <c r="G35" i="2"/>
  <c r="H111" i="1" s="1"/>
  <c r="G8" i="2"/>
  <c r="H75" i="1" s="1"/>
  <c r="G57" i="2"/>
  <c r="H167" i="1" s="1"/>
  <c r="G46" i="2"/>
  <c r="H128" i="1" s="1"/>
  <c r="G43" i="2"/>
  <c r="H125" i="1" s="1"/>
  <c r="G48" i="2"/>
  <c r="H132" i="1" s="1"/>
  <c r="G89" i="2"/>
  <c r="H209" i="1" s="1"/>
  <c r="G98" i="2"/>
  <c r="H219" i="1" s="1"/>
  <c r="G34" i="2"/>
  <c r="H110" i="1" s="1"/>
  <c r="G85" i="2"/>
  <c r="H204" i="1" s="1"/>
  <c r="G71" i="2"/>
  <c r="H183" i="1" s="1"/>
  <c r="G28" i="2"/>
  <c r="H100" i="1" s="1"/>
  <c r="G75" i="2"/>
  <c r="H190" i="1" s="1"/>
  <c r="H88" i="2"/>
  <c r="I88" i="2" s="1"/>
  <c r="D88" i="2" s="1"/>
  <c r="G24" i="2"/>
  <c r="G69" i="2"/>
  <c r="H179" i="1" s="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H245" i="1" s="1"/>
  <c r="G83" i="2"/>
  <c r="H202" i="1" s="1"/>
  <c r="H64" i="1"/>
  <c r="G55" i="2"/>
  <c r="H147" i="1" s="1"/>
  <c r="H21" i="1"/>
  <c r="H41" i="1"/>
  <c r="H23" i="1"/>
  <c r="H22" i="1"/>
  <c r="H39" i="1"/>
  <c r="G66" i="2"/>
  <c r="H176" i="1" s="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50" i="2"/>
  <c r="I50" i="2" s="1"/>
  <c r="D50" i="2" s="1"/>
  <c r="H48" i="2"/>
  <c r="I48" i="2" s="1"/>
  <c r="D48" i="2" s="1"/>
  <c r="H109" i="2"/>
  <c r="I109" i="2" s="1"/>
  <c r="D109" i="2" s="1"/>
  <c r="G105" i="2"/>
  <c r="G100" i="2"/>
  <c r="H221" i="1" s="1"/>
  <c r="G95" i="2"/>
  <c r="H227" i="1" s="1"/>
  <c r="G39" i="2"/>
  <c r="H161" i="1" s="1"/>
  <c r="G62" i="2"/>
  <c r="H166" i="1" s="1"/>
  <c r="C93" i="23"/>
  <c r="G63" i="2"/>
  <c r="H169" i="1" s="1"/>
  <c r="C22" i="23"/>
  <c r="G38" i="2"/>
  <c r="H116" i="1" s="1"/>
  <c r="G47" i="2"/>
  <c r="H131" i="1" s="1"/>
  <c r="G60" i="2"/>
  <c r="H164" i="1" s="1"/>
  <c r="G103" i="2"/>
  <c r="H225" i="1" s="1"/>
  <c r="G93" i="2"/>
  <c r="H213" i="1" s="1"/>
  <c r="G41" i="2"/>
  <c r="H120" i="1" s="1"/>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9"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9" i="20" s="1"/>
  <c r="V40" i="9" a="1"/>
  <c r="V40" i="9" s="1"/>
  <c r="AD40" i="9" a="1"/>
  <c r="AD40" i="9" s="1"/>
  <c r="U40" i="9" a="1"/>
  <c r="U40" i="9" s="1"/>
  <c r="H40" i="15"/>
  <c r="H23" i="15"/>
  <c r="H29" i="15"/>
  <c r="H35" i="15"/>
  <c r="H25" i="15"/>
  <c r="H27" i="15"/>
  <c r="F58" i="15"/>
  <c r="H30" i="15"/>
  <c r="H47" i="15"/>
  <c r="C6" i="8"/>
  <c r="H34" i="15"/>
  <c r="I127" i="6"/>
  <c r="C92" i="23"/>
  <c r="C69" i="23"/>
  <c r="C46" i="23"/>
  <c r="C48" i="23" s="1"/>
  <c r="C21" i="23"/>
  <c r="H140" i="1"/>
  <c r="H105" i="1"/>
  <c r="G12" i="2"/>
  <c r="H168" i="1" s="1"/>
  <c r="G7" i="2"/>
  <c r="H81" i="1" s="1"/>
  <c r="G58" i="2"/>
  <c r="H154" i="1" s="1"/>
  <c r="G74" i="2"/>
  <c r="H191" i="1" s="1"/>
  <c r="G102" i="2"/>
  <c r="H223" i="1" s="1"/>
  <c r="G14" i="2"/>
  <c r="H97" i="1" s="1"/>
  <c r="G73" i="2"/>
  <c r="H188" i="1" s="1"/>
  <c r="G77" i="2"/>
  <c r="H27" i="2"/>
  <c r="I27" i="2" s="1"/>
  <c r="D27" i="2" s="1"/>
  <c r="G84" i="2"/>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5" i="17"/>
  <c r="D924" i="17" s="1"/>
  <c r="G30" i="2"/>
  <c r="G51" i="2"/>
  <c r="H138" i="1" s="1"/>
  <c r="G15" i="2"/>
  <c r="G67" i="2"/>
  <c r="G36" i="2"/>
  <c r="H61" i="2"/>
  <c r="I61" i="2" s="1"/>
  <c r="D61" i="2" s="1"/>
  <c r="H100" i="2"/>
  <c r="I100" i="2" s="1"/>
  <c r="D100" i="2" s="1"/>
  <c r="G20" i="2"/>
  <c r="H68" i="2"/>
  <c r="I68" i="2" s="1"/>
  <c r="D68" i="2" s="1"/>
  <c r="G16" i="2"/>
  <c r="H104" i="2"/>
  <c r="H102" i="2"/>
  <c r="I102" i="2" s="1"/>
  <c r="D102" i="2" s="1"/>
  <c r="H86" i="2"/>
  <c r="I86" i="2" s="1"/>
  <c r="D86" i="2" s="1"/>
  <c r="G79" i="2"/>
  <c r="H196" i="1" s="1"/>
  <c r="G5" i="2"/>
  <c r="H139" i="1" s="1"/>
  <c r="I266" i="1" a="1"/>
  <c r="I266"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5" i="20" s="1"/>
  <c r="A38" i="20"/>
  <c r="A12"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6" i="20" s="1"/>
  <c r="A24" i="20"/>
  <c r="A22" i="20"/>
  <c r="M103" i="9"/>
  <c r="AC10" i="9" s="1" a="1"/>
  <c r="AC10" i="9" s="1"/>
  <c r="P103" i="9"/>
  <c r="AF10" i="9" s="1"/>
  <c r="B26"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X13" i="9" s="1" a="1"/>
  <c r="X13" i="9" s="1"/>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19" i="20" s="1"/>
  <c r="L79" i="9" a="1"/>
  <c r="L79" i="9" s="1"/>
  <c r="P72" i="9"/>
  <c r="J118" i="9"/>
  <c r="Z25" i="9" s="1" a="1"/>
  <c r="Z25" i="9" s="1"/>
  <c r="AD6" i="9" a="1"/>
  <c r="AD6" i="9" s="1"/>
  <c r="H121" i="9"/>
  <c r="X28" i="9" s="1" a="1"/>
  <c r="X28" i="9" s="1"/>
  <c r="P100" i="9"/>
  <c r="AF7" i="9" s="1"/>
  <c r="B28"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2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5"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0"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31"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31"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13"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2" i="20" s="1"/>
  <c r="J104" i="9"/>
  <c r="Z11" i="9" s="1" a="1"/>
  <c r="Z11" i="9" s="1"/>
  <c r="AD31" i="9" a="1"/>
  <c r="AD31" i="9" s="1"/>
  <c r="K121" i="9"/>
  <c r="AA28" i="9" s="1" a="1"/>
  <c r="AA28" i="9" s="1"/>
  <c r="B3" i="9"/>
  <c r="B10" i="9"/>
  <c r="P62" i="9"/>
  <c r="C101" i="9"/>
  <c r="S8" i="9" s="1" a="1"/>
  <c r="S8" i="9" s="1"/>
  <c r="C103" i="9"/>
  <c r="S10" i="9" s="1" a="1"/>
  <c r="S10" i="9" s="1"/>
  <c r="P104" i="9"/>
  <c r="AF11" i="9" s="1"/>
  <c r="B10" i="20" s="1"/>
  <c r="P109" i="9"/>
  <c r="AF16" i="9" s="1"/>
  <c r="B12"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7"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5" i="20" s="1"/>
  <c r="H115" i="9"/>
  <c r="X22" i="9" s="1" a="1"/>
  <c r="X22" i="9" s="1"/>
  <c r="AD14" i="9" a="1"/>
  <c r="AD14" i="9" s="1"/>
  <c r="P126" i="9"/>
  <c r="AF33" i="9" s="1"/>
  <c r="B24"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4"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1" i="20" s="1"/>
  <c r="L114" i="9"/>
  <c r="AB21" i="9" s="1" a="1"/>
  <c r="AB21" i="9" s="1"/>
  <c r="K115" i="9"/>
  <c r="AA22" i="9" s="1" a="1"/>
  <c r="AA22" i="9" s="1"/>
  <c r="P122" i="9"/>
  <c r="AF29" i="9" s="1"/>
  <c r="B27"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9"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4"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8"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2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2"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30"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1"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3"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19" i="20"/>
  <c r="A8" i="20"/>
  <c r="A18" i="20"/>
  <c r="A26" i="20"/>
  <c r="A4" i="20"/>
  <c r="A17" i="20"/>
  <c r="A16" i="20"/>
  <c r="A7" i="20"/>
  <c r="A15" i="20"/>
  <c r="A21" i="20"/>
  <c r="R5" i="9"/>
  <c r="A23" i="20"/>
  <c r="A29"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6" i="20"/>
  <c r="M120" i="9"/>
  <c r="AC27" i="9" s="1" a="1"/>
  <c r="AC27" i="9" s="1"/>
  <c r="F126" i="9"/>
  <c r="V33" i="9" s="1" a="1"/>
  <c r="V33" i="9" s="1"/>
  <c r="G120" i="9"/>
  <c r="W27" i="9" s="1" a="1"/>
  <c r="W27" i="9" s="1"/>
  <c r="A30"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28" i="20"/>
  <c r="A3" i="20"/>
  <c r="G108" i="9"/>
  <c r="W15" i="9" s="1" a="1"/>
  <c r="W15" i="9" s="1"/>
  <c r="K51" i="9" a="1"/>
  <c r="K51" i="9" s="1"/>
  <c r="H50" i="9" a="1"/>
  <c r="H50" i="9" s="1"/>
  <c r="N54" i="9" a="1"/>
  <c r="N54" i="9" s="1"/>
  <c r="I51" i="9" a="1"/>
  <c r="I51" i="9" s="1"/>
  <c r="A14" i="20"/>
  <c r="A5" i="20"/>
  <c r="A37" i="20"/>
  <c r="N64" i="9" a="1"/>
  <c r="N64" i="9" s="1"/>
  <c r="P113" i="9"/>
  <c r="AF20" i="9" s="1"/>
  <c r="B37" i="20" s="1"/>
  <c r="L54" i="9" a="1"/>
  <c r="L54" i="9" s="1"/>
  <c r="G75" i="9" a="1"/>
  <c r="G75" i="9" s="1"/>
  <c r="A32" i="20"/>
  <c r="J54" i="9" a="1"/>
  <c r="J54" i="9" s="1"/>
  <c r="A11" i="20"/>
  <c r="A36" i="20"/>
  <c r="I54" i="9" a="1"/>
  <c r="I54" i="9" s="1"/>
  <c r="A40" i="20"/>
  <c r="A27" i="20"/>
  <c r="A13"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G51" i="9" a="1"/>
  <c r="G51" i="9" s="1"/>
  <c r="J266" i="1" a="1"/>
  <c r="J266" i="1" s="1"/>
  <c r="N78" i="9" a="1"/>
  <c r="N78" i="9" s="1"/>
  <c r="K266" i="1"/>
  <c r="G54" i="9" a="1"/>
  <c r="G54" i="9" s="1"/>
  <c r="L59" i="9" a="1"/>
  <c r="L59" i="9" s="1"/>
  <c r="H99" i="9"/>
  <c r="G131" i="9"/>
  <c r="K6" i="6"/>
  <c r="C4" i="8" s="1"/>
  <c r="G127" i="6"/>
  <c r="C7" i="8"/>
  <c r="C16" i="10"/>
  <c r="C924" i="17"/>
  <c r="K4" i="17" s="1"/>
  <c r="E42" i="7"/>
  <c r="H10" i="7"/>
  <c r="H42" i="7" s="1"/>
  <c r="E93" i="18"/>
  <c r="I37" i="12"/>
  <c r="G42" i="7"/>
  <c r="J89" i="14"/>
  <c r="C12" i="8" s="1"/>
  <c r="C43" i="12"/>
  <c r="D93" i="18"/>
  <c r="D86" i="14"/>
  <c r="C10" i="8" s="1"/>
  <c r="G58" i="15"/>
  <c r="D2" i="2"/>
  <c r="H262" i="1" l="1"/>
  <c r="H249" i="1"/>
  <c r="H127" i="1"/>
  <c r="H86" i="1"/>
  <c r="H251" i="1"/>
  <c r="H187" i="1"/>
  <c r="H72" i="1"/>
  <c r="H107" i="1"/>
  <c r="H85" i="1"/>
  <c r="H123" i="1"/>
  <c r="H109" i="1"/>
  <c r="H118" i="1"/>
  <c r="H254" i="1"/>
  <c r="H146" i="1"/>
  <c r="H170" i="1"/>
  <c r="H198" i="1"/>
  <c r="H159" i="1"/>
  <c r="H122" i="1"/>
  <c r="H253" i="1"/>
  <c r="H259" i="1"/>
  <c r="H172" i="1"/>
  <c r="O84" i="9"/>
  <c r="Q84" i="9" s="1"/>
  <c r="O85" i="9"/>
  <c r="Q85" i="9" s="1"/>
  <c r="H143" i="1"/>
  <c r="H129" i="1"/>
  <c r="H160" i="1"/>
  <c r="H153" i="1"/>
  <c r="H156" i="1"/>
  <c r="H152" i="1"/>
  <c r="H193" i="1"/>
  <c r="H104" i="1"/>
  <c r="H180" i="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9" i="20" s="1"/>
  <c r="D14" i="19" a="1"/>
  <c r="D14" i="19" s="1"/>
  <c r="E14" i="19" s="1"/>
  <c r="AE39" i="9"/>
  <c r="AG39" i="9" s="1"/>
  <c r="C4" i="20" s="1"/>
  <c r="P80" i="9"/>
  <c r="H58" i="15"/>
  <c r="AF36" i="9"/>
  <c r="B18"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13" i="20" s="1"/>
  <c r="O132" i="9"/>
  <c r="Q132" i="9" s="1"/>
  <c r="O53" i="9"/>
  <c r="Q53" i="9" s="1"/>
  <c r="O116" i="9"/>
  <c r="Q116" i="9" s="1"/>
  <c r="A2" i="20"/>
  <c r="O110" i="9"/>
  <c r="Q110" i="9" s="1"/>
  <c r="E14" i="9"/>
  <c r="O102" i="9"/>
  <c r="Q102" i="9" s="1"/>
  <c r="AE9" i="9"/>
  <c r="AG9" i="9" s="1"/>
  <c r="C32" i="20" s="1"/>
  <c r="O109" i="9"/>
  <c r="Q109" i="9" s="1"/>
  <c r="O124" i="9"/>
  <c r="Q124" i="9" s="1"/>
  <c r="AE14" i="9"/>
  <c r="AG14" i="9" s="1"/>
  <c r="C11" i="20" s="1"/>
  <c r="AE17" i="9"/>
  <c r="AG17" i="9" s="1"/>
  <c r="C30" i="20" s="1"/>
  <c r="O82" i="9"/>
  <c r="Q82" i="9" s="1"/>
  <c r="O63" i="9"/>
  <c r="Q63" i="9" s="1"/>
  <c r="O52" i="9"/>
  <c r="Q52" i="9" s="1"/>
  <c r="O68" i="9"/>
  <c r="Q68" i="9" s="1"/>
  <c r="O77" i="9"/>
  <c r="Q77" i="9" s="1"/>
  <c r="AE28" i="9"/>
  <c r="AG28" i="9" s="1"/>
  <c r="C29" i="20" s="1"/>
  <c r="O58" i="9"/>
  <c r="Q58" i="9" s="1"/>
  <c r="O56" i="9"/>
  <c r="Q56" i="9" s="1"/>
  <c r="O76" i="9"/>
  <c r="Q76" i="9" s="1"/>
  <c r="O71" i="9"/>
  <c r="Q71" i="9" s="1"/>
  <c r="AE11" i="9"/>
  <c r="AG11" i="9" s="1"/>
  <c r="C10" i="20" s="1"/>
  <c r="O75" i="9"/>
  <c r="Q75" i="9" s="1"/>
  <c r="O66" i="9"/>
  <c r="Q66" i="9" s="1"/>
  <c r="AE8" i="9"/>
  <c r="AG8" i="9" s="1"/>
  <c r="C22"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2" i="20" s="1"/>
  <c r="O83" i="9"/>
  <c r="Q83" i="9" s="1"/>
  <c r="O69" i="9"/>
  <c r="Q69" i="9" s="1"/>
  <c r="O62" i="9"/>
  <c r="Q62" i="9" s="1"/>
  <c r="AE12" i="9"/>
  <c r="AG12" i="9" s="1"/>
  <c r="C23" i="20" s="1"/>
  <c r="O60" i="9"/>
  <c r="Q60" i="9" s="1"/>
  <c r="O55" i="9"/>
  <c r="Q55" i="9" s="1"/>
  <c r="AE37" i="9"/>
  <c r="AG37" i="9" s="1"/>
  <c r="C21" i="20" s="1"/>
  <c r="O119" i="9"/>
  <c r="Q119" i="9" s="1"/>
  <c r="O121" i="9"/>
  <c r="Q121" i="9" s="1"/>
  <c r="O73" i="9"/>
  <c r="Q73" i="9" s="1"/>
  <c r="O113" i="9"/>
  <c r="O104" i="9"/>
  <c r="Q104" i="9" s="1"/>
  <c r="O61" i="9"/>
  <c r="Q61" i="9" s="1"/>
  <c r="O81" i="9"/>
  <c r="Q81" i="9" s="1"/>
  <c r="O117" i="9"/>
  <c r="Q117" i="9" s="1"/>
  <c r="O67" i="9"/>
  <c r="Q67" i="9" s="1"/>
  <c r="AE22" i="9"/>
  <c r="AG22" i="9" s="1"/>
  <c r="C25" i="20" s="1"/>
  <c r="O127" i="9"/>
  <c r="Q127" i="9" s="1"/>
  <c r="O131" i="9"/>
  <c r="Q131" i="9" s="1"/>
  <c r="O101" i="9"/>
  <c r="Q101" i="9" s="1"/>
  <c r="AE32" i="9"/>
  <c r="AG32" i="9" s="1"/>
  <c r="C14" i="20" s="1"/>
  <c r="O79" i="9"/>
  <c r="Q79" i="9" s="1"/>
  <c r="O107" i="9"/>
  <c r="Q107" i="9" s="1"/>
  <c r="AE35" i="9"/>
  <c r="AG35" i="9" s="1"/>
  <c r="C39" i="20" s="1"/>
  <c r="O103" i="9"/>
  <c r="Q103" i="9" s="1"/>
  <c r="AE24" i="9"/>
  <c r="AG24" i="9" s="1"/>
  <c r="C40" i="20" s="1"/>
  <c r="AE33" i="9"/>
  <c r="AG33" i="9" s="1"/>
  <c r="C24" i="20" s="1"/>
  <c r="O106" i="9"/>
  <c r="Q106" i="9" s="1"/>
  <c r="C10" i="9"/>
  <c r="E10" i="9"/>
  <c r="AE31" i="9"/>
  <c r="AG31" i="9" s="1"/>
  <c r="C36" i="20" s="1"/>
  <c r="O120" i="9"/>
  <c r="Q120" i="9" s="1"/>
  <c r="O115" i="9"/>
  <c r="Q115" i="9" s="1"/>
  <c r="AE29" i="9"/>
  <c r="AG29" i="9" s="1"/>
  <c r="C27" i="20" s="1"/>
  <c r="AB20" i="9" a="1"/>
  <c r="AB20" i="9" s="1"/>
  <c r="AE20" i="9" s="1"/>
  <c r="AG20" i="9" s="1"/>
  <c r="C37" i="20" s="1"/>
  <c r="E3" i="9"/>
  <c r="C3" i="9"/>
  <c r="D8" i="19" a="1"/>
  <c r="D8" i="19" s="1"/>
  <c r="O65" i="9"/>
  <c r="Q65" i="9" s="1"/>
  <c r="O128" i="9"/>
  <c r="Q128" i="9" s="1"/>
  <c r="AE7" i="9"/>
  <c r="AG7" i="9" s="1"/>
  <c r="C28"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31" i="20" s="1"/>
  <c r="E17" i="9"/>
  <c r="C17" i="9"/>
  <c r="E7" i="9" a="1"/>
  <c r="E7" i="9" s="1"/>
  <c r="C7" i="9"/>
  <c r="E9" i="9"/>
  <c r="C9" i="9"/>
  <c r="O123" i="9"/>
  <c r="Q123" i="9" s="1"/>
  <c r="AE13" i="9"/>
  <c r="AG13" i="9" s="1"/>
  <c r="C20" i="20" s="1"/>
  <c r="C15" i="9"/>
  <c r="E15" i="9"/>
  <c r="AE30" i="9"/>
  <c r="AG30" i="9" s="1"/>
  <c r="C16" i="20" s="1"/>
  <c r="AE10" i="9"/>
  <c r="AG10" i="9" s="1"/>
  <c r="C26" i="20" s="1"/>
  <c r="AE27" i="9"/>
  <c r="AG27" i="9" s="1"/>
  <c r="C19" i="20" s="1"/>
  <c r="AE21" i="9"/>
  <c r="AG21" i="9" s="1"/>
  <c r="C15" i="20" s="1"/>
  <c r="O51" i="9"/>
  <c r="Q51" i="9" s="1"/>
  <c r="AE36" i="9"/>
  <c r="O64" i="9"/>
  <c r="Q64" i="9" s="1"/>
  <c r="G49" i="9" a="1"/>
  <c r="G49" i="9" s="1"/>
  <c r="AE18" i="9"/>
  <c r="AG18" i="9" s="1"/>
  <c r="C17"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8" i="20" s="1"/>
  <c r="Q113" i="9"/>
  <c r="AE15" i="9"/>
  <c r="AG15" i="9" s="1"/>
  <c r="C6" i="20" s="1"/>
  <c r="O80" i="9"/>
  <c r="W38" i="9" a="1"/>
  <c r="W38" i="9" s="1"/>
  <c r="AE38" i="9" s="1"/>
  <c r="AG38" i="9" s="1"/>
  <c r="C3" i="20" s="1"/>
  <c r="F93" i="18"/>
  <c r="C11" i="8"/>
  <c r="C14" i="8" s="1"/>
  <c r="C4" i="10" s="1"/>
  <c r="K5" i="17"/>
  <c r="K6" i="17" s="1"/>
  <c r="F924" i="17"/>
  <c r="Q80" i="9" l="1"/>
  <c r="AG36" i="9"/>
  <c r="C18"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<sst xmlns="http://schemas.openxmlformats.org/spreadsheetml/2006/main" count="4180" uniqueCount="804">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</sst>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4" fontId="0" fillId="11" borderId="7" xfId="0" applyNumberFormat="1" applyFill="1" applyBorder="1"/>
  </cellXfs>
  <cellStyles count="2">
    <cellStyle name="Comma" xfId="1" builtinId="3"/>
    <cellStyle name="Normal" xfId="0" builtinId="0"/>
  </cellStyles>
  <dxfs count="14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289586</xdr:colOff>
      <xdr:row>269</xdr:row>
      <xdr:rowOff>144299</xdr:rowOff>
    </xdr:from>
    <xdr:to>
      <xdr:col>1</xdr:col>
      <xdr:colOff>1028635</xdr:colOff>
      <xdr:row>278</xdr:row>
      <xdr:rowOff>17539</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89586" y="4995203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138887" createdVersion="8" refreshedVersion="8" minRefreshableVersion="3" recordCount="264" xr:uid="{46CBB50D-3613-4E5B-8212-DD0313DCD05A}">
  <cacheSource type="worksheet">
    <worksheetSource name="Table1"/>
  </cacheSource>
  <cacheFields count="14">
    <cacheField name="Date" numFmtId="0">
      <sharedItems containsSemiMixedTypes="0" containsNonDate="0" containsDate="1" containsString="0" minDate="2026-02-02T00:00:00" maxDate="2026-05-14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u="1"/>
        <s v="zaid ejaz" u="1"/>
        <s v="Reject" u="1"/>
        <s v="YING" u="1"/>
        <s v="Meow" u="1"/>
        <s v="Umer Sb" u="1"/>
        <s v="-" u="1"/>
        <s v="Sajjad" u="1"/>
        <s v="Haji Ejaz" u="1"/>
      </sharedItems>
    </cacheField>
    <cacheField name="Bill Number" numFmtId="0">
      <sharedItems containsMixedTypes="1" containsNumber="1" containsInteger="1" minValue="1509" maxValue="1703"/>
    </cacheField>
    <cacheField name="Quality" numFmtId="0">
      <sharedItems/>
    </cacheField>
    <cacheField name="Shipment Number" numFmtId="164">
      <sharedItems containsBlank="1" containsMixedTypes="1" containsNumber="1" containsInteger="1" minValue="1558" maxValue="17000" count="548">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emiMixedTypes="0" containsString="0"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717595" createdVersion="8" refreshedVersion="8" minRefreshableVersion="3" recordCount="50" xr:uid="{376A650C-1F79-4049-BC45-E34989F046B2}">
  <cacheSource type="worksheet">
    <worksheetSource name="Table2"/>
  </cacheSource>
  <cacheFields count="8">
    <cacheField name="Date" numFmtId="14">
      <sharedItems containsNonDate="0" containsDate="1" containsString="0" containsBlank="1" minDate="2026-02-20T00:00:00" maxDate="2026-05-14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949072"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296296"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15T00:00:00" count="97">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6-05-14T00:00:00"/>
        <d v="2026-05-11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500000"/>
    </cacheField>
    <cacheField name="Balance" numFmtId="0">
      <sharedItems containsSemiMixedTypes="0" containsString="0" containsNumber="1" containsInteger="1" minValue="-5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52778"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156231.7117776154"/>
    </cacheField>
    <cacheField name="Rate" numFmtId="0">
      <sharedItems containsString="0" containsBlank="1" containsNumber="1" minValue="10" maxValue="12"/>
    </cacheField>
    <cacheField name="Total" numFmtId="164">
      <sharedItems containsSemiMixedTypes="0" containsString="0" containsNumber="1" minValue="0" maxValue="9352730.431602049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875004" createdVersion="8" refreshedVersion="8" minRefreshableVersion="3" recordCount="897" xr:uid="{B5BDFB73-D93A-4A7A-8149-666BC190B09B}">
  <cacheSource type="worksheet">
    <worksheetSource name="Table14"/>
  </cacheSource>
  <cacheFields count="7">
    <cacheField name="Date" numFmtId="14">
      <sharedItems containsNonDate="0" containsDate="1" containsString="0" containsBlank="1" minDate="2025-12-23T00:00:00" maxDate="2026-05-15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r>
    <d v="2026-05-09T00:00:00"/>
    <x v="0"/>
    <n v="1691"/>
    <s v="Silky"/>
    <x v="110"/>
    <n v="17930"/>
    <n v="19428"/>
    <n v="0.91924581941231054"/>
    <n v="17765.179224579373"/>
    <n v="230947.32991953185"/>
    <m/>
  </r>
  <r>
    <d v="2026-05-09T00:00:00"/>
    <x v="0"/>
    <n v="1692"/>
    <s v="Chamki"/>
    <x v="111"/>
    <n v="57164"/>
    <n v="19836"/>
    <n v="68.269786996660542"/>
    <n v="18138.25896122897"/>
    <n v="181382.58961228971"/>
    <m/>
  </r>
  <r>
    <d v="2026-05-09T00:00:00"/>
    <x v="33"/>
    <n v="1693"/>
    <s v="Silky"/>
    <x v="112"/>
    <n v="99404"/>
    <n v="37070"/>
    <n v="6.694263575356814"/>
    <n v="33897.220190197513"/>
    <n v="440663.86247256765"/>
    <m/>
  </r>
  <r>
    <d v="2026-05-09T00:00:00"/>
    <x v="33"/>
    <n v="1694"/>
    <s v="Silky"/>
    <x v="112"/>
    <n v="99404"/>
    <n v="14046"/>
    <n v="6.694263575356814"/>
    <n v="12843.818580833944"/>
    <n v="166969.64155084128"/>
    <m/>
  </r>
  <r>
    <d v="2026-05-11T00:00:00"/>
    <x v="33"/>
    <n v="1695"/>
    <s v="Silky"/>
    <x v="112"/>
    <n v="99404"/>
    <n v="39878"/>
    <n v="6.694263575356814"/>
    <n v="36464.886613021219"/>
    <n v="474043.52596927586"/>
    <m/>
  </r>
  <r>
    <d v="2026-05-11T00:00:00"/>
    <x v="33"/>
    <n v="1696"/>
    <s v="Silky"/>
    <x v="112"/>
    <n v="99404"/>
    <n v="10437"/>
    <n v="6.694263575356814"/>
    <n v="9543.7088514996358"/>
    <n v="124068.21506949526"/>
    <m/>
  </r>
  <r>
    <d v="2026-05-12T00:00:00"/>
    <x v="31"/>
    <n v="1697"/>
    <s v="Silky"/>
    <x v="113"/>
    <n v="7846"/>
    <n v="8229"/>
    <s v="NF"/>
    <n v="7524.6891002194598"/>
    <n v="97820.958302852974"/>
    <m/>
  </r>
  <r>
    <d v="2026-05-12T00:00:00"/>
    <x v="31"/>
    <n v="1698"/>
    <s v="Silky"/>
    <x v="114"/>
    <n v="17218"/>
    <n v="18230"/>
    <n v="3.1843727277802287"/>
    <n v="16669.714703730799"/>
    <n v="216706.29114850037"/>
    <m/>
  </r>
  <r>
    <d v="2026-05-12T00:00:00"/>
    <x v="31"/>
    <n v="1699"/>
    <s v="Silky"/>
    <x v="115"/>
    <n v="46820"/>
    <n v="27486"/>
    <n v="7.1058298259423651"/>
    <n v="25133.504023408928"/>
    <n v="326735.55230431608"/>
    <m/>
  </r>
  <r>
    <d v="2026-05-12T00:00:00"/>
    <x v="31"/>
    <n v="1700"/>
    <s v="Silky"/>
    <x v="115"/>
    <n v="46820"/>
    <n v="20078"/>
    <n v="7.1058298259423651"/>
    <n v="18359.546452084858"/>
    <n v="238674.10387710316"/>
    <m/>
  </r>
  <r>
    <d v="2026-05-12T00:00:00"/>
    <x v="0"/>
    <n v="1701"/>
    <s v="Silky"/>
    <x v="116"/>
    <n v="37514"/>
    <n v="40509"/>
    <n v="1.2585167423864192"/>
    <n v="37041.880029261156"/>
    <n v="481544.44038039504"/>
    <m/>
  </r>
  <r>
    <d v="2026-05-13T00:00:00"/>
    <x v="34"/>
    <n v="1702"/>
    <s v="Silky"/>
    <x v="117"/>
    <n v="30184"/>
    <n v="7748"/>
    <n v="3.6329919725706645"/>
    <n v="7084.8573518653993"/>
    <n v="85018.288222384785"/>
    <m/>
  </r>
  <r>
    <d v="2026-05-13T00:00:00"/>
    <x v="34"/>
    <n v="1703"/>
    <s v="Silky"/>
    <x v="117"/>
    <n v="30184"/>
    <n v="24062"/>
    <n v="3.6329919725706645"/>
    <n v="22002.56035113387"/>
    <n v="264030.7242136064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r>
    <d v="2026-05-13T00:00:00"/>
    <x v="0"/>
    <m/>
    <m/>
    <m/>
    <n v="18000"/>
    <n v="18000"/>
    <n v="0"/>
  </r>
  <r>
    <m/>
    <x v="6"/>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35"/>
    <x v="1"/>
    <x v="1"/>
    <n v="394"/>
    <n v="1060"/>
    <m/>
    <n v="417640"/>
    <m/>
    <n v="417640"/>
  </r>
  <r>
    <x v="35"/>
    <x v="1"/>
    <x v="1"/>
    <n v="209"/>
    <n v="1060"/>
    <m/>
    <n v="221540"/>
    <m/>
    <n v="221540"/>
  </r>
  <r>
    <x v="35"/>
    <x v="15"/>
    <x v="1"/>
    <n v="302"/>
    <n v="1050"/>
    <m/>
    <n v="317100"/>
    <m/>
    <n v="3171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20"/>
    <s v="Black"/>
    <m/>
    <m/>
    <n v="55000"/>
    <x v="1"/>
    <n v="55000"/>
    <n v="0"/>
    <m/>
  </r>
  <r>
    <x v="21"/>
    <s v="Dyes"/>
    <m/>
    <m/>
    <n v="74125"/>
    <x v="1"/>
    <n v="74125"/>
    <n v="0"/>
    <m/>
  </r>
  <r>
    <x v="22"/>
    <s v="Payment"/>
    <m/>
    <m/>
    <m/>
    <x v="0"/>
    <n v="500000"/>
    <n v="-50000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156231.7117776154"/>
    <n v="10"/>
    <n v="9352730.431602049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d v="2026-05-09T00:00:00"/>
    <x v="31"/>
    <m/>
    <n v="100000"/>
    <s v="Cash"/>
    <s v="Bank"/>
    <m/>
  </r>
  <r>
    <d v="2026-05-09T00:00:00"/>
    <x v="2"/>
    <n v="100000"/>
    <m/>
    <s v="Shahid qasai"/>
    <s v="Bank"/>
    <m/>
  </r>
  <r>
    <d v="2026-05-11T00:00:00"/>
    <x v="30"/>
    <m/>
    <n v="60000"/>
    <m/>
    <s v="Bank"/>
    <m/>
  </r>
  <r>
    <d v="2026-05-11T00:00:00"/>
    <x v="2"/>
    <n v="60000"/>
    <m/>
    <s v="ibraheem behraam"/>
    <s v="Bank"/>
    <m/>
  </r>
  <r>
    <d v="2026-05-12T00:00:00"/>
    <x v="31"/>
    <m/>
    <n v="50000"/>
    <s v="Cash"/>
    <s v="Bank"/>
    <m/>
  </r>
  <r>
    <d v="2026-05-12T00:00:00"/>
    <x v="2"/>
    <n v="50000"/>
    <m/>
    <s v="qasai"/>
    <s v="Bank"/>
    <m/>
  </r>
  <r>
    <d v="2026-05-11T00:00:00"/>
    <x v="5"/>
    <n v="3500"/>
    <m/>
    <s v="welding pipe"/>
    <s v="Bank"/>
    <m/>
  </r>
  <r>
    <d v="2026-05-11T00:00:00"/>
    <x v="5"/>
    <n v="1560"/>
    <m/>
    <s v="welding pipe"/>
    <s v="Bank"/>
    <m/>
  </r>
  <r>
    <d v="2026-05-11T00:00:00"/>
    <x v="2"/>
    <m/>
    <n v="3500"/>
    <m/>
    <s v="Bank"/>
    <m/>
  </r>
  <r>
    <d v="2026-05-11T00:00:00"/>
    <x v="5"/>
    <n v="2500"/>
    <m/>
    <s v="rods"/>
    <s v="Bank"/>
    <m/>
  </r>
  <r>
    <d v="2026-05-11T00:00:00"/>
    <x v="5"/>
    <n v="550"/>
    <m/>
    <m/>
    <s v="Bank"/>
    <m/>
  </r>
  <r>
    <d v="2026-05-11T00:00:00"/>
    <x v="29"/>
    <n v="500000"/>
    <m/>
    <s v="100k cash 400k cheque"/>
    <s v="Bank"/>
    <m/>
  </r>
  <r>
    <d v="2026-05-11T00:00:00"/>
    <x v="2"/>
    <m/>
    <n v="500000"/>
    <s v="uni 100k+400k cheque"/>
    <s v="Bank"/>
    <m/>
  </r>
  <r>
    <d v="2026-05-11T00:00:00"/>
    <x v="18"/>
    <m/>
    <n v="37085"/>
    <s v="Bill Nill"/>
    <s v="Bank"/>
    <m/>
  </r>
  <r>
    <d v="2026-05-11T00:00:00"/>
    <x v="5"/>
    <n v="28500"/>
    <m/>
    <s v="Oil boiler bhatti"/>
    <s v="Bank"/>
    <m/>
  </r>
  <r>
    <d v="2026-05-11T00:00:00"/>
    <x v="2"/>
    <m/>
    <n v="250000"/>
    <s v="TID:081610"/>
    <s v="Bank"/>
    <m/>
  </r>
  <r>
    <d v="2026-05-11T00:00:00"/>
    <x v="2"/>
    <m/>
    <n v="134000"/>
    <s v="TID:842327"/>
    <s v="Bank"/>
    <m/>
  </r>
  <r>
    <d v="2026-05-11T00:00:00"/>
    <x v="52"/>
    <n v="300000"/>
    <m/>
    <s v="TID:121107"/>
    <s v="Bank"/>
    <m/>
  </r>
  <r>
    <d v="2026-05-11T00:00:00"/>
    <x v="10"/>
    <n v="3500"/>
    <m/>
    <s v="raksha "/>
    <s v="Bank"/>
    <m/>
  </r>
  <r>
    <d v="2026-05-11T00:00:00"/>
    <x v="33"/>
    <n v="5000"/>
    <m/>
    <s v="Imtiaz opt"/>
    <s v="Bank"/>
    <m/>
  </r>
  <r>
    <d v="2026-05-11T00:00:00"/>
    <x v="0"/>
    <n v="200"/>
    <m/>
    <m/>
    <s v="Bank"/>
    <m/>
  </r>
  <r>
    <d v="2026-05-11T00:00:00"/>
    <x v="5"/>
    <n v="12491"/>
    <m/>
    <s v="Diesel"/>
    <s v="Bank"/>
    <m/>
  </r>
  <r>
    <d v="2026-05-12T00:00:00"/>
    <x v="5"/>
    <n v="400"/>
    <m/>
    <m/>
    <s v="Bank"/>
    <m/>
  </r>
  <r>
    <d v="2026-05-12T00:00:00"/>
    <x v="10"/>
    <n v="17000"/>
    <m/>
    <s v="Rauf khan kora"/>
    <s v="Bank"/>
    <m/>
  </r>
  <r>
    <d v="2026-05-12T00:00:00"/>
    <x v="5"/>
    <n v="350"/>
    <m/>
    <s v="dastanay"/>
    <s v="Bank"/>
    <m/>
  </r>
  <r>
    <d v="2026-05-12T00:00:00"/>
    <x v="35"/>
    <n v="1800"/>
    <m/>
    <m/>
    <s v="Bank"/>
    <m/>
  </r>
  <r>
    <d v="2026-05-12T00:00:00"/>
    <x v="20"/>
    <n v="39000"/>
    <m/>
    <s v="Freight"/>
    <s v="Bank"/>
    <m/>
  </r>
  <r>
    <d v="2026-05-12T00:00:00"/>
    <x v="3"/>
    <n v="6000"/>
    <m/>
    <s v="ibraheem fees"/>
    <s v="Bank"/>
    <m/>
  </r>
  <r>
    <d v="2026-05-12T00:00:00"/>
    <x v="2"/>
    <m/>
    <n v="60000"/>
    <s v="20k transfer + 40k cash"/>
    <s v="Bank"/>
    <m/>
  </r>
  <r>
    <d v="2026-05-12T00:00:00"/>
    <x v="20"/>
    <n v="100000"/>
    <m/>
    <s v="Freight (50+50)"/>
    <s v="Bank"/>
    <m/>
  </r>
  <r>
    <d v="2026-05-12T00:00:00"/>
    <x v="2"/>
    <m/>
    <n v="135000"/>
    <s v="TID:281693"/>
    <s v="Bank"/>
    <m/>
  </r>
  <r>
    <d v="2026-05-12T00:00:00"/>
    <x v="5"/>
    <n v="3700"/>
    <m/>
    <s v="looms"/>
    <s v="Bank"/>
    <m/>
  </r>
  <r>
    <d v="2026-05-12T00:00:00"/>
    <x v="2"/>
    <m/>
    <n v="195000"/>
    <s v="Cash deposit"/>
    <s v="Bank"/>
    <m/>
  </r>
  <r>
    <d v="2026-05-12T00:00:00"/>
    <x v="2"/>
    <m/>
    <n v="18000"/>
    <s v="TID:769550"/>
    <s v="Bank"/>
    <m/>
  </r>
  <r>
    <d v="2026-05-12T00:00:00"/>
    <x v="20"/>
    <n v="350000"/>
    <m/>
    <s v="TID:158006"/>
    <s v="Bank"/>
    <m/>
  </r>
  <r>
    <d v="2026-05-12T00:00:00"/>
    <x v="0"/>
    <n v="500"/>
    <m/>
    <m/>
    <s v="Bank"/>
    <m/>
  </r>
  <r>
    <d v="2026-05-13T00:00:00"/>
    <x v="2"/>
    <m/>
    <n v="18000"/>
    <s v="Bp26"/>
    <s v="Bank"/>
    <m/>
  </r>
  <r>
    <d v="2026-05-13T00:00:00"/>
    <x v="13"/>
    <n v="18000"/>
    <m/>
    <s v="Bp26"/>
    <s v="Bank"/>
    <m/>
  </r>
  <r>
    <d v="2026-05-13T00:00:00"/>
    <x v="33"/>
    <n v="5000"/>
    <m/>
    <s v="Ghulam Abbas"/>
    <s v="Bank"/>
    <m/>
  </r>
  <r>
    <d v="2026-05-13T00:00:00"/>
    <x v="3"/>
    <n v="3240"/>
    <m/>
    <s v="Shampoo ect"/>
    <s v="Bank"/>
    <m/>
  </r>
  <r>
    <d v="2026-05-13T00:00:00"/>
    <x v="30"/>
    <m/>
    <n v="68900"/>
    <s v="50+18.9"/>
    <s v="Bank"/>
    <m/>
  </r>
  <r>
    <d v="2026-05-13T00:00:00"/>
    <x v="5"/>
    <n v="51466"/>
    <m/>
    <s v="Diesel"/>
    <s v="Bank"/>
    <m/>
  </r>
  <r>
    <d v="2026-05-13T00:00:00"/>
    <x v="2"/>
    <m/>
    <n v="45000"/>
    <s v="JC"/>
    <s v="Bank"/>
    <m/>
  </r>
  <r>
    <d v="2026-05-13T00:00:00"/>
    <x v="24"/>
    <n v="50000"/>
    <m/>
    <s v="Waqas ADM"/>
    <s v="Bank"/>
    <m/>
  </r>
  <r>
    <d v="2026-05-13T00:00:00"/>
    <x v="0"/>
    <n v="1006"/>
    <m/>
    <m/>
    <s v="Bank"/>
    <m/>
  </r>
  <r>
    <d v="2026-05-14T00:00:00"/>
    <x v="5"/>
    <n v="1600"/>
    <m/>
    <s v="oil"/>
    <s v="Bank"/>
    <m/>
  </r>
  <r>
    <d v="2026-05-14T00:00:00"/>
    <x v="33"/>
    <n v="5000"/>
    <m/>
    <s v="Khubaib"/>
    <s v="Bank"/>
    <m/>
  </r>
  <r>
    <d v="2026-05-14T00:00:00"/>
    <x v="14"/>
    <n v="2600"/>
    <m/>
    <s v="factory device"/>
    <s v="Bank"/>
    <m/>
  </r>
  <r>
    <d v="2026-05-14T00:00:00"/>
    <x v="2"/>
    <m/>
    <n v="150000"/>
    <s v="pindi das"/>
    <s v="Bank"/>
    <m/>
  </r>
  <r>
    <d v="2026-05-14T00:00:00"/>
    <x v="2"/>
    <m/>
    <n v="74125"/>
    <s v="Madina dyes"/>
    <s v="Bank"/>
    <m/>
  </r>
  <r>
    <d v="2026-05-14T00:00:00"/>
    <x v="26"/>
    <n v="74125"/>
    <m/>
    <s v="Black/rubine/ softner"/>
    <s v="Bank"/>
    <m/>
  </r>
  <r>
    <d v="2026-05-14T00:00:00"/>
    <x v="0"/>
    <n v="4000"/>
    <m/>
    <m/>
    <s v="Bank"/>
    <m/>
  </r>
  <r>
    <d v="2026-05-14T00:00:00"/>
    <x v="33"/>
    <n v="35000"/>
    <m/>
    <s v="Amjad fitter"/>
    <s v="Bank"/>
    <m/>
  </r>
  <r>
    <d v="2026-05-14T00:00:00"/>
    <x v="24"/>
    <n v="80000"/>
    <m/>
    <s v="Akbar sb"/>
    <s v="Bank"/>
    <m/>
  </r>
  <r>
    <d v="2026-05-14T00:00:00"/>
    <x v="3"/>
    <n v="2100"/>
    <m/>
    <s v="elec"/>
    <s v="Bank"/>
    <m/>
  </r>
  <r>
    <d v="2026-05-14T00:00:00"/>
    <x v="28"/>
    <m/>
    <n v="800000"/>
    <s v="TID:507716"/>
    <s v="Bank"/>
    <m/>
  </r>
  <r>
    <d v="2026-05-13T00:00:00"/>
    <x v="31"/>
    <m/>
    <n v="50000"/>
    <s v="cash"/>
    <s v="Bank"/>
    <m/>
  </r>
  <r>
    <d v="2026-05-13T00:00:00"/>
    <x v="2"/>
    <n v="50000"/>
    <m/>
    <s v="Shahid qasai"/>
    <s v="Bank"/>
    <m/>
  </r>
  <r>
    <d v="2026-05-14T00:00:00"/>
    <x v="2"/>
    <n v="500000"/>
    <m/>
    <s v="TID:496015"/>
    <s v="Bank"/>
    <m/>
  </r>
  <r>
    <m/>
    <x v="5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228">
        <item m="1" x="211"/>
        <item m="1" x="212"/>
        <item m="1" x="213"/>
        <item m="1" x="214"/>
        <item m="1" x="215"/>
        <item m="1" x="216"/>
        <item m="1" x="217"/>
        <item m="1" x="226"/>
        <item m="1" x="207"/>
        <item m="1" x="218"/>
        <item m="1" x="219"/>
        <item m="1" x="220"/>
        <item m="1" x="221"/>
        <item m="1" x="222"/>
        <item m="1" x="223"/>
        <item m="1" x="224"/>
        <item m="1" x="178"/>
        <item m="1" x="179"/>
        <item m="1" x="225"/>
        <item m="1" x="180"/>
        <item m="1" x="177"/>
        <item m="1" x="181"/>
        <item m="1" x="183"/>
        <item m="1" x="184"/>
        <item m="1" x="185"/>
        <item m="1" x="187"/>
        <item m="1" x="188"/>
        <item m="1" x="189"/>
        <item m="1" x="182"/>
        <item m="1" x="186"/>
        <item m="1" x="190"/>
        <item m="1" x="191"/>
        <item m="1" x="192"/>
        <item m="1" x="193"/>
        <item m="1" x="176"/>
        <item m="1" x="194"/>
        <item m="1" x="208"/>
        <item m="1" x="209"/>
        <item m="1" x="210"/>
        <item m="1" x="195"/>
        <item m="1" x="196"/>
        <item m="1" x="197"/>
        <item m="1" x="198"/>
        <item m="1" x="199"/>
        <item m="1" x="200"/>
        <item m="1" x="201"/>
        <item m="1" x="202"/>
        <item m="1" x="203"/>
        <item m="1" x="204"/>
        <item m="1" x="205"/>
        <item m="1" x="206"/>
        <item m="1" x="147"/>
        <item m="1" x="148"/>
        <item m="1" x="149"/>
        <item m="1" x="150"/>
        <item m="1" x="151"/>
        <item m="1" x="152"/>
        <item m="1" x="153"/>
        <item m="1" x="154"/>
        <item m="1" x="156"/>
        <item m="1" x="157"/>
        <item m="1" x="158"/>
        <item m="1" x="155"/>
        <item m="1" x="159"/>
        <item m="1" x="160"/>
        <item m="1" x="161"/>
        <item m="1" x="162"/>
        <item m="1" x="163"/>
        <item m="1" x="164"/>
        <item m="1" x="165"/>
        <item m="1" x="166"/>
        <item m="1" x="167"/>
        <item m="1" x="168"/>
        <item m="1" x="169"/>
        <item m="1" x="170"/>
        <item m="1" x="171"/>
        <item m="1" x="172"/>
        <item m="1" x="173"/>
        <item m="1" x="174"/>
        <item m="1" x="175"/>
        <item m="1" x="93"/>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94"/>
        <item m="1" x="97"/>
        <item m="1" x="95"/>
        <item m="1" x="96"/>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61"/>
        <item m="1" x="62"/>
        <item m="1" x="63"/>
        <item m="1" x="64"/>
        <item m="1" x="65"/>
        <item m="1" x="66"/>
        <item m="1" x="67"/>
        <item m="1" x="68"/>
        <item x="1"/>
        <item m="1" x="69"/>
        <item m="1" x="70"/>
        <item m="1" x="71"/>
        <item m="1" x="72"/>
        <item m="1" x="73"/>
        <item m="1" x="74"/>
        <item m="1" x="92"/>
        <item m="1" x="75"/>
        <item m="1" x="76"/>
        <item m="1" x="60"/>
        <item m="1" x="59"/>
        <item m="1" x="77"/>
        <item m="1" x="78"/>
        <item m="1" x="79"/>
        <item m="1" x="80"/>
        <item m="1" x="81"/>
        <item m="1" x="82"/>
        <item m="1" x="83"/>
        <item m="1" x="84"/>
        <item m="1" x="85"/>
        <item m="1" x="86"/>
        <item m="1" x="87"/>
        <item m="1" x="88"/>
        <item m="1" x="89"/>
        <item m="1" x="90"/>
        <item m="1" x="91"/>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x="35"/>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x v="223"/>
    </i>
    <i r="1">
      <x v="54"/>
    </i>
    <i>
      <x v="224"/>
    </i>
    <i r="1">
      <x v="54"/>
    </i>
    <i>
      <x v="225"/>
    </i>
    <i r="1">
      <x v="54"/>
    </i>
    <i>
      <x v="22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3">
      <pivotArea dataOnly="0" labelOnly="1" outline="0" fieldPosition="0">
        <references count="1">
          <reference field="1" count="1">
            <x v="1"/>
          </reference>
        </references>
      </pivotArea>
    </format>
    <format dxfId="14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8">
        <item m="1" x="92"/>
        <item m="1" x="93"/>
        <item m="1" x="94"/>
        <item m="1" x="95"/>
        <item m="1" x="96"/>
        <item m="1" x="91"/>
        <item m="1" x="79"/>
        <item m="1" x="80"/>
        <item m="1" x="84"/>
        <item m="1" x="85"/>
        <item m="1" x="81"/>
        <item m="1" x="86"/>
        <item m="1" x="87"/>
        <item m="1" x="88"/>
        <item m="1" x="89"/>
        <item m="1" x="90"/>
        <item m="1" x="78"/>
        <item m="1" x="82"/>
        <item m="1" x="83"/>
        <item m="1" x="71"/>
        <item m="1" x="72"/>
        <item m="1" x="73"/>
        <item m="1" x="74"/>
        <item m="1" x="75"/>
        <item m="1" x="76"/>
        <item m="1" x="77"/>
        <item m="1" x="47"/>
        <item m="1" x="63"/>
        <item m="1" x="64"/>
        <item m="1" x="65"/>
        <item m="1" x="66"/>
        <item m="1" x="67"/>
        <item m="1" x="68"/>
        <item m="1" x="69"/>
        <item m="1" x="70"/>
        <item m="1" x="48"/>
        <item m="1" x="49"/>
        <item m="1" x="50"/>
        <item m="1" x="51"/>
        <item m="1" x="52"/>
        <item m="1" x="53"/>
        <item m="1" x="54"/>
        <item m="1" x="56"/>
        <item m="1" x="57"/>
        <item m="1" x="55"/>
        <item m="1" x="58"/>
        <item m="1" x="59"/>
        <item m="1" x="60"/>
        <item m="1" x="61"/>
        <item m="1" x="62"/>
        <item m="1" x="23"/>
        <item m="1" x="34"/>
        <item m="1" x="35"/>
        <item m="1" x="36"/>
        <item m="1" x="37"/>
        <item m="1" x="38"/>
        <item m="1" x="39"/>
        <item m="1" x="40"/>
        <item m="1" x="41"/>
        <item m="1" x="42"/>
        <item m="1" x="43"/>
        <item m="1" x="44"/>
        <item m="1" x="45"/>
        <item m="1" x="46"/>
        <item m="1" x="24"/>
        <item m="1" x="25"/>
        <item m="1" x="26"/>
        <item m="1" x="27"/>
        <item m="1" x="28"/>
        <item x="16"/>
        <item m="1" x="29"/>
        <item m="1" x="30"/>
        <item m="1" x="31"/>
        <item m="1" x="32"/>
        <item m="1" x="33"/>
        <item x="0"/>
        <item x="1"/>
        <item x="2"/>
        <item x="3"/>
        <item x="4"/>
        <item x="5"/>
        <item x="6"/>
        <item x="7"/>
        <item x="8"/>
        <item x="9"/>
        <item x="10"/>
        <item x="11"/>
        <item x="12"/>
        <item x="13"/>
        <item x="14"/>
        <item x="15"/>
        <item x="17"/>
        <item x="18"/>
        <item x="19"/>
        <item x="20"/>
        <item x="21"/>
        <item x="22"/>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22"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m="1"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9">
        <item m="1" x="531"/>
        <item m="1" x="532"/>
        <item m="1" x="530"/>
        <item m="1" x="529"/>
        <item m="1" x="533"/>
        <item m="1" x="535"/>
        <item m="1" x="534"/>
        <item m="1" x="536"/>
        <item m="1" x="537"/>
        <item m="1" x="538"/>
        <item m="1" x="539"/>
        <item m="1" x="540"/>
        <item m="1" x="541"/>
        <item m="1" x="542"/>
        <item m="1" x="467"/>
        <item m="1" x="489"/>
        <item m="1" x="543"/>
        <item m="1" x="544"/>
        <item m="1" x="545"/>
        <item m="1" x="497"/>
        <item m="1" x="496"/>
        <item m="1" x="546"/>
        <item m="1" x="547"/>
        <item m="1" x="506"/>
        <item m="1" x="498"/>
        <item m="1" x="499"/>
        <item m="1" x="500"/>
        <item m="1" x="501"/>
        <item m="1" x="502"/>
        <item m="1" x="503"/>
        <item m="1" x="504"/>
        <item m="1" x="505"/>
        <item m="1" x="507"/>
        <item m="1" x="527"/>
        <item m="1" x="508"/>
        <item m="1" x="528"/>
        <item m="1" x="509"/>
        <item m="1" x="510"/>
        <item m="1" x="511"/>
        <item m="1" x="512"/>
        <item m="1" x="513"/>
        <item m="1" x="444"/>
        <item m="1" x="514"/>
        <item m="1" x="515"/>
        <item m="1" x="516"/>
        <item m="1" x="517"/>
        <item m="1" x="518"/>
        <item m="1" x="519"/>
        <item m="1" x="520"/>
        <item m="1" x="521"/>
        <item m="1" x="522"/>
        <item m="1" x="523"/>
        <item m="1" x="524"/>
        <item m="1" x="525"/>
        <item m="1" x="526"/>
        <item x="0"/>
        <item m="1" x="443"/>
        <item m="1" x="445"/>
        <item m="1" x="446"/>
        <item m="1" x="447"/>
        <item m="1" x="448"/>
        <item m="1" x="449"/>
        <item m="1" x="450"/>
        <item m="1" x="451"/>
        <item m="1" x="452"/>
        <item m="1" x="453"/>
        <item m="1" x="454"/>
        <item m="1" x="455"/>
        <item m="1" x="456"/>
        <item m="1" x="457"/>
        <item m="1" x="182"/>
        <item m="1" x="458"/>
        <item m="1" x="459"/>
        <item m="1" x="460"/>
        <item m="1" x="461"/>
        <item m="1" x="462"/>
        <item m="1" x="463"/>
        <item m="1" x="464"/>
        <item m="1" x="465"/>
        <item m="1" x="466"/>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90"/>
        <item m="1" x="491"/>
        <item m="1" x="492"/>
        <item m="1" x="493"/>
        <item m="1" x="494"/>
        <item m="1" x="495"/>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198"/>
        <item m="1" x="412"/>
        <item m="1" x="413"/>
        <item m="1" x="414"/>
        <item m="1" x="415"/>
        <item m="1" x="416"/>
        <item m="1" x="417"/>
        <item m="1" x="418"/>
        <item m="1" x="419"/>
        <item m="1" x="420"/>
        <item m="1" x="421"/>
        <item m="1" x="422"/>
        <item m="1" x="442"/>
        <item m="1" x="423"/>
        <item m="1" x="424"/>
        <item m="1" x="425"/>
        <item m="1" x="426"/>
        <item m="1" x="427"/>
        <item m="1" x="428"/>
        <item m="1" x="429"/>
        <item m="1" x="430"/>
        <item m="1" x="431"/>
        <item m="1" x="432"/>
        <item m="1" x="433"/>
        <item m="1" x="434"/>
        <item m="1" x="435"/>
        <item m="1" x="436"/>
        <item m="1" x="437"/>
        <item m="1" x="438"/>
        <item m="1" x="439"/>
        <item m="1" x="440"/>
        <item m="1" x="441"/>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238"/>
        <item m="1" x="361"/>
        <item m="1" x="229"/>
        <item m="1" x="230"/>
        <item m="1" x="231"/>
        <item m="1" x="232"/>
        <item m="1" x="233"/>
        <item m="1" x="234"/>
        <item m="1" x="235"/>
        <item m="1" x="236"/>
        <item m="1" x="237"/>
        <item m="1" x="239"/>
        <item m="1" x="240"/>
        <item m="1" x="241"/>
        <item m="1" x="242"/>
        <item m="1" x="243"/>
        <item m="1" x="244"/>
        <item m="1" x="245"/>
        <item m="1" x="246"/>
        <item m="1" x="247"/>
        <item m="1" x="248"/>
        <item m="1" x="249"/>
        <item m="1" x="250"/>
        <item m="1" x="251"/>
        <item m="1" x="252"/>
        <item m="1" x="179"/>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183"/>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180"/>
        <item m="1" x="304"/>
        <item m="1" x="305"/>
        <item m="1" x="177"/>
        <item m="1" x="186"/>
        <item m="1" x="178"/>
        <item m="1" x="181"/>
        <item m="1" x="184"/>
        <item m="1" x="185"/>
        <item m="1" x="187"/>
        <item m="1" x="188"/>
        <item m="1" x="189"/>
        <item m="1" x="190"/>
        <item m="1" x="191"/>
        <item m="1" x="192"/>
        <item m="1" x="193"/>
        <item m="1" x="194"/>
        <item m="1" x="195"/>
        <item m="1" x="196"/>
        <item x="46"/>
        <item m="1" x="197"/>
        <item m="1" x="199"/>
        <item m="1" x="200"/>
        <item m="1" x="201"/>
        <item m="1" x="158"/>
        <item m="1" x="134"/>
        <item m="1" x="202"/>
        <item m="1" x="203"/>
        <item m="1" x="204"/>
        <item m="1" x="126"/>
        <item m="1" x="205"/>
        <item m="1" x="206"/>
        <item m="1" x="207"/>
        <item m="1" x="208"/>
        <item m="1" x="173"/>
        <item m="1" x="209"/>
        <item m="1" x="210"/>
        <item m="1" x="211"/>
        <item m="1" x="212"/>
        <item m="1" x="213"/>
        <item m="1" x="214"/>
        <item m="1" x="215"/>
        <item m="1" x="216"/>
        <item m="1" x="217"/>
        <item m="1" x="218"/>
        <item m="1" x="219"/>
        <item m="1" x="220"/>
        <item m="1" x="228"/>
        <item m="1" x="221"/>
        <item m="1" x="222"/>
        <item m="1" x="123"/>
        <item m="1" x="124"/>
        <item m="1" x="223"/>
        <item m="1" x="135"/>
        <item m="1" x="224"/>
        <item m="1" x="225"/>
        <item m="1" x="226"/>
        <item m="1" x="227"/>
        <item m="1" x="122"/>
        <item m="1" x="120"/>
        <item m="1" x="119"/>
        <item m="1" x="121"/>
        <item m="1" x="125"/>
        <item x="13"/>
        <item x="9"/>
        <item m="1" x="127"/>
        <item m="1" x="128"/>
        <item m="1" x="129"/>
        <item m="1" x="130"/>
        <item m="1" x="131"/>
        <item m="1" x="132"/>
        <item m="1" x="133"/>
        <item m="1" x="136"/>
        <item m="1" x="137"/>
        <item m="1" x="138"/>
        <item m="1" x="139"/>
        <item m="1" x="140"/>
        <item m="1" x="141"/>
        <item m="1" x="142"/>
        <item m="1" x="143"/>
        <item m="1" x="144"/>
        <item m="1" x="145"/>
        <item m="1" x="146"/>
        <item m="1" x="147"/>
        <item m="1" x="148"/>
        <item m="1" x="149"/>
        <item x="2"/>
        <item m="1" x="150"/>
        <item m="1" x="151"/>
        <item m="1" x="152"/>
        <item x="10"/>
        <item m="1" x="153"/>
        <item m="1" x="154"/>
        <item m="1" x="155"/>
        <item m="1" x="156"/>
        <item m="1" x="157"/>
        <item m="1" x="159"/>
        <item m="1" x="160"/>
        <item m="1" x="161"/>
        <item m="1" x="162"/>
        <item x="8"/>
        <item m="1" x="163"/>
        <item m="1" x="164"/>
        <item m="1" x="165"/>
        <item m="1" x="166"/>
        <item m="1" x="167"/>
        <item m="1" x="168"/>
        <item x="15"/>
        <item m="1" x="169"/>
        <item x="58"/>
        <item m="1" x="170"/>
        <item x="7"/>
        <item m="1" x="171"/>
        <item m="1" x="172"/>
        <item x="19"/>
        <item m="1" x="174"/>
        <item m="1" x="175"/>
        <item m="1" x="176"/>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x="117"/>
        <item x="109"/>
        <item x="110"/>
        <item x="111"/>
        <item x="112"/>
        <item x="114"/>
        <item x="115"/>
        <item x="116"/>
        <item x="11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9">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8">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115" s="1"/>
        <i x="114" s="1"/>
        <i x="95" s="1"/>
        <i x="90" s="1"/>
        <i x="96" s="1"/>
        <i x="109" s="1"/>
        <i x="112" s="1"/>
        <i x="101" s="1"/>
        <i x="102" s="1"/>
        <i x="104" s="1"/>
        <i x="107" s="1"/>
        <i x="103" s="1"/>
        <i x="106" s="1"/>
        <i x="111" s="1"/>
        <i x="108" s="1"/>
        <i x="117" s="1"/>
        <i x="110" s="1"/>
        <i x="116" s="1"/>
        <i x="39" s="1"/>
        <i x="62" s="1"/>
        <i x="82" s="1"/>
        <i x="87" s="1"/>
        <i x="79" s="1"/>
        <i x="113" s="1"/>
        <i x="502" s="1" nd="1"/>
        <i x="531" s="1" nd="1"/>
        <i x="532" s="1" nd="1"/>
        <i x="540" s="1" nd="1"/>
        <i x="530" s="1" nd="1"/>
        <i x="529" s="1" nd="1"/>
        <i x="533" s="1" nd="1"/>
        <i x="544" s="1" nd="1"/>
        <i x="536" s="1" nd="1"/>
        <i x="537" s="1" nd="1"/>
        <i x="534" s="1" nd="1"/>
        <i x="535" s="1" nd="1"/>
        <i x="545" s="1" nd="1"/>
        <i x="538" s="1" nd="1"/>
        <i x="539" s="1" nd="1"/>
        <i x="542" s="1" nd="1"/>
        <i x="543" s="1" nd="1"/>
        <i x="541" s="1" nd="1"/>
        <i x="497" s="1" nd="1"/>
        <i x="547" s="1" nd="1"/>
        <i x="496" s="1" nd="1"/>
        <i x="546" s="1" nd="1"/>
        <i x="499" s="1" nd="1"/>
        <i x="460" s="1" nd="1"/>
        <i x="498" s="1" nd="1"/>
        <i x="500" s="1" nd="1"/>
        <i x="506" s="1" nd="1"/>
        <i x="501" s="1" nd="1"/>
        <i x="503" s="1" nd="1"/>
        <i x="519" s="1" nd="1"/>
        <i x="443" s="1" nd="1"/>
        <i x="507" s="1" nd="1"/>
        <i x="448" s="1" nd="1"/>
        <i x="513" s="1" nd="1"/>
        <i x="508" s="1" nd="1"/>
        <i x="511" s="1" nd="1"/>
        <i x="516" s="1" nd="1"/>
        <i x="527" s="1" nd="1"/>
        <i x="509" s="1" nd="1"/>
        <i x="521" s="1" nd="1"/>
        <i x="524" s="1" nd="1"/>
        <i x="515" s="1" nd="1"/>
        <i x="504" s="1" nd="1"/>
        <i x="512" s="1" nd="1"/>
        <i x="505" s="1" nd="1"/>
        <i x="510" s="1" nd="1"/>
        <i x="444" s="1" nd="1"/>
        <i x="514" s="1" nd="1"/>
        <i x="520" s="1" nd="1"/>
        <i x="182" s="1" nd="1"/>
        <i x="517" s="1" nd="1"/>
        <i x="522" s="1" nd="1"/>
        <i x="518" s="1" nd="1"/>
        <i x="484" s="1" nd="1"/>
        <i x="523" s="1" nd="1"/>
        <i x="525" s="1" nd="1"/>
        <i x="446" s="1" nd="1"/>
        <i x="453" s="1" nd="1"/>
        <i x="526" s="1" nd="1"/>
        <i x="450" s="1" nd="1"/>
        <i x="451" s="1" nd="1"/>
        <i x="445" s="1" nd="1"/>
        <i x="449" s="1" nd="1"/>
        <i x="337" s="1" nd="1"/>
        <i x="447" s="1" nd="1"/>
        <i x="456" s="1" nd="1"/>
        <i x="452" s="1" nd="1"/>
        <i x="454" s="1" nd="1"/>
        <i x="457" s="1" nd="1"/>
        <i x="464" s="1" nd="1"/>
        <i x="455" s="1" nd="1"/>
        <i x="463" s="1" nd="1"/>
        <i x="468" s="1" nd="1"/>
        <i x="462" s="1" nd="1"/>
        <i x="465" s="1" nd="1"/>
        <i x="475" s="1" nd="1"/>
        <i x="461" s="1" nd="1"/>
        <i x="458" s="1" nd="1"/>
        <i x="459" s="1" nd="1"/>
        <i x="474" s="1" nd="1"/>
        <i x="333" s="1" nd="1"/>
        <i x="467" s="1" nd="1"/>
        <i x="478" s="1" nd="1"/>
        <i x="473" s="1" nd="1"/>
        <i x="466" s="1" nd="1"/>
        <i x="490" s="1" nd="1"/>
        <i x="471" s="1" nd="1"/>
        <i x="481" s="1" nd="1"/>
        <i x="479" s="1" nd="1"/>
        <i x="469" s="1" nd="1"/>
        <i x="477" s="1" nd="1"/>
        <i x="476" s="1" nd="1"/>
        <i x="472" s="1" nd="1"/>
        <i x="482" s="1" nd="1"/>
        <i x="480" s="1" nd="1"/>
        <i x="483" s="1" nd="1"/>
        <i x="470" s="1" nd="1"/>
        <i x="412" s="1" nd="1"/>
        <i x="485" s="1" nd="1"/>
        <i x="486" s="1" nd="1"/>
        <i x="371" s="1" nd="1"/>
        <i x="373" s="1" nd="1"/>
        <i x="493" s="1" nd="1"/>
        <i x="367" s="1" nd="1"/>
        <i x="413" s="1" nd="1"/>
        <i x="487" s="1" nd="1"/>
        <i x="488" s="1" nd="1"/>
        <i x="370" s="1" nd="1"/>
        <i x="495" s="1" nd="1"/>
        <i x="369" s="1" nd="1"/>
        <i x="384" s="1" nd="1"/>
        <i x="494" s="1" nd="1"/>
        <i x="489" s="1" nd="1"/>
        <i x="388" s="1" nd="1"/>
        <i x="492" s="1" nd="1"/>
        <i x="491" s="1" nd="1"/>
        <i x="409" s="1" nd="1"/>
        <i x="362" s="1" nd="1"/>
        <i x="374" s="1" nd="1"/>
        <i x="410" s="1" nd="1"/>
        <i x="408" s="1" nd="1"/>
        <i x="366" s="1" nd="1"/>
        <i x="368" s="1" nd="1"/>
        <i x="201" s="1" nd="1"/>
        <i x="372" s="1" nd="1"/>
        <i x="363" s="1" nd="1"/>
        <i x="398" s="1" nd="1"/>
        <i x="403" s="1" nd="1"/>
        <i x="364" s="1" nd="1"/>
        <i x="365" s="1" nd="1"/>
        <i x="375" s="1" nd="1"/>
        <i x="378" s="1" nd="1"/>
        <i x="385" s="1" nd="1"/>
        <i x="377" s="1" nd="1"/>
        <i x="380" s="1" nd="1"/>
        <i x="379" s="1" nd="1"/>
        <i x="421" s="1" nd="1"/>
        <i x="376" s="1" nd="1"/>
        <i x="401" s="1" nd="1"/>
        <i x="416" s="1" nd="1"/>
        <i x="381" s="1" nd="1"/>
        <i x="406" s="1" nd="1"/>
        <i x="418" s="1" nd="1"/>
        <i x="390" s="1" nd="1"/>
        <i x="430" s="1" nd="1"/>
        <i x="389" s="1" nd="1"/>
        <i x="386" s="1" nd="1"/>
        <i x="382" s="1" nd="1"/>
        <i x="383" s="1" nd="1"/>
        <i x="402" s="1" nd="1"/>
        <i x="391" s="1" nd="1"/>
        <i x="314" s="1" nd="1"/>
        <i x="392" s="1" nd="1"/>
        <i x="387" s="1" nd="1"/>
        <i x="394" s="1" nd="1"/>
        <i x="395" s="1" nd="1"/>
        <i x="423" s="1" nd="1"/>
        <i x="393" s="1" nd="1"/>
        <i x="411" s="1" nd="1"/>
        <i x="399" s="1" nd="1"/>
        <i x="396" s="1" nd="1"/>
        <i x="400" s="1" nd="1"/>
        <i x="397" s="1" nd="1"/>
        <i x="404" s="1" nd="1"/>
        <i x="422" s="1" nd="1"/>
        <i x="417" s="1" nd="1"/>
        <i x="436" s="1" nd="1"/>
        <i x="405" s="1" nd="1"/>
        <i x="307" s="1" nd="1"/>
        <i x="415" s="1" nd="1"/>
        <i x="407" s="1" nd="1"/>
        <i x="431" s="1" nd="1"/>
        <i x="414" s="1" nd="1"/>
        <i x="429" s="1" nd="1"/>
        <i x="315" s="1" nd="1"/>
        <i x="420" s="1" nd="1"/>
        <i x="419" s="1" nd="1"/>
        <i x="435" s="1" nd="1"/>
        <i x="432" s="1" nd="1"/>
        <i x="326" s="1" nd="1"/>
        <i x="440" s="1" nd="1"/>
        <i x="424" s="1" nd="1"/>
        <i x="433" s="1" nd="1"/>
        <i x="438" s="1" nd="1"/>
        <i x="317" s="1" nd="1"/>
        <i x="343" s="1" nd="1"/>
        <i x="442" s="1" nd="1"/>
        <i x="439" s="1" nd="1"/>
        <i x="308" s="1" nd="1"/>
        <i x="328" s="1" nd="1"/>
        <i x="434" s="1" nd="1"/>
        <i x="310" s="1" nd="1"/>
        <i x="425" s="1" nd="1"/>
        <i x="428" s="1" nd="1"/>
        <i x="325" s="1" nd="1"/>
        <i x="437" s="1" nd="1"/>
        <i x="426" s="1" nd="1"/>
        <i x="427" s="1" nd="1"/>
        <i x="312" s="1" nd="1"/>
        <i x="330" s="1" nd="1"/>
        <i x="331" s="1" nd="1"/>
        <i x="344" s="1" nd="1"/>
        <i x="441" s="1" nd="1"/>
        <i x="306" s="1" nd="1"/>
        <i x="329" s="1" nd="1"/>
        <i x="322" s="1" nd="1"/>
        <i x="309" s="1" nd="1"/>
        <i x="313" s="1" nd="1"/>
        <i x="319" s="1" nd="1"/>
        <i x="311" s="1" nd="1"/>
        <i x="335" s="1" nd="1"/>
        <i x="339" s="1" nd="1"/>
        <i x="340" s="1" nd="1"/>
        <i x="332" s="1" nd="1"/>
        <i x="316" s="1" nd="1"/>
        <i x="181" s="1" nd="1"/>
        <i x="318" s="1" nd="1"/>
        <i x="320" s="1" nd="1"/>
        <i x="323" s="1" nd="1"/>
        <i x="336" s="1" nd="1"/>
        <i x="321" s="1" nd="1"/>
        <i x="342" s="1" nd="1"/>
        <i x="274" s="1" nd="1"/>
        <i x="253" s="1" nd="1"/>
        <i x="357" s="1" nd="1"/>
        <i x="324" s="1" nd="1"/>
        <i x="345" s="1" nd="1"/>
        <i x="341" s="1" nd="1"/>
        <i x="327" s="1" nd="1"/>
        <i x="349" s="1" nd="1"/>
        <i x="285" s="1" nd="1"/>
        <i x="248" s="1" nd="1"/>
        <i x="334" s="1" nd="1"/>
        <i x="358" s="1" nd="1"/>
        <i x="338" s="1" nd="1"/>
        <i x="361" s="1" nd="1"/>
        <i x="348" s="1" nd="1"/>
        <i x="353" s="1" nd="1"/>
        <i x="230" s="1" nd="1"/>
        <i x="350" s="1" nd="1"/>
        <i x="352" s="1" nd="1"/>
        <i x="270" s="1" nd="1"/>
        <i x="238" s="1" nd="1"/>
        <i x="347" s="1" nd="1"/>
        <i x="235" s="1" nd="1"/>
        <i x="346" s="1" nd="1"/>
        <i x="247" s="1" nd="1"/>
        <i x="231" s="1" nd="1"/>
        <i x="229" s="1" nd="1"/>
        <i x="351" s="1" nd="1"/>
        <i x="245" s="1" nd="1"/>
        <i x="239" s="1" nd="1"/>
        <i x="250" s="1" nd="1"/>
        <i x="267" s="1" nd="1"/>
        <i x="244" s="1" nd="1"/>
        <i x="255" s="1" nd="1"/>
        <i x="249" s="1" nd="1"/>
        <i x="246" s="1" nd="1"/>
        <i x="359" s="1" nd="1"/>
        <i x="303" s="1" nd="1"/>
        <i x="257" s="1" nd="1"/>
        <i x="258" s="1" nd="1"/>
        <i x="355" s="1" nd="1"/>
        <i x="354" s="1" nd="1"/>
        <i x="232" s="1" nd="1"/>
        <i x="234" s="1" nd="1"/>
        <i x="265" s="1" nd="1"/>
        <i x="241" s="1" nd="1"/>
        <i x="360" s="1" nd="1"/>
        <i x="299" s="1" nd="1"/>
        <i x="290" s="1" nd="1"/>
        <i x="278" s="1" nd="1"/>
        <i x="252" s="1" nd="1"/>
        <i x="237" s="1" nd="1"/>
        <i x="268" s="1" nd="1"/>
        <i x="287" s="1" nd="1"/>
        <i x="279" s="1" nd="1"/>
        <i x="275" s="1" nd="1"/>
        <i x="243" s="1" nd="1"/>
        <i x="263" s="1" nd="1"/>
        <i x="262" s="1" nd="1"/>
        <i x="277" s="1" nd="1"/>
        <i x="264" s="1" nd="1"/>
        <i x="356" s="1" nd="1"/>
        <i x="240" s="1" nd="1"/>
        <i x="236" s="1" nd="1"/>
        <i x="266" s="1" nd="1"/>
        <i x="233" s="1" nd="1"/>
        <i x="271" s="1" nd="1"/>
        <i x="272" s="1" nd="1"/>
        <i x="276" s="1" nd="1"/>
        <i x="180" s="1" nd="1"/>
        <i x="256" s="1" nd="1"/>
        <i x="251" s="1" nd="1"/>
        <i x="284" s="1" nd="1"/>
        <i x="283" s="1" nd="1"/>
        <i x="288" s="1" nd="1"/>
        <i x="242" s="1" nd="1"/>
        <i x="286" s="1" nd="1"/>
        <i x="273" s="1" nd="1"/>
        <i x="179" s="1" nd="1"/>
        <i x="254" s="1" nd="1"/>
        <i x="259" s="1" nd="1"/>
        <i x="260" s="1" nd="1"/>
        <i x="269" s="1" nd="1"/>
        <i x="261" s="1" nd="1"/>
        <i x="280" s="1" nd="1"/>
        <i x="197" s="1" nd="1"/>
        <i x="291" s="1" nd="1"/>
        <i x="281" s="1" nd="1"/>
        <i x="297" s="1" nd="1"/>
        <i x="294" s="1" nd="1"/>
        <i x="292" s="1" nd="1"/>
        <i x="192" s="1" nd="1"/>
        <i x="191" s="1" nd="1"/>
        <i x="304" s="1" nd="1"/>
        <i x="178" s="1" nd="1"/>
        <i x="190" s="1" nd="1"/>
        <i x="298" s="1" nd="1"/>
        <i x="305" s="1" nd="1"/>
        <i x="183" s="1" nd="1"/>
        <i x="300" s="1" nd="1"/>
        <i x="301" s="1" nd="1"/>
        <i x="282" s="1" nd="1"/>
        <i x="295" s="1" nd="1"/>
        <i x="302" s="1" nd="1"/>
        <i x="293" s="1" nd="1"/>
        <i x="213" s="1" nd="1"/>
        <i x="296" s="1" nd="1"/>
        <i x="177" s="1" nd="1"/>
        <i x="186" s="1" nd="1"/>
        <i x="185" s="1" nd="1"/>
        <i x="289" s="1" nd="1"/>
        <i x="173" s="1" nd="1"/>
        <i x="167" s="1" nd="1"/>
        <i x="138" s="1" nd="1"/>
        <i x="172" s="1" nd="1"/>
        <i x="189" s="1" nd="1"/>
        <i x="187" s="1" nd="1"/>
        <i x="194" s="1" nd="1"/>
        <i x="195" s="1" nd="1"/>
        <i x="193" s="1" nd="1"/>
        <i x="188" s="1" nd="1"/>
        <i x="184" s="1" nd="1"/>
        <i x="134" s="1" nd="1"/>
        <i x="158" s="1" nd="1"/>
        <i x="210" s="1" nd="1"/>
        <i x="200" s="1" nd="1"/>
        <i x="196" s="1" nd="1"/>
        <i x="214" s="1" nd="1"/>
        <i x="199" s="1" nd="1"/>
        <i x="209" s="1" nd="1"/>
        <i x="211" s="1" nd="1"/>
        <i x="198" s="1" nd="1"/>
        <i x="202" s="1" nd="1"/>
        <i x="212" s="1" nd="1"/>
        <i x="205" s="1" nd="1"/>
        <i x="203" s="1" nd="1"/>
        <i x="204" s="1" nd="1"/>
        <i x="126" s="1" nd="1"/>
        <i x="208" s="1" nd="1"/>
        <i x="206" s="1" nd="1"/>
        <i x="207" s="1" nd="1"/>
        <i x="216" s="1" nd="1"/>
        <i x="215" s="1" nd="1"/>
        <i x="135" s="1" nd="1"/>
        <i x="225" s="1" nd="1"/>
        <i x="224" s="1" nd="1"/>
        <i x="136" s="1" nd="1"/>
        <i x="223" s="1" nd="1"/>
        <i x="228" s="1" nd="1"/>
        <i x="221" s="1" nd="1"/>
        <i x="227" s="1" nd="1"/>
        <i x="127" s="1" nd="1"/>
        <i x="132" s="1" nd="1"/>
        <i x="217" s="1" nd="1"/>
        <i x="120" s="1" nd="1"/>
        <i x="119" s="1" nd="1"/>
        <i x="121" s="1" nd="1"/>
        <i x="124" s="1" nd="1"/>
        <i x="218" s="1" nd="1"/>
        <i x="219" s="1" nd="1"/>
        <i x="220" s="1" nd="1"/>
        <i x="222" s="1" nd="1"/>
        <i x="226" s="1" nd="1"/>
        <i x="131" s="1" nd="1"/>
        <i x="130" s="1" nd="1"/>
        <i x="128" s="1" nd="1"/>
        <i x="145" s="1" nd="1"/>
        <i x="123" s="1" nd="1"/>
        <i x="122" s="1" nd="1"/>
        <i x="125" s="1" nd="1"/>
        <i x="144" s="1" nd="1"/>
        <i x="139" s="1" nd="1"/>
        <i x="140" s="1" nd="1"/>
        <i x="129" s="1" nd="1"/>
        <i x="152" s="1" nd="1"/>
        <i x="174" s="1" nd="1"/>
        <i x="141" s="1" nd="1"/>
        <i x="143" s="1" nd="1"/>
        <i x="133" s="1" nd="1"/>
        <i x="149" s="1" nd="1"/>
        <i x="153" s="1" nd="1"/>
        <i x="147" s="1" nd="1"/>
        <i x="146" s="1" nd="1"/>
        <i x="142" s="1" nd="1"/>
        <i x="137" s="1" nd="1"/>
        <i x="160" s="1" nd="1"/>
        <i x="161" s="1" nd="1"/>
        <i x="159" s="1" nd="1"/>
        <i x="148" s="1" nd="1"/>
        <i x="170" s="1" nd="1"/>
        <i x="151" s="1" nd="1"/>
        <i x="150" s="1" nd="1"/>
        <i x="157" s="1" nd="1"/>
        <i x="162" s="1" nd="1"/>
        <i x="166" s="1" nd="1"/>
        <i x="176" s="1" nd="1"/>
        <i x="175" s="1" nd="1"/>
        <i x="156" s="1" nd="1"/>
        <i x="155" s="1" nd="1"/>
        <i x="169" s="1" nd="1"/>
        <i x="165" s="1" nd="1"/>
        <i x="154" s="1" nd="1"/>
        <i x="164" s="1" nd="1"/>
        <i x="163" s="1" nd="1"/>
        <i x="168" s="1" nd="1"/>
        <i x="171" s="1" nd="1"/>
        <i x="118" s="1" nd="1"/>
        <i x="52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 id="4" xr3:uid="{96712812-B120-49C2-B905-59FC86A743E8}" name="cost per meter" totalsRowFunction="custom" dataDxfId="116" totalsRowDxfId="11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4" dataDxfId="113" headerRowCellStyle="Comma" dataCellStyle="Comma">
  <autoFilter ref="B2:C5" xr:uid="{136E8F7F-D03F-4198-8335-91A003EA9E45}"/>
  <tableColumns count="2">
    <tableColumn id="1" xr3:uid="{279FA697-9952-479A-AC05-0D4992B41374}" name="Column1" dataDxfId="112" dataCellStyle="Comma"/>
    <tableColumn id="2" xr3:uid="{8A64998B-65EF-41CD-BCB0-3DDB7B359C54}" name="Column2" dataDxfId="11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0"/>
    <tableColumn id="2" xr3:uid="{51D27FA2-8DDF-4369-BAF7-7D1FE90E16A0}" name="Column2" dataDxfId="10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08" totalsRowDxfId="10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66" totalsRowCount="1" headerRowDxfId="105" dataDxfId="104" headerRowCellStyle="Comma" dataCellStyle="Comma">
  <autoFilter ref="A1:K265" xr:uid="{11DACEC6-751B-4B1D-817F-5C5BCD38EF6D}"/>
  <tableColumns count="11">
    <tableColumn id="1" xr3:uid="{2FCE3FA8-A48C-4685-8919-AE44C6C71FD9}" name="Date" dataDxfId="103" dataCellStyle="Comma"/>
    <tableColumn id="2" xr3:uid="{5780FD5F-0890-44E6-B59C-8E37A559FE36}" name="Party Name" dataDxfId="102" dataCellStyle="Comma"/>
    <tableColumn id="3" xr3:uid="{5B3ECD85-9174-40AC-BFBD-49CAC97A83D3}" name="Bill Number" dataDxfId="101" dataCellStyle="Comma"/>
    <tableColumn id="4" xr3:uid="{11B50761-04B6-4262-AD4D-7182450037D1}" name="Quality" dataDxfId="100" dataCellStyle="Comma"/>
    <tableColumn id="5" xr3:uid="{2C556969-B713-4967-BD24-466AACCBE5F5}" name="Shipment Number" dataDxfId="99" totalsRowDxfId="98" dataCellStyle="Comma"/>
    <tableColumn id="6" xr3:uid="{F4E1FD2B-9017-4DEB-B772-BF447ECE56F7}" name="Kora/metre" dataDxfId="97" totalsRowDxfId="96" dataCellStyle="Comma"/>
    <tableColumn id="7" xr3:uid="{52ACC1DA-7A76-4A90-B809-3A1AE728E7EA}" name="Tiyaar/gaz" dataDxfId="95" totalsRowDxfId="94" dataCellStyle="Comma"/>
    <tableColumn id="8" xr3:uid="{31A0FF5E-56F0-44D1-9865-73256B964660}" name="shortage %" dataDxfId="93" totalsRowDxfId="92" dataCellStyle="Comma">
      <calculatedColumnFormula>_xlfn.XLOOKUP(Table1[[#This Row],[Shipment Number]], 'pivot '!A:A,'pivot '!G:G, "NF")</calculatedColumnFormula>
    </tableColumn>
    <tableColumn id="9" xr3:uid="{F99075E0-AC8E-094D-BB85-272AD2C6C568}" name="tiyar/meters" totalsRowFunction="custom" dataDxfId="91" totalsRowDxfId="9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9" totalsRowDxfId="8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7" totalsRowDxfId="8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41" headerRowBorderDxfId="140" tableBorderDxfId="139">
  <autoFilter ref="A1:I126" xr:uid="{F8E8C957-ABE7-4E4F-8D4E-7D44E26B334F}"/>
  <tableColumns count="9">
    <tableColumn id="1" xr3:uid="{C2E817D6-AB98-4DDD-8890-736B27F261CD}" name="Date" dataDxfId="138" totalsRowDxfId="16"/>
    <tableColumn id="2" xr3:uid="{CFB51890-CCDC-463C-81C9-3F8BD7469CB9}" name="Party Name"/>
    <tableColumn id="3" xr3:uid="{A113D971-1C9D-4733-99C4-BD0CC4333209}" name="Vehicle Number"/>
    <tableColumn id="4" xr3:uid="{49780304-3DD1-4AE9-98EE-2BC7EB8F3B57}" name="Weight" dataDxfId="137" totalsRowDxfId="15" dataCellStyle="Comma"/>
    <tableColumn id="5" xr3:uid="{FCAF1BC6-1D8C-42AD-8BBC-F924BF2DC7FE}" name="Rate" dataDxfId="136" totalsRowDxfId="14" dataCellStyle="Comma"/>
    <tableColumn id="6" xr3:uid="{8C70A624-4134-410C-9C45-9FDEB51D51BF}" name="Rent" dataDxfId="135" totalsRowDxfId="13" dataCellStyle="Comma"/>
    <tableColumn id="7" xr3:uid="{EBCE10AE-9634-4982-9C95-37ABC8A7078C}" name="Total" totalsRowFunction="sum" dataDxfId="134" totalsRowDxfId="12" dataCellStyle="Comma">
      <calculatedColumnFormula>D2*E2</calculatedColumnFormula>
    </tableColumn>
    <tableColumn id="9" xr3:uid="{D4788559-C94A-44D9-B9AE-E72B214355AC}" name="Paid" totalsRowFunction="sum" dataDxfId="133" totalsRowDxfId="11" dataCellStyle="Comma"/>
    <tableColumn id="8" xr3:uid="{E26F5BF0-1875-4FC6-994D-49F202ED562B}" name="balance" totalsRowFunction="sum" dataDxfId="132" totalsRowDxfId="1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924" totalsRowCount="1">
  <autoFilter ref="A1:G923" xr:uid="{CB032221-B416-47A8-9A76-693DE76CFD04}"/>
  <sortState xmlns:xlrd2="http://schemas.microsoft.com/office/spreadsheetml/2017/richdata2" ref="A2:G923">
    <sortCondition ref="A1:A923"/>
  </sortState>
  <tableColumns count="7">
    <tableColumn id="1" xr3:uid="{554B1EED-65B6-4E9A-B646-82727FAC40DE}" name="Date" dataDxfId="84" totalsRowDxfId="3"/>
    <tableColumn id="2" xr3:uid="{32259059-42CF-4947-83DE-115AA430BE2B}" name="Party"/>
    <tableColumn id="3" xr3:uid="{A1320223-D55D-483C-91C3-AB19B95CC9D8}" name="Debit" totalsRowFunction="sum" dataDxfId="83" totalsRowDxfId="2" dataCellStyle="Comma"/>
    <tableColumn id="4" xr3:uid="{E9745767-9FF0-4B1C-9052-FF335D1D7588}" name="Credit" totalsRowFunction="sum" dataDxfId="82" totalsRowDxfId="1" dataCellStyle="Comma"/>
    <tableColumn id="5" xr3:uid="{5C88A48E-2467-4E6D-B626-2442B7FD0BE4}" name="Description"/>
    <tableColumn id="6" xr3:uid="{63CA4666-144E-4BE6-8B7C-7CB992BD3041}" name="Mode" totalsRowFunction="custom" dataDxfId="81"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0" tableBorderDxfId="79" totalsRowBorderDxfId="78">
  <autoFilter ref="J3:K6" xr:uid="{DCE01694-23ED-48BF-8B92-4186B9ED10A8}"/>
  <tableColumns count="2">
    <tableColumn id="1" xr3:uid="{C8484DAF-2989-4C2F-9AEC-A6917E1C57F6}" name="Type" dataDxfId="77"/>
    <tableColumn id="2" xr3:uid="{B07B7A2A-4D4E-4654-BED6-FE2F0A7BEC34}" name="Amount" dataDxfId="7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5" headerRowBorderDxfId="74" tableBorderDxfId="73" totalsRowBorderDxfId="72">
  <autoFilter ref="M3:O6" xr:uid="{D166BDD1-ACD7-45D7-8AE9-7350373F8CEB}"/>
  <tableColumns count="3">
    <tableColumn id="1" xr3:uid="{64F0205E-DEA7-4571-BA86-E4374A5FEE28}" name="Type" totalsRowLabel="Total" dataDxfId="71" totalsRowDxfId="70"/>
    <tableColumn id="2" xr3:uid="{15FA05F9-789C-4459-9BE0-5C1EC84D3365}" name="amount" totalsRowFunction="custom" dataDxfId="69" totalsRowDxfId="68">
      <totalsRowFormula>SUM(N5:N6)</totalsRowFormula>
    </tableColumn>
    <tableColumn id="3" xr3:uid="{3681D409-90C6-44D0-BDE2-4B5943A516F0}" name="Actual" totalsRowFunction="custom" totalsRowDxfId="6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6" totalsRowDxfId="65"/>
    <tableColumn id="2" xr3:uid="{5B9D0FEE-4304-4C5C-A05C-5B27CF7841D3}" name="Type"/>
    <tableColumn id="3" xr3:uid="{6A91CA0D-C802-4C6F-9F39-CA53687E8EDE}" name="Description"/>
    <tableColumn id="4" xr3:uid="{A251D40C-AB87-4BB4-85F8-444B20E32FDF}" name="Total" totalsRowFunction="custom" dataDxfId="64" totalsRowDxfId="6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62" headerRowBorderDxfId="61">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0"/>
    <tableColumn id="4" xr3:uid="{1889A312-9B41-4EC4-BD8F-05252F27084A}" name="Price" totalsRowFunction="sum"/>
    <tableColumn id="6" xr3:uid="{8B974B20-F003-4E67-8660-024FA4F324A9}" name="Party"/>
    <tableColumn id="7" xr3:uid="{0A5A5C21-FD61-47DA-9F54-66A6479FA557}" name="Paid" totalsRowFunction="sum" dataDxfId="59">
      <calculatedColumnFormula>SUMIFS(Table14[Debit], Table14[Date], Table8[[#This Row],[Date]], Table14[Party], Table8[[#This Row],[Party]])</calculatedColumnFormula>
    </tableColumn>
    <tableColumn id="8" xr3:uid="{8DCB3B43-2161-4081-82EC-CDB0F4DE4E6F}" name="Balance" totalsRowFunction="sum" dataDxfId="5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8" totalsRowCount="1" headerRowDxfId="57" headerRowBorderDxfId="56">
  <autoFilter ref="A4:H57" xr:uid="{A4C80688-A8BA-4BA7-90B4-791CD99446B4}"/>
  <sortState xmlns:xlrd2="http://schemas.microsoft.com/office/spreadsheetml/2017/richdata2" ref="A5:H6">
    <sortCondition ref="A4:A6"/>
  </sortState>
  <tableColumns count="8">
    <tableColumn id="1" xr3:uid="{4A818912-918E-4111-ACFC-BC93FEF7C1AD}" name="Date" dataDxfId="55" totalsRowDxfId="9"/>
    <tableColumn id="8" xr3:uid="{477ACFD5-62AF-4F69-974B-E9B974C11D7D}" name="Party Name" dataDxfId="5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3">
      <calculatedColumnFormula>Table2[[#This Row],[Quantity]]*200*Table2[[#This Row],[Boxes]]</calculatedColumnFormula>
    </tableColumn>
    <tableColumn id="6" xr3:uid="{30432929-CBD4-4BA8-B63F-CD0F6CF6405F}" name="Paid" totalsRowFunction="sum" dataDxfId="52">
      <calculatedColumnFormula>SUMIFS(Table14[Debit], Table14[Date], Table2[[#This Row],[Date]], Table14[Party], Table2[[#This Row],[Party Name]])</calculatedColumnFormula>
    </tableColumn>
    <tableColumn id="7" xr3:uid="{BB689DF2-5D1E-436D-84C4-9745D88E8F3D}" name="Balance" totalsRowFunction="sum" dataDxfId="5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0" totalsRowDxfId="4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8" totalsRowDxfId="47"/>
    <tableColumn id="2" xr3:uid="{053BFC14-4828-417C-9F9F-95B6E232A945}" name="Amount" totalsRowFunction="custom" dataDxfId="46" totalsRowDxfId="4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4" totalsRowDxfId="4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2" totalsRowDxfId="41">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0" totalsRowDxfId="39">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8" totalsRowDxfId="37">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6" totalsRowDxfId="35">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4">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86" totalsRowCount="1">
  <autoFilter ref="B2:E85"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89" totalsRowCount="1">
  <autoFilter ref="H2:J88"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0">
      <calculatedColumnFormula>Billing!R5</calculatedColumnFormula>
    </tableColumn>
    <tableColumn id="2" xr3:uid="{7093A59E-B58F-487D-888A-9AA8156B5F9A}" name="Amount Paid" dataDxfId="19">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8">
      <calculatedColumnFormula>G2</calculatedColumnFormula>
    </tableColumn>
    <tableColumn id="2" xr3:uid="{F72CFEEB-BA11-4A49-BD19-88592EB6A27C}" name="Credit" dataDxfId="1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zoomScaleNormal="100" workbookViewId="0">
      <selection activeCell="C83" sqref="C83:Q8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1156231.7117776154</v>
      </c>
      <c r="D2">
        <v>10</v>
      </c>
      <c r="E2" s="14">
        <f>(SUMIFS(ledger!G:G, ledger!B:B, B2, ledger!E:E, "&lt;&gt;*RD*",ledger!D:D, "Silky") / 1.0936)*12 + (SUMIFS(ledger!G:G, ledger!B:B, B2, ledger!E:E, "&lt;&gt;*RD*",ledger!D:D, "Chamki") / 1.0936)*10</f>
        <v>9352730.4316020496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4917221.8824000005</v>
      </c>
      <c r="T5" s="22" cm="1">
        <f t="array" ref="T5">_xlfn.BYROW(B49, _xlfn.LAMBDA(_xlpm.party, SUMIFS(ledger!G:G, ledger!B:B, _xlpm.party, ledger!E:E, "&lt;&gt;*RD*") / 1.0936 ))+_xlfn.IFNA(D98,0)</f>
        <v>4496362.3650329188</v>
      </c>
      <c r="U5" s="22" cm="1">
        <f t="array" ref="U5">(_xlfn.BYROW(B49,_xlfn.LAMBDA(_xlpm.party,SUMIFS(ledger!G:G,ledger!B:B,_xlpm.party,ledger!E:E,"&lt;&gt;*RD*",ledger!D:D,"Chamki")+SUMIFS(ledger!G:G, ledger!B:B, _xlpm.party, ledger!E:E, "&lt;&gt;*RD*", ledger!D:D, "Crinkle")))/1.0936)+_xlfn.IFNA(E98,0)</f>
        <v>3491302.0138990493</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(SUMIFS(ledger!J:J,ledger!B:B,_xlpm.party,ledger!E:E,"&lt;&gt;*RD*",ledger!D:D,"Chamki",ledger!C:C,"&lt;&gt;January Closing CF")+
SUMIFS(ledger!J:J,ledger!B:B,_xlpm.party,ledger!E:E,"&lt;&gt;*RD*",ledger!D:D,"Crinkle",ledger!C:C,"&lt;&gt;January Closing CF")
)+_xlfn.IFNA(G98,0))))</f>
        <v>34913020.138990499</v>
      </c>
      <c r="X5" s="70" cm="1">
        <f t="array" ref="X5">_xlfn.BYROW(B49, _xlfn.LAMBDA(_xlpm.party,
   SUMIFS(ledger!J:J, ledger!B:B, _xlpm.party, ledger!E:E, "&lt;&gt;*RD*", ledger!D:D, "Silky", ledger!C:C, "&lt;&gt;January Closing CF")
)) + _xlfn.IFNA(H98, 0)</f>
        <v>10463588.149231896</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47503704.118507691</v>
      </c>
      <c r="AF5" s="22">
        <f>(SUMIF(Table14[Party],#REF!,Table14[Credit]))+_xlfn.IFNA(P98,0)</f>
        <v>19750734</v>
      </c>
      <c r="AG5" s="33">
        <f>AE5-AF5</f>
        <v>27752970.118507691</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9812586</v>
      </c>
      <c r="AG7" s="33">
        <f t="shared" si="2"/>
        <v>21.90051206946373</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35080259.69275786</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35080259.69275786</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4360477</v>
      </c>
      <c r="AG25" s="33">
        <f t="shared" si="2"/>
        <v>61552.992684711702</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564239</v>
      </c>
      <c r="T36" s="22" cm="1">
        <f t="array" ref="T36">_xlfn.BYROW(B80, _xlfn.LAMBDA(_xlpm.party, SUMIFS(ledger!G:G, ledger!B:B, _xlpm.party, ledger!E:E, "&lt;&gt;*RD*") / 1.0936 ))+_xlfn.IFNA(D129,0)</f>
        <v>515946.41550841264</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374447.69568397955</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4867820.0438917344</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6505843.0870519392</v>
      </c>
      <c r="AF36" s="22">
        <f>(SUMIF(Table14[Party],R36,Table14[Credit]))+_xlfn.IFNA(P129,0)</f>
        <v>6502091.4930504756</v>
      </c>
      <c r="AG36" s="33">
        <f t="shared" si="2"/>
        <v>3751.5940014636144</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212412</v>
      </c>
      <c r="T38" s="22" cm="1">
        <f t="array" ref="T38">_xlfn.BYROW(B82, _xlfn.LAMBDA(_xlpm.party, SUMIFS(ledger!G:G, ledger!B:B, _xlpm.party, ledger!E:E, "&lt;&gt;*RD*") / 1.0936 ))+_xlfn.IFNA(D131,0)</f>
        <v>194231.89465983908</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92749.634235552308</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1205745.2450621799</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2322753.2918800293</v>
      </c>
      <c r="AF38" s="22">
        <f>(SUMIF(Table14[Party],R38,Table14[Credit]))+_xlfn.IFNA(P131,0)</f>
        <v>0</v>
      </c>
      <c r="AG38" s="33">
        <f t="shared" ref="AG38" si="4">AE38-AF38</f>
        <v>2322753.2918800293</v>
      </c>
    </row>
    <row r="39" spans="2:35" x14ac:dyDescent="0.3">
      <c r="R39" t="str">
        <v>Farhaan ali</v>
      </c>
      <c r="S39" s="22" cm="1">
        <f t="array" ref="S39">_xlfn.BYROW(B83,_xlfn.LAMBDA(_xlpm.party,SUMIFS(ledger!G:G,ledger!B:B,_xlpm.party,ledger!E:E,"&lt;&gt;*RD*")))+_xlfn.IFNA(C132,0)</f>
        <v>195693</v>
      </c>
      <c r="T39" s="22" cm="1">
        <f t="array" ref="T39">_xlfn.BYROW(B83, _xlfn.LAMBDA(_xlpm.party, SUMIFS(ledger!G:G, ledger!B:B, _xlpm.party, ledger!E:E, "&lt;&gt;*RD*") / 1.0936 ))+_xlfn.IFNA(D132,0)</f>
        <v>178943.85515727874</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178943.85515727874</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2147326.2618873445</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2147326.2618873445</v>
      </c>
      <c r="AF39" s="22">
        <f>(SUMIF(Table14[Party],R39,Table14[Credit]))+_xlfn.IFNA(P132,0)</f>
        <v>500000</v>
      </c>
      <c r="AG39" s="33">
        <f t="shared" ref="AG39:AG40" si="6">AE39-AF39</f>
        <v>1647326.2618873445</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1264455</v>
      </c>
      <c r="D49" s="22" cm="1">
        <f t="array" ref="D49:D84">_xlfn.BYROW(_xlfn.ANCHORARRAY(B49), _xlfn.LAMBDA(_xlpm.party, SUMIFS(ledger!G:G, ledger!B:B, _xlpm.party, ledger!E:E, "&lt;&gt;*RD*") / 1.0936 ))</f>
        <v>1156231.7117776154</v>
      </c>
      <c r="E49" s="63" cm="1">
        <f t="array" ref="E49:E84">(_xlfn.BYROW(_xlfn.ANCHORARRAY(B49),_xlfn.LAMBDA(_xlpm.party,SUMIFS(ledger!G:G,ledger!B:B,_xlpm.party,ledger!E:E,"&lt;&gt;*RD*",ledger!D:D,"Chamki")+SUMIFS(ledger!G:G, ledger!B:B, _xlpm.party, ledger!E:E, "&lt;&gt;*RD*", ledger!D:D, "Crinkle")))/1.0936)</f>
        <v>723717.99561082665</v>
      </c>
      <c r="F49" s="63" cm="1">
        <f t="array" ref="F49:F84">(_xlfn.BYROW(_xlfn.ANCHORARRAY(B49),_xlfn.LAMBDA(_xlpm.party,SUMIFS(ledger!G:G,ledger!B:B,_xlpm.party,ledger!E:E,"&lt;&gt;*RD*",ledger!D:D,"Silky")))/1.0936)</f>
        <v>250656.54718361379</v>
      </c>
      <c r="G49" s="22" cm="1">
        <f t="array" ref="G49">(_xlfn.BYROW(B49,_xlfn.LAMBDA(_xlpm.party,
(SUMIFS(ledger!J:J,ledger!B:B,_xlpm.party,ledger!E:E,"&lt;&gt;*RD*",ledger!D:D,"Chamki",ledger!C:C,"&lt;&gt;January Closing CF")+
SUMIFS(ledger!J:J,ledger!B:B,_xlpm.party,ledger!E:E,"&lt;&gt;*RD*",ledger!D:D,"Crinkle",ledger!C:C,"&lt;&gt;January Closing CF")
))))</f>
        <v>7237179.9561082674</v>
      </c>
      <c r="H49" s="22" cm="1">
        <f t="array" ref="H49">_xlfn.BYROW(B49, _xlfn.LAMBDA(_xlpm.party,
   SUMIFS(ledger!J:J, ledger!B:B, _xlpm.party, ledger!E:E, "&lt;&gt;*RD*", ledger!D:D, "Silky", ledger!C:C, "&lt;&gt;January Closing CF")
))</f>
        <v>3258535.1133869784</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12496143.928310169</v>
      </c>
      <c r="P49" s="22">
        <f>(SUMIF(Table14[Party],B49,Table14[Credit]))</f>
        <v>0</v>
      </c>
      <c r="Q49" s="37">
        <f t="shared" ref="Q49:Q80" si="9">O49-P49</f>
        <v>12496143.928310169</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1320085</v>
      </c>
      <c r="Q51" s="37">
        <f t="shared" si="9"/>
        <v>-111471.24725676654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1156231.7117776154</v>
      </c>
      <c r="X58" s="18">
        <v>9352730.4316020496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735340</v>
      </c>
      <c r="Q69" s="37">
        <f t="shared" si="9"/>
        <v>29793.504023408983</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486900</v>
      </c>
      <c r="Q71" s="37">
        <f t="shared" si="9"/>
        <v>-35965.471836137469</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1808219.6415508413</v>
      </c>
      <c r="X75" s="14">
        <v>15907551.20702268</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564239</v>
      </c>
      <c r="D80">
        <v>515946.41550841264</v>
      </c>
      <c r="E80">
        <v>0</v>
      </c>
      <c r="F80">
        <v>374447.69568397955</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4867820.0438917344</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6505843.0870519392</v>
      </c>
      <c r="P80" s="22">
        <f>SUMIF(Table14[Party], B80, Table14[Credit])</f>
        <v>6502091.4930504756</v>
      </c>
      <c r="Q80" s="37">
        <f t="shared" si="9"/>
        <v>3751.5940014636144</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212412</v>
      </c>
      <c r="D82">
        <v>194231.89465983908</v>
      </c>
      <c r="E82">
        <v>81045.171909290424</v>
      </c>
      <c r="F82">
        <v>92749.634235552308</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1205745.2450621799</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2322753.2918800293</v>
      </c>
      <c r="P82" s="22">
        <f>SUMIF(Table14[Party], B82, Table14[Credit])</f>
        <v>0</v>
      </c>
      <c r="Q82" s="37">
        <f t="shared" ref="Q82:Q83" si="12">O82-P82</f>
        <v>2322753.2918800293</v>
      </c>
    </row>
    <row r="83" spans="1:17" x14ac:dyDescent="0.3">
      <c r="B83" t="str">
        <v>Farhaan ali</v>
      </c>
      <c r="C83">
        <v>195693</v>
      </c>
      <c r="D83">
        <v>178943.85515727874</v>
      </c>
      <c r="E83">
        <v>0</v>
      </c>
      <c r="F83">
        <v>178943.85515727874</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2147326.2618873445</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2147326.2618873445</v>
      </c>
      <c r="P83" s="22">
        <f>SUMIF(Table14[Party], B83, Table14[Credit])</f>
        <v>500000</v>
      </c>
      <c r="Q83" s="37">
        <f t="shared" si="12"/>
        <v>1647326.2618873445</v>
      </c>
    </row>
    <row r="84" spans="1:17" x14ac:dyDescent="0.3">
      <c r="B84" t="str">
        <v>ACM salman zaffar</v>
      </c>
      <c r="C84">
        <v>20731</v>
      </c>
      <c r="D84">
        <v>18956.656912948063</v>
      </c>
      <c r="E84">
        <v>18956.656912948063</v>
      </c>
      <c r="F84">
        <v>0</v>
      </c>
      <c r="G84" s="22" cm="1">
        <f t="array" ref="G84">(_xlfn.BYROW(B84,_xlfn.LAMBDA(_xlpm.party,
(SUMIFS(ledger!J:J,ledger!B:B,_xlpm.party,ledger!E:E,"&lt;&gt;*RD*",ledger!D:D,"Chamki",ledger!C:C,"&lt;&gt;January Closing CF")+
SUMIFS(ledger!J:J,ledger!B:B,_xlpm.party,ledger!E:E,"&lt;&gt;*RD*",ledger!D:D,"Crinkle",ledger!C:C,"&lt;&gt;January Closing CF")
))))</f>
        <v>189566.56912948063</v>
      </c>
      <c r="H84" s="22" cm="1">
        <f t="array" ref="H84">_xlfn.BYROW(B84, _xlfn.LAMBDA(_xlpm.party,
   SUMIFS(ledger!J:J, ledger!B:B, _xlpm.party, ledger!E:E, "&lt;&gt;*RD*", ledger!D:D, "Silky", ledger!C:C, "&lt;&gt;January Closing CF")
))</f>
        <v>0</v>
      </c>
      <c r="I84" s="22" cm="1">
        <f t="array" ref="I84">_xlfn.BYROW(B84, _xlfn.LAMBDA(_xlpm.party,
   SUMIFS(ledger!J:J, ledger!B:B, _xlpm.party, ledger!E:E, "&lt;&gt;*RD*", ledger!D:D, "Slub", ledger!C:C, "&lt;&gt;January Closing CF")
))</f>
        <v>0</v>
      </c>
      <c r="J84" s="22" cm="1">
        <f t="array" ref="J84">_xlfn.BYROW(B84, _xlfn.LAMBDA(_xlpm.party,
   SUMIFS(ledger!J:J, ledger!B:B, _xlpm.party, ledger!E:E, "&lt;&gt;*RD*", ledger!D:D, "Satin", ledger!C:C, "&lt;&gt;January Closing CF")
))</f>
        <v>0</v>
      </c>
      <c r="K84" s="70" cm="1">
        <f t="array" ref="K84">_xlfn.BYROW(B84, _xlfn.LAMBDA(_xlpm.party,
   SUMIFS(ledger!J:J, ledger!B:B, _xlpm.party, ledger!E:E, "&lt;&gt;*RD*", ledger!D:D, "Black-chamki", ledger!C:C, "&lt;&gt;January Closing CF")
))</f>
        <v>0</v>
      </c>
      <c r="L84" s="70" cm="1">
        <f t="array" ref="L84">_xlfn.BYROW(B84, _xlfn.LAMBDA(_xlpm.party,
   SUMIFS(ledger!J:J, ledger!B:B, _xlpm.party, ledger!E:E, "&lt;&gt;*RD*", ledger!D:D, "Kataan", ledger!C:C, "&lt;&gt;January Closing CF")
))</f>
        <v>0</v>
      </c>
      <c r="M84" s="70" cm="1">
        <f t="array" ref="M84">_xlfn.BYROW(B84, _xlfn.LAMBDA(_xlpm.party,
   SUMIFS(ledger!J:J, ledger!B:B, _xlpm.party, ledger!E:E, "&lt;&gt;*RD*", ledger!D:D, "Munaar", ledger!C:C, "&lt;&gt;January Closing CF")
))</f>
        <v>0</v>
      </c>
      <c r="N84" s="70" cm="1">
        <f t="array" ref="N84">_xlfn.BYROW(B84, _xlfn.LAMBDA(_xlpm.party,
   SUMIFS(ledger!J:J, ledger!B:B, _xlpm.party, ledger!E:E, "&lt;&gt;*RD*", ledger!D:D, "Custom", ledger!C:C, "&lt;&gt;January Closing CF")
))</f>
        <v>0</v>
      </c>
      <c r="O84" s="39">
        <f t="shared" ref="O84:O87" si="13">SUM(G84:N84)</f>
        <v>189566.56912948063</v>
      </c>
      <c r="P84" s="22">
        <f>SUMIF(Table14[Party], B84, Table14[Credit])</f>
        <v>0</v>
      </c>
      <c r="Q84" s="37">
        <f t="shared" ref="Q84:Q87" si="14">O84-P84</f>
        <v>189566.56912948063</v>
      </c>
    </row>
    <row r="85" spans="1:17" x14ac:dyDescent="0.3">
      <c r="G85" s="22" cm="1">
        <f t="array" ref="G85">(_xlfn.BYROW(B85,_xlfn.LAMBDA(_xlpm.party,
(SUMIFS(ledger!J:J,ledger!B:B,_xlpm.party,ledger!E:E,"&lt;&gt;*RD*",ledger!D:D,"Chamki",ledger!C:C,"&lt;&gt;January Closing CF")+
SUMIFS(ledger!J:J,ledger!B:B,_xlpm.party,ledger!E:E,"&lt;&gt;*RD*",ledger!D:D,"Crinkle",ledger!C:C,"&lt;&gt;January Closing CF")
))))</f>
        <v>0</v>
      </c>
      <c r="H85" s="22" cm="1">
        <f t="array" ref="H85">_xlfn.BYROW(B85, _xlfn.LAMBDA(_xlpm.party,
   SUMIFS(ledger!J:J, ledger!B:B, _xlpm.party, ledger!E:E, "&lt;&gt;*RD*", ledger!D:D, "Silky", ledger!C:C, "&lt;&gt;January Closing CF")
))</f>
        <v>0</v>
      </c>
      <c r="I85" s="22" cm="1">
        <f t="array" ref="I85">_xlfn.BYROW(B85, _xlfn.LAMBDA(_xlpm.party,
   SUMIFS(ledger!J:J, ledger!B:B, _xlpm.party, ledger!E:E, "&lt;&gt;*RD*", ledger!D:D, "Slub", ledger!C:C, "&lt;&gt;January Closing CF")
))</f>
        <v>0</v>
      </c>
      <c r="J85" s="22" cm="1">
        <f t="array" ref="J85">_xlfn.BYROW(B85, _xlfn.LAMBDA(_xlpm.party,
   SUMIFS(ledger!J:J, ledger!B:B, _xlpm.party, ledger!E:E, "&lt;&gt;*RD*", ledger!D:D, "Satin", ledger!C:C, "&lt;&gt;January Closing CF")
))</f>
        <v>0</v>
      </c>
      <c r="K85" s="70" cm="1">
        <f t="array" ref="K85">_xlfn.BYROW(B85, _xlfn.LAMBDA(_xlpm.party,
   SUMIFS(ledger!J:J, ledger!B:B, _xlpm.party, ledger!E:E, "&lt;&gt;*RD*", ledger!D:D, "Black-chamki", ledger!C:C, "&lt;&gt;January Closing CF")
))</f>
        <v>0</v>
      </c>
      <c r="L85" s="70" cm="1">
        <f t="array" ref="L85">_xlfn.BYROW(B85, _xlfn.LAMBDA(_xlpm.party,
   SUMIFS(ledger!J:J, ledger!B:B, _xlpm.party, ledger!E:E, "&lt;&gt;*RD*", ledger!D:D, "Kataan", ledger!C:C, "&lt;&gt;January Closing CF")
))</f>
        <v>0</v>
      </c>
      <c r="M85" s="70" cm="1">
        <f t="array" ref="M85">_xlfn.BYROW(B85, _xlfn.LAMBDA(_xlpm.party,
   SUMIFS(ledger!J:J, ledger!B:B, _xlpm.party, ledger!E:E, "&lt;&gt;*RD*", ledger!D:D, "Munaar", ledger!C:C, "&lt;&gt;January Closing CF")
))</f>
        <v>0</v>
      </c>
      <c r="N85" s="70" cm="1">
        <f t="array" ref="N85">_xlfn.BYROW(B85, _xlfn.LAMBDA(_xlpm.party,
   SUMIFS(ledger!J:J, ledger!B:B, _xlpm.party, ledger!E:E, "&lt;&gt;*RD*", ledger!D:D, "Custom", ledger!C:C, "&lt;&gt;January Closing CF")
))</f>
        <v>0</v>
      </c>
      <c r="O85" s="39">
        <f t="shared" si="13"/>
        <v>0</v>
      </c>
      <c r="P85" s="22">
        <f>SUMIF(Table14[Party], B85, Table14[Credit])</f>
        <v>0</v>
      </c>
      <c r="Q85" s="37">
        <f t="shared" si="14"/>
        <v>0</v>
      </c>
    </row>
    <row r="86" spans="1:17" x14ac:dyDescent="0.3">
      <c r="G86" s="22" cm="1">
        <f t="array" ref="G86">(_xlfn.BYROW(B86,_xlfn.LAMBDA(_xlpm.party,
(SUMIFS(ledger!J:J,ledger!B:B,_xlpm.party,ledger!E:E,"&lt;&gt;*RD*",ledger!D:D,"Chamki",ledger!C:C,"&lt;&gt;January Closing CF")+
SUMIFS(ledger!J:J,ledger!B:B,_xlpm.party,ledger!E:E,"&lt;&gt;*RD*",ledger!D:D,"Crinkle",ledger!C:C,"&lt;&gt;January Closing CF")
))))</f>
        <v>0</v>
      </c>
      <c r="H86" s="22" cm="1">
        <f t="array" ref="H86">_xlfn.BYROW(B86, _xlfn.LAMBDA(_xlpm.party,
   SUMIFS(ledger!J:J, ledger!B:B, _xlpm.party, ledger!E:E, "&lt;&gt;*RD*", ledger!D:D, "Silky", ledger!C:C, "&lt;&gt;January Closing CF")
))</f>
        <v>0</v>
      </c>
      <c r="I86" s="22" cm="1">
        <f t="array" ref="I86">_xlfn.BYROW(B86, _xlfn.LAMBDA(_xlpm.party,
   SUMIFS(ledger!J:J, ledger!B:B, _xlpm.party, ledger!E:E, "&lt;&gt;*RD*", ledger!D:D, "Slub", ledger!C:C, "&lt;&gt;January Closing CF")
))</f>
        <v>0</v>
      </c>
      <c r="J86" s="22" cm="1">
        <f t="array" ref="J86">_xlfn.BYROW(B86, _xlfn.LAMBDA(_xlpm.party,
   SUMIFS(ledger!J:J, ledger!B:B, _xlpm.party, ledger!E:E, "&lt;&gt;*RD*", ledger!D:D, "Satin", ledger!C:C, "&lt;&gt;January Closing CF")
))</f>
        <v>0</v>
      </c>
      <c r="K86" s="70" cm="1">
        <f t="array" ref="K86">_xlfn.BYROW(B86, _xlfn.LAMBDA(_xlpm.party,
   SUMIFS(ledger!J:J, ledger!B:B, _xlpm.party, ledger!E:E, "&lt;&gt;*RD*", ledger!D:D, "Black-chamki", ledger!C:C, "&lt;&gt;January Closing CF")
))</f>
        <v>0</v>
      </c>
      <c r="L86" s="70" cm="1">
        <f t="array" ref="L86">_xlfn.BYROW(B86, _xlfn.LAMBDA(_xlpm.party,
   SUMIFS(ledger!J:J, ledger!B:B, _xlpm.party, ledger!E:E, "&lt;&gt;*RD*", ledger!D:D, "Kataan", ledger!C:C, "&lt;&gt;January Closing CF")
))</f>
        <v>0</v>
      </c>
      <c r="M86" s="70" cm="1">
        <f t="array" ref="M86">_xlfn.BYROW(B86, _xlfn.LAMBDA(_xlpm.party,
   SUMIFS(ledger!J:J, ledger!B:B, _xlpm.party, ledger!E:E, "&lt;&gt;*RD*", ledger!D:D, "Munaar", ledger!C:C, "&lt;&gt;January Closing CF")
))</f>
        <v>0</v>
      </c>
      <c r="N86" s="70" cm="1">
        <f t="array" ref="N86">_xlfn.BYROW(B86, _xlfn.LAMBDA(_xlpm.party,
   SUMIFS(ledger!J:J, ledger!B:B, _xlpm.party, ledger!E:E, "&lt;&gt;*RD*", ledger!D:D, "Custom", ledger!C:C, "&lt;&gt;January 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(SUMIFS(ledger!J:J,ledger!B:B,_xlpm.party,ledger!E:E,"&lt;&gt;*RD*",ledger!D:D,"Chamki",ledger!C:C,"&lt;&gt;January Closing CF")+
SUMIFS(ledger!J:J,ledger!B:B,_xlpm.party,ledger!E:E,"&lt;&gt;*RD*",ledger!D:D,"Crinkle",ledger!C:C,"&lt;&gt;January Closing CF")
))))</f>
        <v>0</v>
      </c>
      <c r="H87" s="22" cm="1">
        <f t="array" ref="H87">_xlfn.BYROW(B87, _xlfn.LAMBDA(_xlpm.party,
   SUMIFS(ledger!J:J, ledger!B:B, _xlpm.party, ledger!E:E, "&lt;&gt;*RD*", ledger!D:D, "Silky", ledger!C:C, "&lt;&gt;January Closing CF")
))</f>
        <v>0</v>
      </c>
      <c r="I87" s="22" cm="1">
        <f t="array" ref="I87">_xlfn.BYROW(B87, _xlfn.LAMBDA(_xlpm.party,
   SUMIFS(ledger!J:J, ledger!B:B, _xlpm.party, ledger!E:E, "&lt;&gt;*RD*", ledger!D:D, "Slub", ledger!C:C, "&lt;&gt;January Closing CF")
))</f>
        <v>0</v>
      </c>
      <c r="J87" s="22" cm="1">
        <f t="array" ref="J87">_xlfn.BYROW(B87, _xlfn.LAMBDA(_xlpm.party,
   SUMIFS(ledger!J:J, ledger!B:B, _xlpm.party, ledger!E:E, "&lt;&gt;*RD*", ledger!D:D, "Satin", ledger!C:C, "&lt;&gt;January Closing CF")
))</f>
        <v>0</v>
      </c>
      <c r="K87" s="70" cm="1">
        <f t="array" ref="K87">_xlfn.BYROW(B87, _xlfn.LAMBDA(_xlpm.party,
   SUMIFS(ledger!J:J, ledger!B:B, _xlpm.party, ledger!E:E, "&lt;&gt;*RD*", ledger!D:D, "Black-chamki", ledger!C:C, "&lt;&gt;January Closing CF")
))</f>
        <v>0</v>
      </c>
      <c r="L87" s="70" cm="1">
        <f t="array" ref="L87">_xlfn.BYROW(B87, _xlfn.LAMBDA(_xlpm.party,
   SUMIFS(ledger!J:J, ledger!B:B, _xlpm.party, ledger!E:E, "&lt;&gt;*RD*", ledger!D:D, "Kataan", ledger!C:C, "&lt;&gt;January Closing CF")
))</f>
        <v>0</v>
      </c>
      <c r="M87" s="70" cm="1">
        <f t="array" ref="M87">_xlfn.BYROW(B87, _xlfn.LAMBDA(_xlpm.party,
   SUMIFS(ledger!J:J, ledger!B:B, _xlpm.party, ledger!E:E, "&lt;&gt;*RD*", ledger!D:D, "Munaar", ledger!C:C, "&lt;&gt;January Closing CF")
))</f>
        <v>0</v>
      </c>
      <c r="N87" s="70" cm="1">
        <f t="array" ref="N87">_xlfn.BYROW(B87, _xlfn.LAMBDA(_xlpm.party,
   SUMIFS(ledger!J:J, ledger!B:B, _xlpm.party, ledger!E:E, "&lt;&gt;*RD*", ledger!D:D, "Custom", ledger!C:C, "&lt;&gt;January 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(SUMIFS(ledger!J:J,ledger!B:B,_xlpm.party,ledger!E:E,"&lt;&gt;*RD*",ledger!D:D,"Chamki",ledger!C:C,"&lt;&gt;January Closing CF")+
SUMIFS(ledger!J:J,ledger!B:B,_xlpm.party,ledger!E:E,"&lt;&gt;*RD*",ledger!D:D,"Crinkle",ledger!C:C,"&lt;&gt;January Closing CF")
))))</f>
        <v>0</v>
      </c>
      <c r="H88" s="22" cm="1">
        <f t="array" ref="H88">_xlfn.BYROW(B88, _xlfn.LAMBDA(_xlpm.party,
   SUMIFS(ledger!J:J, ledger!B:B, _xlpm.party, ledger!E:E, "&lt;&gt;*RD*", ledger!D:D, "Silky", ledger!C:C, "&lt;&gt;January Closing CF")
))</f>
        <v>0</v>
      </c>
      <c r="I88" s="22" cm="1">
        <f t="array" ref="I88">_xlfn.BYROW(B88, _xlfn.LAMBDA(_xlpm.party,
   SUMIFS(ledger!J:J, ledger!B:B, _xlpm.party, ledger!E:E, "&lt;&gt;*RD*", ledger!D:D, "Slub", ledger!C:C, "&lt;&gt;January Closing CF")
))</f>
        <v>0</v>
      </c>
      <c r="J88" s="22" cm="1">
        <f t="array" ref="J88">_xlfn.BYROW(B88, _xlfn.LAMBDA(_xlpm.party,
   SUMIFS(ledger!J:J, ledger!B:B, _xlpm.party, ledger!E:E, "&lt;&gt;*RD*", ledger!D:D, "Satin", ledger!C:C, "&lt;&gt;January Closing CF")
))</f>
        <v>0</v>
      </c>
      <c r="K88" s="70" cm="1">
        <f t="array" ref="K88">_xlfn.BYROW(B88, _xlfn.LAMBDA(_xlpm.party,
   SUMIFS(ledger!J:J, ledger!B:B, _xlpm.party, ledger!E:E, "&lt;&gt;*RD*", ledger!D:D, "Black-chamki", ledger!C:C, "&lt;&gt;January Closing CF")
))</f>
        <v>0</v>
      </c>
      <c r="L88" s="70" cm="1">
        <f t="array" ref="L88">_xlfn.BYROW(B88, _xlfn.LAMBDA(_xlpm.party,
   SUMIFS(ledger!J:J, ledger!B:B, _xlpm.party, ledger!E:E, "&lt;&gt;*RD*", ledger!D:D, "Kataan", ledger!C:C, "&lt;&gt;January Closing CF")
))</f>
        <v>0</v>
      </c>
      <c r="M88" s="70" cm="1">
        <f t="array" ref="M88">_xlfn.BYROW(B88, _xlfn.LAMBDA(_xlpm.party,
   SUMIFS(ledger!J:J, ledger!B:B, _xlpm.party, ledger!E:E, "&lt;&gt;*RD*", ledger!D:D, "Munaar", ledger!C:C, "&lt;&gt;January Closing CF")
))</f>
        <v>0</v>
      </c>
      <c r="N88" s="70" cm="1">
        <f t="array" ref="N88">_xlfn.BYROW(B88, _xlfn.LAMBDA(_xlpm.party,
   SUMIFS(ledger!J:J, ledger!B:B, _xlpm.party, ledger!E:E, "&lt;&gt;*RD*", ledger!D:D, "Custom", ledger!C:C, "&lt;&gt;January 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(SUMIFS(ledger!J:J,ledger!B:B,_xlpm.party,ledger!E:E,"&lt;&gt;*RD*",ledger!D:D,"Chamki",ledger!C:C,"&lt;&gt;January Closing CF")+
SUMIFS(ledger!J:J,ledger!B:B,_xlpm.party,ledger!E:E,"&lt;&gt;*RD*",ledger!D:D,"Crinkle",ledger!C:C,"&lt;&gt;January Closing CF")
))))</f>
        <v>0</v>
      </c>
      <c r="H89" s="22" cm="1">
        <f t="array" ref="H89">_xlfn.BYROW(B89, _xlfn.LAMBDA(_xlpm.party,
   SUMIFS(ledger!J:J, ledger!B:B, _xlpm.party, ledger!E:E, "&lt;&gt;*RD*", ledger!D:D, "Silky", ledger!C:C, "&lt;&gt;January Closing CF")
))</f>
        <v>0</v>
      </c>
      <c r="I89" s="22" cm="1">
        <f t="array" ref="I89">_xlfn.BYROW(B89, _xlfn.LAMBDA(_xlpm.party,
   SUMIFS(ledger!J:J, ledger!B:B, _xlpm.party, ledger!E:E, "&lt;&gt;*RD*", ledger!D:D, "Slub", ledger!C:C, "&lt;&gt;January Closing CF")
))</f>
        <v>0</v>
      </c>
      <c r="J89" s="22" cm="1">
        <f t="array" ref="J89">_xlfn.BYROW(B89, _xlfn.LAMBDA(_xlpm.party,
   SUMIFS(ledger!J:J, ledger!B:B, _xlpm.party, ledger!E:E, "&lt;&gt;*RD*", ledger!D:D, "Satin", ledger!C:C, "&lt;&gt;January Closing CF")
))</f>
        <v>0</v>
      </c>
      <c r="K89" s="70" cm="1">
        <f t="array" ref="K89">_xlfn.BYROW(B89, _xlfn.LAMBDA(_xlpm.party,
   SUMIFS(ledger!J:J, ledger!B:B, _xlpm.party, ledger!E:E, "&lt;&gt;*RD*", ledger!D:D, "Black-chamki", ledger!C:C, "&lt;&gt;January Closing CF")
))</f>
        <v>0</v>
      </c>
      <c r="L89" s="70" cm="1">
        <f t="array" ref="L89">_xlfn.BYROW(B89, _xlfn.LAMBDA(_xlpm.party,
   SUMIFS(ledger!J:J, ledger!B:B, _xlpm.party, ledger!E:E, "&lt;&gt;*RD*", ledger!D:D, "Kataan", ledger!C:C, "&lt;&gt;January Closing CF")
))</f>
        <v>0</v>
      </c>
      <c r="M89" s="70" cm="1">
        <f t="array" ref="M89">_xlfn.BYROW(B89, _xlfn.LAMBDA(_xlpm.party,
   SUMIFS(ledger!J:J, ledger!B:B, _xlpm.party, ledger!E:E, "&lt;&gt;*RD*", ledger!D:D, "Munaar", ledger!C:C, "&lt;&gt;January Closing CF")
))</f>
        <v>0</v>
      </c>
      <c r="N89" s="70" cm="1">
        <f t="array" ref="N89">_xlfn.BYROW(B89, _xlfn.LAMBDA(_xlpm.party,
   SUMIFS(ledger!J:J, ledger!B:B, _xlpm.party, ledger!E:E, "&lt;&gt;*RD*", ledger!D:D, "Custom", ledger!C:C, "&lt;&gt;January 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7">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8">G100+H100+I100+J100+K100+L100+M100</f>
        <v>8603994.1477688365</v>
      </c>
      <c r="P100" s="22">
        <f>_xlfn.XLOOKUP($B51,[1]Billing!$Q$5:$Q$40,[1]Billing!$AD$5:$AD$40)</f>
        <v>8492501</v>
      </c>
      <c r="Q100" s="37">
        <f t="shared" si="17"/>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8"/>
        <v>1354241.9972933433</v>
      </c>
      <c r="P101" s="22">
        <f>_xlfn.XLOOKUP($B52,[1]Billing!$Q$5:$Q$40,[1]Billing!$AD$5:$AD$40)</f>
        <v>1353710</v>
      </c>
      <c r="Q101" s="37">
        <f t="shared" si="17"/>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8"/>
        <v>11478764.23847842</v>
      </c>
      <c r="P102" s="22">
        <f>_xlfn.XLOOKUP($B53,[1]Billing!$Q$5:$Q$40,[1]Billing!$AD$5:$AD$40)</f>
        <v>11478764</v>
      </c>
      <c r="Q102" s="37">
        <f t="shared" si="17"/>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8"/>
        <v>9816608.449158743</v>
      </c>
      <c r="P103" s="22">
        <f>_xlfn.XLOOKUP($B54,[1]Billing!$Q$5:$Q$40,[1]Billing!$AD$5:$AD$40)</f>
        <v>9609871</v>
      </c>
      <c r="Q103" s="37">
        <f t="shared" si="17"/>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8"/>
        <v>1626380.7607900514</v>
      </c>
      <c r="P104" s="22">
        <f>_xlfn.XLOOKUP($B55,[1]Billing!$Q$5:$Q$40,[1]Billing!$AD$5:$AD$40)</f>
        <v>1526321</v>
      </c>
      <c r="Q104" s="37">
        <f t="shared" si="17"/>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8"/>
        <v>7403071.5069495253</v>
      </c>
      <c r="P105" s="22">
        <f>_xlfn.XLOOKUP($B56,[1]Billing!$Q$5:$Q$40,[1]Billing!$AD$5:$AD$40)</f>
        <v>7402540</v>
      </c>
      <c r="Q105" s="37">
        <f t="shared" si="17"/>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8"/>
        <v>1909464.1550841257</v>
      </c>
      <c r="P106" s="22">
        <f>_xlfn.XLOOKUP($B57,[1]Billing!$Q$5:$Q$40,[1]Billing!$AD$5:$AD$40)</f>
        <v>1908190</v>
      </c>
      <c r="Q106" s="37">
        <f t="shared" si="17"/>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8"/>
        <v>255724.21360643749</v>
      </c>
      <c r="P107" s="22">
        <f>_xlfn.XLOOKUP($B58,[1]Billing!$Q$5:$Q$40,[1]Billing!$AD$5:$AD$40)</f>
        <v>130000</v>
      </c>
      <c r="Q107" s="37">
        <f t="shared" si="17"/>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8"/>
        <v>4157159.8390636435</v>
      </c>
      <c r="P108" s="22">
        <f>_xlfn.XLOOKUP($B59,[1]Billing!$Q$5:$Q$40,[1]Billing!$AD$5:$AD$40)</f>
        <v>4146179</v>
      </c>
      <c r="Q108" s="37">
        <f t="shared" si="17"/>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8"/>
        <v>6637699.3416239955</v>
      </c>
      <c r="P109" s="22">
        <f>_xlfn.XLOOKUP($B60,[1]Billing!$Q$5:$Q$40,[1]Billing!$AD$5:$AD$40)</f>
        <v>6545761</v>
      </c>
      <c r="Q109" s="37">
        <f t="shared" si="17"/>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8"/>
        <v>1214045.3547915143</v>
      </c>
      <c r="P110" s="22">
        <f>_xlfn.XLOOKUP($B61,[1]Billing!$Q$5:$Q$40,[1]Billing!$AD$5:$AD$40)</f>
        <v>1214045</v>
      </c>
      <c r="Q110" s="37">
        <f t="shared" si="17"/>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8"/>
        <v>483851.49963423557</v>
      </c>
      <c r="P111" s="22">
        <f>_xlfn.XLOOKUP($B62,[1]Billing!$Q$5:$Q$40,[1]Billing!$AD$5:$AD$40)</f>
        <v>480000</v>
      </c>
      <c r="Q111" s="37">
        <f t="shared" si="17"/>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8"/>
        <v>89155.084125822978</v>
      </c>
      <c r="P112" s="22">
        <f>_xlfn.XLOOKUP($B63,[1]Billing!$Q$5:$Q$40,[1]Billing!$AD$5:$AD$40)</f>
        <v>95000</v>
      </c>
      <c r="Q112" s="37">
        <f t="shared" si="17"/>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8"/>
        <v>594404.71836137539</v>
      </c>
      <c r="P113" s="22">
        <f>_xlfn.XLOOKUP($B64,[1]Billing!$Q$5:$Q$40,[1]Billing!$AD$5:$AD$40)</f>
        <v>594405</v>
      </c>
      <c r="Q113" s="37">
        <f t="shared" si="17"/>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8"/>
        <v>6091484.0892465264</v>
      </c>
      <c r="P114" s="22">
        <f>_xlfn.XLOOKUP($B65,[1]Billing!$Q$5:$Q$40,[1]Billing!$AD$5:$AD$40)</f>
        <v>6024187</v>
      </c>
      <c r="Q114" s="37">
        <f t="shared" si="17"/>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8"/>
        <v>836016.82516459411</v>
      </c>
      <c r="P115" s="22">
        <f>_xlfn.XLOOKUP($B66,[1]Billing!$Q$5:$Q$40,[1]Billing!$AD$5:$AD$40)</f>
        <v>835660</v>
      </c>
      <c r="Q115" s="37">
        <f t="shared" si="17"/>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8"/>
        <v>4213776.5179224582</v>
      </c>
      <c r="P116" s="22">
        <f>_xlfn.XLOOKUP($B67,[1]Billing!$Q$5:$Q$40,[1]Billing!$AD$5:$AD$40)</f>
        <v>4417830</v>
      </c>
      <c r="Q116" s="37">
        <f t="shared" si="17"/>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8"/>
        <v>3269779.6269202633</v>
      </c>
      <c r="P117" s="22">
        <f>_xlfn.XLOOKUP($B68,[1]Billing!$Q$5:$Q$40,[1]Billing!$AD$5:$AD$40)</f>
        <v>3296025</v>
      </c>
      <c r="Q117" s="37">
        <f t="shared" si="17"/>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8"/>
        <v>3656896.4886613023</v>
      </c>
      <c r="P118" s="22">
        <f>_xlfn.XLOOKUP($B69,[1]Billing!$Q$5:$Q$40,[1]Billing!$AD$5:$AD$40)</f>
        <v>3625137</v>
      </c>
      <c r="Q118" s="37">
        <f t="shared" si="17"/>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8"/>
        <v>424323.335771763</v>
      </c>
      <c r="P119" s="22">
        <f>_xlfn.XLOOKUP($B70,[1]Billing!$Q$5:$Q$40,[1]Billing!$AD$5:$AD$40)</f>
        <v>424323</v>
      </c>
      <c r="Q119" s="37">
        <f t="shared" si="17"/>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8"/>
        <v>1454844.5501097296</v>
      </c>
      <c r="P120" s="22">
        <f>_xlfn.XLOOKUP($B71,[1]Billing!$Q$5:$Q$40,[1]Billing!$AD$5:$AD$40)</f>
        <v>1415500</v>
      </c>
      <c r="Q120" s="37">
        <f t="shared" si="17"/>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8"/>
        <v>124561.08266276518</v>
      </c>
      <c r="P121" s="22">
        <f>_xlfn.XLOOKUP($B72,[1]Billing!$Q$5:$Q$40,[1]Billing!$AD$5:$AD$40)</f>
        <v>124560</v>
      </c>
      <c r="Q121" s="37">
        <f t="shared" si="17"/>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8"/>
        <v>385138.07607900514</v>
      </c>
      <c r="P122" s="22">
        <f>_xlfn.XLOOKUP($B73,[1]Billing!$Q$5:$Q$40,[1]Billing!$AD$5:$AD$40)</f>
        <v>250000</v>
      </c>
      <c r="Q122" s="37">
        <f t="shared" si="17"/>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8"/>
        <v>151504.2062911485</v>
      </c>
      <c r="P123" s="22">
        <f>_xlfn.XLOOKUP($B74,[1]Billing!$Q$5:$Q$40,[1]Billing!$AD$5:$AD$40)</f>
        <v>0</v>
      </c>
      <c r="Q123" s="37">
        <f t="shared" si="17"/>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8"/>
        <v>2089305.9619604978</v>
      </c>
      <c r="P124" s="22">
        <f>_xlfn.XLOOKUP($B75,[1]Billing!$Q$5:$Q$40,[1]Billing!$AD$5:$AD$40)</f>
        <v>1300000</v>
      </c>
      <c r="Q124" s="37">
        <f t="shared" si="17"/>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8"/>
        <v>595924.46964155091</v>
      </c>
      <c r="P125" s="22">
        <f>_xlfn.XLOOKUP($B76,[1]Billing!$Q$5:$Q$40,[1]Billing!$AD$5:$AD$40)</f>
        <v>550000</v>
      </c>
      <c r="Q125" s="37">
        <f t="shared" si="17"/>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8"/>
        <v>636460.3145574251</v>
      </c>
      <c r="P126" s="22">
        <f>_xlfn.XLOOKUP($B77,[1]Billing!$Q$5:$Q$40,[1]Billing!$AD$5:$AD$40)</f>
        <v>636000</v>
      </c>
      <c r="Q126" s="37">
        <f t="shared" si="17"/>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8"/>
        <v>15855.888807607902</v>
      </c>
      <c r="P127" s="22">
        <f>_xlfn.XLOOKUP($B78,[1]Billing!$Q$5:$Q$40,[1]Billing!$AD$5:$AD$40)</f>
        <v>15855</v>
      </c>
      <c r="Q127" s="37">
        <f t="shared" si="17"/>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8"/>
        <v>#N/A</v>
      </c>
      <c r="P128" s="22" t="e">
        <f>_xlfn.XLOOKUP($B79,[1]Billing!$Q$5:$Q$40,[1]Billing!$AD$5:$AD$40)</f>
        <v>#N/A</v>
      </c>
      <c r="Q128" s="37" t="e">
        <f t="shared" si="17"/>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9">G129+H129+I129+J129+K129+L129+M129</f>
        <v>#N/A</v>
      </c>
      <c r="P129" s="22" t="e">
        <f>_xlfn.XLOOKUP($B80,[1]Billing!$Q$5:$Q$40,[1]Billing!$AD$5:$AD$40)</f>
        <v>#N/A</v>
      </c>
      <c r="Q129" s="37" t="e">
        <f t="shared" ref="Q129:Q132" si="20">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9"/>
        <v>#N/A</v>
      </c>
      <c r="P130" s="22" t="e">
        <f>_xlfn.XLOOKUP($B81,[1]Billing!$Q$5:$Q$40,[1]Billing!$AD$5:$AD$40)</f>
        <v>#N/A</v>
      </c>
      <c r="Q130" s="37" t="e">
        <f t="shared" si="20"/>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9"/>
        <v>#N/A</v>
      </c>
      <c r="P131" s="22" t="e">
        <f>_xlfn.XLOOKUP($B82,[1]Billing!$Q$5:$Q$40,[1]Billing!$AD$5:$AD$40)</f>
        <v>#N/A</v>
      </c>
      <c r="Q131" s="37" t="e">
        <f t="shared" si="20"/>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9"/>
        <v>#N/A</v>
      </c>
      <c r="P132" s="22" t="e">
        <f>_xlfn.XLOOKUP($B83,[1]Billing!$Q$5:$Q$40,[1]Billing!$AD$5:$AD$40)</f>
        <v>#N/A</v>
      </c>
      <c r="Q132" s="37" t="e">
        <f t="shared" si="20"/>
        <v>#N/A</v>
      </c>
    </row>
    <row r="133" spans="2:17" x14ac:dyDescent="0.3">
      <c r="B133" t="str">
        <v>ACM 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4360477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61552.992684711702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15686865</v>
      </c>
      <c r="D4" t="s">
        <v>189</v>
      </c>
      <c r="E4" s="43">
        <f ca="1">Table12[[#This Row],[Amount]]/Table1[[#Totals],[tiyar/meters]]</f>
        <v>5.0940060717745004</v>
      </c>
    </row>
    <row r="5" spans="1:5" x14ac:dyDescent="0.3">
      <c r="B5" t="s">
        <v>48</v>
      </c>
      <c r="C5" s="11">
        <f>SUM(Table8[Price])+(301660)</f>
        <v>3310040</v>
      </c>
      <c r="E5" s="43">
        <f ca="1">Table12[[#This Row],[Amount]]/Table1[[#Totals],[tiyar/meters]]</f>
        <v>1.0748714837423836</v>
      </c>
    </row>
    <row r="6" spans="1:5" x14ac:dyDescent="0.3">
      <c r="B6" t="s">
        <v>49</v>
      </c>
      <c r="C6" s="11">
        <f>SUM(Table2[Price])</f>
        <v>1350550</v>
      </c>
      <c r="D6" t="s">
        <v>188</v>
      </c>
      <c r="E6" s="43">
        <f ca="1">Table12[[#This Row],[Amount]]/Table1[[#Totals],[tiyar/meters]]</f>
        <v>0.43856499690888212</v>
      </c>
    </row>
    <row r="7" spans="1:5" x14ac:dyDescent="0.3">
      <c r="B7" t="s">
        <v>50</v>
      </c>
      <c r="C7" s="11">
        <f>SUMIFS(Table14[Debit], Table14[Party],Table12[[#This Row],[Type]])</f>
        <v>132630</v>
      </c>
      <c r="E7" s="43">
        <f ca="1">Table12[[#This Row],[Amount]]/Table1[[#Totals],[tiyar/meters]]</f>
        <v>4.3069027833123566E-2</v>
      </c>
    </row>
    <row r="8" spans="1:5" x14ac:dyDescent="0.3">
      <c r="B8" t="s">
        <v>51</v>
      </c>
      <c r="C8" s="11">
        <f>Electricity!E5</f>
        <v>3500011</v>
      </c>
      <c r="E8" s="43">
        <f ca="1">Table12[[#This Row],[Amount]]/Table1[[#Totals],[tiyar/meters]]</f>
        <v>1.1365608925223454</v>
      </c>
    </row>
    <row r="9" spans="1:5" x14ac:dyDescent="0.3">
      <c r="B9" t="s">
        <v>52</v>
      </c>
      <c r="C9" s="11">
        <f>SUMIFS(Table14[Debit], Table14[Party],Table12[[#This Row],[Type]])+SUMIFS(Table14[Debit], Table14[Party],"Advance Salary")</f>
        <v>6042403</v>
      </c>
      <c r="E9" s="43">
        <f ca="1">Table12[[#This Row],[Amount]]/Table1[[#Totals],[tiyar/meters]]</f>
        <v>1.9621535322773833</v>
      </c>
    </row>
    <row r="10" spans="1:5" x14ac:dyDescent="0.3">
      <c r="B10" t="s">
        <v>53</v>
      </c>
      <c r="C10" s="11">
        <f>Table5[[#Totals],[Amount]]</f>
        <v>299340</v>
      </c>
      <c r="E10" s="43">
        <f ca="1">Table12[[#This Row],[Amount]]/Table1[[#Totals],[tiyar/meters]]</f>
        <v>9.7204876661141595E-2</v>
      </c>
    </row>
    <row r="11" spans="1:5" x14ac:dyDescent="0.3">
      <c r="B11" t="s">
        <v>54</v>
      </c>
      <c r="C11" s="11">
        <f>Table13[[#Totals],[Debit]]</f>
        <v>317447.40000000002</v>
      </c>
      <c r="E11" s="43">
        <f ca="1">Table12[[#This Row],[Amount]]/Table1[[#Totals],[tiyar/meters]]</f>
        <v>0.10308490466827046</v>
      </c>
    </row>
    <row r="12" spans="1:5" x14ac:dyDescent="0.3">
      <c r="B12" t="s">
        <v>55</v>
      </c>
      <c r="C12" s="11">
        <f>Table15[[#Totals],[Amount]]</f>
        <v>1408179</v>
      </c>
      <c r="E12" s="43">
        <f ca="1">Table12[[#This Row],[Amount]]/Table1[[#Totals],[tiyar/meters]]</f>
        <v>0.45727890028666301</v>
      </c>
    </row>
    <row r="13" spans="1:5" x14ac:dyDescent="0.3">
      <c r="C13" s="11"/>
      <c r="E13" s="43">
        <f ca="1">Table12[[#This Row],[Amount]]/Table1[[#Totals],[tiyar/meters]]</f>
        <v>0</v>
      </c>
    </row>
    <row r="14" spans="1:5" x14ac:dyDescent="0.3">
      <c r="C14" s="14">
        <f>SUM(Table12[Amount])</f>
        <v>32047465.399999999</v>
      </c>
      <c r="E14" s="43">
        <f ca="1">SUM(Table12[cost per meter])</f>
        <v>10.406794686674694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35080259.69275786</v>
      </c>
    </row>
    <row r="4" spans="1:3" x14ac:dyDescent="0.3">
      <c r="B4" s="11" t="s">
        <v>44</v>
      </c>
      <c r="C4" s="11">
        <f>Table12[[#Totals],[Amount]]</f>
        <v>32047465.399999999</v>
      </c>
    </row>
    <row r="5" spans="1:3" x14ac:dyDescent="0.3">
      <c r="A5" s="6"/>
      <c r="B5" s="15" t="s">
        <v>68</v>
      </c>
      <c r="C5" s="15">
        <f>C3-C4</f>
        <v>3032794.2927578613</v>
      </c>
    </row>
    <row r="10" spans="1:3" ht="15" thickBot="1" x14ac:dyDescent="0.35">
      <c r="B10" t="s">
        <v>66</v>
      </c>
      <c r="C10" s="14" t="s">
        <v>67</v>
      </c>
    </row>
    <row r="11" spans="1:3" x14ac:dyDescent="0.3">
      <c r="B11" s="56" t="s">
        <v>0</v>
      </c>
      <c r="C11" s="57">
        <f>C3</f>
        <v>35080259.69275786</v>
      </c>
    </row>
    <row r="12" spans="1:3" x14ac:dyDescent="0.3">
      <c r="B12" s="58" t="s">
        <v>69</v>
      </c>
      <c r="C12" s="59">
        <f>SUM(Table14[Credit])</f>
        <v>42477046.229517192</v>
      </c>
    </row>
    <row r="13" spans="1:3" ht="15" thickBot="1" x14ac:dyDescent="0.35">
      <c r="B13" s="74" t="s">
        <v>93</v>
      </c>
      <c r="C13" s="73">
        <f>(C11-C12)</f>
        <v>-7396786.5367593318</v>
      </c>
    </row>
    <row r="14" spans="1:3" ht="15" thickBot="1" x14ac:dyDescent="0.35">
      <c r="B14" s="58"/>
      <c r="C14" s="59"/>
    </row>
    <row r="15" spans="1:3" x14ac:dyDescent="0.3">
      <c r="B15" s="56" t="s">
        <v>44</v>
      </c>
      <c r="C15" s="57">
        <f>C4</f>
        <v>32047465.399999999</v>
      </c>
    </row>
    <row r="16" spans="1:3" x14ac:dyDescent="0.3">
      <c r="B16" s="58" t="s">
        <v>70</v>
      </c>
      <c r="C16" s="59">
        <f>SUM(Table14[Debit])</f>
        <v>42469265.399999999</v>
      </c>
    </row>
    <row r="17" spans="2:6" ht="15" thickBot="1" x14ac:dyDescent="0.35">
      <c r="B17" s="74" t="s">
        <v>71</v>
      </c>
      <c r="C17" s="73">
        <f>C15-C16</f>
        <v>-10421800</v>
      </c>
    </row>
    <row r="18" spans="2:6" ht="15" thickBot="1" x14ac:dyDescent="0.35">
      <c r="B18" s="58"/>
      <c r="C18" s="59"/>
    </row>
    <row r="19" spans="2:6" ht="15" thickBot="1" x14ac:dyDescent="0.35">
      <c r="B19" s="75" t="s">
        <v>72</v>
      </c>
      <c r="C19" s="76">
        <f>Table18[[#Totals],[amount]]</f>
        <v>15294.829517193139</v>
      </c>
    </row>
    <row r="20" spans="2:6" ht="15" thickBot="1" x14ac:dyDescent="0.35">
      <c r="B20" s="71"/>
      <c r="C20" s="72"/>
    </row>
    <row r="21" spans="2:6" ht="15" thickBot="1" x14ac:dyDescent="0.35">
      <c r="B21" s="60" t="s">
        <v>73</v>
      </c>
      <c r="C21" s="61">
        <f>(C13-C17)+C19</f>
        <v>3040308.2927578613</v>
      </c>
      <c r="E21" s="79" t="s">
        <v>74</v>
      </c>
      <c r="F21" s="125">
        <f>C5*0.05</f>
        <v>151639.71463789308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5000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5000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317447.40000000002</v>
      </c>
      <c r="E93">
        <f>SUBTOTAL(109,Table13[Credit])</f>
        <v>0</v>
      </c>
      <c r="F93">
        <f>Table13[[#Totals],[Debit]]-Table13[[#Totals],[Credit]]</f>
        <v>317447.40000000002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6"/>
  <sheetViews>
    <sheetView topLeftCell="B246" zoomScale="107" zoomScaleNormal="107" workbookViewId="0">
      <selection activeCell="I259" sqref="I259:I2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9">
        <v>46094</v>
      </c>
      <c r="B174" s="130" t="s">
        <v>22</v>
      </c>
      <c r="C174" s="131">
        <v>1612</v>
      </c>
      <c r="D174" s="131" t="s">
        <v>86</v>
      </c>
      <c r="E174" s="132">
        <v>2133</v>
      </c>
      <c r="F174" s="132">
        <v>30295</v>
      </c>
      <c r="G174" s="132">
        <v>31787</v>
      </c>
      <c r="H174" s="133">
        <f>_xlfn.XLOOKUP(Table1[[#This Row],[Shipment Number]], 'pivot '!A:A,'pivot '!G:G, "NF")</f>
        <v>4.0555000915769313</v>
      </c>
      <c r="I174" s="134">
        <f>Table1[[#This Row],[Tiyaar/gaz]]/1.0936</f>
        <v>29066.386247256771</v>
      </c>
      <c r="J174" s="134"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38">
        <v>46130</v>
      </c>
      <c r="B196" s="139" t="s">
        <v>377</v>
      </c>
      <c r="C196" s="140">
        <v>1634</v>
      </c>
      <c r="D196" s="140" t="s">
        <v>85</v>
      </c>
      <c r="E196" s="141">
        <v>2158</v>
      </c>
      <c r="F196" s="141">
        <v>29532</v>
      </c>
      <c r="G196" s="141">
        <v>31473</v>
      </c>
      <c r="H196" s="142">
        <f>_xlfn.XLOOKUP(Table1[[#This Row],[Shipment Number]], 'pivot '!A:A,'pivot '!G:G, "NF")</f>
        <v>2.5488921989175992</v>
      </c>
      <c r="I196" s="143">
        <f>Table1[[#This Row],[Tiyaar/gaz]]/1.0936</f>
        <v>28779.261155815657</v>
      </c>
      <c r="J196" s="143"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0"/>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s="122">
        <v>46151</v>
      </c>
      <c r="B253" s="120" t="s">
        <v>21</v>
      </c>
      <c r="C253" s="117">
        <v>1691</v>
      </c>
      <c r="D253" s="117" t="s">
        <v>86</v>
      </c>
      <c r="E253" s="11">
        <v>2195</v>
      </c>
      <c r="F253" s="11">
        <v>17930</v>
      </c>
      <c r="G253" s="11">
        <v>19428</v>
      </c>
      <c r="H253" s="118">
        <f>_xlfn.XLOOKUP(Table1[[#This Row],[Shipment Number]], 'pivot '!A:A,'pivot '!G:G, "NF")</f>
        <v>0.91924581941231054</v>
      </c>
      <c r="I253" s="119">
        <f>Table1[[#This Row],[Tiyaar/gaz]]/1.0936</f>
        <v>17765.179224579373</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53" s="117"/>
    </row>
    <row r="254" spans="1:11" x14ac:dyDescent="0.3">
      <c r="A254" s="122">
        <v>46151</v>
      </c>
      <c r="B254" s="120" t="s">
        <v>21</v>
      </c>
      <c r="C254" s="117">
        <v>1692</v>
      </c>
      <c r="D254" s="117" t="s">
        <v>85</v>
      </c>
      <c r="E254" s="11">
        <v>2192</v>
      </c>
      <c r="F254" s="11">
        <v>57164</v>
      </c>
      <c r="G254" s="11">
        <v>19836</v>
      </c>
      <c r="H254" s="118">
        <f>_xlfn.XLOOKUP(Table1[[#This Row],[Shipment Number]], 'pivot '!A:A,'pivot '!G:G, "NF")</f>
        <v>68.269786996660542</v>
      </c>
      <c r="I254" s="119">
        <f>Table1[[#This Row],[Tiyaar/gaz]]/1.0936</f>
        <v>18138.25896122897</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54" s="117"/>
    </row>
    <row r="255" spans="1:11" x14ac:dyDescent="0.3">
      <c r="A255" s="122">
        <v>46151</v>
      </c>
      <c r="B255" s="120" t="s">
        <v>656</v>
      </c>
      <c r="C255" s="117">
        <v>1693</v>
      </c>
      <c r="D255" s="117" t="s">
        <v>86</v>
      </c>
      <c r="E255" s="11">
        <v>2182</v>
      </c>
      <c r="F255" s="11">
        <v>99404</v>
      </c>
      <c r="G255" s="11">
        <v>37070</v>
      </c>
      <c r="H255" s="118">
        <f>_xlfn.XLOOKUP(Table1[[#This Row],[Shipment Number]], 'pivot '!A:A,'pivot '!G:G, "NF")</f>
        <v>6.694263575356814</v>
      </c>
      <c r="I255" s="119">
        <f>Table1[[#This Row],[Tiyaar/gaz]]/1.0936</f>
        <v>33897.220190197513</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55" s="117"/>
    </row>
    <row r="256" spans="1:11" x14ac:dyDescent="0.3">
      <c r="A256" s="122">
        <v>46151</v>
      </c>
      <c r="B256" s="120" t="s">
        <v>656</v>
      </c>
      <c r="C256" s="117">
        <v>1694</v>
      </c>
      <c r="D256" s="117" t="s">
        <v>86</v>
      </c>
      <c r="E256" s="11">
        <v>2182</v>
      </c>
      <c r="F256" s="11">
        <v>99404</v>
      </c>
      <c r="G256" s="11">
        <v>14046</v>
      </c>
      <c r="H256" s="118">
        <f>_xlfn.XLOOKUP(Table1[[#This Row],[Shipment Number]], 'pivot '!A:A,'pivot '!G:G, "NF")</f>
        <v>6.694263575356814</v>
      </c>
      <c r="I256" s="119">
        <f>Table1[[#This Row],[Tiyaar/gaz]]/1.0936</f>
        <v>12843.818580833944</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56" s="117"/>
    </row>
    <row r="257" spans="1:11" x14ac:dyDescent="0.3">
      <c r="A257" s="122">
        <v>46153</v>
      </c>
      <c r="B257" s="120" t="s">
        <v>656</v>
      </c>
      <c r="C257" s="117">
        <v>1695</v>
      </c>
      <c r="D257" s="117" t="s">
        <v>86</v>
      </c>
      <c r="E257" s="11">
        <v>2182</v>
      </c>
      <c r="F257" s="11">
        <v>99404</v>
      </c>
      <c r="G257" s="11">
        <v>39878</v>
      </c>
      <c r="H257" s="118">
        <f>_xlfn.XLOOKUP(Table1[[#This Row],[Shipment Number]], 'pivot '!A:A,'pivot '!G:G, "NF")</f>
        <v>6.694263575356814</v>
      </c>
      <c r="I257" s="119">
        <f>Table1[[#This Row],[Tiyaar/gaz]]/1.0936</f>
        <v>36464.886613021219</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57" s="117"/>
    </row>
    <row r="258" spans="1:11" x14ac:dyDescent="0.3">
      <c r="A258" s="122">
        <v>46153</v>
      </c>
      <c r="B258" s="120" t="s">
        <v>656</v>
      </c>
      <c r="C258" s="117">
        <v>1696</v>
      </c>
      <c r="D258" s="117" t="s">
        <v>86</v>
      </c>
      <c r="E258" s="11">
        <v>2182</v>
      </c>
      <c r="F258" s="11">
        <v>99404</v>
      </c>
      <c r="G258" s="11">
        <v>10437</v>
      </c>
      <c r="H258" s="118">
        <f>_xlfn.XLOOKUP(Table1[[#This Row],[Shipment Number]], 'pivot '!A:A,'pivot '!G:G, "NF")</f>
        <v>6.694263575356814</v>
      </c>
      <c r="I258" s="119">
        <f>Table1[[#This Row],[Tiyaar/gaz]]/1.0936</f>
        <v>9543.7088514996358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58" s="117"/>
    </row>
    <row r="259" spans="1:11" x14ac:dyDescent="0.3">
      <c r="A259" s="122">
        <v>46154</v>
      </c>
      <c r="B259" s="120" t="s">
        <v>312</v>
      </c>
      <c r="C259" s="117">
        <v>1697</v>
      </c>
      <c r="D259" s="117" t="s">
        <v>86</v>
      </c>
      <c r="E259" s="11" t="s">
        <v>791</v>
      </c>
      <c r="F259" s="11">
        <v>7846</v>
      </c>
      <c r="G259" s="11">
        <v>8229</v>
      </c>
      <c r="H259" s="118">
        <f>_xlfn.XLOOKUP(Table1[[#This Row],[Shipment Number]], 'pivot '!A:A,'pivot '!G:G, "NF")</f>
        <v>4.0952192171876334</v>
      </c>
      <c r="I259" s="119">
        <f>Table1[[#This Row],[Tiyaar/gaz]]/1.0936</f>
        <v>7524.6891002194598</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59" s="117"/>
    </row>
    <row r="260" spans="1:11" x14ac:dyDescent="0.3">
      <c r="A260" s="122">
        <v>46154</v>
      </c>
      <c r="B260" s="120" t="s">
        <v>312</v>
      </c>
      <c r="C260" s="117">
        <v>1698</v>
      </c>
      <c r="D260" s="117" t="s">
        <v>86</v>
      </c>
      <c r="E260" s="11">
        <v>2176</v>
      </c>
      <c r="F260" s="11">
        <v>17218</v>
      </c>
      <c r="G260" s="11">
        <v>18230</v>
      </c>
      <c r="H260" s="118">
        <f>_xlfn.XLOOKUP(Table1[[#This Row],[Shipment Number]], 'pivot '!A:A,'pivot '!G:G, "NF")</f>
        <v>3.1843727277802287</v>
      </c>
      <c r="I260" s="119">
        <f>Table1[[#This Row],[Tiyaar/gaz]]/1.0936</f>
        <v>16669.714703730799</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60" s="117"/>
    </row>
    <row r="261" spans="1:11" x14ac:dyDescent="0.3">
      <c r="A261" s="122">
        <v>46154</v>
      </c>
      <c r="B261" s="120" t="s">
        <v>312</v>
      </c>
      <c r="C261" s="117">
        <v>1699</v>
      </c>
      <c r="D261" s="117" t="s">
        <v>86</v>
      </c>
      <c r="E261" s="11">
        <v>2173</v>
      </c>
      <c r="F261" s="11">
        <v>46820</v>
      </c>
      <c r="G261" s="11">
        <v>27486</v>
      </c>
      <c r="H261" s="118">
        <f>_xlfn.XLOOKUP(Table1[[#This Row],[Shipment Number]], 'pivot '!A:A,'pivot '!G:G, "NF")</f>
        <v>7.1058298259423651</v>
      </c>
      <c r="I261" s="119">
        <f>Table1[[#This Row],[Tiyaar/gaz]]/1.0936</f>
        <v>25133.504023408928</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61" s="117"/>
    </row>
    <row r="262" spans="1:11" x14ac:dyDescent="0.3">
      <c r="A262" s="122">
        <v>46154</v>
      </c>
      <c r="B262" s="120" t="s">
        <v>312</v>
      </c>
      <c r="C262" s="117">
        <v>1700</v>
      </c>
      <c r="D262" s="117" t="s">
        <v>86</v>
      </c>
      <c r="E262" s="11">
        <v>2173</v>
      </c>
      <c r="F262" s="11">
        <v>46820</v>
      </c>
      <c r="G262" s="11">
        <v>20078</v>
      </c>
      <c r="H262" s="118">
        <f>_xlfn.XLOOKUP(Table1[[#This Row],[Shipment Number]], 'pivot '!A:A,'pivot '!G:G, "NF")</f>
        <v>7.1058298259423651</v>
      </c>
      <c r="I262" s="119">
        <f>Table1[[#This Row],[Tiyaar/gaz]]/1.0936</f>
        <v>18359.546452084858</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62" s="117"/>
    </row>
    <row r="263" spans="1:11" x14ac:dyDescent="0.3">
      <c r="A263" s="122">
        <v>46154</v>
      </c>
      <c r="B263" s="120" t="s">
        <v>21</v>
      </c>
      <c r="C263" s="117">
        <v>1701</v>
      </c>
      <c r="D263" s="117" t="s">
        <v>86</v>
      </c>
      <c r="E263" s="11">
        <v>2200</v>
      </c>
      <c r="F263" s="11">
        <v>37514</v>
      </c>
      <c r="G263" s="11">
        <v>40509</v>
      </c>
      <c r="H263" s="118">
        <f>_xlfn.XLOOKUP(Table1[[#This Row],[Shipment Number]], 'pivot '!A:A,'pivot '!G:G, "NF")</f>
        <v>1.2585167423864192</v>
      </c>
      <c r="I263" s="119">
        <f>Table1[[#This Row],[Tiyaar/gaz]]/1.0936</f>
        <v>37041.880029261156</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63" s="117"/>
    </row>
    <row r="264" spans="1:11" x14ac:dyDescent="0.3">
      <c r="A264" s="122">
        <v>46155</v>
      </c>
      <c r="B264" s="120" t="s">
        <v>716</v>
      </c>
      <c r="C264" s="117">
        <v>1702</v>
      </c>
      <c r="D264" s="117" t="s">
        <v>86</v>
      </c>
      <c r="E264" s="11">
        <v>2194</v>
      </c>
      <c r="F264" s="11">
        <v>30184</v>
      </c>
      <c r="G264" s="11">
        <v>7748</v>
      </c>
      <c r="H264" s="118">
        <f>_xlfn.XLOOKUP(Table1[[#This Row],[Shipment Number]], 'pivot '!A:A,'pivot '!G:G, "NF")</f>
        <v>3.6329919725706645</v>
      </c>
      <c r="I264" s="119">
        <f>Table1[[#This Row],[Tiyaar/gaz]]/1.0936</f>
        <v>7084.8573518653993</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64" s="117"/>
    </row>
    <row r="265" spans="1:11" x14ac:dyDescent="0.3">
      <c r="A265" s="122">
        <v>46155</v>
      </c>
      <c r="B265" s="120" t="s">
        <v>716</v>
      </c>
      <c r="C265" s="117">
        <v>1703</v>
      </c>
      <c r="D265" s="117" t="s">
        <v>86</v>
      </c>
      <c r="E265" s="11">
        <v>2194</v>
      </c>
      <c r="F265" s="11">
        <v>30184</v>
      </c>
      <c r="G265" s="11">
        <v>24062</v>
      </c>
      <c r="H265" s="118">
        <f>_xlfn.XLOOKUP(Table1[[#This Row],[Shipment Number]], 'pivot '!A:A,'pivot '!G:G, "NF")</f>
        <v>3.6329919725706645</v>
      </c>
      <c r="I265" s="119">
        <f>Table1[[#This Row],[Tiyaar/gaz]]/1.0936</f>
        <v>22002.56035113387</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65" s="117"/>
    </row>
    <row r="266" spans="1:11" x14ac:dyDescent="0.3">
      <c r="A266"/>
      <c r="B266"/>
      <c r="C266"/>
      <c r="D266"/>
      <c r="E266" s="14"/>
      <c r="F266" s="14"/>
      <c r="G266" s="14"/>
      <c r="H266" s="43"/>
      <c r="I266" s="93" cm="1">
        <f t="array" aca="1" ref="I266" ca="1">SUMPRODUCT( SUBTOTAL(109, OFFSET(Table1[tiyar/meters], ROW(Table1[tiyar/meters])-MIN(ROW(Table1[tiyar/meters])), 0, 1)), --(Table1[Bill Number]&lt;&gt;"January Closing CF") )</f>
        <v>3079475.1280175587</v>
      </c>
      <c r="J266" s="43" cm="1">
        <f t="array" aca="1" ref="J266" ca="1">SUMPRODUCT( SUBTOTAL(109, OFFSET(Table1[billing], ROW(Table1[billing])-MIN(ROW(Table1[billing])), 0, 1)), --(Table1[Bill Number]&lt;&gt;"January Closing CF") )</f>
        <v>35080259.692757882</v>
      </c>
      <c r="K266" s="14">
        <f>SUMIFS(Table1[billing], Table1[Bill Number], "&lt;&gt;January Closing CF")</f>
        <v>35080259.692757882</v>
      </c>
    </row>
  </sheetData>
  <phoneticPr fontId="7" alignment="center"/>
  <conditionalFormatting sqref="H2:H26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77" zoomScale="145" zoomScaleNormal="90" workbookViewId="0">
      <selection activeCell="G80" sqref="G80:G8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f>1271575+63000</f>
        <v>1334575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14876865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1200</v>
      </c>
      <c r="F67" s="11">
        <v>82600</v>
      </c>
      <c r="G67" s="11">
        <f t="shared" si="2"/>
        <v>499200</v>
      </c>
      <c r="H67" s="11"/>
      <c r="I67" s="11">
        <f>(D67*E67)-Table3[[#This Row],[Paid]]</f>
        <v>499200</v>
      </c>
      <c r="L67" s="42" t="s">
        <v>103</v>
      </c>
      <c r="M67" s="14">
        <v>285</v>
      </c>
      <c r="N67" s="14">
        <v>280020</v>
      </c>
      <c r="O67" s="14"/>
      <c r="P67" s="14">
        <v>280020</v>
      </c>
    </row>
    <row r="68" spans="1:16" x14ac:dyDescent="0.3">
      <c r="A68" s="1">
        <v>46142</v>
      </c>
      <c r="B68" t="s">
        <v>692</v>
      </c>
      <c r="D68" s="11">
        <v>245</v>
      </c>
      <c r="E68" s="11">
        <v>920</v>
      </c>
      <c r="F68" s="11">
        <v>26000</v>
      </c>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v>46151</v>
      </c>
      <c r="M74" s="14">
        <v>362</v>
      </c>
      <c r="N74" s="14">
        <v>383720</v>
      </c>
      <c r="O74" s="14"/>
      <c r="P74" s="14">
        <v>383720</v>
      </c>
    </row>
    <row r="75" spans="1:16" x14ac:dyDescent="0.3">
      <c r="A75" s="1">
        <v>46147</v>
      </c>
      <c r="B75" t="s">
        <v>224</v>
      </c>
      <c r="D75" s="11">
        <f>217-35</f>
        <v>182</v>
      </c>
      <c r="E75" s="11">
        <v>1060</v>
      </c>
      <c r="F75" s="11"/>
      <c r="G75" s="11">
        <f t="shared" si="2"/>
        <v>192920</v>
      </c>
      <c r="H75" s="11"/>
      <c r="I75" s="11">
        <f>(D75*E75)-Table3[[#This Row],[Paid]]</f>
        <v>192920</v>
      </c>
      <c r="L75" s="42" t="s">
        <v>103</v>
      </c>
      <c r="M75" s="14">
        <v>362</v>
      </c>
      <c r="N75" s="14">
        <v>383720</v>
      </c>
      <c r="O75" s="14"/>
      <c r="P75" s="14">
        <v>383720</v>
      </c>
    </row>
    <row r="76" spans="1:16" x14ac:dyDescent="0.3">
      <c r="A76" s="1">
        <v>46147</v>
      </c>
      <c r="B76" t="s">
        <v>224</v>
      </c>
      <c r="D76" s="11">
        <v>35</v>
      </c>
      <c r="E76" s="11">
        <v>600</v>
      </c>
      <c r="F76" s="11"/>
      <c r="G76" s="11">
        <f t="shared" si="2"/>
        <v>21000</v>
      </c>
      <c r="H76" s="11"/>
      <c r="I76" s="11">
        <f>(D76*E76)-Table3[[#This Row],[Paid]]</f>
        <v>21000</v>
      </c>
      <c r="L76" s="26">
        <v>46152</v>
      </c>
      <c r="M76" s="14">
        <v>259</v>
      </c>
      <c r="N76" s="14">
        <v>271950</v>
      </c>
      <c r="O76" s="14"/>
      <c r="P76" s="14">
        <v>271950</v>
      </c>
    </row>
    <row r="77" spans="1:16" x14ac:dyDescent="0.3">
      <c r="A77" s="1">
        <v>46148</v>
      </c>
      <c r="B77" t="s">
        <v>733</v>
      </c>
      <c r="D77" s="11">
        <v>261</v>
      </c>
      <c r="E77" s="11">
        <v>1050</v>
      </c>
      <c r="F77" s="11"/>
      <c r="G77" s="11">
        <f t="shared" si="2"/>
        <v>274050</v>
      </c>
      <c r="H77" s="11"/>
      <c r="I77" s="11">
        <f>(D77*E77)-Table3[[#This Row],[Paid]]</f>
        <v>274050</v>
      </c>
      <c r="L77" s="42" t="s">
        <v>103</v>
      </c>
      <c r="M77" s="14">
        <v>259</v>
      </c>
      <c r="N77" s="14">
        <v>271950</v>
      </c>
      <c r="O77" s="14"/>
      <c r="P77" s="14">
        <v>271950</v>
      </c>
    </row>
    <row r="78" spans="1:16" x14ac:dyDescent="0.3">
      <c r="A78" s="1">
        <v>46148</v>
      </c>
      <c r="B78" t="s">
        <v>692</v>
      </c>
      <c r="D78" s="11">
        <v>276</v>
      </c>
      <c r="E78" s="11">
        <v>980</v>
      </c>
      <c r="F78" s="11"/>
      <c r="G78" s="11">
        <f t="shared" si="2"/>
        <v>270480</v>
      </c>
      <c r="H78" s="11"/>
      <c r="I78" s="11">
        <f>(D78*E78)-Table3[[#This Row],[Paid]]</f>
        <v>270480</v>
      </c>
      <c r="L78" s="26">
        <v>46153</v>
      </c>
      <c r="M78" s="14">
        <v>273</v>
      </c>
      <c r="N78" s="14">
        <v>163800</v>
      </c>
      <c r="O78" s="14"/>
      <c r="P78" s="14">
        <v>163800</v>
      </c>
    </row>
    <row r="79" spans="1:16" x14ac:dyDescent="0.3">
      <c r="A79" s="1">
        <v>46148</v>
      </c>
      <c r="B79" t="s">
        <v>733</v>
      </c>
      <c r="D79" s="11">
        <v>269</v>
      </c>
      <c r="E79" s="11">
        <v>1050</v>
      </c>
      <c r="F79" s="11">
        <v>24500</v>
      </c>
      <c r="G79" s="11">
        <f t="shared" si="2"/>
        <v>282450</v>
      </c>
      <c r="H79" s="11"/>
      <c r="I79" s="11">
        <f>(D79*E79)-Table3[[#This Row],[Paid]]</f>
        <v>282450</v>
      </c>
      <c r="L79" s="42" t="s">
        <v>103</v>
      </c>
      <c r="M79" s="14">
        <v>273</v>
      </c>
      <c r="N79" s="14">
        <v>163800</v>
      </c>
      <c r="O79" s="14"/>
      <c r="P79" s="14">
        <v>163800</v>
      </c>
    </row>
    <row r="80" spans="1:16" x14ac:dyDescent="0.3">
      <c r="A80" s="1">
        <v>46149</v>
      </c>
      <c r="B80" t="s">
        <v>733</v>
      </c>
      <c r="D80" s="11">
        <v>284</v>
      </c>
      <c r="E80" s="11">
        <v>600</v>
      </c>
      <c r="F80" s="11">
        <v>25000</v>
      </c>
      <c r="G80" s="11">
        <f t="shared" ref="G80:G88" si="4">D80*E80</f>
        <v>170400</v>
      </c>
      <c r="H80" s="11"/>
      <c r="I80" s="11">
        <f>(D80*E80)-Table3[[#This Row],[Paid]]</f>
        <v>170400</v>
      </c>
      <c r="L80" s="26">
        <v>46154</v>
      </c>
      <c r="M80" s="14">
        <v>905</v>
      </c>
      <c r="N80" s="14">
        <v>956280</v>
      </c>
      <c r="O80" s="14"/>
      <c r="P80" s="14">
        <v>956280</v>
      </c>
    </row>
    <row r="81" spans="1:16" x14ac:dyDescent="0.3">
      <c r="A81" s="1">
        <v>46149</v>
      </c>
      <c r="B81" t="s">
        <v>196</v>
      </c>
      <c r="D81" s="11">
        <v>188</v>
      </c>
      <c r="E81" s="11">
        <v>1030</v>
      </c>
      <c r="F81" s="11"/>
      <c r="G81" s="11">
        <f t="shared" si="4"/>
        <v>193640</v>
      </c>
      <c r="H81" s="11"/>
      <c r="I81" s="11">
        <f>(D81*E81)-Table3[[#This Row],[Paid]]</f>
        <v>193640</v>
      </c>
      <c r="L81" s="42" t="s">
        <v>103</v>
      </c>
      <c r="M81" s="14">
        <v>905</v>
      </c>
      <c r="N81" s="14">
        <v>956280</v>
      </c>
      <c r="O81" s="14"/>
      <c r="P81" s="14">
        <v>956280</v>
      </c>
    </row>
    <row r="82" spans="1:16" x14ac:dyDescent="0.3">
      <c r="A82" s="1">
        <v>46151</v>
      </c>
      <c r="B82" t="s">
        <v>224</v>
      </c>
      <c r="D82" s="11">
        <v>362</v>
      </c>
      <c r="E82" s="11">
        <v>1060</v>
      </c>
      <c r="F82" s="11"/>
      <c r="G82" s="11">
        <f t="shared" si="4"/>
        <v>383720</v>
      </c>
      <c r="H82" s="11"/>
      <c r="I82" s="11">
        <f>(D82*E82)-Table3[[#This Row],[Paid]]</f>
        <v>383720</v>
      </c>
      <c r="L82" s="26" t="s">
        <v>28</v>
      </c>
      <c r="M82" s="14">
        <v>16553</v>
      </c>
      <c r="N82" s="14">
        <v>14401465</v>
      </c>
      <c r="O82" s="14">
        <v>0</v>
      </c>
      <c r="P82" s="14">
        <v>18455491</v>
      </c>
    </row>
    <row r="83" spans="1:16" x14ac:dyDescent="0.3">
      <c r="A83" s="1">
        <v>46152</v>
      </c>
      <c r="B83" t="s">
        <v>733</v>
      </c>
      <c r="D83" s="11">
        <v>259</v>
      </c>
      <c r="E83" s="11">
        <v>1050</v>
      </c>
      <c r="F83" s="11"/>
      <c r="G83" s="11">
        <f t="shared" si="4"/>
        <v>271950</v>
      </c>
      <c r="H83" s="11"/>
      <c r="I83" s="11">
        <f>(D83*E83)-Table3[[#This Row],[Paid]]</f>
        <v>271950</v>
      </c>
    </row>
    <row r="84" spans="1:16" x14ac:dyDescent="0.3">
      <c r="A84" s="1">
        <v>46153</v>
      </c>
      <c r="B84" t="s">
        <v>733</v>
      </c>
      <c r="D84" s="11">
        <v>273</v>
      </c>
      <c r="E84" s="11">
        <v>600</v>
      </c>
      <c r="F84" s="11"/>
      <c r="G84" s="11">
        <f t="shared" si="4"/>
        <v>163800</v>
      </c>
      <c r="H84" s="11"/>
      <c r="I84" s="11">
        <f>(D84*E84)-Table3[[#This Row],[Paid]]</f>
        <v>163800</v>
      </c>
    </row>
    <row r="85" spans="1:16" x14ac:dyDescent="0.3">
      <c r="A85" s="1">
        <v>46154</v>
      </c>
      <c r="B85" t="s">
        <v>224</v>
      </c>
      <c r="D85" s="11">
        <v>394</v>
      </c>
      <c r="E85" s="11">
        <v>1060</v>
      </c>
      <c r="F85" s="11"/>
      <c r="G85" s="11">
        <f t="shared" si="4"/>
        <v>417640</v>
      </c>
      <c r="H85" s="11"/>
      <c r="I85" s="11">
        <f>(D85*E85)-Table3[[#This Row],[Paid]]</f>
        <v>417640</v>
      </c>
    </row>
    <row r="86" spans="1:16" x14ac:dyDescent="0.3">
      <c r="A86" s="1">
        <v>46154</v>
      </c>
      <c r="B86" t="s">
        <v>224</v>
      </c>
      <c r="D86" s="11">
        <v>209</v>
      </c>
      <c r="E86" s="11">
        <v>1060</v>
      </c>
      <c r="F86" s="11"/>
      <c r="G86" s="11">
        <f t="shared" si="4"/>
        <v>221540</v>
      </c>
      <c r="H86" s="11"/>
      <c r="I86" s="11">
        <f>(D86*E86)-Table3[[#This Row],[Paid]]</f>
        <v>221540</v>
      </c>
    </row>
    <row r="87" spans="1:16" x14ac:dyDescent="0.3">
      <c r="A87" s="1">
        <v>46154</v>
      </c>
      <c r="B87" t="s">
        <v>733</v>
      </c>
      <c r="D87" s="11">
        <v>302</v>
      </c>
      <c r="E87" s="11">
        <v>1050</v>
      </c>
      <c r="F87" s="11"/>
      <c r="G87" s="11">
        <f t="shared" si="4"/>
        <v>317100</v>
      </c>
      <c r="H87" s="11"/>
      <c r="I87" s="11">
        <f>(D87*E87)-Table3[[#This Row],[Paid]]</f>
        <v>317100</v>
      </c>
    </row>
    <row r="88" spans="1:16" x14ac:dyDescent="0.3">
      <c r="A88" s="1">
        <v>46156</v>
      </c>
      <c r="B88" t="s">
        <v>224</v>
      </c>
      <c r="D88" s="11">
        <v>482</v>
      </c>
      <c r="E88" s="11">
        <v>900</v>
      </c>
      <c r="F88" s="11"/>
      <c r="G88" s="11">
        <f t="shared" si="4"/>
        <v>433800</v>
      </c>
      <c r="H88" s="11"/>
      <c r="I88" s="11">
        <f>(D88*E88)-Table3[[#This Row],[Paid]]</f>
        <v>433800</v>
      </c>
    </row>
    <row r="89" spans="1:16" x14ac:dyDescent="0.3">
      <c r="A89" s="1"/>
      <c r="D89" s="11"/>
      <c r="E89" s="11"/>
      <c r="F89" s="11"/>
      <c r="G89" s="11">
        <f t="shared" ref="G87:G125" si="5">D89*E89</f>
        <v>0</v>
      </c>
      <c r="H89" s="11"/>
      <c r="I89" s="11">
        <f>(D89*E89)-Table3[[#This Row],[Paid]]</f>
        <v>0</v>
      </c>
    </row>
    <row r="90" spans="1:16" x14ac:dyDescent="0.3">
      <c r="A90" s="1"/>
      <c r="D90" s="11"/>
      <c r="E90" s="11"/>
      <c r="F90" s="11"/>
      <c r="G90" s="11">
        <f t="shared" si="5"/>
        <v>0</v>
      </c>
      <c r="H90" s="11"/>
      <c r="I90" s="11">
        <f>(D90*E90)-Table3[[#This Row],[Paid]]</f>
        <v>0</v>
      </c>
    </row>
    <row r="91" spans="1:16" x14ac:dyDescent="0.3">
      <c r="A91" s="1"/>
      <c r="D91" s="11"/>
      <c r="E91" s="11"/>
      <c r="F91" s="11"/>
      <c r="G91" s="11">
        <f t="shared" si="5"/>
        <v>0</v>
      </c>
      <c r="H91" s="11"/>
      <c r="I91" s="11">
        <f>(D91*E91)-Table3[[#This Row],[Paid]]</f>
        <v>0</v>
      </c>
    </row>
    <row r="92" spans="1:16" x14ac:dyDescent="0.3">
      <c r="A92" s="1"/>
      <c r="D92" s="11"/>
      <c r="E92" s="11"/>
      <c r="F92" s="11"/>
      <c r="G92" s="11">
        <f t="shared" si="5"/>
        <v>0</v>
      </c>
      <c r="H92" s="11"/>
      <c r="I92" s="11">
        <f>(D92*E92)-Table3[[#This Row],[Paid]]</f>
        <v>0</v>
      </c>
    </row>
    <row r="93" spans="1:16" x14ac:dyDescent="0.3">
      <c r="A93" s="1"/>
      <c r="D93" s="11"/>
      <c r="E93" s="11"/>
      <c r="F93" s="11"/>
      <c r="G93" s="11">
        <f t="shared" si="5"/>
        <v>0</v>
      </c>
      <c r="H93" s="11"/>
      <c r="I93" s="11">
        <f>(D93*E93)-Table3[[#This Row],[Paid]]</f>
        <v>0</v>
      </c>
    </row>
    <row r="94" spans="1:16" x14ac:dyDescent="0.3">
      <c r="A94" s="1"/>
      <c r="D94" s="11"/>
      <c r="E94" s="11"/>
      <c r="F94" s="11"/>
      <c r="G94" s="11">
        <f t="shared" si="5"/>
        <v>0</v>
      </c>
      <c r="H94" s="11"/>
      <c r="I94" s="11">
        <f>(D94*E94)-Table3[[#This Row],[Paid]]</f>
        <v>0</v>
      </c>
    </row>
    <row r="95" spans="1:16" x14ac:dyDescent="0.3">
      <c r="A95" s="1"/>
      <c r="D95" s="11"/>
      <c r="E95" s="11"/>
      <c r="F95" s="11"/>
      <c r="G95" s="11">
        <f t="shared" si="5"/>
        <v>0</v>
      </c>
      <c r="H95" s="11"/>
      <c r="I95" s="11">
        <f>(D95*E95)-Table3[[#This Row],[Paid]]</f>
        <v>0</v>
      </c>
    </row>
    <row r="96" spans="1:16"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14876865</v>
      </c>
      <c r="H127" s="14">
        <f>SUBTOTAL(109,Table3[Paid])</f>
        <v>0</v>
      </c>
      <c r="I127" s="14">
        <f>SUBTOTAL(109,Table3[balance])</f>
        <v>18993891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24"/>
  <sheetViews>
    <sheetView topLeftCell="A899" zoomScale="106" zoomScaleNormal="70" workbookViewId="0">
      <selection activeCell="A923" sqref="A92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42469265.399999999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42477046.229517192</v>
      </c>
      <c r="M5" s="45" t="s">
        <v>108</v>
      </c>
      <c r="N5" s="46">
        <f>(SUMIFS(Table14[Credit],Table14[Mode],"Bank")-SUMIFS(Table14[Debit],Table14[Mode],"Bank")-SUMIFS(Table14[Withdrawal],Table14[Mode],"Transfer"))</f>
        <v>626210.82951719314</v>
      </c>
      <c r="O5">
        <v>360000</v>
      </c>
    </row>
    <row r="6" spans="1:16" x14ac:dyDescent="0.3">
      <c r="A6" s="114">
        <v>46042</v>
      </c>
      <c r="B6" s="80" t="s">
        <v>221</v>
      </c>
      <c r="C6" s="11">
        <v>783072</v>
      </c>
      <c r="D6" s="86"/>
      <c r="E6" s="80" t="s">
        <v>223</v>
      </c>
      <c r="F6" s="87" t="s">
        <v>108</v>
      </c>
      <c r="J6" s="52" t="s">
        <v>43</v>
      </c>
      <c r="K6" s="53">
        <f>(K5-K4)</f>
        <v>7780.8295171931386</v>
      </c>
      <c r="M6" s="45" t="s">
        <v>109</v>
      </c>
      <c r="N6" s="46">
        <f>((SUMIFS(Table14[Credit],Table14[Mode],"Cash")-SUMIFS(Table14[Debit],Table14[Mode],"Cash"))+SUMIFS(Table14[Withdrawal],Table14[Party],"Cash",Table14[Mode],"Transfer"))</f>
        <v>-610916</v>
      </c>
      <c r="O6">
        <v>50000</v>
      </c>
    </row>
    <row r="7" spans="1:16" x14ac:dyDescent="0.3">
      <c r="A7" s="149">
        <v>46054</v>
      </c>
      <c r="B7" s="126" t="s">
        <v>220</v>
      </c>
      <c r="C7" s="127"/>
      <c r="D7" s="127">
        <v>20000</v>
      </c>
      <c r="E7" s="126"/>
      <c r="F7" s="128" t="s">
        <v>108</v>
      </c>
      <c r="M7" s="48" t="s">
        <v>5</v>
      </c>
      <c r="N7" s="49">
        <f>SUM(N5:N6)</f>
        <v>15294.829517193139</v>
      </c>
      <c r="O7" s="89">
        <f>SUM(O5,O6)</f>
        <v>410000</v>
      </c>
      <c r="P7" s="14">
        <f>Table18[[#Totals],[amount]]-Table18[[#Totals],[Actual]]</f>
        <v>-394705.17048280686</v>
      </c>
    </row>
    <row r="8" spans="1:16" x14ac:dyDescent="0.3">
      <c r="A8" s="38">
        <v>46073</v>
      </c>
      <c r="B8" t="s">
        <v>225</v>
      </c>
      <c r="C8" s="11"/>
      <c r="D8" s="11">
        <v>200000</v>
      </c>
      <c r="E8" t="s">
        <v>253</v>
      </c>
      <c r="F8" s="110" t="s">
        <v>108</v>
      </c>
    </row>
    <row r="9" spans="1:16" x14ac:dyDescent="0.3">
      <c r="A9" s="114">
        <v>46073</v>
      </c>
      <c r="B9" t="s">
        <v>55</v>
      </c>
      <c r="C9" s="11">
        <v>8315</v>
      </c>
      <c r="D9" s="11"/>
      <c r="E9" t="s">
        <v>250</v>
      </c>
      <c r="F9" s="110" t="s">
        <v>108</v>
      </c>
    </row>
    <row r="10" spans="1:16" x14ac:dyDescent="0.3">
      <c r="A10" s="38">
        <v>46073</v>
      </c>
      <c r="B10" t="s">
        <v>55</v>
      </c>
      <c r="C10" s="11">
        <v>1100</v>
      </c>
      <c r="D10" s="11"/>
      <c r="E10" t="s">
        <v>254</v>
      </c>
      <c r="F10" s="110" t="s">
        <v>108</v>
      </c>
    </row>
    <row r="11" spans="1:16" x14ac:dyDescent="0.3">
      <c r="A11" s="114">
        <v>46073</v>
      </c>
      <c r="B11" t="s">
        <v>55</v>
      </c>
      <c r="C11" s="11">
        <v>240</v>
      </c>
      <c r="D11" s="11"/>
      <c r="F11" s="110" t="s">
        <v>108</v>
      </c>
    </row>
    <row r="12" spans="1:16" x14ac:dyDescent="0.3">
      <c r="A12" s="38">
        <v>46073</v>
      </c>
      <c r="B12" t="s">
        <v>55</v>
      </c>
      <c r="C12" s="11">
        <v>4550</v>
      </c>
      <c r="D12" s="11"/>
      <c r="E12" t="s">
        <v>255</v>
      </c>
      <c r="F12" s="110" t="s">
        <v>108</v>
      </c>
    </row>
    <row r="13" spans="1:16" x14ac:dyDescent="0.3">
      <c r="A13" s="114">
        <v>46073</v>
      </c>
      <c r="B13" t="s">
        <v>55</v>
      </c>
      <c r="C13" s="11">
        <v>10750</v>
      </c>
      <c r="D13" s="11"/>
      <c r="E13" t="s">
        <v>256</v>
      </c>
      <c r="F13" s="110" t="s">
        <v>108</v>
      </c>
    </row>
    <row r="14" spans="1:16" x14ac:dyDescent="0.3">
      <c r="A14" s="38">
        <v>46073</v>
      </c>
      <c r="B14" t="s">
        <v>257</v>
      </c>
      <c r="C14" s="11">
        <v>64290</v>
      </c>
      <c r="D14" s="11"/>
      <c r="E14" t="s">
        <v>242</v>
      </c>
      <c r="F14" s="110" t="s">
        <v>108</v>
      </c>
    </row>
    <row r="15" spans="1:16" x14ac:dyDescent="0.3">
      <c r="A15" s="114">
        <v>46073</v>
      </c>
      <c r="B15" t="s">
        <v>220</v>
      </c>
      <c r="C15" s="11"/>
      <c r="D15" s="11">
        <v>947000</v>
      </c>
      <c r="E15" t="s">
        <v>258</v>
      </c>
      <c r="F15" s="110" t="s">
        <v>108</v>
      </c>
    </row>
    <row r="16" spans="1:16" x14ac:dyDescent="0.3">
      <c r="A16" s="38">
        <v>46073</v>
      </c>
      <c r="B16" t="s">
        <v>175</v>
      </c>
      <c r="C16" s="11"/>
      <c r="D16" s="11">
        <v>694000</v>
      </c>
      <c r="E16" t="s">
        <v>259</v>
      </c>
      <c r="F16" s="110" t="s">
        <v>108</v>
      </c>
    </row>
    <row r="17" spans="1:6" x14ac:dyDescent="0.3">
      <c r="A17" s="114">
        <v>46073</v>
      </c>
      <c r="B17" t="s">
        <v>55</v>
      </c>
      <c r="C17" s="11">
        <v>2850</v>
      </c>
      <c r="D17" s="11"/>
      <c r="E17" t="s">
        <v>260</v>
      </c>
      <c r="F17" s="110" t="s">
        <v>108</v>
      </c>
    </row>
    <row r="18" spans="1:6" x14ac:dyDescent="0.3">
      <c r="A18" s="38">
        <v>46073</v>
      </c>
      <c r="B18" t="s">
        <v>220</v>
      </c>
      <c r="C18" s="11"/>
      <c r="D18" s="11">
        <v>450000</v>
      </c>
      <c r="E18" t="s">
        <v>261</v>
      </c>
      <c r="F18" s="110" t="s">
        <v>108</v>
      </c>
    </row>
    <row r="19" spans="1:6" x14ac:dyDescent="0.3">
      <c r="A19" s="114">
        <v>46073</v>
      </c>
      <c r="B19" t="s">
        <v>51</v>
      </c>
      <c r="C19" s="95">
        <v>2222081</v>
      </c>
      <c r="D19" s="95"/>
      <c r="E19" t="s">
        <v>216</v>
      </c>
      <c r="F19" s="110" t="s">
        <v>108</v>
      </c>
    </row>
    <row r="20" spans="1:6" x14ac:dyDescent="0.3">
      <c r="A20" s="38">
        <v>46073</v>
      </c>
      <c r="B20" t="s">
        <v>55</v>
      </c>
      <c r="C20" s="11">
        <v>1000</v>
      </c>
      <c r="D20" s="11"/>
      <c r="F20" s="110" t="s">
        <v>108</v>
      </c>
    </row>
    <row r="21" spans="1:6" x14ac:dyDescent="0.3">
      <c r="A21" s="114">
        <v>46073</v>
      </c>
      <c r="B21" t="s">
        <v>55</v>
      </c>
      <c r="C21" s="11">
        <v>26300</v>
      </c>
      <c r="D21" s="11"/>
      <c r="E21" t="s">
        <v>262</v>
      </c>
      <c r="F21" s="110" t="s">
        <v>108</v>
      </c>
    </row>
    <row r="22" spans="1:6" x14ac:dyDescent="0.3">
      <c r="A22" s="38">
        <v>46073</v>
      </c>
      <c r="B22" t="s">
        <v>220</v>
      </c>
      <c r="C22" s="11"/>
      <c r="D22" s="11">
        <v>130000</v>
      </c>
      <c r="E22" t="s">
        <v>263</v>
      </c>
      <c r="F22" s="110" t="s">
        <v>108</v>
      </c>
    </row>
    <row r="23" spans="1:6" x14ac:dyDescent="0.3">
      <c r="A23" s="114">
        <v>46073</v>
      </c>
      <c r="B23" t="s">
        <v>228</v>
      </c>
      <c r="C23" s="11"/>
      <c r="D23" s="11">
        <v>100000</v>
      </c>
      <c r="F23" s="110" t="s">
        <v>108</v>
      </c>
    </row>
    <row r="24" spans="1:6" x14ac:dyDescent="0.3">
      <c r="A24" s="38">
        <v>46073</v>
      </c>
      <c r="B24" t="s">
        <v>220</v>
      </c>
      <c r="C24" s="11">
        <v>100000</v>
      </c>
      <c r="D24" s="11"/>
      <c r="E24" t="s">
        <v>264</v>
      </c>
      <c r="F24" s="110" t="s">
        <v>108</v>
      </c>
    </row>
    <row r="25" spans="1:6" x14ac:dyDescent="0.3">
      <c r="A25" s="114">
        <v>46073</v>
      </c>
      <c r="B25" t="s">
        <v>54</v>
      </c>
      <c r="C25" s="11">
        <v>6600</v>
      </c>
      <c r="D25" s="11"/>
      <c r="F25" s="110" t="s">
        <v>108</v>
      </c>
    </row>
    <row r="26" spans="1:6" x14ac:dyDescent="0.3">
      <c r="A26" s="38">
        <v>46073</v>
      </c>
      <c r="B26" t="s">
        <v>225</v>
      </c>
      <c r="C26" s="11"/>
      <c r="D26" s="11">
        <v>100000</v>
      </c>
      <c r="E26" t="s">
        <v>265</v>
      </c>
      <c r="F26" s="110" t="s">
        <v>108</v>
      </c>
    </row>
    <row r="27" spans="1:6" x14ac:dyDescent="0.3">
      <c r="A27" s="114">
        <v>46073</v>
      </c>
      <c r="B27" t="s">
        <v>252</v>
      </c>
      <c r="C27" s="11">
        <v>100000</v>
      </c>
      <c r="D27" s="11"/>
      <c r="E27" t="s">
        <v>266</v>
      </c>
      <c r="F27" s="110" t="s">
        <v>108</v>
      </c>
    </row>
    <row r="28" spans="1:6" x14ac:dyDescent="0.3">
      <c r="A28" s="38">
        <v>46073</v>
      </c>
      <c r="B28" t="s">
        <v>212</v>
      </c>
      <c r="C28" s="11">
        <v>800</v>
      </c>
      <c r="D28" s="11"/>
      <c r="F28" s="110" t="s">
        <v>108</v>
      </c>
    </row>
    <row r="29" spans="1:6" x14ac:dyDescent="0.3">
      <c r="A29" s="114">
        <v>46073</v>
      </c>
      <c r="B29" t="s">
        <v>222</v>
      </c>
      <c r="C29" s="11">
        <v>100050</v>
      </c>
      <c r="D29" s="11"/>
      <c r="F29" s="110" t="s">
        <v>108</v>
      </c>
    </row>
    <row r="30" spans="1:6" x14ac:dyDescent="0.3">
      <c r="A30" s="38">
        <v>46073</v>
      </c>
      <c r="B30" t="s">
        <v>175</v>
      </c>
      <c r="C30" s="11"/>
      <c r="D30" s="11">
        <v>10000</v>
      </c>
      <c r="E30" t="s">
        <v>54</v>
      </c>
      <c r="F30" s="110" t="s">
        <v>108</v>
      </c>
    </row>
    <row r="31" spans="1:6" x14ac:dyDescent="0.3">
      <c r="A31" s="114">
        <v>46073</v>
      </c>
      <c r="B31" t="s">
        <v>54</v>
      </c>
      <c r="C31" s="11">
        <v>10000</v>
      </c>
      <c r="D31" s="11"/>
      <c r="E31" t="s">
        <v>267</v>
      </c>
      <c r="F31" s="110" t="s">
        <v>108</v>
      </c>
    </row>
    <row r="32" spans="1:6" x14ac:dyDescent="0.3">
      <c r="A32" s="38">
        <v>46074</v>
      </c>
      <c r="B32" t="s">
        <v>117</v>
      </c>
      <c r="C32" s="11">
        <v>78000</v>
      </c>
      <c r="D32" s="11"/>
      <c r="E32" t="s">
        <v>61</v>
      </c>
      <c r="F32" s="110" t="s">
        <v>108</v>
      </c>
    </row>
    <row r="33" spans="1:6" x14ac:dyDescent="0.3">
      <c r="A33" s="114">
        <v>46074</v>
      </c>
      <c r="B33" t="s">
        <v>55</v>
      </c>
      <c r="C33" s="11">
        <v>1300</v>
      </c>
      <c r="D33" s="11"/>
      <c r="E33" t="s">
        <v>268</v>
      </c>
      <c r="F33" s="110" t="s">
        <v>108</v>
      </c>
    </row>
    <row r="34" spans="1:6" x14ac:dyDescent="0.3">
      <c r="A34" s="38">
        <v>46074</v>
      </c>
      <c r="B34" t="s">
        <v>55</v>
      </c>
      <c r="C34" s="11">
        <v>800</v>
      </c>
      <c r="D34" s="11"/>
      <c r="F34" s="110" t="s">
        <v>108</v>
      </c>
    </row>
    <row r="35" spans="1:6" x14ac:dyDescent="0.3">
      <c r="A35" s="114">
        <v>46074</v>
      </c>
      <c r="B35" t="s">
        <v>228</v>
      </c>
      <c r="C35" s="11"/>
      <c r="D35" s="11">
        <v>100000</v>
      </c>
      <c r="E35" t="s">
        <v>269</v>
      </c>
      <c r="F35" s="110" t="s">
        <v>108</v>
      </c>
    </row>
    <row r="36" spans="1:6" x14ac:dyDescent="0.3">
      <c r="A36" s="38">
        <v>46074</v>
      </c>
      <c r="B36" t="s">
        <v>246</v>
      </c>
      <c r="C36" s="11">
        <v>820</v>
      </c>
      <c r="D36" s="11"/>
      <c r="E36" t="s">
        <v>270</v>
      </c>
      <c r="F36" s="110" t="s">
        <v>108</v>
      </c>
    </row>
    <row r="37" spans="1:6" x14ac:dyDescent="0.3">
      <c r="A37" s="114">
        <v>46074</v>
      </c>
      <c r="B37" t="s">
        <v>245</v>
      </c>
      <c r="C37" s="11"/>
      <c r="D37" s="11">
        <v>350000</v>
      </c>
      <c r="F37" s="110" t="s">
        <v>108</v>
      </c>
    </row>
    <row r="38" spans="1:6" x14ac:dyDescent="0.3">
      <c r="A38" s="38">
        <v>46074</v>
      </c>
      <c r="B38" t="s">
        <v>55</v>
      </c>
      <c r="C38" s="11">
        <v>125000</v>
      </c>
      <c r="D38" s="11"/>
      <c r="E38" t="s">
        <v>271</v>
      </c>
      <c r="F38" s="110" t="s">
        <v>108</v>
      </c>
    </row>
    <row r="39" spans="1:6" x14ac:dyDescent="0.3">
      <c r="A39" s="114">
        <v>46074</v>
      </c>
      <c r="B39" t="s">
        <v>232</v>
      </c>
      <c r="C39" s="11"/>
      <c r="D39" s="11">
        <v>39278</v>
      </c>
      <c r="E39" t="s">
        <v>233</v>
      </c>
      <c r="F39" s="110" t="s">
        <v>108</v>
      </c>
    </row>
    <row r="40" spans="1:6" x14ac:dyDescent="0.3">
      <c r="A40" s="38">
        <v>46074</v>
      </c>
      <c r="B40" t="s">
        <v>55</v>
      </c>
      <c r="C40" s="11">
        <v>950</v>
      </c>
      <c r="D40" s="11"/>
      <c r="E40" t="s">
        <v>260</v>
      </c>
      <c r="F40" s="110" t="s">
        <v>108</v>
      </c>
    </row>
    <row r="41" spans="1:6" x14ac:dyDescent="0.3">
      <c r="A41" s="114">
        <v>46074</v>
      </c>
      <c r="B41" t="s">
        <v>225</v>
      </c>
      <c r="C41" s="11"/>
      <c r="D41" s="11">
        <v>29454</v>
      </c>
      <c r="E41" t="s">
        <v>272</v>
      </c>
      <c r="F41" s="110" t="s">
        <v>108</v>
      </c>
    </row>
    <row r="42" spans="1:6" x14ac:dyDescent="0.3">
      <c r="A42" s="38">
        <v>46074</v>
      </c>
      <c r="B42" t="s">
        <v>273</v>
      </c>
      <c r="C42" s="11">
        <v>100000</v>
      </c>
      <c r="D42" s="11"/>
      <c r="E42" t="s">
        <v>274</v>
      </c>
      <c r="F42" s="110" t="s">
        <v>108</v>
      </c>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v>46074</v>
      </c>
      <c r="B47" t="s">
        <v>165</v>
      </c>
      <c r="C47" s="11">
        <v>2500</v>
      </c>
      <c r="D47" s="11"/>
      <c r="E47" t="s">
        <v>287</v>
      </c>
      <c r="F47" s="110" t="s">
        <v>108</v>
      </c>
    </row>
    <row r="48" spans="1:6" x14ac:dyDescent="0.3">
      <c r="A48" s="38">
        <v>46074</v>
      </c>
      <c r="B48" t="s">
        <v>212</v>
      </c>
      <c r="C48" s="11"/>
      <c r="D48" s="11">
        <v>5000</v>
      </c>
      <c r="E48" t="s">
        <v>288</v>
      </c>
      <c r="F48" s="110" t="s">
        <v>108</v>
      </c>
    </row>
    <row r="49" spans="1:6" x14ac:dyDescent="0.3">
      <c r="A49" s="114">
        <v>46074</v>
      </c>
      <c r="B49" t="s">
        <v>249</v>
      </c>
      <c r="C49" s="11">
        <v>7200</v>
      </c>
      <c r="D49" s="11"/>
      <c r="E49" t="s">
        <v>247</v>
      </c>
      <c r="F49" s="110" t="s">
        <v>108</v>
      </c>
    </row>
    <row r="50" spans="1:6" x14ac:dyDescent="0.3">
      <c r="A50" s="38">
        <v>46075</v>
      </c>
      <c r="B50" t="s">
        <v>282</v>
      </c>
      <c r="C50" s="11"/>
      <c r="D50" s="11"/>
      <c r="E50" t="s">
        <v>283</v>
      </c>
      <c r="F50" s="110" t="s">
        <v>108</v>
      </c>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46076</v>
      </c>
      <c r="B55" t="s">
        <v>212</v>
      </c>
      <c r="C55" s="95">
        <f>1280+1430+760</f>
        <v>3470</v>
      </c>
      <c r="D55" s="95"/>
      <c r="F55" s="110" t="s">
        <v>108</v>
      </c>
    </row>
    <row r="56" spans="1:6" x14ac:dyDescent="0.3">
      <c r="A56" s="38">
        <v>46076</v>
      </c>
      <c r="B56" t="s">
        <v>212</v>
      </c>
      <c r="C56" s="95"/>
      <c r="D56" s="95">
        <v>5000</v>
      </c>
      <c r="E56" t="s">
        <v>288</v>
      </c>
      <c r="F56" s="110" t="s">
        <v>108</v>
      </c>
    </row>
    <row r="57" spans="1:6" x14ac:dyDescent="0.3">
      <c r="A57" s="114">
        <v>46076</v>
      </c>
      <c r="B57" t="s">
        <v>249</v>
      </c>
      <c r="C57" s="95">
        <v>5000</v>
      </c>
      <c r="D57" s="95"/>
      <c r="E57" t="s">
        <v>247</v>
      </c>
      <c r="F57" s="110" t="s">
        <v>108</v>
      </c>
    </row>
    <row r="58" spans="1:6" x14ac:dyDescent="0.3">
      <c r="A58" s="38">
        <v>46076</v>
      </c>
      <c r="B58" t="s">
        <v>54</v>
      </c>
      <c r="C58" s="11">
        <v>5000</v>
      </c>
      <c r="D58" s="11"/>
      <c r="E58" t="s">
        <v>290</v>
      </c>
      <c r="F58" s="110" t="s">
        <v>108</v>
      </c>
    </row>
    <row r="59" spans="1:6" x14ac:dyDescent="0.3">
      <c r="A59" s="38">
        <v>46076</v>
      </c>
      <c r="B59" t="s">
        <v>220</v>
      </c>
      <c r="C59" s="11"/>
      <c r="D59" s="11"/>
      <c r="E59" t="s">
        <v>292</v>
      </c>
      <c r="F59" s="110" t="s">
        <v>108</v>
      </c>
    </row>
    <row r="60" spans="1:6" x14ac:dyDescent="0.3">
      <c r="A60" s="38">
        <v>46076</v>
      </c>
      <c r="B60" t="s">
        <v>55</v>
      </c>
      <c r="C60" s="11">
        <v>1470</v>
      </c>
      <c r="D60" s="11"/>
      <c r="E60" t="s">
        <v>291</v>
      </c>
      <c r="F60" s="110" t="s">
        <v>108</v>
      </c>
    </row>
    <row r="61" spans="1:6" x14ac:dyDescent="0.3">
      <c r="A61" s="38">
        <v>46076</v>
      </c>
      <c r="B61" t="s">
        <v>94</v>
      </c>
      <c r="C61" s="11">
        <v>28500</v>
      </c>
      <c r="D61" s="11"/>
      <c r="E61" t="s">
        <v>242</v>
      </c>
      <c r="F61" s="110" t="s">
        <v>108</v>
      </c>
    </row>
    <row r="62" spans="1:6" x14ac:dyDescent="0.3">
      <c r="A62" s="38">
        <v>46076</v>
      </c>
      <c r="B62" t="s">
        <v>212</v>
      </c>
      <c r="C62" s="11">
        <v>150</v>
      </c>
      <c r="D62" s="11"/>
      <c r="E62" t="s">
        <v>293</v>
      </c>
      <c r="F62" s="110" t="s">
        <v>108</v>
      </c>
    </row>
    <row r="63" spans="1:6" x14ac:dyDescent="0.3">
      <c r="A63" s="38">
        <v>46076</v>
      </c>
      <c r="B63" t="s">
        <v>294</v>
      </c>
      <c r="C63" s="11">
        <v>10000</v>
      </c>
      <c r="D63" s="11"/>
      <c r="E63" t="s">
        <v>295</v>
      </c>
      <c r="F63" s="110" t="s">
        <v>108</v>
      </c>
    </row>
    <row r="64" spans="1:6" x14ac:dyDescent="0.3">
      <c r="A64" s="38">
        <v>46076</v>
      </c>
      <c r="B64" t="s">
        <v>55</v>
      </c>
      <c r="C64" s="11">
        <v>27000</v>
      </c>
      <c r="D64" s="11"/>
      <c r="E64" t="s">
        <v>296</v>
      </c>
      <c r="F64" s="110" t="s">
        <v>108</v>
      </c>
    </row>
    <row r="65" spans="1:6" x14ac:dyDescent="0.3">
      <c r="A65" s="38">
        <v>46076</v>
      </c>
      <c r="B65" t="s">
        <v>176</v>
      </c>
      <c r="C65" s="11">
        <v>7800</v>
      </c>
      <c r="D65" s="11"/>
      <c r="E65" t="s">
        <v>297</v>
      </c>
      <c r="F65" s="110" t="s">
        <v>108</v>
      </c>
    </row>
    <row r="66" spans="1:6" x14ac:dyDescent="0.3">
      <c r="A66" s="38">
        <v>46076</v>
      </c>
      <c r="B66" t="s">
        <v>220</v>
      </c>
      <c r="C66" s="11"/>
      <c r="D66" s="11"/>
      <c r="F66" s="110" t="s">
        <v>108</v>
      </c>
    </row>
    <row r="67" spans="1:6" x14ac:dyDescent="0.3">
      <c r="A67" s="38">
        <v>46076</v>
      </c>
      <c r="B67" t="s">
        <v>298</v>
      </c>
      <c r="C67" s="11">
        <v>101000</v>
      </c>
      <c r="D67" s="11"/>
      <c r="E67" t="s">
        <v>299</v>
      </c>
      <c r="F67" s="110" t="s">
        <v>108</v>
      </c>
    </row>
    <row r="68" spans="1:6" x14ac:dyDescent="0.3">
      <c r="A68" s="38">
        <v>46077</v>
      </c>
      <c r="B68" t="s">
        <v>245</v>
      </c>
      <c r="C68" s="11"/>
      <c r="D68" s="11">
        <v>142180</v>
      </c>
      <c r="F68" s="110" t="s">
        <v>108</v>
      </c>
    </row>
    <row r="69" spans="1:6" x14ac:dyDescent="0.3">
      <c r="A69" s="38">
        <v>46077</v>
      </c>
      <c r="B69" t="s">
        <v>228</v>
      </c>
      <c r="C69" s="11"/>
      <c r="D69" s="11">
        <v>110000</v>
      </c>
      <c r="F69" s="110" t="s">
        <v>108</v>
      </c>
    </row>
    <row r="70" spans="1:6" x14ac:dyDescent="0.3">
      <c r="A70" s="38">
        <v>46077</v>
      </c>
      <c r="B70" t="s">
        <v>54</v>
      </c>
      <c r="C70" s="11">
        <v>1000</v>
      </c>
      <c r="D70" s="11"/>
      <c r="E70" t="s">
        <v>300</v>
      </c>
      <c r="F70" s="110" t="s">
        <v>108</v>
      </c>
    </row>
    <row r="71" spans="1:6" x14ac:dyDescent="0.3">
      <c r="A71" s="38">
        <v>46077</v>
      </c>
      <c r="B71" t="s">
        <v>249</v>
      </c>
      <c r="C71" s="11">
        <v>6175</v>
      </c>
      <c r="D71" s="11"/>
      <c r="E71" t="s">
        <v>247</v>
      </c>
      <c r="F71" s="110" t="s">
        <v>108</v>
      </c>
    </row>
    <row r="72" spans="1:6" x14ac:dyDescent="0.3">
      <c r="A72" s="38">
        <v>46077</v>
      </c>
      <c r="B72" t="s">
        <v>55</v>
      </c>
      <c r="C72" s="11">
        <v>9500</v>
      </c>
      <c r="D72" s="11"/>
      <c r="E72" t="s">
        <v>301</v>
      </c>
      <c r="F72" s="110" t="s">
        <v>108</v>
      </c>
    </row>
    <row r="73" spans="1:6" x14ac:dyDescent="0.3">
      <c r="A73" s="38">
        <v>46077</v>
      </c>
      <c r="B73" t="s">
        <v>176</v>
      </c>
      <c r="C73" s="11">
        <v>27200</v>
      </c>
      <c r="D73" s="11"/>
      <c r="E73" t="s">
        <v>302</v>
      </c>
      <c r="F73" s="110" t="s">
        <v>108</v>
      </c>
    </row>
    <row r="74" spans="1:6" x14ac:dyDescent="0.3">
      <c r="A74" s="38">
        <v>46077</v>
      </c>
      <c r="B74" t="s">
        <v>312</v>
      </c>
      <c r="C74" s="11"/>
      <c r="D74" s="11">
        <v>500000</v>
      </c>
      <c r="E74" t="s">
        <v>303</v>
      </c>
      <c r="F74" s="110" t="s">
        <v>108</v>
      </c>
    </row>
    <row r="75" spans="1:6" x14ac:dyDescent="0.3">
      <c r="A75" s="38">
        <v>46077</v>
      </c>
      <c r="B75" t="s">
        <v>54</v>
      </c>
      <c r="C75" s="11">
        <v>300</v>
      </c>
      <c r="D75" s="11"/>
      <c r="E75" t="s">
        <v>304</v>
      </c>
      <c r="F75" s="110" t="s">
        <v>108</v>
      </c>
    </row>
    <row r="76" spans="1:6" x14ac:dyDescent="0.3">
      <c r="A76" s="38">
        <v>46077</v>
      </c>
      <c r="B76" t="s">
        <v>55</v>
      </c>
      <c r="C76" s="11">
        <v>900</v>
      </c>
      <c r="D76" s="11"/>
      <c r="E76" t="s">
        <v>305</v>
      </c>
      <c r="F76" s="110" t="s">
        <v>108</v>
      </c>
    </row>
    <row r="77" spans="1:6" x14ac:dyDescent="0.3">
      <c r="A77" s="38">
        <v>46077</v>
      </c>
      <c r="B77" t="s">
        <v>222</v>
      </c>
      <c r="C77" s="11">
        <v>150000</v>
      </c>
      <c r="D77" s="11"/>
      <c r="E77" t="s">
        <v>306</v>
      </c>
      <c r="F77" s="110" t="s">
        <v>108</v>
      </c>
    </row>
    <row r="78" spans="1:6" x14ac:dyDescent="0.3">
      <c r="A78" s="38">
        <v>46077</v>
      </c>
      <c r="B78" t="s">
        <v>94</v>
      </c>
      <c r="C78" s="11">
        <v>150000</v>
      </c>
      <c r="D78" s="11"/>
      <c r="E78" t="s">
        <v>307</v>
      </c>
      <c r="F78" s="110" t="s">
        <v>108</v>
      </c>
    </row>
    <row r="79" spans="1:6" x14ac:dyDescent="0.3">
      <c r="A79" s="38">
        <v>46077</v>
      </c>
      <c r="B79" t="s">
        <v>169</v>
      </c>
      <c r="C79" s="11">
        <v>201500</v>
      </c>
      <c r="D79" s="11"/>
      <c r="E79" t="s">
        <v>308</v>
      </c>
      <c r="F79" s="110" t="s">
        <v>108</v>
      </c>
    </row>
    <row r="80" spans="1:6" x14ac:dyDescent="0.3">
      <c r="A80" s="38">
        <v>46077</v>
      </c>
      <c r="B80" t="s">
        <v>54</v>
      </c>
      <c r="C80" s="11">
        <v>2200</v>
      </c>
      <c r="D80" s="11"/>
      <c r="E80" t="s">
        <v>287</v>
      </c>
      <c r="F80" s="110" t="s">
        <v>108</v>
      </c>
    </row>
    <row r="81" spans="1:6" x14ac:dyDescent="0.3">
      <c r="A81" s="38">
        <v>46077</v>
      </c>
      <c r="B81" t="s">
        <v>55</v>
      </c>
      <c r="C81" s="11">
        <v>8315</v>
      </c>
      <c r="D81" s="11"/>
      <c r="E81" t="s">
        <v>250</v>
      </c>
      <c r="F81" s="110" t="s">
        <v>108</v>
      </c>
    </row>
    <row r="82" spans="1:6" x14ac:dyDescent="0.3">
      <c r="A82" s="38">
        <v>46077</v>
      </c>
      <c r="B82" t="s">
        <v>55</v>
      </c>
      <c r="C82" s="11">
        <v>20000</v>
      </c>
      <c r="D82" s="11"/>
      <c r="E82" t="s">
        <v>309</v>
      </c>
      <c r="F82" s="110" t="s">
        <v>108</v>
      </c>
    </row>
    <row r="83" spans="1:6" x14ac:dyDescent="0.3">
      <c r="A83" s="38">
        <v>46077</v>
      </c>
      <c r="B83" t="s">
        <v>220</v>
      </c>
      <c r="C83" s="11"/>
      <c r="D83" s="11">
        <v>45000</v>
      </c>
      <c r="E83" t="s">
        <v>310</v>
      </c>
      <c r="F83" s="110" t="s">
        <v>108</v>
      </c>
    </row>
    <row r="84" spans="1:6" x14ac:dyDescent="0.3">
      <c r="A84" s="38">
        <v>46077</v>
      </c>
      <c r="B84" t="s">
        <v>220</v>
      </c>
      <c r="C84" s="11"/>
      <c r="D84" s="11">
        <v>19700</v>
      </c>
      <c r="E84" t="s">
        <v>311</v>
      </c>
      <c r="F84" s="110" t="s">
        <v>108</v>
      </c>
    </row>
    <row r="85" spans="1:6" x14ac:dyDescent="0.3">
      <c r="A85" s="38">
        <v>46077</v>
      </c>
      <c r="B85" t="s">
        <v>312</v>
      </c>
      <c r="C85" s="11"/>
      <c r="D85" s="11">
        <f>SUM(ledger!I90,ledger!I92:I94)*0.1</f>
        <v>7928.4930504754948</v>
      </c>
      <c r="E85" t="s">
        <v>313</v>
      </c>
      <c r="F85" s="110" t="s">
        <v>108</v>
      </c>
    </row>
    <row r="86" spans="1:6" x14ac:dyDescent="0.3">
      <c r="A86" s="38">
        <v>46077</v>
      </c>
      <c r="B86" t="s">
        <v>54</v>
      </c>
      <c r="C86" s="11">
        <v>7928</v>
      </c>
      <c r="D86" s="11"/>
      <c r="E86" t="s">
        <v>267</v>
      </c>
      <c r="F86" s="110" t="s">
        <v>108</v>
      </c>
    </row>
    <row r="87" spans="1:6" x14ac:dyDescent="0.3">
      <c r="A87" s="38">
        <v>46077</v>
      </c>
      <c r="B87" t="s">
        <v>115</v>
      </c>
      <c r="C87" s="11">
        <v>100000</v>
      </c>
      <c r="D87" s="11"/>
      <c r="E87" t="s">
        <v>333</v>
      </c>
      <c r="F87" s="110" t="s">
        <v>108</v>
      </c>
    </row>
    <row r="88" spans="1:6" x14ac:dyDescent="0.3">
      <c r="A88" s="38">
        <v>46077</v>
      </c>
      <c r="B88" t="s">
        <v>220</v>
      </c>
      <c r="C88" s="11"/>
      <c r="D88" s="11">
        <v>100000</v>
      </c>
      <c r="E88" t="s">
        <v>115</v>
      </c>
      <c r="F88" s="110" t="s">
        <v>108</v>
      </c>
    </row>
    <row r="89" spans="1:6" x14ac:dyDescent="0.3">
      <c r="A89" s="38">
        <v>46078</v>
      </c>
      <c r="B89" t="s">
        <v>257</v>
      </c>
      <c r="C89" s="11">
        <v>21200</v>
      </c>
      <c r="D89" s="11"/>
      <c r="E89" t="s">
        <v>315</v>
      </c>
      <c r="F89" s="110" t="s">
        <v>108</v>
      </c>
    </row>
    <row r="90" spans="1:6" x14ac:dyDescent="0.3">
      <c r="A90" s="38">
        <v>46078</v>
      </c>
      <c r="B90" t="s">
        <v>257</v>
      </c>
      <c r="C90" s="11">
        <v>34000</v>
      </c>
      <c r="D90" s="11"/>
      <c r="E90" t="s">
        <v>109</v>
      </c>
      <c r="F90" s="110" t="s">
        <v>108</v>
      </c>
    </row>
    <row r="91" spans="1:6" x14ac:dyDescent="0.3">
      <c r="A91" s="38">
        <v>46078</v>
      </c>
      <c r="B91" t="s">
        <v>312</v>
      </c>
      <c r="C91" s="11"/>
      <c r="D91" s="11">
        <v>505052</v>
      </c>
      <c r="E91" t="s">
        <v>316</v>
      </c>
      <c r="F91" s="110" t="s">
        <v>108</v>
      </c>
    </row>
    <row r="92" spans="1:6" x14ac:dyDescent="0.3">
      <c r="A92" s="38">
        <v>46078</v>
      </c>
      <c r="B92" t="s">
        <v>298</v>
      </c>
      <c r="C92" s="11">
        <v>100000</v>
      </c>
      <c r="D92" s="11"/>
      <c r="E92" t="s">
        <v>317</v>
      </c>
      <c r="F92" s="110" t="s">
        <v>108</v>
      </c>
    </row>
    <row r="93" spans="1:6" x14ac:dyDescent="0.3">
      <c r="A93" s="38">
        <v>46078</v>
      </c>
      <c r="B93" t="s">
        <v>282</v>
      </c>
      <c r="C93" s="11"/>
      <c r="D93" s="11"/>
      <c r="E93" t="s">
        <v>318</v>
      </c>
      <c r="F93" s="110" t="s">
        <v>108</v>
      </c>
    </row>
    <row r="94" spans="1:6" x14ac:dyDescent="0.3">
      <c r="A94" s="38">
        <v>46078</v>
      </c>
      <c r="B94" t="s">
        <v>55</v>
      </c>
      <c r="C94" s="11">
        <v>2810</v>
      </c>
      <c r="D94" s="11"/>
      <c r="E94" t="s">
        <v>319</v>
      </c>
      <c r="F94" s="110" t="s">
        <v>108</v>
      </c>
    </row>
    <row r="95" spans="1:6" x14ac:dyDescent="0.3">
      <c r="A95" s="38">
        <v>46078</v>
      </c>
      <c r="B95" t="s">
        <v>277</v>
      </c>
      <c r="C95" s="11">
        <v>50000</v>
      </c>
      <c r="D95" s="11"/>
      <c r="E95" t="s">
        <v>320</v>
      </c>
      <c r="F95" s="110" t="s">
        <v>108</v>
      </c>
    </row>
    <row r="96" spans="1:6" x14ac:dyDescent="0.3">
      <c r="A96" s="38">
        <v>46078</v>
      </c>
      <c r="B96" t="s">
        <v>55</v>
      </c>
      <c r="C96" s="95">
        <v>51500</v>
      </c>
      <c r="D96" s="95"/>
      <c r="E96" t="s">
        <v>321</v>
      </c>
      <c r="F96" s="110" t="s">
        <v>108</v>
      </c>
    </row>
    <row r="97" spans="1:13" x14ac:dyDescent="0.3">
      <c r="A97" s="38">
        <v>46078</v>
      </c>
      <c r="B97" t="s">
        <v>192</v>
      </c>
      <c r="C97" s="11"/>
      <c r="D97" s="11">
        <v>30000</v>
      </c>
      <c r="E97" t="s">
        <v>322</v>
      </c>
      <c r="F97" s="110" t="s">
        <v>108</v>
      </c>
    </row>
    <row r="98" spans="1:13" x14ac:dyDescent="0.3">
      <c r="A98" s="38">
        <v>46078</v>
      </c>
      <c r="B98" t="s">
        <v>54</v>
      </c>
      <c r="C98" s="11">
        <v>1500</v>
      </c>
      <c r="D98" s="11"/>
      <c r="E98" t="s">
        <v>323</v>
      </c>
      <c r="F98" s="110" t="s">
        <v>108</v>
      </c>
    </row>
    <row r="99" spans="1:13" x14ac:dyDescent="0.3">
      <c r="A99" s="38">
        <v>46078</v>
      </c>
      <c r="B99" t="s">
        <v>54</v>
      </c>
      <c r="C99" s="11">
        <v>5000</v>
      </c>
      <c r="D99" s="11"/>
      <c r="E99" t="s">
        <v>290</v>
      </c>
      <c r="F99" s="110" t="s">
        <v>108</v>
      </c>
    </row>
    <row r="100" spans="1:13" x14ac:dyDescent="0.3">
      <c r="A100" s="38">
        <v>46078</v>
      </c>
      <c r="B100" t="s">
        <v>221</v>
      </c>
      <c r="C100" s="11">
        <v>2000</v>
      </c>
      <c r="D100" s="11"/>
      <c r="E100" t="s">
        <v>324</v>
      </c>
      <c r="F100" s="110" t="s">
        <v>108</v>
      </c>
    </row>
    <row r="101" spans="1:13" x14ac:dyDescent="0.3">
      <c r="A101" s="38">
        <v>46078</v>
      </c>
      <c r="B101" t="s">
        <v>115</v>
      </c>
      <c r="C101" s="11">
        <v>150000</v>
      </c>
      <c r="D101" s="11"/>
      <c r="E101" t="s">
        <v>334</v>
      </c>
      <c r="F101" s="110" t="s">
        <v>108</v>
      </c>
    </row>
    <row r="102" spans="1:13" x14ac:dyDescent="0.3">
      <c r="A102" s="38">
        <v>46078</v>
      </c>
      <c r="B102" t="s">
        <v>220</v>
      </c>
      <c r="C102" s="11"/>
      <c r="D102" s="11">
        <v>150000</v>
      </c>
      <c r="E102" t="s">
        <v>115</v>
      </c>
      <c r="F102" s="110" t="s">
        <v>108</v>
      </c>
    </row>
    <row r="103" spans="1:13" x14ac:dyDescent="0.3">
      <c r="A103" s="38">
        <v>46078</v>
      </c>
      <c r="B103" t="s">
        <v>55</v>
      </c>
      <c r="C103" s="11">
        <v>25000</v>
      </c>
      <c r="D103" s="11"/>
      <c r="E103" t="s">
        <v>296</v>
      </c>
      <c r="F103" s="110" t="s">
        <v>108</v>
      </c>
    </row>
    <row r="104" spans="1:13" x14ac:dyDescent="0.3">
      <c r="A104" s="38">
        <v>46078</v>
      </c>
      <c r="B104" t="s">
        <v>220</v>
      </c>
      <c r="C104" s="11"/>
      <c r="D104" s="11">
        <f>25000+19500</f>
        <v>44500</v>
      </c>
      <c r="E104" t="s">
        <v>335</v>
      </c>
      <c r="F104" s="110" t="s">
        <v>108</v>
      </c>
    </row>
    <row r="105" spans="1:13" x14ac:dyDescent="0.3">
      <c r="A105" s="38">
        <v>46078</v>
      </c>
      <c r="B105" t="s">
        <v>55</v>
      </c>
      <c r="C105" s="11">
        <v>19500</v>
      </c>
      <c r="D105" s="11"/>
      <c r="F105" s="110" t="s">
        <v>108</v>
      </c>
      <c r="I105">
        <v>15400</v>
      </c>
      <c r="K105">
        <v>4300</v>
      </c>
      <c r="L105">
        <v>4300</v>
      </c>
      <c r="M105">
        <v>4300</v>
      </c>
    </row>
    <row r="106" spans="1:13" x14ac:dyDescent="0.3">
      <c r="A106" s="38">
        <v>46078</v>
      </c>
      <c r="B106" t="s">
        <v>190</v>
      </c>
      <c r="C106" s="11"/>
      <c r="D106" s="11">
        <v>20340</v>
      </c>
      <c r="E106" t="s">
        <v>336</v>
      </c>
      <c r="F106" s="110" t="s">
        <v>108</v>
      </c>
      <c r="I106">
        <v>4300</v>
      </c>
      <c r="K106">
        <v>1200</v>
      </c>
      <c r="L106">
        <v>1200</v>
      </c>
      <c r="M106">
        <v>1200</v>
      </c>
    </row>
    <row r="107" spans="1:13" x14ac:dyDescent="0.3">
      <c r="A107" s="38">
        <v>46078</v>
      </c>
      <c r="B107" t="s">
        <v>220</v>
      </c>
      <c r="C107" s="11">
        <v>20340</v>
      </c>
      <c r="D107" s="11"/>
      <c r="E107" t="s">
        <v>337</v>
      </c>
      <c r="F107" s="110" t="s">
        <v>108</v>
      </c>
      <c r="I107">
        <v>13400</v>
      </c>
      <c r="K107">
        <v>22700</v>
      </c>
      <c r="L107">
        <v>22700</v>
      </c>
      <c r="M107">
        <v>22700</v>
      </c>
    </row>
    <row r="108" spans="1:13" x14ac:dyDescent="0.3">
      <c r="A108" s="38">
        <v>46078</v>
      </c>
      <c r="B108" t="s">
        <v>228</v>
      </c>
      <c r="C108" s="11"/>
      <c r="D108" s="11">
        <v>75000</v>
      </c>
      <c r="E108" t="s">
        <v>338</v>
      </c>
      <c r="F108" s="110" t="s">
        <v>108</v>
      </c>
      <c r="I108">
        <v>14900</v>
      </c>
      <c r="K108">
        <v>15000</v>
      </c>
      <c r="L108">
        <v>15000</v>
      </c>
      <c r="M108">
        <v>15000</v>
      </c>
    </row>
    <row r="109" spans="1:13" x14ac:dyDescent="0.3">
      <c r="A109" s="38">
        <v>46078</v>
      </c>
      <c r="B109" t="s">
        <v>220</v>
      </c>
      <c r="C109" s="11">
        <v>75000</v>
      </c>
      <c r="D109" s="11"/>
      <c r="E109" t="s">
        <v>264</v>
      </c>
      <c r="F109" s="110" t="s">
        <v>108</v>
      </c>
      <c r="I109">
        <v>15000</v>
      </c>
      <c r="K109">
        <v>15150</v>
      </c>
      <c r="L109">
        <v>15150</v>
      </c>
      <c r="M109">
        <v>15150</v>
      </c>
    </row>
    <row r="110" spans="1:13" x14ac:dyDescent="0.3">
      <c r="A110" s="38">
        <v>46079</v>
      </c>
      <c r="B110" t="s">
        <v>282</v>
      </c>
      <c r="C110" s="11"/>
      <c r="D110" s="11"/>
      <c r="E110" t="s">
        <v>275</v>
      </c>
      <c r="F110" s="110" t="s">
        <v>108</v>
      </c>
      <c r="I110">
        <v>11650</v>
      </c>
      <c r="K110">
        <v>22400</v>
      </c>
      <c r="L110">
        <v>22400</v>
      </c>
      <c r="M110">
        <v>22400</v>
      </c>
    </row>
    <row r="111" spans="1:13" x14ac:dyDescent="0.3">
      <c r="A111" s="38">
        <v>46079</v>
      </c>
      <c r="B111" t="s">
        <v>282</v>
      </c>
      <c r="C111" s="11"/>
      <c r="D111" s="11"/>
      <c r="E111" t="s">
        <v>325</v>
      </c>
      <c r="F111" s="110" t="s">
        <v>108</v>
      </c>
      <c r="I111">
        <v>22700</v>
      </c>
      <c r="K111">
        <v>25000</v>
      </c>
      <c r="L111">
        <v>25000</v>
      </c>
      <c r="M111">
        <v>25000</v>
      </c>
    </row>
    <row r="112" spans="1:13" x14ac:dyDescent="0.3">
      <c r="A112" s="38">
        <v>46079</v>
      </c>
      <c r="B112" t="s">
        <v>249</v>
      </c>
      <c r="C112" s="11">
        <v>10000</v>
      </c>
      <c r="D112" s="11"/>
      <c r="E112" t="s">
        <v>326</v>
      </c>
      <c r="F112" s="110" t="s">
        <v>108</v>
      </c>
      <c r="I112">
        <v>17000</v>
      </c>
      <c r="K112">
        <v>20880</v>
      </c>
      <c r="L112">
        <v>20880</v>
      </c>
      <c r="M112">
        <v>20880</v>
      </c>
    </row>
    <row r="113" spans="1:13" x14ac:dyDescent="0.3">
      <c r="A113" s="38">
        <v>46079</v>
      </c>
      <c r="B113" t="s">
        <v>282</v>
      </c>
      <c r="C113" s="11"/>
      <c r="D113" s="11"/>
      <c r="E113" t="s">
        <v>327</v>
      </c>
      <c r="F113" s="110" t="s">
        <v>108</v>
      </c>
      <c r="I113">
        <v>15000</v>
      </c>
      <c r="K113">
        <v>20000</v>
      </c>
      <c r="L113">
        <v>20000</v>
      </c>
      <c r="M113">
        <v>20000</v>
      </c>
    </row>
    <row r="114" spans="1:13" x14ac:dyDescent="0.3">
      <c r="A114" s="38">
        <v>46079</v>
      </c>
      <c r="B114" t="s">
        <v>9</v>
      </c>
      <c r="C114" s="11"/>
      <c r="D114" s="11">
        <v>200000</v>
      </c>
      <c r="E114" t="s">
        <v>328</v>
      </c>
      <c r="F114" s="110" t="s">
        <v>108</v>
      </c>
      <c r="I114">
        <v>1200</v>
      </c>
      <c r="K114">
        <v>150000</v>
      </c>
      <c r="L114">
        <v>150000</v>
      </c>
      <c r="M114">
        <v>150000</v>
      </c>
    </row>
    <row r="115" spans="1:13" x14ac:dyDescent="0.3">
      <c r="A115" s="38">
        <v>46079</v>
      </c>
      <c r="B115" t="s">
        <v>115</v>
      </c>
      <c r="C115" s="11">
        <v>150000</v>
      </c>
      <c r="D115" s="11"/>
      <c r="E115" t="s">
        <v>365</v>
      </c>
      <c r="F115" s="110" t="s">
        <v>108</v>
      </c>
      <c r="I115">
        <v>25600</v>
      </c>
      <c r="K115">
        <v>45200</v>
      </c>
      <c r="L115">
        <v>45200</v>
      </c>
      <c r="M115">
        <v>45200</v>
      </c>
    </row>
    <row r="116" spans="1:13" x14ac:dyDescent="0.3">
      <c r="A116" s="38">
        <v>46079</v>
      </c>
      <c r="B116" t="s">
        <v>282</v>
      </c>
      <c r="C116" s="11"/>
      <c r="D116" s="11"/>
      <c r="E116" t="s">
        <v>329</v>
      </c>
      <c r="F116" s="110" t="s">
        <v>108</v>
      </c>
      <c r="I116">
        <v>15300</v>
      </c>
      <c r="K116">
        <v>44800</v>
      </c>
      <c r="L116">
        <v>44800</v>
      </c>
      <c r="M116">
        <v>44800</v>
      </c>
    </row>
    <row r="117" spans="1:13" x14ac:dyDescent="0.3">
      <c r="A117" s="38">
        <v>46079</v>
      </c>
      <c r="B117" t="s">
        <v>277</v>
      </c>
      <c r="C117" s="11">
        <v>50000</v>
      </c>
      <c r="D117" s="11"/>
      <c r="E117" t="s">
        <v>330</v>
      </c>
      <c r="F117" s="110" t="s">
        <v>108</v>
      </c>
      <c r="I117">
        <v>16650</v>
      </c>
      <c r="K117">
        <v>5200</v>
      </c>
      <c r="L117">
        <v>5200</v>
      </c>
      <c r="M117">
        <v>5200</v>
      </c>
    </row>
    <row r="118" spans="1:13" x14ac:dyDescent="0.3">
      <c r="A118" s="38">
        <v>46079</v>
      </c>
      <c r="B118" t="s">
        <v>222</v>
      </c>
      <c r="C118" s="11">
        <v>100295</v>
      </c>
      <c r="D118" s="11"/>
      <c r="E118" t="s">
        <v>331</v>
      </c>
      <c r="F118" s="110" t="s">
        <v>108</v>
      </c>
      <c r="I118">
        <v>20000</v>
      </c>
      <c r="K118">
        <v>39400</v>
      </c>
      <c r="L118">
        <v>39400</v>
      </c>
      <c r="M118">
        <v>39400</v>
      </c>
    </row>
    <row r="119" spans="1:13" x14ac:dyDescent="0.3">
      <c r="A119" s="114">
        <v>46079</v>
      </c>
      <c r="B119" t="s">
        <v>55</v>
      </c>
      <c r="C119" s="11">
        <v>15000</v>
      </c>
      <c r="D119" s="11"/>
      <c r="E119" t="s">
        <v>332</v>
      </c>
      <c r="F119" s="110" t="s">
        <v>108</v>
      </c>
      <c r="I119">
        <v>5200</v>
      </c>
      <c r="K119">
        <v>21600</v>
      </c>
      <c r="L119">
        <v>21600</v>
      </c>
      <c r="M119">
        <v>21600</v>
      </c>
    </row>
    <row r="120" spans="1:13" x14ac:dyDescent="0.3">
      <c r="A120" s="114">
        <v>46079</v>
      </c>
      <c r="B120" t="s">
        <v>228</v>
      </c>
      <c r="C120" s="11"/>
      <c r="D120" s="11">
        <v>115000</v>
      </c>
      <c r="F120" s="110" t="s">
        <v>108</v>
      </c>
      <c r="I120">
        <v>46400</v>
      </c>
      <c r="K120">
        <v>46400</v>
      </c>
      <c r="L120">
        <v>46400</v>
      </c>
      <c r="M120">
        <v>46400</v>
      </c>
    </row>
    <row r="121" spans="1:13" x14ac:dyDescent="0.3">
      <c r="A121" s="114">
        <v>46079</v>
      </c>
      <c r="B121" t="s">
        <v>212</v>
      </c>
      <c r="C121" s="95">
        <v>860</v>
      </c>
      <c r="D121" s="95"/>
      <c r="F121" s="110" t="s">
        <v>108</v>
      </c>
      <c r="I121">
        <v>16300</v>
      </c>
      <c r="K121">
        <v>8400</v>
      </c>
      <c r="L121">
        <v>8400</v>
      </c>
      <c r="M121">
        <v>8400</v>
      </c>
    </row>
    <row r="122" spans="1:13" x14ac:dyDescent="0.3">
      <c r="A122" s="114">
        <v>46079</v>
      </c>
      <c r="B122" t="s">
        <v>212</v>
      </c>
      <c r="C122" s="11">
        <v>300</v>
      </c>
      <c r="D122" s="11"/>
      <c r="E122" t="s">
        <v>339</v>
      </c>
      <c r="F122" s="110" t="s">
        <v>108</v>
      </c>
      <c r="I122">
        <v>21700</v>
      </c>
      <c r="K122">
        <v>35000</v>
      </c>
      <c r="L122">
        <v>35000</v>
      </c>
      <c r="M122">
        <v>35000</v>
      </c>
    </row>
    <row r="123" spans="1:13" x14ac:dyDescent="0.3">
      <c r="A123" s="114">
        <v>46080</v>
      </c>
      <c r="B123" t="s">
        <v>282</v>
      </c>
      <c r="C123" s="11"/>
      <c r="D123" s="11"/>
      <c r="E123" t="s">
        <v>281</v>
      </c>
      <c r="F123" s="110" t="s">
        <v>108</v>
      </c>
      <c r="I123">
        <v>6000</v>
      </c>
      <c r="K123">
        <v>80000</v>
      </c>
      <c r="L123">
        <v>80000</v>
      </c>
      <c r="M123">
        <v>80000</v>
      </c>
    </row>
    <row r="124" spans="1:13" x14ac:dyDescent="0.3">
      <c r="A124" s="114">
        <v>46080</v>
      </c>
      <c r="B124" t="s">
        <v>94</v>
      </c>
      <c r="C124" s="11">
        <v>3000</v>
      </c>
      <c r="D124" s="11"/>
      <c r="E124" t="s">
        <v>341</v>
      </c>
      <c r="F124" s="110" t="s">
        <v>108</v>
      </c>
      <c r="I124">
        <v>45000</v>
      </c>
      <c r="K124">
        <v>9500</v>
      </c>
      <c r="L124">
        <v>9500</v>
      </c>
      <c r="M124">
        <v>9500</v>
      </c>
    </row>
    <row r="125" spans="1:13" x14ac:dyDescent="0.3">
      <c r="A125" s="114">
        <v>46080</v>
      </c>
      <c r="B125" t="s">
        <v>169</v>
      </c>
      <c r="C125" s="95">
        <v>4000</v>
      </c>
      <c r="D125" s="95"/>
      <c r="E125" t="s">
        <v>341</v>
      </c>
      <c r="F125" s="110" t="s">
        <v>108</v>
      </c>
      <c r="I125">
        <v>21600</v>
      </c>
      <c r="K125">
        <v>34000</v>
      </c>
      <c r="L125">
        <v>34000</v>
      </c>
      <c r="M125">
        <v>34000</v>
      </c>
    </row>
    <row r="126" spans="1:13" x14ac:dyDescent="0.3">
      <c r="A126" s="38">
        <v>46080</v>
      </c>
      <c r="B126" t="s">
        <v>257</v>
      </c>
      <c r="C126" s="11">
        <v>2000</v>
      </c>
      <c r="D126" s="11"/>
      <c r="E126" t="s">
        <v>341</v>
      </c>
      <c r="F126" s="110" t="s">
        <v>108</v>
      </c>
      <c r="I126">
        <v>39400</v>
      </c>
      <c r="K126">
        <v>21700</v>
      </c>
      <c r="L126">
        <v>21700</v>
      </c>
      <c r="M126">
        <v>21700</v>
      </c>
    </row>
    <row r="127" spans="1:13" x14ac:dyDescent="0.3">
      <c r="A127" s="114">
        <v>46080</v>
      </c>
      <c r="B127" t="s">
        <v>273</v>
      </c>
      <c r="C127" s="11">
        <v>1000</v>
      </c>
      <c r="D127" s="11"/>
      <c r="E127" t="s">
        <v>341</v>
      </c>
      <c r="F127" s="110" t="s">
        <v>108</v>
      </c>
      <c r="I127">
        <v>8400</v>
      </c>
      <c r="K127">
        <v>17000</v>
      </c>
      <c r="L127">
        <v>17000</v>
      </c>
      <c r="M127">
        <v>17000</v>
      </c>
    </row>
    <row r="128" spans="1:13" x14ac:dyDescent="0.3">
      <c r="A128" s="114">
        <v>46080</v>
      </c>
      <c r="B128" t="s">
        <v>222</v>
      </c>
      <c r="C128" s="11">
        <v>4000</v>
      </c>
      <c r="D128" s="11"/>
      <c r="E128" t="s">
        <v>341</v>
      </c>
      <c r="F128" s="110" t="s">
        <v>108</v>
      </c>
      <c r="I128">
        <v>45200</v>
      </c>
      <c r="K128">
        <v>25600</v>
      </c>
      <c r="L128">
        <v>25600</v>
      </c>
      <c r="M128">
        <v>25600</v>
      </c>
    </row>
    <row r="129" spans="1:13" x14ac:dyDescent="0.3">
      <c r="A129" s="114">
        <v>46080</v>
      </c>
      <c r="B129" t="s">
        <v>225</v>
      </c>
      <c r="C129" s="11"/>
      <c r="D129" s="11">
        <v>105000</v>
      </c>
      <c r="E129" t="s">
        <v>342</v>
      </c>
      <c r="F129" s="110" t="s">
        <v>108</v>
      </c>
      <c r="I129">
        <v>34000</v>
      </c>
      <c r="K129">
        <v>14900</v>
      </c>
      <c r="L129">
        <v>14900</v>
      </c>
      <c r="M129">
        <v>14900</v>
      </c>
    </row>
    <row r="130" spans="1:13" x14ac:dyDescent="0.3">
      <c r="A130" s="114">
        <v>46080</v>
      </c>
      <c r="B130" t="s">
        <v>55</v>
      </c>
      <c r="C130" s="11">
        <v>8315</v>
      </c>
      <c r="D130" s="11"/>
      <c r="E130" t="s">
        <v>343</v>
      </c>
      <c r="F130" s="110" t="s">
        <v>108</v>
      </c>
      <c r="I130">
        <v>22400</v>
      </c>
      <c r="K130">
        <v>11650</v>
      </c>
      <c r="L130">
        <v>11650</v>
      </c>
      <c r="M130">
        <v>11650</v>
      </c>
    </row>
    <row r="131" spans="1:13" x14ac:dyDescent="0.3">
      <c r="A131" s="114">
        <v>46080</v>
      </c>
      <c r="B131" t="s">
        <v>165</v>
      </c>
      <c r="C131" s="11">
        <v>60000</v>
      </c>
      <c r="D131" s="11"/>
      <c r="E131" t="s">
        <v>344</v>
      </c>
      <c r="F131" s="110" t="s">
        <v>108</v>
      </c>
      <c r="I131">
        <v>5700</v>
      </c>
      <c r="K131">
        <v>15300</v>
      </c>
      <c r="L131">
        <v>15400</v>
      </c>
      <c r="M131">
        <v>15400</v>
      </c>
    </row>
    <row r="132" spans="1:13" x14ac:dyDescent="0.3">
      <c r="A132" s="38">
        <v>46080</v>
      </c>
      <c r="B132" t="s">
        <v>55</v>
      </c>
      <c r="C132" s="11">
        <v>3000</v>
      </c>
      <c r="D132" s="11"/>
      <c r="E132" t="s">
        <v>345</v>
      </c>
      <c r="F132" s="110" t="s">
        <v>108</v>
      </c>
      <c r="I132">
        <v>80000</v>
      </c>
      <c r="K132">
        <v>15000</v>
      </c>
      <c r="L132">
        <v>16300</v>
      </c>
      <c r="M132">
        <v>16300</v>
      </c>
    </row>
    <row r="133" spans="1:13" x14ac:dyDescent="0.3">
      <c r="A133" s="114">
        <v>46080</v>
      </c>
      <c r="B133" t="s">
        <v>55</v>
      </c>
      <c r="C133" s="11">
        <v>2800</v>
      </c>
      <c r="D133" s="11"/>
      <c r="E133" t="s">
        <v>346</v>
      </c>
      <c r="F133" s="110" t="s">
        <v>108</v>
      </c>
      <c r="I133">
        <v>2500</v>
      </c>
      <c r="K133">
        <v>6000</v>
      </c>
      <c r="L133">
        <v>15300</v>
      </c>
      <c r="M133">
        <v>15300</v>
      </c>
    </row>
    <row r="134" spans="1:13" x14ac:dyDescent="0.3">
      <c r="A134" s="114">
        <v>46080</v>
      </c>
      <c r="B134" t="s">
        <v>55</v>
      </c>
      <c r="C134" s="11">
        <v>400</v>
      </c>
      <c r="D134" s="11"/>
      <c r="E134" t="s">
        <v>347</v>
      </c>
      <c r="F134" s="110" t="s">
        <v>108</v>
      </c>
      <c r="I134">
        <v>9500</v>
      </c>
      <c r="K134">
        <v>16550</v>
      </c>
      <c r="L134">
        <v>15000</v>
      </c>
      <c r="M134">
        <v>15000</v>
      </c>
    </row>
    <row r="135" spans="1:13" x14ac:dyDescent="0.3">
      <c r="A135" s="114">
        <v>46080</v>
      </c>
      <c r="B135" t="s">
        <v>246</v>
      </c>
      <c r="C135" s="95">
        <v>190</v>
      </c>
      <c r="D135" s="95"/>
      <c r="E135" t="s">
        <v>348</v>
      </c>
      <c r="F135" s="110" t="s">
        <v>108</v>
      </c>
      <c r="I135">
        <v>20880</v>
      </c>
      <c r="K135">
        <v>13400</v>
      </c>
      <c r="L135">
        <v>6000</v>
      </c>
      <c r="M135">
        <v>6000</v>
      </c>
    </row>
    <row r="136" spans="1:13" x14ac:dyDescent="0.3">
      <c r="A136" s="114">
        <v>46080</v>
      </c>
      <c r="B136" t="s">
        <v>221</v>
      </c>
      <c r="C136" s="11">
        <v>4100</v>
      </c>
      <c r="D136" s="11"/>
      <c r="E136" t="s">
        <v>349</v>
      </c>
      <c r="F136" s="110" t="s">
        <v>108</v>
      </c>
      <c r="I136">
        <v>150000</v>
      </c>
      <c r="K136">
        <v>11650</v>
      </c>
      <c r="L136">
        <v>16550</v>
      </c>
      <c r="M136">
        <v>16550</v>
      </c>
    </row>
    <row r="137" spans="1:13" x14ac:dyDescent="0.3">
      <c r="A137" s="114">
        <v>46080</v>
      </c>
      <c r="B137" t="s">
        <v>221</v>
      </c>
      <c r="C137" s="95">
        <v>500</v>
      </c>
      <c r="D137" s="95"/>
      <c r="E137" t="s">
        <v>350</v>
      </c>
      <c r="F137" s="110" t="s">
        <v>108</v>
      </c>
      <c r="K137">
        <v>2500</v>
      </c>
      <c r="L137">
        <v>13400</v>
      </c>
      <c r="M137">
        <v>13400</v>
      </c>
    </row>
    <row r="138" spans="1:13" x14ac:dyDescent="0.3">
      <c r="A138" s="114">
        <v>46080</v>
      </c>
      <c r="B138" t="s">
        <v>212</v>
      </c>
      <c r="C138" s="95">
        <f>500+810</f>
        <v>1310</v>
      </c>
      <c r="D138" s="95"/>
      <c r="F138" s="110" t="s">
        <v>108</v>
      </c>
      <c r="K138">
        <v>5700</v>
      </c>
      <c r="L138">
        <v>11650</v>
      </c>
      <c r="M138">
        <v>11650</v>
      </c>
    </row>
    <row r="139" spans="1:13" x14ac:dyDescent="0.3">
      <c r="A139" s="114">
        <v>46081</v>
      </c>
      <c r="B139" t="s">
        <v>220</v>
      </c>
      <c r="C139" s="95"/>
      <c r="D139" s="95">
        <v>379000</v>
      </c>
      <c r="F139" s="110" t="s">
        <v>108</v>
      </c>
      <c r="L139">
        <v>2500</v>
      </c>
      <c r="M139">
        <v>2500</v>
      </c>
    </row>
    <row r="140" spans="1:13" x14ac:dyDescent="0.3">
      <c r="A140" s="114">
        <v>46081</v>
      </c>
      <c r="B140" t="s">
        <v>220</v>
      </c>
      <c r="C140" s="11"/>
      <c r="D140" s="11">
        <v>221000</v>
      </c>
      <c r="F140" s="110" t="s">
        <v>108</v>
      </c>
      <c r="L140">
        <v>5700</v>
      </c>
      <c r="M140">
        <v>5700</v>
      </c>
    </row>
    <row r="141" spans="1:13" x14ac:dyDescent="0.3">
      <c r="A141" s="114">
        <v>46081</v>
      </c>
      <c r="B141" t="s">
        <v>220</v>
      </c>
      <c r="C141" s="11"/>
      <c r="D141" s="11">
        <v>320000</v>
      </c>
      <c r="F141" s="110" t="s">
        <v>108</v>
      </c>
      <c r="L141">
        <v>5000</v>
      </c>
      <c r="M141">
        <v>5000</v>
      </c>
    </row>
    <row r="142" spans="1:13" x14ac:dyDescent="0.3">
      <c r="A142" s="114">
        <v>46081</v>
      </c>
      <c r="B142" t="s">
        <v>245</v>
      </c>
      <c r="C142" s="11"/>
      <c r="D142" s="11">
        <v>192000</v>
      </c>
      <c r="F142" s="110" t="s">
        <v>108</v>
      </c>
    </row>
    <row r="143" spans="1:13" x14ac:dyDescent="0.3">
      <c r="A143" s="38">
        <v>46081</v>
      </c>
      <c r="B143" t="s">
        <v>220</v>
      </c>
      <c r="C143" s="11">
        <v>192000</v>
      </c>
      <c r="D143" s="11"/>
      <c r="E143" t="s">
        <v>245</v>
      </c>
      <c r="F143" s="110" t="s">
        <v>108</v>
      </c>
    </row>
    <row r="144" spans="1:13" x14ac:dyDescent="0.3">
      <c r="A144" s="38">
        <v>46081</v>
      </c>
      <c r="B144" t="s">
        <v>55</v>
      </c>
      <c r="C144" s="11">
        <v>18000</v>
      </c>
      <c r="D144" s="11"/>
      <c r="E144" t="s">
        <v>364</v>
      </c>
      <c r="F144" s="110" t="s">
        <v>108</v>
      </c>
    </row>
    <row r="145" spans="1:6" x14ac:dyDescent="0.3">
      <c r="A145" s="38">
        <v>46081</v>
      </c>
      <c r="B145" t="s">
        <v>220</v>
      </c>
      <c r="C145" s="11"/>
      <c r="D145" s="11">
        <v>18000</v>
      </c>
      <c r="E145" t="s">
        <v>364</v>
      </c>
      <c r="F145" s="110" t="s">
        <v>108</v>
      </c>
    </row>
    <row r="146" spans="1:6" x14ac:dyDescent="0.3">
      <c r="A146" s="38">
        <v>46081</v>
      </c>
      <c r="B146" t="s">
        <v>249</v>
      </c>
      <c r="C146" s="11">
        <v>3600</v>
      </c>
      <c r="D146" s="11"/>
      <c r="E146" t="s">
        <v>247</v>
      </c>
      <c r="F146" s="110" t="s">
        <v>108</v>
      </c>
    </row>
    <row r="147" spans="1:6" x14ac:dyDescent="0.3">
      <c r="A147" s="38">
        <v>46081</v>
      </c>
      <c r="B147" t="s">
        <v>282</v>
      </c>
      <c r="C147" s="11"/>
      <c r="D147" s="11"/>
      <c r="E147" t="s">
        <v>352</v>
      </c>
      <c r="F147" s="110" t="s">
        <v>108</v>
      </c>
    </row>
    <row r="148" spans="1:6" x14ac:dyDescent="0.3">
      <c r="A148" s="38">
        <v>46081</v>
      </c>
      <c r="B148" t="s">
        <v>282</v>
      </c>
      <c r="C148" s="11"/>
      <c r="D148" s="11"/>
      <c r="E148" t="s">
        <v>281</v>
      </c>
      <c r="F148" s="110" t="s">
        <v>108</v>
      </c>
    </row>
    <row r="149" spans="1:6" x14ac:dyDescent="0.3">
      <c r="A149" s="38">
        <v>46081</v>
      </c>
      <c r="B149" t="s">
        <v>220</v>
      </c>
      <c r="C149" s="11"/>
      <c r="D149" s="11"/>
      <c r="E149" t="s">
        <v>353</v>
      </c>
      <c r="F149" s="110" t="s">
        <v>108</v>
      </c>
    </row>
    <row r="150" spans="1:6" x14ac:dyDescent="0.3">
      <c r="A150" s="114">
        <v>46081</v>
      </c>
      <c r="B150" t="s">
        <v>220</v>
      </c>
      <c r="C150" s="11"/>
      <c r="D150" s="11">
        <v>150000</v>
      </c>
      <c r="E150" t="s">
        <v>354</v>
      </c>
      <c r="F150" s="110" t="s">
        <v>108</v>
      </c>
    </row>
    <row r="151" spans="1:6" x14ac:dyDescent="0.3">
      <c r="A151" s="114">
        <v>46081</v>
      </c>
      <c r="B151" t="s">
        <v>228</v>
      </c>
      <c r="C151" s="95"/>
      <c r="D151" s="95">
        <v>100000</v>
      </c>
      <c r="F151" s="110" t="s">
        <v>108</v>
      </c>
    </row>
    <row r="152" spans="1:6" x14ac:dyDescent="0.3">
      <c r="A152" s="38">
        <v>46081</v>
      </c>
      <c r="B152" t="s">
        <v>220</v>
      </c>
      <c r="C152" s="11">
        <v>100000</v>
      </c>
      <c r="D152" s="11"/>
      <c r="E152" t="s">
        <v>264</v>
      </c>
      <c r="F152" s="110" t="s">
        <v>108</v>
      </c>
    </row>
    <row r="153" spans="1:6" x14ac:dyDescent="0.3">
      <c r="A153" s="38">
        <v>46081</v>
      </c>
      <c r="B153" t="s">
        <v>169</v>
      </c>
      <c r="C153" s="11">
        <v>200400</v>
      </c>
      <c r="D153" s="11"/>
      <c r="E153" t="s">
        <v>355</v>
      </c>
      <c r="F153" s="110" t="s">
        <v>108</v>
      </c>
    </row>
    <row r="154" spans="1:6" x14ac:dyDescent="0.3">
      <c r="A154" s="38">
        <v>46081</v>
      </c>
      <c r="B154" t="s">
        <v>54</v>
      </c>
      <c r="C154" s="11">
        <v>1500</v>
      </c>
      <c r="D154" s="11"/>
      <c r="E154" t="s">
        <v>323</v>
      </c>
      <c r="F154" s="110" t="s">
        <v>108</v>
      </c>
    </row>
    <row r="155" spans="1:6" x14ac:dyDescent="0.3">
      <c r="A155" s="38">
        <v>46081</v>
      </c>
      <c r="B155" t="s">
        <v>54</v>
      </c>
      <c r="C155" s="11">
        <v>5000</v>
      </c>
      <c r="D155" s="11"/>
      <c r="E155" t="s">
        <v>290</v>
      </c>
      <c r="F155" s="110" t="s">
        <v>108</v>
      </c>
    </row>
    <row r="156" spans="1:6" x14ac:dyDescent="0.3">
      <c r="A156" s="38">
        <v>46081</v>
      </c>
      <c r="B156" t="s">
        <v>212</v>
      </c>
      <c r="C156" s="11">
        <f>850+760</f>
        <v>1610</v>
      </c>
      <c r="D156" s="11"/>
      <c r="F156" s="110" t="s">
        <v>108</v>
      </c>
    </row>
    <row r="157" spans="1:6" x14ac:dyDescent="0.3">
      <c r="A157" s="38">
        <v>46082</v>
      </c>
      <c r="B157" t="s">
        <v>212</v>
      </c>
      <c r="C157" s="11"/>
      <c r="D157" s="11">
        <f>[1]Profit!$F$21</f>
        <v>187051.73646671569</v>
      </c>
      <c r="E157" t="s">
        <v>478</v>
      </c>
      <c r="F157" s="110" t="s">
        <v>108</v>
      </c>
    </row>
    <row r="158" spans="1:6" x14ac:dyDescent="0.3">
      <c r="A158" s="38">
        <v>46082</v>
      </c>
      <c r="B158" t="s">
        <v>477</v>
      </c>
      <c r="C158" s="11">
        <v>187052</v>
      </c>
      <c r="D158" s="11"/>
      <c r="F158" s="110" t="s">
        <v>108</v>
      </c>
    </row>
    <row r="159" spans="1:6" x14ac:dyDescent="0.3">
      <c r="A159" s="38">
        <v>46082</v>
      </c>
      <c r="B159" t="s">
        <v>246</v>
      </c>
      <c r="C159" s="11">
        <v>2500</v>
      </c>
      <c r="D159" s="11"/>
      <c r="E159" t="s">
        <v>356</v>
      </c>
      <c r="F159" s="110" t="s">
        <v>108</v>
      </c>
    </row>
    <row r="160" spans="1:6" x14ac:dyDescent="0.3">
      <c r="A160" s="38">
        <v>46082</v>
      </c>
      <c r="B160" t="s">
        <v>221</v>
      </c>
      <c r="C160" s="95">
        <v>1000</v>
      </c>
      <c r="D160" s="95"/>
      <c r="E160" t="s">
        <v>350</v>
      </c>
      <c r="F160" s="110" t="s">
        <v>108</v>
      </c>
    </row>
    <row r="161" spans="1:15" x14ac:dyDescent="0.3">
      <c r="A161" s="38">
        <v>46082</v>
      </c>
      <c r="B161" t="s">
        <v>282</v>
      </c>
      <c r="C161" s="11"/>
      <c r="D161" s="11"/>
      <c r="E161" t="s">
        <v>363</v>
      </c>
      <c r="F161" s="110" t="s">
        <v>108</v>
      </c>
    </row>
    <row r="162" spans="1:15" x14ac:dyDescent="0.3">
      <c r="A162" s="38">
        <v>46082</v>
      </c>
      <c r="B162" t="s">
        <v>220</v>
      </c>
      <c r="C162" s="11"/>
      <c r="D162" s="11">
        <f>9700+11200</f>
        <v>20900</v>
      </c>
      <c r="E162" t="s">
        <v>366</v>
      </c>
      <c r="F162" s="110" t="s">
        <v>108</v>
      </c>
    </row>
    <row r="163" spans="1:15" x14ac:dyDescent="0.3">
      <c r="A163" s="114">
        <v>46083</v>
      </c>
      <c r="B163" t="s">
        <v>212</v>
      </c>
      <c r="C163" s="11">
        <v>2500</v>
      </c>
      <c r="D163" s="11"/>
      <c r="F163" s="110" t="s">
        <v>108</v>
      </c>
      <c r="J163" s="3" t="s">
        <v>6</v>
      </c>
      <c r="K163" t="s">
        <v>118</v>
      </c>
      <c r="L163" t="s">
        <v>119</v>
      </c>
      <c r="N163">
        <v>32600</v>
      </c>
      <c r="O163">
        <v>32600</v>
      </c>
    </row>
    <row r="164" spans="1:15" x14ac:dyDescent="0.3">
      <c r="A164" s="114">
        <v>46083</v>
      </c>
      <c r="B164" t="s">
        <v>282</v>
      </c>
      <c r="C164" s="11"/>
      <c r="D164" s="11"/>
      <c r="E164" t="s">
        <v>358</v>
      </c>
      <c r="F164" s="110" t="s">
        <v>108</v>
      </c>
      <c r="J164" s="4" t="s">
        <v>357</v>
      </c>
      <c r="K164" s="14"/>
      <c r="L164" s="14">
        <v>583000</v>
      </c>
      <c r="N164">
        <v>45600</v>
      </c>
      <c r="O164">
        <v>9200</v>
      </c>
    </row>
    <row r="165" spans="1:15" x14ac:dyDescent="0.3">
      <c r="A165" s="38">
        <v>46083</v>
      </c>
      <c r="B165" t="s">
        <v>220</v>
      </c>
      <c r="C165" s="11"/>
      <c r="D165" s="11">
        <v>200000</v>
      </c>
      <c r="E165" t="s">
        <v>359</v>
      </c>
      <c r="F165" s="110" t="s">
        <v>108</v>
      </c>
      <c r="J165" s="4" t="s">
        <v>9</v>
      </c>
      <c r="K165" s="14">
        <v>1320085</v>
      </c>
      <c r="L165" s="14"/>
      <c r="N165">
        <v>49400</v>
      </c>
      <c r="O165">
        <v>45600</v>
      </c>
    </row>
    <row r="166" spans="1:15" x14ac:dyDescent="0.3">
      <c r="A166" s="38">
        <v>46083</v>
      </c>
      <c r="B166" t="s">
        <v>282</v>
      </c>
      <c r="C166" s="11"/>
      <c r="D166" s="11"/>
      <c r="E166" t="s">
        <v>360</v>
      </c>
      <c r="F166" s="110" t="s">
        <v>108</v>
      </c>
      <c r="J166" s="4" t="s">
        <v>117</v>
      </c>
      <c r="K166" s="14"/>
      <c r="L166" s="14">
        <v>574100</v>
      </c>
      <c r="N166">
        <v>37200</v>
      </c>
      <c r="O166">
        <v>30000</v>
      </c>
    </row>
    <row r="167" spans="1:15" x14ac:dyDescent="0.3">
      <c r="A167" s="38">
        <v>46083</v>
      </c>
      <c r="B167" t="s">
        <v>282</v>
      </c>
      <c r="C167" s="11"/>
      <c r="D167" s="11"/>
      <c r="E167" t="s">
        <v>361</v>
      </c>
      <c r="F167" s="110" t="s">
        <v>108</v>
      </c>
      <c r="J167" s="4" t="s">
        <v>94</v>
      </c>
      <c r="K167" s="14"/>
      <c r="L167" s="14">
        <v>2268577</v>
      </c>
      <c r="N167">
        <v>9200</v>
      </c>
      <c r="O167">
        <v>37200</v>
      </c>
    </row>
    <row r="168" spans="1:15" x14ac:dyDescent="0.3">
      <c r="A168" s="38">
        <v>46083</v>
      </c>
      <c r="B168" t="s">
        <v>249</v>
      </c>
      <c r="C168" s="11">
        <v>7200</v>
      </c>
      <c r="D168" s="11"/>
      <c r="E168" t="s">
        <v>247</v>
      </c>
      <c r="F168" s="110" t="s">
        <v>108</v>
      </c>
      <c r="J168" s="4" t="s">
        <v>246</v>
      </c>
      <c r="K168" s="14"/>
      <c r="L168" s="14">
        <v>132630</v>
      </c>
      <c r="N168">
        <v>50000</v>
      </c>
      <c r="O168">
        <v>49400</v>
      </c>
    </row>
    <row r="169" spans="1:15" x14ac:dyDescent="0.3">
      <c r="A169" s="38">
        <v>46083</v>
      </c>
      <c r="B169" t="s">
        <v>169</v>
      </c>
      <c r="C169" s="11">
        <v>1000</v>
      </c>
      <c r="D169" s="11"/>
      <c r="E169" t="s">
        <v>341</v>
      </c>
      <c r="F169" s="110" t="s">
        <v>108</v>
      </c>
      <c r="J169" s="4" t="s">
        <v>55</v>
      </c>
      <c r="K169" s="14"/>
      <c r="L169" s="14">
        <v>1408179</v>
      </c>
      <c r="N169">
        <v>60400</v>
      </c>
      <c r="O169">
        <v>60400</v>
      </c>
    </row>
    <row r="170" spans="1:15" x14ac:dyDescent="0.3">
      <c r="A170" s="38">
        <v>46083</v>
      </c>
      <c r="B170" t="s">
        <v>282</v>
      </c>
      <c r="C170" s="11"/>
      <c r="D170" s="11"/>
      <c r="F170" s="110" t="s">
        <v>108</v>
      </c>
      <c r="J170" s="4" t="s">
        <v>113</v>
      </c>
      <c r="K170" s="14"/>
      <c r="L170" s="14">
        <v>299340</v>
      </c>
      <c r="N170">
        <v>30000</v>
      </c>
      <c r="O170">
        <v>50000</v>
      </c>
    </row>
    <row r="171" spans="1:15" x14ac:dyDescent="0.3">
      <c r="A171" s="38">
        <v>46083</v>
      </c>
      <c r="B171" t="s">
        <v>282</v>
      </c>
      <c r="C171" s="11"/>
      <c r="D171" s="11"/>
      <c r="E171" t="s">
        <v>362</v>
      </c>
      <c r="F171" s="110" t="s">
        <v>108</v>
      </c>
      <c r="J171" s="4" t="s">
        <v>282</v>
      </c>
      <c r="K171" s="14"/>
      <c r="L171" s="14">
        <v>4719653</v>
      </c>
      <c r="N171">
        <v>13670</v>
      </c>
      <c r="O171">
        <v>1000</v>
      </c>
    </row>
    <row r="172" spans="1:15" x14ac:dyDescent="0.3">
      <c r="A172" s="38">
        <v>46083</v>
      </c>
      <c r="B172" t="s">
        <v>282</v>
      </c>
      <c r="C172" s="11"/>
      <c r="D172" s="11"/>
      <c r="E172" t="s">
        <v>363</v>
      </c>
      <c r="F172" s="110" t="s">
        <v>108</v>
      </c>
      <c r="J172" s="4" t="s">
        <v>54</v>
      </c>
      <c r="K172" s="14"/>
      <c r="L172" s="14">
        <v>307679.40000000002</v>
      </c>
      <c r="N172">
        <v>18120</v>
      </c>
      <c r="O172">
        <v>35000</v>
      </c>
    </row>
    <row r="173" spans="1:15" x14ac:dyDescent="0.3">
      <c r="A173" s="38">
        <v>46083</v>
      </c>
      <c r="B173" t="s">
        <v>357</v>
      </c>
      <c r="C173" s="11">
        <v>12000</v>
      </c>
      <c r="D173" s="11"/>
      <c r="E173" t="s">
        <v>360</v>
      </c>
      <c r="F173" s="110" t="s">
        <v>108</v>
      </c>
      <c r="J173" s="4" t="s">
        <v>221</v>
      </c>
      <c r="K173" s="14">
        <v>0</v>
      </c>
      <c r="L173" s="14">
        <v>1106304</v>
      </c>
      <c r="N173">
        <v>7650</v>
      </c>
      <c r="O173">
        <v>29600</v>
      </c>
    </row>
    <row r="174" spans="1:15" x14ac:dyDescent="0.3">
      <c r="A174" s="38">
        <v>46083</v>
      </c>
      <c r="B174" t="s">
        <v>55</v>
      </c>
      <c r="C174" s="11">
        <v>20900</v>
      </c>
      <c r="D174" s="11"/>
      <c r="E174" t="s">
        <v>366</v>
      </c>
      <c r="F174" s="110" t="s">
        <v>108</v>
      </c>
      <c r="J174" s="4" t="s">
        <v>212</v>
      </c>
      <c r="K174" s="14">
        <v>1026490.7364667157</v>
      </c>
      <c r="L174" s="14">
        <v>431298</v>
      </c>
      <c r="N174">
        <v>25000</v>
      </c>
      <c r="O174">
        <v>20000</v>
      </c>
    </row>
    <row r="175" spans="1:15" x14ac:dyDescent="0.3">
      <c r="A175" s="38">
        <v>46083</v>
      </c>
      <c r="B175" t="s">
        <v>297</v>
      </c>
      <c r="C175" s="11">
        <v>23000</v>
      </c>
      <c r="D175" s="11"/>
      <c r="E175" t="s">
        <v>367</v>
      </c>
      <c r="F175" s="110" t="s">
        <v>108</v>
      </c>
      <c r="J175" s="4" t="s">
        <v>225</v>
      </c>
      <c r="K175" s="14">
        <v>1147303</v>
      </c>
      <c r="L175" s="14"/>
      <c r="N175">
        <v>12000</v>
      </c>
      <c r="O175">
        <v>20800</v>
      </c>
    </row>
    <row r="176" spans="1:15" x14ac:dyDescent="0.3">
      <c r="A176" s="38">
        <v>46083</v>
      </c>
      <c r="B176" t="s">
        <v>220</v>
      </c>
      <c r="C176" s="11"/>
      <c r="D176" s="11">
        <v>23000</v>
      </c>
      <c r="E176" t="s">
        <v>367</v>
      </c>
      <c r="F176" s="110" t="s">
        <v>108</v>
      </c>
      <c r="J176" s="4" t="s">
        <v>103</v>
      </c>
      <c r="K176" s="14"/>
      <c r="L176" s="14"/>
      <c r="N176">
        <v>22650</v>
      </c>
      <c r="O176">
        <v>19200</v>
      </c>
    </row>
    <row r="177" spans="1:15" x14ac:dyDescent="0.3">
      <c r="A177" s="38">
        <v>46083</v>
      </c>
      <c r="B177" t="s">
        <v>54</v>
      </c>
      <c r="C177" s="11">
        <v>2000</v>
      </c>
      <c r="D177" s="11"/>
      <c r="E177" t="s">
        <v>368</v>
      </c>
      <c r="F177" s="110" t="s">
        <v>108</v>
      </c>
      <c r="J177" s="4" t="s">
        <v>409</v>
      </c>
      <c r="K177" s="14">
        <v>839000</v>
      </c>
      <c r="L177" s="14"/>
      <c r="N177">
        <v>22650</v>
      </c>
    </row>
    <row r="178" spans="1:15" x14ac:dyDescent="0.3">
      <c r="A178" s="38">
        <v>46083</v>
      </c>
      <c r="B178" t="s">
        <v>225</v>
      </c>
      <c r="C178" s="11"/>
      <c r="D178" s="11">
        <v>100000</v>
      </c>
      <c r="E178" t="s">
        <v>369</v>
      </c>
      <c r="F178" s="110" t="s">
        <v>108</v>
      </c>
      <c r="J178" s="4" t="s">
        <v>245</v>
      </c>
      <c r="K178" s="14">
        <v>1679674</v>
      </c>
      <c r="L178" s="14"/>
      <c r="N178">
        <v>24400</v>
      </c>
    </row>
    <row r="179" spans="1:15" x14ac:dyDescent="0.3">
      <c r="A179" s="38">
        <v>46083</v>
      </c>
      <c r="B179" t="s">
        <v>55</v>
      </c>
      <c r="C179" s="11">
        <v>1600</v>
      </c>
      <c r="D179" s="11"/>
      <c r="E179" t="s">
        <v>370</v>
      </c>
      <c r="F179" s="110" t="s">
        <v>108</v>
      </c>
      <c r="J179" s="4" t="s">
        <v>115</v>
      </c>
      <c r="K179" s="14"/>
      <c r="L179" s="14">
        <v>1490000</v>
      </c>
      <c r="N179">
        <v>15000</v>
      </c>
      <c r="O179">
        <v>20850</v>
      </c>
    </row>
    <row r="180" spans="1:15" x14ac:dyDescent="0.3">
      <c r="A180" s="38">
        <v>46083</v>
      </c>
      <c r="B180" t="s">
        <v>282</v>
      </c>
      <c r="C180" s="11"/>
      <c r="D180" s="11"/>
      <c r="E180" t="s">
        <v>371</v>
      </c>
      <c r="F180" s="110" t="s">
        <v>108</v>
      </c>
      <c r="J180" s="4" t="s">
        <v>35</v>
      </c>
      <c r="K180" s="14">
        <v>1201800</v>
      </c>
      <c r="L180" s="14"/>
      <c r="N180">
        <v>22650</v>
      </c>
      <c r="O180">
        <v>16630</v>
      </c>
    </row>
    <row r="181" spans="1:15" x14ac:dyDescent="0.3">
      <c r="A181" s="38">
        <v>46083</v>
      </c>
      <c r="B181" t="s">
        <v>55</v>
      </c>
      <c r="C181" s="11">
        <v>2120</v>
      </c>
      <c r="D181" s="11"/>
      <c r="E181" t="s">
        <v>372</v>
      </c>
      <c r="F181" s="110" t="s">
        <v>108</v>
      </c>
      <c r="J181" s="4" t="s">
        <v>422</v>
      </c>
      <c r="K181" s="14">
        <v>200000</v>
      </c>
      <c r="L181" s="14"/>
      <c r="N181">
        <v>25000</v>
      </c>
      <c r="O181">
        <v>16630</v>
      </c>
    </row>
    <row r="182" spans="1:15" x14ac:dyDescent="0.3">
      <c r="A182" s="38">
        <v>46083</v>
      </c>
      <c r="B182" t="s">
        <v>357</v>
      </c>
      <c r="C182" s="11">
        <v>5000</v>
      </c>
      <c r="D182" s="11"/>
      <c r="E182" t="s">
        <v>373</v>
      </c>
      <c r="F182" s="110" t="s">
        <v>108</v>
      </c>
      <c r="J182" s="4" t="s">
        <v>297</v>
      </c>
      <c r="K182" s="14"/>
      <c r="L182" s="14">
        <v>212125</v>
      </c>
      <c r="N182">
        <v>20000</v>
      </c>
      <c r="O182">
        <v>7650</v>
      </c>
    </row>
    <row r="183" spans="1:15" x14ac:dyDescent="0.3">
      <c r="A183" s="38">
        <v>46083</v>
      </c>
      <c r="B183" t="s">
        <v>357</v>
      </c>
      <c r="C183" s="11">
        <v>10000</v>
      </c>
      <c r="D183" s="11"/>
      <c r="E183" t="s">
        <v>275</v>
      </c>
      <c r="F183" s="110" t="s">
        <v>108</v>
      </c>
      <c r="J183" s="4" t="s">
        <v>169</v>
      </c>
      <c r="K183" s="14"/>
      <c r="L183" s="14">
        <v>2630860</v>
      </c>
      <c r="N183">
        <v>16650</v>
      </c>
      <c r="O183">
        <v>17000</v>
      </c>
    </row>
    <row r="184" spans="1:15" x14ac:dyDescent="0.3">
      <c r="A184" s="38">
        <v>46083</v>
      </c>
      <c r="B184" t="s">
        <v>220</v>
      </c>
      <c r="C184" s="11"/>
      <c r="D184" s="11">
        <v>175000</v>
      </c>
      <c r="E184" t="s">
        <v>374</v>
      </c>
      <c r="F184" s="110" t="s">
        <v>108</v>
      </c>
      <c r="J184" s="4" t="s">
        <v>273</v>
      </c>
      <c r="K184" s="14"/>
      <c r="L184" s="14">
        <v>251000</v>
      </c>
      <c r="N184">
        <v>29600</v>
      </c>
      <c r="O184">
        <v>16650</v>
      </c>
    </row>
    <row r="185" spans="1:15" x14ac:dyDescent="0.3">
      <c r="A185" s="38">
        <v>46083</v>
      </c>
      <c r="B185" t="s">
        <v>222</v>
      </c>
      <c r="C185" s="95">
        <v>125000</v>
      </c>
      <c r="D185" s="95"/>
      <c r="E185" t="s">
        <v>375</v>
      </c>
      <c r="F185" s="110" t="s">
        <v>108</v>
      </c>
      <c r="J185" s="4" t="s">
        <v>220</v>
      </c>
      <c r="K185" s="14">
        <v>17085507</v>
      </c>
      <c r="L185" s="14">
        <v>11185173</v>
      </c>
      <c r="N185">
        <v>16630</v>
      </c>
      <c r="O185">
        <v>24400</v>
      </c>
    </row>
    <row r="186" spans="1:15" x14ac:dyDescent="0.3">
      <c r="A186" s="38">
        <v>46083</v>
      </c>
      <c r="B186" t="s">
        <v>246</v>
      </c>
      <c r="C186" s="11">
        <v>430</v>
      </c>
      <c r="D186" s="11"/>
      <c r="E186" t="s">
        <v>376</v>
      </c>
      <c r="F186" s="110" t="s">
        <v>108</v>
      </c>
      <c r="J186" s="4" t="s">
        <v>165</v>
      </c>
      <c r="K186" s="14"/>
      <c r="L186" s="14">
        <v>240000</v>
      </c>
      <c r="N186">
        <v>16650</v>
      </c>
      <c r="O186">
        <v>15000</v>
      </c>
    </row>
    <row r="187" spans="1:15" x14ac:dyDescent="0.3">
      <c r="A187" s="38">
        <v>46083</v>
      </c>
      <c r="B187" t="s">
        <v>221</v>
      </c>
      <c r="C187" s="95">
        <v>1000</v>
      </c>
      <c r="D187" s="95"/>
      <c r="E187" t="s">
        <v>350</v>
      </c>
      <c r="F187" s="110" t="s">
        <v>108</v>
      </c>
      <c r="J187" s="4" t="s">
        <v>175</v>
      </c>
      <c r="K187" s="14">
        <v>704000</v>
      </c>
      <c r="L187" s="14"/>
      <c r="N187">
        <v>160000</v>
      </c>
      <c r="O187">
        <v>16650</v>
      </c>
    </row>
    <row r="188" spans="1:15" x14ac:dyDescent="0.3">
      <c r="A188" s="38">
        <v>46083</v>
      </c>
      <c r="B188" t="s">
        <v>312</v>
      </c>
      <c r="C188" s="11"/>
      <c r="D188" s="11">
        <v>8701</v>
      </c>
      <c r="E188" t="s">
        <v>378</v>
      </c>
      <c r="F188" s="110" t="s">
        <v>108</v>
      </c>
      <c r="J188" s="4" t="s">
        <v>176</v>
      </c>
      <c r="K188" s="14"/>
      <c r="L188" s="14">
        <v>586830</v>
      </c>
      <c r="N188">
        <v>17000</v>
      </c>
      <c r="O188">
        <v>13650</v>
      </c>
    </row>
    <row r="189" spans="1:15" x14ac:dyDescent="0.3">
      <c r="A189" s="38">
        <v>46083</v>
      </c>
      <c r="B189" t="s">
        <v>54</v>
      </c>
      <c r="C189" s="11">
        <v>8701</v>
      </c>
      <c r="D189" s="11"/>
      <c r="E189" t="s">
        <v>267</v>
      </c>
      <c r="F189" s="110" t="s">
        <v>108</v>
      </c>
      <c r="J189" s="4" t="s">
        <v>51</v>
      </c>
      <c r="K189" s="14"/>
      <c r="L189" s="14">
        <v>5722092</v>
      </c>
      <c r="N189">
        <v>19200</v>
      </c>
      <c r="O189">
        <v>12000</v>
      </c>
    </row>
    <row r="190" spans="1:15" x14ac:dyDescent="0.3">
      <c r="A190" s="38">
        <v>46083</v>
      </c>
      <c r="B190" t="s">
        <v>228</v>
      </c>
      <c r="C190" s="11"/>
      <c r="D190" s="11">
        <v>90000</v>
      </c>
      <c r="E190" t="s">
        <v>379</v>
      </c>
      <c r="F190" s="110" t="s">
        <v>108</v>
      </c>
      <c r="J190" s="4" t="s">
        <v>530</v>
      </c>
      <c r="K190" s="14"/>
      <c r="L190" s="14">
        <v>312000</v>
      </c>
      <c r="N190">
        <v>20000</v>
      </c>
      <c r="O190">
        <v>14000</v>
      </c>
    </row>
    <row r="191" spans="1:15" x14ac:dyDescent="0.3">
      <c r="A191" s="114">
        <v>46083</v>
      </c>
      <c r="B191" t="s">
        <v>220</v>
      </c>
      <c r="C191" s="95">
        <v>90000</v>
      </c>
      <c r="D191" s="95"/>
      <c r="E191" t="s">
        <v>264</v>
      </c>
      <c r="F191" s="110" t="s">
        <v>108</v>
      </c>
      <c r="J191" s="4" t="s">
        <v>294</v>
      </c>
      <c r="K191" s="14"/>
      <c r="L191" s="14">
        <v>26000</v>
      </c>
      <c r="N191">
        <v>20850</v>
      </c>
      <c r="O191">
        <v>25000</v>
      </c>
    </row>
    <row r="192" spans="1:15" x14ac:dyDescent="0.3">
      <c r="A192" s="38">
        <v>46084</v>
      </c>
      <c r="B192" t="s">
        <v>9</v>
      </c>
      <c r="C192" s="11"/>
      <c r="D192" s="11">
        <v>60000</v>
      </c>
      <c r="E192" t="s">
        <v>385</v>
      </c>
      <c r="F192" s="110" t="s">
        <v>108</v>
      </c>
      <c r="J192" s="4" t="s">
        <v>192</v>
      </c>
      <c r="K192" s="14">
        <v>486900</v>
      </c>
      <c r="L192" s="14"/>
      <c r="N192">
        <v>16650</v>
      </c>
      <c r="O192">
        <v>20000</v>
      </c>
    </row>
    <row r="193" spans="1:15" x14ac:dyDescent="0.3">
      <c r="A193" s="114">
        <v>46084</v>
      </c>
      <c r="B193" t="s">
        <v>165</v>
      </c>
      <c r="C193" s="11">
        <v>2500</v>
      </c>
      <c r="D193" s="11"/>
      <c r="E193" t="s">
        <v>386</v>
      </c>
      <c r="F193" s="110" t="s">
        <v>108</v>
      </c>
      <c r="J193" s="4" t="s">
        <v>190</v>
      </c>
      <c r="K193" s="14">
        <v>685340</v>
      </c>
      <c r="L193" s="14"/>
      <c r="N193">
        <v>14000</v>
      </c>
      <c r="O193">
        <v>25000</v>
      </c>
    </row>
    <row r="194" spans="1:15" x14ac:dyDescent="0.3">
      <c r="A194" s="114">
        <v>46084</v>
      </c>
      <c r="B194" t="s">
        <v>257</v>
      </c>
      <c r="C194" s="11">
        <v>100000</v>
      </c>
      <c r="D194" s="11"/>
      <c r="E194" t="s">
        <v>387</v>
      </c>
      <c r="F194" s="110" t="s">
        <v>108</v>
      </c>
      <c r="J194" s="4" t="s">
        <v>298</v>
      </c>
      <c r="K194" s="14"/>
      <c r="L194" s="14">
        <v>1415684</v>
      </c>
      <c r="N194">
        <v>3900</v>
      </c>
      <c r="O194">
        <v>3900</v>
      </c>
    </row>
    <row r="195" spans="1:15" x14ac:dyDescent="0.3">
      <c r="A195" s="114">
        <v>46084</v>
      </c>
      <c r="B195" t="s">
        <v>312</v>
      </c>
      <c r="C195" s="11"/>
      <c r="D195" s="11">
        <v>500000</v>
      </c>
      <c r="E195" t="s">
        <v>388</v>
      </c>
      <c r="F195" s="110" t="s">
        <v>108</v>
      </c>
      <c r="J195" s="4" t="s">
        <v>277</v>
      </c>
      <c r="K195" s="14"/>
      <c r="L195" s="14">
        <v>274336</v>
      </c>
      <c r="N195">
        <v>35000</v>
      </c>
      <c r="O195">
        <v>18120</v>
      </c>
    </row>
    <row r="196" spans="1:15" x14ac:dyDescent="0.3">
      <c r="A196" s="38">
        <v>46084</v>
      </c>
      <c r="B196" t="s">
        <v>55</v>
      </c>
      <c r="C196" s="11">
        <v>10500</v>
      </c>
      <c r="D196" s="11"/>
      <c r="E196" t="s">
        <v>389</v>
      </c>
      <c r="F196" s="110" t="s">
        <v>108</v>
      </c>
      <c r="J196" s="4" t="s">
        <v>202</v>
      </c>
      <c r="K196" s="14">
        <v>135000</v>
      </c>
      <c r="L196" s="14"/>
      <c r="O196">
        <v>22650</v>
      </c>
    </row>
    <row r="197" spans="1:15" x14ac:dyDescent="0.3">
      <c r="A197" s="114">
        <v>46084</v>
      </c>
      <c r="B197" t="s">
        <v>273</v>
      </c>
      <c r="C197" s="11">
        <v>150000</v>
      </c>
      <c r="D197" s="11"/>
      <c r="E197" t="s">
        <v>390</v>
      </c>
      <c r="F197" s="110" t="s">
        <v>108</v>
      </c>
      <c r="J197" s="4" t="s">
        <v>211</v>
      </c>
      <c r="K197" s="14">
        <v>5281726</v>
      </c>
      <c r="L197" s="14"/>
      <c r="O197">
        <v>22650</v>
      </c>
    </row>
    <row r="198" spans="1:15" x14ac:dyDescent="0.3">
      <c r="A198" s="114">
        <v>46084</v>
      </c>
      <c r="B198" t="s">
        <v>222</v>
      </c>
      <c r="C198" s="11">
        <v>100210</v>
      </c>
      <c r="D198" s="11"/>
      <c r="E198" t="s">
        <v>391</v>
      </c>
      <c r="F198" s="110" t="s">
        <v>108</v>
      </c>
      <c r="J198" s="4" t="s">
        <v>222</v>
      </c>
      <c r="K198" s="14"/>
      <c r="L198" s="14">
        <v>2270650</v>
      </c>
      <c r="O198">
        <v>160000</v>
      </c>
    </row>
    <row r="199" spans="1:15" x14ac:dyDescent="0.3">
      <c r="A199" s="114">
        <v>46084</v>
      </c>
      <c r="B199" t="s">
        <v>312</v>
      </c>
      <c r="C199" s="11"/>
      <c r="D199" s="11">
        <v>500000</v>
      </c>
      <c r="E199" t="s">
        <v>392</v>
      </c>
      <c r="F199" s="110" t="s">
        <v>108</v>
      </c>
      <c r="J199" s="4" t="s">
        <v>228</v>
      </c>
      <c r="K199" s="14">
        <v>1816071</v>
      </c>
      <c r="L199" s="14"/>
    </row>
    <row r="200" spans="1:15" x14ac:dyDescent="0.3">
      <c r="A200" s="114">
        <v>46084</v>
      </c>
      <c r="B200" t="s">
        <v>113</v>
      </c>
      <c r="C200" s="11">
        <v>70415</v>
      </c>
      <c r="D200" s="11"/>
      <c r="E200" t="s">
        <v>216</v>
      </c>
      <c r="F200" s="110" t="s">
        <v>108</v>
      </c>
      <c r="J200" s="4" t="s">
        <v>477</v>
      </c>
      <c r="K200" s="14"/>
      <c r="L200" s="14">
        <v>187052</v>
      </c>
    </row>
    <row r="201" spans="1:15" x14ac:dyDescent="0.3">
      <c r="A201" s="114">
        <v>46084</v>
      </c>
      <c r="B201" t="s">
        <v>169</v>
      </c>
      <c r="C201" s="11">
        <v>250000</v>
      </c>
      <c r="D201" s="11"/>
      <c r="E201" t="s">
        <v>393</v>
      </c>
      <c r="F201" s="110" t="s">
        <v>108</v>
      </c>
      <c r="J201" s="4" t="s">
        <v>463</v>
      </c>
      <c r="K201" s="14">
        <v>40000</v>
      </c>
      <c r="L201" s="14"/>
    </row>
    <row r="202" spans="1:15" x14ac:dyDescent="0.3">
      <c r="A202" s="114">
        <v>46084</v>
      </c>
      <c r="B202" t="s">
        <v>298</v>
      </c>
      <c r="C202" s="11">
        <v>150000</v>
      </c>
      <c r="D202" s="11"/>
      <c r="E202" t="s">
        <v>394</v>
      </c>
      <c r="F202" s="110" t="s">
        <v>108</v>
      </c>
      <c r="J202" s="4" t="s">
        <v>249</v>
      </c>
      <c r="K202" s="14"/>
      <c r="L202" s="14">
        <v>223295</v>
      </c>
    </row>
    <row r="203" spans="1:15" x14ac:dyDescent="0.3">
      <c r="A203" s="114">
        <v>46084</v>
      </c>
      <c r="B203" t="s">
        <v>222</v>
      </c>
      <c r="C203" s="11">
        <v>31000</v>
      </c>
      <c r="D203" s="11"/>
      <c r="E203" t="s">
        <v>242</v>
      </c>
      <c r="F203" s="110" t="s">
        <v>108</v>
      </c>
      <c r="J203" s="4" t="s">
        <v>252</v>
      </c>
      <c r="K203" s="14"/>
      <c r="L203" s="14">
        <v>100000</v>
      </c>
    </row>
    <row r="204" spans="1:15" x14ac:dyDescent="0.3">
      <c r="A204" s="114">
        <v>46084</v>
      </c>
      <c r="B204" t="s">
        <v>377</v>
      </c>
      <c r="C204" s="11"/>
      <c r="D204" s="11">
        <v>257000</v>
      </c>
      <c r="E204" t="s">
        <v>395</v>
      </c>
      <c r="F204" s="110" t="s">
        <v>108</v>
      </c>
      <c r="J204" s="4" t="s">
        <v>257</v>
      </c>
      <c r="K204" s="14"/>
      <c r="L204" s="14">
        <v>221490</v>
      </c>
    </row>
    <row r="205" spans="1:15" x14ac:dyDescent="0.3">
      <c r="A205" s="114">
        <v>46084</v>
      </c>
      <c r="B205" t="s">
        <v>212</v>
      </c>
      <c r="C205" s="11">
        <f>650+760</f>
        <v>1410</v>
      </c>
      <c r="D205" s="11"/>
      <c r="F205" s="110" t="s">
        <v>108</v>
      </c>
      <c r="J205" s="4" t="s">
        <v>232</v>
      </c>
      <c r="K205" s="14">
        <v>169278</v>
      </c>
      <c r="L205" s="14"/>
    </row>
    <row r="206" spans="1:15" x14ac:dyDescent="0.3">
      <c r="A206" s="114">
        <v>46084</v>
      </c>
      <c r="B206" t="s">
        <v>222</v>
      </c>
      <c r="C206" s="11">
        <v>18500</v>
      </c>
      <c r="D206" s="11"/>
      <c r="E206" t="s">
        <v>242</v>
      </c>
      <c r="F206" s="110" t="s">
        <v>108</v>
      </c>
      <c r="J206" s="4" t="s">
        <v>312</v>
      </c>
      <c r="K206" s="14">
        <v>6045323.4930504756</v>
      </c>
      <c r="L206" s="14"/>
    </row>
    <row r="207" spans="1:15" x14ac:dyDescent="0.3">
      <c r="A207" s="114">
        <v>46084</v>
      </c>
      <c r="B207" t="s">
        <v>249</v>
      </c>
      <c r="C207" s="11">
        <v>3600</v>
      </c>
      <c r="D207" s="11"/>
      <c r="E207" t="s">
        <v>247</v>
      </c>
      <c r="F207" s="110" t="s">
        <v>108</v>
      </c>
      <c r="J207" s="4" t="s">
        <v>377</v>
      </c>
      <c r="K207" s="14">
        <v>544000</v>
      </c>
      <c r="L207" s="14"/>
    </row>
    <row r="208" spans="1:15" x14ac:dyDescent="0.3">
      <c r="A208" s="114">
        <v>46084</v>
      </c>
      <c r="B208" t="s">
        <v>54</v>
      </c>
      <c r="C208" s="11">
        <v>5000</v>
      </c>
      <c r="D208" s="11"/>
      <c r="E208" t="s">
        <v>290</v>
      </c>
      <c r="F208" s="110" t="s">
        <v>108</v>
      </c>
      <c r="J208" s="4" t="s">
        <v>226</v>
      </c>
      <c r="K208" s="14"/>
      <c r="L208" s="14">
        <v>142500</v>
      </c>
    </row>
    <row r="209" spans="1:12" x14ac:dyDescent="0.3">
      <c r="A209" s="114">
        <v>46085</v>
      </c>
      <c r="B209" t="s">
        <v>228</v>
      </c>
      <c r="C209" s="11"/>
      <c r="D209" s="11">
        <v>100000</v>
      </c>
      <c r="E209" t="s">
        <v>365</v>
      </c>
      <c r="F209" s="110" t="s">
        <v>108</v>
      </c>
      <c r="J209" s="4" t="s">
        <v>229</v>
      </c>
      <c r="K209" s="14"/>
      <c r="L209" s="14">
        <v>800000</v>
      </c>
    </row>
    <row r="210" spans="1:12" x14ac:dyDescent="0.3">
      <c r="A210" s="114">
        <v>46085</v>
      </c>
      <c r="B210" t="s">
        <v>226</v>
      </c>
      <c r="C210" s="11">
        <v>84500</v>
      </c>
      <c r="D210" s="11"/>
      <c r="E210" t="s">
        <v>396</v>
      </c>
      <c r="F210" s="110" t="s">
        <v>108</v>
      </c>
      <c r="J210" s="4" t="s">
        <v>444</v>
      </c>
      <c r="K210" s="14"/>
      <c r="L210" s="14">
        <v>10000</v>
      </c>
    </row>
    <row r="211" spans="1:12" x14ac:dyDescent="0.3">
      <c r="A211" s="114">
        <v>46085</v>
      </c>
      <c r="B211" t="s">
        <v>222</v>
      </c>
      <c r="C211" s="11">
        <v>2000</v>
      </c>
      <c r="D211" s="11"/>
      <c r="E211" t="s">
        <v>341</v>
      </c>
      <c r="F211" s="110" t="s">
        <v>108</v>
      </c>
      <c r="J211" s="4" t="s">
        <v>462</v>
      </c>
      <c r="K211" s="14">
        <v>130000</v>
      </c>
      <c r="L211" s="14"/>
    </row>
    <row r="212" spans="1:12" x14ac:dyDescent="0.3">
      <c r="A212" s="114">
        <v>46085</v>
      </c>
      <c r="B212" t="s">
        <v>169</v>
      </c>
      <c r="C212" s="11">
        <v>1000</v>
      </c>
      <c r="D212" s="11"/>
      <c r="E212" t="s">
        <v>341</v>
      </c>
      <c r="F212" s="110" t="s">
        <v>108</v>
      </c>
      <c r="J212" s="4" t="s">
        <v>500</v>
      </c>
      <c r="K212" s="14">
        <v>463280</v>
      </c>
      <c r="L212" s="14"/>
    </row>
    <row r="213" spans="1:12" x14ac:dyDescent="0.3">
      <c r="A213" s="114">
        <v>46085</v>
      </c>
      <c r="B213" t="s">
        <v>282</v>
      </c>
      <c r="C213" s="11"/>
      <c r="D213" s="11"/>
      <c r="E213" t="s">
        <v>329</v>
      </c>
      <c r="F213" s="110" t="s">
        <v>108</v>
      </c>
      <c r="J213" s="4" t="s">
        <v>546</v>
      </c>
      <c r="K213" s="14"/>
      <c r="L213" s="14">
        <v>150000</v>
      </c>
    </row>
    <row r="214" spans="1:12" x14ac:dyDescent="0.3">
      <c r="A214" s="114">
        <v>46085</v>
      </c>
      <c r="B214" t="s">
        <v>55</v>
      </c>
      <c r="C214" s="11">
        <v>200000</v>
      </c>
      <c r="D214" s="11"/>
      <c r="E214" t="s">
        <v>397</v>
      </c>
      <c r="F214" s="110" t="s">
        <v>108</v>
      </c>
      <c r="J214" s="4" t="s">
        <v>640</v>
      </c>
      <c r="K214" s="14"/>
      <c r="L214" s="14">
        <v>57000</v>
      </c>
    </row>
    <row r="215" spans="1:12" x14ac:dyDescent="0.3">
      <c r="A215" s="114">
        <v>46085</v>
      </c>
      <c r="B215" t="s">
        <v>222</v>
      </c>
      <c r="C215" s="11">
        <v>140000</v>
      </c>
      <c r="D215" s="11"/>
      <c r="E215" t="s">
        <v>398</v>
      </c>
      <c r="F215" s="110" t="s">
        <v>108</v>
      </c>
      <c r="J215" s="4" t="s">
        <v>671</v>
      </c>
      <c r="K215" s="14"/>
      <c r="L215" s="14">
        <v>35000</v>
      </c>
    </row>
    <row r="216" spans="1:12" x14ac:dyDescent="0.3">
      <c r="A216" s="114">
        <v>46085</v>
      </c>
      <c r="B216" t="s">
        <v>55</v>
      </c>
      <c r="C216" s="11">
        <v>3900</v>
      </c>
      <c r="D216" s="11"/>
      <c r="F216" s="110" t="s">
        <v>108</v>
      </c>
      <c r="J216" s="4" t="s">
        <v>692</v>
      </c>
      <c r="K216" s="14"/>
      <c r="L216" s="14">
        <v>254900</v>
      </c>
    </row>
    <row r="217" spans="1:12" x14ac:dyDescent="0.3">
      <c r="A217" s="114">
        <v>46085</v>
      </c>
      <c r="B217" t="s">
        <v>212</v>
      </c>
      <c r="C217" s="11">
        <v>3720</v>
      </c>
      <c r="D217" s="11"/>
      <c r="E217" t="s">
        <v>254</v>
      </c>
      <c r="F217" s="110" t="s">
        <v>108</v>
      </c>
      <c r="J217" s="4" t="s">
        <v>733</v>
      </c>
      <c r="K217" s="14"/>
      <c r="L217" s="14">
        <v>576500</v>
      </c>
    </row>
    <row r="218" spans="1:12" x14ac:dyDescent="0.3">
      <c r="A218" s="114">
        <v>46085</v>
      </c>
      <c r="B218" t="s">
        <v>55</v>
      </c>
      <c r="C218" s="95">
        <v>3500</v>
      </c>
      <c r="D218" s="95"/>
      <c r="E218" t="s">
        <v>400</v>
      </c>
      <c r="F218" s="110" t="s">
        <v>108</v>
      </c>
      <c r="J218" s="4" t="s">
        <v>756</v>
      </c>
      <c r="K218" s="14">
        <v>500000</v>
      </c>
      <c r="L218" s="14"/>
    </row>
    <row r="219" spans="1:12" x14ac:dyDescent="0.3">
      <c r="A219" s="114">
        <v>46085</v>
      </c>
      <c r="B219" t="s">
        <v>55</v>
      </c>
      <c r="C219" s="11">
        <v>1860</v>
      </c>
      <c r="D219" s="11"/>
      <c r="E219" t="s">
        <v>399</v>
      </c>
      <c r="F219" s="110" t="s">
        <v>108</v>
      </c>
      <c r="J219" s="4" t="s">
        <v>28</v>
      </c>
      <c r="K219" s="14">
        <v>41500778.229517192</v>
      </c>
      <c r="L219" s="14">
        <v>41205247.399999999</v>
      </c>
    </row>
    <row r="220" spans="1:12" x14ac:dyDescent="0.3">
      <c r="A220" s="114">
        <v>46085</v>
      </c>
      <c r="B220" t="s">
        <v>212</v>
      </c>
      <c r="C220" s="11">
        <v>650</v>
      </c>
      <c r="D220" s="11"/>
      <c r="F220" s="110" t="s">
        <v>108</v>
      </c>
    </row>
    <row r="221" spans="1:12" x14ac:dyDescent="0.3">
      <c r="A221" s="114">
        <v>46085</v>
      </c>
      <c r="B221" t="s">
        <v>249</v>
      </c>
      <c r="C221" s="11">
        <v>3600</v>
      </c>
      <c r="D221" s="11"/>
      <c r="E221" t="s">
        <v>247</v>
      </c>
      <c r="F221" s="110" t="s">
        <v>108</v>
      </c>
    </row>
    <row r="222" spans="1:12" x14ac:dyDescent="0.3">
      <c r="A222" s="114">
        <v>46085</v>
      </c>
      <c r="B222" t="s">
        <v>54</v>
      </c>
      <c r="C222" s="11">
        <v>5110</v>
      </c>
      <c r="D222" s="11"/>
      <c r="E222" t="s">
        <v>267</v>
      </c>
      <c r="F222" s="110" t="s">
        <v>108</v>
      </c>
    </row>
    <row r="223" spans="1:12" x14ac:dyDescent="0.3">
      <c r="A223" s="114">
        <v>46085</v>
      </c>
      <c r="B223" t="s">
        <v>312</v>
      </c>
      <c r="C223" s="11"/>
      <c r="D223" s="11">
        <v>5110</v>
      </c>
      <c r="E223" t="s">
        <v>402</v>
      </c>
      <c r="F223" s="110" t="s">
        <v>108</v>
      </c>
    </row>
    <row r="224" spans="1:12" x14ac:dyDescent="0.3">
      <c r="A224" s="114">
        <v>46086</v>
      </c>
      <c r="B224" t="s">
        <v>357</v>
      </c>
      <c r="C224" s="11">
        <v>25000</v>
      </c>
      <c r="D224" s="11"/>
      <c r="E224" t="s">
        <v>403</v>
      </c>
      <c r="F224" s="110" t="s">
        <v>108</v>
      </c>
    </row>
    <row r="225" spans="1:6" x14ac:dyDescent="0.3">
      <c r="A225" s="114">
        <v>46086</v>
      </c>
      <c r="B225" t="s">
        <v>282</v>
      </c>
      <c r="C225" s="11">
        <v>10000</v>
      </c>
      <c r="D225" s="11"/>
      <c r="E225" t="s">
        <v>404</v>
      </c>
      <c r="F225" s="110" t="s">
        <v>108</v>
      </c>
    </row>
    <row r="226" spans="1:6" x14ac:dyDescent="0.3">
      <c r="A226" s="114">
        <v>46086</v>
      </c>
      <c r="B226" t="s">
        <v>225</v>
      </c>
      <c r="C226" s="11"/>
      <c r="D226" s="11">
        <v>100000</v>
      </c>
      <c r="E226" t="s">
        <v>405</v>
      </c>
      <c r="F226" s="110" t="s">
        <v>108</v>
      </c>
    </row>
    <row r="227" spans="1:6" x14ac:dyDescent="0.3">
      <c r="A227" s="114">
        <v>46086</v>
      </c>
      <c r="B227" t="s">
        <v>226</v>
      </c>
      <c r="C227" s="11">
        <v>4000</v>
      </c>
      <c r="D227" s="11"/>
      <c r="E227" t="s">
        <v>407</v>
      </c>
      <c r="F227" s="110" t="s">
        <v>108</v>
      </c>
    </row>
    <row r="228" spans="1:6" x14ac:dyDescent="0.3">
      <c r="A228" s="114">
        <v>46086</v>
      </c>
      <c r="B228" t="s">
        <v>228</v>
      </c>
      <c r="C228" s="11"/>
      <c r="D228" s="11">
        <v>60000</v>
      </c>
      <c r="F228" s="110" t="s">
        <v>108</v>
      </c>
    </row>
    <row r="229" spans="1:6" x14ac:dyDescent="0.3">
      <c r="A229" s="114">
        <v>46086</v>
      </c>
      <c r="B229" t="s">
        <v>220</v>
      </c>
      <c r="C229" s="11"/>
      <c r="D229" s="11">
        <v>400000</v>
      </c>
      <c r="E229" t="s">
        <v>229</v>
      </c>
      <c r="F229" s="110" t="s">
        <v>108</v>
      </c>
    </row>
    <row r="230" spans="1:6" x14ac:dyDescent="0.3">
      <c r="A230" s="114">
        <v>46086</v>
      </c>
      <c r="B230" t="s">
        <v>229</v>
      </c>
      <c r="C230" s="11">
        <v>400000</v>
      </c>
      <c r="D230" s="11"/>
      <c r="F230" s="110" t="s">
        <v>108</v>
      </c>
    </row>
    <row r="231" spans="1:6" x14ac:dyDescent="0.3">
      <c r="A231" s="114">
        <v>46086</v>
      </c>
      <c r="B231" t="s">
        <v>94</v>
      </c>
      <c r="C231" s="11">
        <v>150077</v>
      </c>
      <c r="D231" s="11"/>
      <c r="E231" t="s">
        <v>408</v>
      </c>
      <c r="F231" s="110" t="s">
        <v>108</v>
      </c>
    </row>
    <row r="232" spans="1:6" x14ac:dyDescent="0.3">
      <c r="A232" s="114">
        <v>46087</v>
      </c>
      <c r="B232" t="s">
        <v>409</v>
      </c>
      <c r="C232" s="11"/>
      <c r="D232" s="11">
        <v>200000</v>
      </c>
      <c r="E232" t="s">
        <v>410</v>
      </c>
      <c r="F232" s="110" t="s">
        <v>108</v>
      </c>
    </row>
    <row r="233" spans="1:6" x14ac:dyDescent="0.3">
      <c r="A233" s="114">
        <v>46087</v>
      </c>
      <c r="B233" t="s">
        <v>222</v>
      </c>
      <c r="C233" s="11">
        <v>201200</v>
      </c>
      <c r="D233" s="11"/>
      <c r="E233" t="s">
        <v>411</v>
      </c>
      <c r="F233" s="110" t="s">
        <v>108</v>
      </c>
    </row>
    <row r="234" spans="1:6" x14ac:dyDescent="0.3">
      <c r="A234" s="114">
        <v>46087</v>
      </c>
      <c r="B234" t="s">
        <v>246</v>
      </c>
      <c r="C234" s="11">
        <v>1500</v>
      </c>
      <c r="D234" s="11"/>
      <c r="E234" t="s">
        <v>412</v>
      </c>
      <c r="F234" s="110" t="s">
        <v>108</v>
      </c>
    </row>
    <row r="235" spans="1:6" x14ac:dyDescent="0.3">
      <c r="A235" s="114">
        <v>46087</v>
      </c>
      <c r="B235" t="s">
        <v>246</v>
      </c>
      <c r="C235" s="11">
        <v>2600</v>
      </c>
      <c r="D235" s="11"/>
      <c r="E235" t="s">
        <v>413</v>
      </c>
      <c r="F235" s="110" t="s">
        <v>108</v>
      </c>
    </row>
    <row r="236" spans="1:6" x14ac:dyDescent="0.3">
      <c r="A236" s="114">
        <v>46087</v>
      </c>
      <c r="B236" t="s">
        <v>212</v>
      </c>
      <c r="C236" s="11">
        <v>760</v>
      </c>
      <c r="D236" s="11"/>
      <c r="F236" s="110" t="s">
        <v>108</v>
      </c>
    </row>
    <row r="237" spans="1:6" x14ac:dyDescent="0.3">
      <c r="A237" s="114">
        <v>46087</v>
      </c>
      <c r="B237" t="s">
        <v>212</v>
      </c>
      <c r="C237" s="11">
        <f>300+200</f>
        <v>500</v>
      </c>
      <c r="D237" s="11"/>
      <c r="F237" s="110" t="s">
        <v>108</v>
      </c>
    </row>
    <row r="238" spans="1:6" x14ac:dyDescent="0.3">
      <c r="A238" s="114">
        <v>46087</v>
      </c>
      <c r="B238" t="s">
        <v>54</v>
      </c>
      <c r="C238" s="11">
        <v>1200</v>
      </c>
      <c r="D238" s="11"/>
      <c r="E238" t="s">
        <v>414</v>
      </c>
      <c r="F238" s="110" t="s">
        <v>108</v>
      </c>
    </row>
    <row r="239" spans="1:6" x14ac:dyDescent="0.3">
      <c r="A239" s="114">
        <v>46088</v>
      </c>
      <c r="B239" t="s">
        <v>54</v>
      </c>
      <c r="C239" s="11">
        <f>5000+3000+3000</f>
        <v>11000</v>
      </c>
      <c r="D239" s="11"/>
      <c r="E239" t="s">
        <v>290</v>
      </c>
      <c r="F239" s="110" t="s">
        <v>108</v>
      </c>
    </row>
    <row r="240" spans="1:6" x14ac:dyDescent="0.3">
      <c r="A240" s="114">
        <v>46088</v>
      </c>
      <c r="B240" t="s">
        <v>55</v>
      </c>
      <c r="C240" s="11">
        <v>2600</v>
      </c>
      <c r="D240" s="11"/>
      <c r="E240" t="s">
        <v>416</v>
      </c>
      <c r="F240" s="110" t="s">
        <v>108</v>
      </c>
    </row>
    <row r="241" spans="1:6" x14ac:dyDescent="0.3">
      <c r="A241" s="114">
        <v>46088</v>
      </c>
      <c r="B241" t="s">
        <v>357</v>
      </c>
      <c r="C241" s="11">
        <v>3000</v>
      </c>
      <c r="D241" s="11"/>
      <c r="E241" t="s">
        <v>281</v>
      </c>
      <c r="F241" s="110" t="s">
        <v>108</v>
      </c>
    </row>
    <row r="242" spans="1:6" x14ac:dyDescent="0.3">
      <c r="A242" s="114">
        <v>46088</v>
      </c>
      <c r="B242" t="s">
        <v>249</v>
      </c>
      <c r="C242" s="11">
        <v>7200</v>
      </c>
      <c r="D242" s="11"/>
      <c r="E242" t="s">
        <v>417</v>
      </c>
      <c r="F242" s="110" t="s">
        <v>108</v>
      </c>
    </row>
    <row r="243" spans="1:6" x14ac:dyDescent="0.3">
      <c r="A243" s="114">
        <v>46088</v>
      </c>
      <c r="B243" t="s">
        <v>245</v>
      </c>
      <c r="C243" s="11"/>
      <c r="D243" s="11">
        <v>508900</v>
      </c>
      <c r="E243" t="s">
        <v>418</v>
      </c>
      <c r="F243" s="110" t="s">
        <v>108</v>
      </c>
    </row>
    <row r="244" spans="1:6" x14ac:dyDescent="0.3">
      <c r="A244" s="114">
        <v>46088</v>
      </c>
      <c r="B244" t="s">
        <v>222</v>
      </c>
      <c r="C244" s="11">
        <v>1000</v>
      </c>
      <c r="D244" s="11"/>
      <c r="E244" t="s">
        <v>341</v>
      </c>
      <c r="F244" s="110" t="s">
        <v>108</v>
      </c>
    </row>
    <row r="245" spans="1:6" x14ac:dyDescent="0.3">
      <c r="A245" s="114">
        <v>46088</v>
      </c>
      <c r="B245" t="s">
        <v>282</v>
      </c>
      <c r="C245" s="11"/>
      <c r="D245" s="11"/>
      <c r="F245" s="110" t="s">
        <v>108</v>
      </c>
    </row>
    <row r="246" spans="1:6" x14ac:dyDescent="0.3">
      <c r="A246" s="114">
        <v>46088</v>
      </c>
      <c r="B246" t="s">
        <v>55</v>
      </c>
      <c r="C246" s="11">
        <f>2880+470</f>
        <v>3350</v>
      </c>
      <c r="D246" s="11"/>
      <c r="E246" t="s">
        <v>419</v>
      </c>
      <c r="F246" s="110" t="s">
        <v>108</v>
      </c>
    </row>
    <row r="247" spans="1:6" x14ac:dyDescent="0.3">
      <c r="A247" s="114">
        <v>46088</v>
      </c>
      <c r="B247" t="s">
        <v>169</v>
      </c>
      <c r="C247" s="11">
        <v>200310</v>
      </c>
      <c r="D247" s="11"/>
      <c r="E247" t="s">
        <v>420</v>
      </c>
      <c r="F247" s="110" t="s">
        <v>108</v>
      </c>
    </row>
    <row r="248" spans="1:6" x14ac:dyDescent="0.3">
      <c r="A248" s="114">
        <v>46088</v>
      </c>
      <c r="B248" t="s">
        <v>249</v>
      </c>
      <c r="C248" s="11">
        <v>29000</v>
      </c>
      <c r="D248" s="11"/>
      <c r="E248" t="s">
        <v>421</v>
      </c>
      <c r="F248" s="110" t="s">
        <v>108</v>
      </c>
    </row>
    <row r="249" spans="1:6" x14ac:dyDescent="0.3">
      <c r="A249" s="114">
        <v>46088</v>
      </c>
      <c r="B249" t="s">
        <v>277</v>
      </c>
      <c r="C249" s="11">
        <v>50000</v>
      </c>
      <c r="D249" s="11"/>
      <c r="F249" s="110" t="s">
        <v>108</v>
      </c>
    </row>
    <row r="250" spans="1:6" x14ac:dyDescent="0.3">
      <c r="A250" s="114">
        <v>46088</v>
      </c>
      <c r="B250" t="s">
        <v>422</v>
      </c>
      <c r="C250" s="11"/>
      <c r="D250" s="11">
        <v>50000</v>
      </c>
      <c r="F250" s="110" t="s">
        <v>108</v>
      </c>
    </row>
    <row r="251" spans="1:6" x14ac:dyDescent="0.3">
      <c r="A251" s="114">
        <v>46088</v>
      </c>
      <c r="B251" t="s">
        <v>298</v>
      </c>
      <c r="C251" s="11">
        <v>100000</v>
      </c>
      <c r="D251" s="11"/>
      <c r="F251" s="110" t="s">
        <v>108</v>
      </c>
    </row>
    <row r="252" spans="1:6" x14ac:dyDescent="0.3">
      <c r="A252" s="114">
        <v>46088</v>
      </c>
      <c r="B252" t="s">
        <v>312</v>
      </c>
      <c r="C252" s="11"/>
      <c r="D252" s="11">
        <v>500000</v>
      </c>
      <c r="E252" t="s">
        <v>423</v>
      </c>
      <c r="F252" s="110" t="s">
        <v>108</v>
      </c>
    </row>
    <row r="253" spans="1:6" x14ac:dyDescent="0.3">
      <c r="A253" s="114">
        <v>46088</v>
      </c>
      <c r="B253" t="s">
        <v>282</v>
      </c>
      <c r="C253" s="11">
        <v>30000</v>
      </c>
      <c r="D253" s="11"/>
      <c r="E253" t="s">
        <v>404</v>
      </c>
      <c r="F253" s="110" t="s">
        <v>108</v>
      </c>
    </row>
    <row r="254" spans="1:6" x14ac:dyDescent="0.3">
      <c r="A254" s="114">
        <v>46088</v>
      </c>
      <c r="B254" t="s">
        <v>192</v>
      </c>
      <c r="C254" s="11"/>
      <c r="D254" s="11">
        <v>100000</v>
      </c>
      <c r="E254" t="s">
        <v>424</v>
      </c>
      <c r="F254" s="110" t="s">
        <v>108</v>
      </c>
    </row>
    <row r="255" spans="1:6" x14ac:dyDescent="0.3">
      <c r="A255" s="114">
        <v>46088</v>
      </c>
      <c r="B255" t="s">
        <v>212</v>
      </c>
      <c r="C255" s="11">
        <v>1890</v>
      </c>
      <c r="D255" s="11"/>
      <c r="F255" s="110" t="s">
        <v>108</v>
      </c>
    </row>
    <row r="256" spans="1:6" x14ac:dyDescent="0.3">
      <c r="A256" s="114">
        <v>46089</v>
      </c>
      <c r="B256" t="s">
        <v>54</v>
      </c>
      <c r="C256" s="11">
        <v>2700</v>
      </c>
      <c r="D256" s="11"/>
      <c r="E256" t="s">
        <v>425</v>
      </c>
      <c r="F256" s="110" t="s">
        <v>108</v>
      </c>
    </row>
    <row r="257" spans="1:6" x14ac:dyDescent="0.3">
      <c r="A257" s="114">
        <v>46089</v>
      </c>
      <c r="B257" t="s">
        <v>55</v>
      </c>
      <c r="C257" s="11">
        <v>10121</v>
      </c>
      <c r="D257" s="11"/>
      <c r="E257" t="s">
        <v>426</v>
      </c>
      <c r="F257" s="110" t="s">
        <v>108</v>
      </c>
    </row>
    <row r="258" spans="1:6" x14ac:dyDescent="0.3">
      <c r="A258" s="114">
        <v>46089</v>
      </c>
      <c r="B258" t="s">
        <v>357</v>
      </c>
      <c r="C258" s="11">
        <v>10000</v>
      </c>
      <c r="D258" s="11"/>
      <c r="E258" t="s">
        <v>281</v>
      </c>
      <c r="F258" s="110" t="s">
        <v>108</v>
      </c>
    </row>
    <row r="259" spans="1:6" x14ac:dyDescent="0.3">
      <c r="A259" s="114">
        <v>46089</v>
      </c>
      <c r="B259" t="s">
        <v>212</v>
      </c>
      <c r="C259" s="11">
        <v>250</v>
      </c>
      <c r="D259" s="11"/>
      <c r="F259" s="110" t="s">
        <v>108</v>
      </c>
    </row>
    <row r="260" spans="1:6" x14ac:dyDescent="0.3">
      <c r="A260" s="114">
        <v>46090</v>
      </c>
      <c r="B260" t="s">
        <v>249</v>
      </c>
      <c r="C260" s="11">
        <v>7200</v>
      </c>
      <c r="D260" s="11"/>
      <c r="E260" t="s">
        <v>428</v>
      </c>
      <c r="F260" s="110" t="s">
        <v>108</v>
      </c>
    </row>
    <row r="261" spans="1:6" x14ac:dyDescent="0.3">
      <c r="A261" s="114">
        <v>46090</v>
      </c>
      <c r="B261" t="s">
        <v>225</v>
      </c>
      <c r="C261" s="95"/>
      <c r="D261" s="95">
        <v>52214</v>
      </c>
      <c r="E261" t="s">
        <v>429</v>
      </c>
      <c r="F261" s="110" t="s">
        <v>108</v>
      </c>
    </row>
    <row r="262" spans="1:6" x14ac:dyDescent="0.3">
      <c r="A262" s="114">
        <v>46090</v>
      </c>
      <c r="B262" t="s">
        <v>55</v>
      </c>
      <c r="C262" s="11">
        <v>500</v>
      </c>
      <c r="D262" s="11"/>
      <c r="E262" t="s">
        <v>430</v>
      </c>
      <c r="F262" s="110" t="s">
        <v>108</v>
      </c>
    </row>
    <row r="263" spans="1:6" x14ac:dyDescent="0.3">
      <c r="A263" s="114">
        <v>46090</v>
      </c>
      <c r="B263" t="s">
        <v>431</v>
      </c>
      <c r="C263" s="11"/>
      <c r="D263" s="11">
        <v>75000</v>
      </c>
      <c r="E263" t="s">
        <v>432</v>
      </c>
      <c r="F263" s="110" t="s">
        <v>108</v>
      </c>
    </row>
    <row r="264" spans="1:6" x14ac:dyDescent="0.3">
      <c r="A264" s="114">
        <v>46090</v>
      </c>
      <c r="B264" t="s">
        <v>55</v>
      </c>
      <c r="C264" s="11">
        <v>8407</v>
      </c>
      <c r="D264" s="11"/>
      <c r="E264" t="s">
        <v>433</v>
      </c>
      <c r="F264" s="110" t="s">
        <v>108</v>
      </c>
    </row>
    <row r="265" spans="1:6" x14ac:dyDescent="0.3">
      <c r="A265" s="114">
        <v>46090</v>
      </c>
      <c r="B265" t="s">
        <v>222</v>
      </c>
      <c r="C265" s="11">
        <v>100000</v>
      </c>
      <c r="D265" s="11"/>
      <c r="E265" t="s">
        <v>434</v>
      </c>
      <c r="F265" s="110" t="s">
        <v>108</v>
      </c>
    </row>
    <row r="266" spans="1:6" x14ac:dyDescent="0.3">
      <c r="A266" s="114">
        <v>46090</v>
      </c>
      <c r="B266" t="s">
        <v>282</v>
      </c>
      <c r="C266" s="11"/>
      <c r="D266" s="11"/>
      <c r="E266" t="s">
        <v>329</v>
      </c>
      <c r="F266" s="110" t="s">
        <v>108</v>
      </c>
    </row>
    <row r="267" spans="1:6" x14ac:dyDescent="0.3">
      <c r="A267" s="114">
        <v>46090</v>
      </c>
      <c r="B267" t="s">
        <v>212</v>
      </c>
      <c r="C267" s="11">
        <f>1800+1100+585+500</f>
        <v>3985</v>
      </c>
      <c r="D267" s="11"/>
      <c r="F267" s="110" t="s">
        <v>108</v>
      </c>
    </row>
    <row r="268" spans="1:6" x14ac:dyDescent="0.3">
      <c r="A268" s="114">
        <v>46090</v>
      </c>
      <c r="B268" t="s">
        <v>431</v>
      </c>
      <c r="C268" s="11"/>
      <c r="D268" s="11">
        <v>55000</v>
      </c>
      <c r="E268" t="s">
        <v>365</v>
      </c>
      <c r="F268" s="110" t="s">
        <v>108</v>
      </c>
    </row>
    <row r="269" spans="1:6" x14ac:dyDescent="0.3">
      <c r="A269" s="114">
        <v>46090</v>
      </c>
      <c r="B269" t="s">
        <v>228</v>
      </c>
      <c r="C269" s="11"/>
      <c r="D269" s="11">
        <v>50000</v>
      </c>
      <c r="E269" t="s">
        <v>365</v>
      </c>
      <c r="F269" s="110" t="s">
        <v>108</v>
      </c>
    </row>
    <row r="270" spans="1:6" x14ac:dyDescent="0.3">
      <c r="A270" s="114">
        <v>46090</v>
      </c>
      <c r="B270" t="s">
        <v>220</v>
      </c>
      <c r="C270" s="11">
        <v>55000</v>
      </c>
      <c r="D270" s="95"/>
      <c r="E270" t="s">
        <v>431</v>
      </c>
      <c r="F270" s="110" t="s">
        <v>108</v>
      </c>
    </row>
    <row r="271" spans="1:6" x14ac:dyDescent="0.3">
      <c r="A271" s="114">
        <v>46090</v>
      </c>
      <c r="B271" t="s">
        <v>220</v>
      </c>
      <c r="C271" s="11">
        <v>50000</v>
      </c>
      <c r="D271" s="11"/>
      <c r="E271" t="s">
        <v>228</v>
      </c>
      <c r="F271" s="110" t="s">
        <v>108</v>
      </c>
    </row>
    <row r="272" spans="1:6" x14ac:dyDescent="0.3">
      <c r="A272" s="114">
        <v>46091</v>
      </c>
      <c r="B272" t="s">
        <v>55</v>
      </c>
      <c r="C272" s="11">
        <v>6550</v>
      </c>
      <c r="D272" s="11"/>
      <c r="E272" t="s">
        <v>435</v>
      </c>
      <c r="F272" s="110" t="s">
        <v>108</v>
      </c>
    </row>
    <row r="273" spans="1:6" x14ac:dyDescent="0.3">
      <c r="A273" s="114">
        <v>46091</v>
      </c>
      <c r="B273" t="s">
        <v>55</v>
      </c>
      <c r="C273" s="11">
        <v>3900</v>
      </c>
      <c r="D273" s="11"/>
      <c r="E273" t="s">
        <v>436</v>
      </c>
      <c r="F273" s="110" t="s">
        <v>108</v>
      </c>
    </row>
    <row r="274" spans="1:6" x14ac:dyDescent="0.3">
      <c r="A274" s="114">
        <v>46091</v>
      </c>
      <c r="B274" t="s">
        <v>64</v>
      </c>
      <c r="C274" s="11">
        <v>129125</v>
      </c>
      <c r="D274" s="11"/>
      <c r="F274" s="110" t="s">
        <v>108</v>
      </c>
    </row>
    <row r="275" spans="1:6" x14ac:dyDescent="0.3">
      <c r="A275" s="114">
        <v>46091</v>
      </c>
      <c r="B275" t="s">
        <v>249</v>
      </c>
      <c r="C275" s="11">
        <v>3600</v>
      </c>
      <c r="D275" s="11"/>
      <c r="E275" t="s">
        <v>437</v>
      </c>
      <c r="F275" s="110" t="s">
        <v>108</v>
      </c>
    </row>
    <row r="276" spans="1:6" x14ac:dyDescent="0.3">
      <c r="A276" s="114">
        <v>46091</v>
      </c>
      <c r="B276" t="s">
        <v>169</v>
      </c>
      <c r="C276" s="11">
        <v>200250</v>
      </c>
      <c r="D276" s="11"/>
      <c r="E276" t="s">
        <v>438</v>
      </c>
      <c r="F276" s="110" t="s">
        <v>108</v>
      </c>
    </row>
    <row r="277" spans="1:6" x14ac:dyDescent="0.3">
      <c r="A277" s="114">
        <v>46091</v>
      </c>
      <c r="B277" t="s">
        <v>221</v>
      </c>
      <c r="C277" s="11">
        <v>4482</v>
      </c>
      <c r="D277" s="11"/>
      <c r="E277" t="s">
        <v>439</v>
      </c>
      <c r="F277" s="110" t="s">
        <v>108</v>
      </c>
    </row>
    <row r="278" spans="1:6" x14ac:dyDescent="0.3">
      <c r="A278" s="114">
        <v>46091</v>
      </c>
      <c r="B278" t="s">
        <v>54</v>
      </c>
      <c r="C278" s="11">
        <v>5000</v>
      </c>
      <c r="D278" s="11"/>
      <c r="E278" t="s">
        <v>440</v>
      </c>
      <c r="F278" s="110" t="s">
        <v>108</v>
      </c>
    </row>
    <row r="279" spans="1:6" x14ac:dyDescent="0.3">
      <c r="A279" s="114">
        <v>46091</v>
      </c>
      <c r="B279" t="s">
        <v>228</v>
      </c>
      <c r="C279" s="11"/>
      <c r="D279" s="11">
        <v>65000</v>
      </c>
      <c r="E279" t="s">
        <v>365</v>
      </c>
      <c r="F279" s="110" t="s">
        <v>108</v>
      </c>
    </row>
    <row r="280" spans="1:6" x14ac:dyDescent="0.3">
      <c r="A280" s="114">
        <v>46091</v>
      </c>
      <c r="B280" t="s">
        <v>220</v>
      </c>
      <c r="C280" s="11">
        <v>65000</v>
      </c>
      <c r="D280" s="11"/>
      <c r="E280" t="s">
        <v>228</v>
      </c>
      <c r="F280" s="110" t="s">
        <v>108</v>
      </c>
    </row>
    <row r="281" spans="1:6" x14ac:dyDescent="0.3">
      <c r="A281" s="114">
        <v>46092</v>
      </c>
      <c r="B281" t="s">
        <v>409</v>
      </c>
      <c r="C281" s="11"/>
      <c r="D281" s="11">
        <v>175000</v>
      </c>
      <c r="E281" t="s">
        <v>441</v>
      </c>
      <c r="F281" s="110" t="s">
        <v>108</v>
      </c>
    </row>
    <row r="282" spans="1:6" x14ac:dyDescent="0.3">
      <c r="A282" s="114">
        <v>46092</v>
      </c>
      <c r="B282" t="s">
        <v>55</v>
      </c>
      <c r="C282" s="11">
        <v>9000</v>
      </c>
      <c r="D282" s="11"/>
      <c r="E282" t="s">
        <v>442</v>
      </c>
      <c r="F282" s="110" t="s">
        <v>108</v>
      </c>
    </row>
    <row r="283" spans="1:6" x14ac:dyDescent="0.3">
      <c r="A283" s="114">
        <v>46092</v>
      </c>
      <c r="B283" t="s">
        <v>444</v>
      </c>
      <c r="C283" s="11">
        <v>5000</v>
      </c>
      <c r="D283" s="11"/>
      <c r="E283" t="s">
        <v>443</v>
      </c>
      <c r="F283" s="110" t="s">
        <v>108</v>
      </c>
    </row>
    <row r="284" spans="1:6" x14ac:dyDescent="0.3">
      <c r="A284" s="114">
        <v>46093</v>
      </c>
      <c r="B284" t="s">
        <v>55</v>
      </c>
      <c r="C284" s="11">
        <v>500</v>
      </c>
      <c r="D284" s="11"/>
      <c r="E284" t="s">
        <v>445</v>
      </c>
      <c r="F284" s="110" t="s">
        <v>108</v>
      </c>
    </row>
    <row r="285" spans="1:6" x14ac:dyDescent="0.3">
      <c r="A285" s="114">
        <v>46093</v>
      </c>
      <c r="B285" t="s">
        <v>55</v>
      </c>
      <c r="C285" s="11">
        <v>2400</v>
      </c>
      <c r="D285" s="11"/>
      <c r="E285" t="s">
        <v>445</v>
      </c>
      <c r="F285" s="110" t="s">
        <v>108</v>
      </c>
    </row>
    <row r="286" spans="1:6" x14ac:dyDescent="0.3">
      <c r="A286" s="114">
        <v>46093</v>
      </c>
      <c r="B286" t="s">
        <v>55</v>
      </c>
      <c r="C286" s="11">
        <v>400</v>
      </c>
      <c r="D286" s="11"/>
      <c r="E286" t="s">
        <v>446</v>
      </c>
      <c r="F286" s="110" t="s">
        <v>108</v>
      </c>
    </row>
    <row r="287" spans="1:6" x14ac:dyDescent="0.3">
      <c r="A287" s="114">
        <v>46093</v>
      </c>
      <c r="B287" t="s">
        <v>249</v>
      </c>
      <c r="C287" s="11">
        <v>10000</v>
      </c>
      <c r="D287" s="11"/>
      <c r="E287" t="s">
        <v>447</v>
      </c>
      <c r="F287" s="110" t="s">
        <v>108</v>
      </c>
    </row>
    <row r="288" spans="1:6" x14ac:dyDescent="0.3">
      <c r="A288" s="114">
        <v>46093</v>
      </c>
      <c r="B288" t="s">
        <v>55</v>
      </c>
      <c r="C288" s="11">
        <v>11121</v>
      </c>
      <c r="D288" s="11"/>
      <c r="E288" t="s">
        <v>426</v>
      </c>
      <c r="F288" s="110" t="s">
        <v>108</v>
      </c>
    </row>
    <row r="289" spans="1:9" x14ac:dyDescent="0.3">
      <c r="A289" s="114">
        <v>46093</v>
      </c>
      <c r="B289" t="s">
        <v>282</v>
      </c>
      <c r="C289" s="11"/>
      <c r="D289" s="11"/>
      <c r="E289" t="s">
        <v>448</v>
      </c>
      <c r="F289" s="110" t="s">
        <v>108</v>
      </c>
    </row>
    <row r="290" spans="1:9" x14ac:dyDescent="0.3">
      <c r="A290" s="114">
        <v>46093</v>
      </c>
      <c r="B290" t="s">
        <v>220</v>
      </c>
      <c r="C290" s="11"/>
      <c r="D290" s="11">
        <v>200400</v>
      </c>
      <c r="E290" t="s">
        <v>449</v>
      </c>
      <c r="F290" s="110" t="s">
        <v>108</v>
      </c>
    </row>
    <row r="291" spans="1:9" x14ac:dyDescent="0.3">
      <c r="A291" s="114">
        <v>46093</v>
      </c>
      <c r="B291" t="s">
        <v>54</v>
      </c>
      <c r="C291" s="11">
        <v>7236</v>
      </c>
      <c r="D291" s="11"/>
      <c r="E291" t="s">
        <v>290</v>
      </c>
      <c r="F291" s="110" t="s">
        <v>108</v>
      </c>
    </row>
    <row r="292" spans="1:9" x14ac:dyDescent="0.3">
      <c r="A292" s="114">
        <v>46093</v>
      </c>
      <c r="B292" t="s">
        <v>212</v>
      </c>
      <c r="C292" s="11">
        <f>878+900+1000+1800</f>
        <v>4578</v>
      </c>
      <c r="D292" s="11"/>
      <c r="F292" s="110" t="s">
        <v>108</v>
      </c>
    </row>
    <row r="293" spans="1:9" x14ac:dyDescent="0.3">
      <c r="A293" s="114">
        <v>46093</v>
      </c>
      <c r="B293" t="s">
        <v>228</v>
      </c>
      <c r="C293" s="11"/>
      <c r="D293" s="11">
        <v>50000</v>
      </c>
      <c r="E293" t="s">
        <v>365</v>
      </c>
      <c r="F293" s="110" t="s">
        <v>108</v>
      </c>
    </row>
    <row r="294" spans="1:9" x14ac:dyDescent="0.3">
      <c r="A294" s="114">
        <v>46093</v>
      </c>
      <c r="B294" t="s">
        <v>220</v>
      </c>
      <c r="C294" s="11">
        <v>50000</v>
      </c>
      <c r="D294" s="11"/>
      <c r="E294" t="s">
        <v>228</v>
      </c>
      <c r="F294" s="110" t="s">
        <v>108</v>
      </c>
    </row>
    <row r="295" spans="1:9" x14ac:dyDescent="0.3">
      <c r="A295" s="114">
        <v>46094</v>
      </c>
      <c r="B295" t="s">
        <v>282</v>
      </c>
      <c r="C295" s="11">
        <v>16000</v>
      </c>
      <c r="D295" s="11"/>
      <c r="E295" t="s">
        <v>327</v>
      </c>
      <c r="F295" s="110" t="s">
        <v>108</v>
      </c>
    </row>
    <row r="296" spans="1:9" x14ac:dyDescent="0.3">
      <c r="A296" s="114">
        <v>46094</v>
      </c>
      <c r="B296" t="s">
        <v>277</v>
      </c>
      <c r="C296" s="11">
        <v>50000</v>
      </c>
      <c r="D296" s="11"/>
      <c r="E296" t="s">
        <v>450</v>
      </c>
      <c r="F296" s="110" t="s">
        <v>108</v>
      </c>
    </row>
    <row r="297" spans="1:9" x14ac:dyDescent="0.3">
      <c r="A297" s="114">
        <v>46094</v>
      </c>
      <c r="B297" t="s">
        <v>9</v>
      </c>
      <c r="C297" s="11"/>
      <c r="D297" s="11">
        <v>100000</v>
      </c>
      <c r="E297" t="s">
        <v>451</v>
      </c>
      <c r="F297" s="110" t="s">
        <v>108</v>
      </c>
    </row>
    <row r="298" spans="1:9" x14ac:dyDescent="0.3">
      <c r="A298" s="114">
        <v>46094</v>
      </c>
      <c r="B298" t="s">
        <v>357</v>
      </c>
      <c r="C298" s="11">
        <v>35000</v>
      </c>
      <c r="D298" s="11"/>
      <c r="E298" t="s">
        <v>403</v>
      </c>
      <c r="F298" s="110" t="s">
        <v>108</v>
      </c>
      <c r="I298">
        <v>80000</v>
      </c>
    </row>
    <row r="299" spans="1:9" x14ac:dyDescent="0.3">
      <c r="A299" s="114">
        <v>46094</v>
      </c>
      <c r="B299" t="s">
        <v>357</v>
      </c>
      <c r="C299" s="11">
        <v>8000</v>
      </c>
      <c r="D299" s="11"/>
      <c r="E299" t="s">
        <v>452</v>
      </c>
      <c r="F299" s="110" t="s">
        <v>108</v>
      </c>
      <c r="I299">
        <v>50000</v>
      </c>
    </row>
    <row r="300" spans="1:9" x14ac:dyDescent="0.3">
      <c r="A300" s="114">
        <v>46094</v>
      </c>
      <c r="B300" t="s">
        <v>169</v>
      </c>
      <c r="C300" s="11">
        <v>1000</v>
      </c>
      <c r="D300" s="11"/>
      <c r="E300" t="s">
        <v>341</v>
      </c>
      <c r="F300" s="110" t="s">
        <v>108</v>
      </c>
      <c r="I300">
        <v>6000</v>
      </c>
    </row>
    <row r="301" spans="1:9" x14ac:dyDescent="0.3">
      <c r="A301" s="114">
        <v>46094</v>
      </c>
      <c r="B301" t="s">
        <v>222</v>
      </c>
      <c r="C301" s="11">
        <v>1000</v>
      </c>
      <c r="D301" s="11"/>
      <c r="E301" t="s">
        <v>341</v>
      </c>
      <c r="F301" s="110" t="s">
        <v>108</v>
      </c>
      <c r="I301">
        <v>1000</v>
      </c>
    </row>
    <row r="302" spans="1:9" x14ac:dyDescent="0.3">
      <c r="A302" s="114">
        <v>46094</v>
      </c>
      <c r="B302" t="s">
        <v>220</v>
      </c>
      <c r="C302" s="11"/>
      <c r="D302" s="11">
        <v>980000</v>
      </c>
      <c r="F302" s="110" t="s">
        <v>108</v>
      </c>
      <c r="I302">
        <v>42000</v>
      </c>
    </row>
    <row r="303" spans="1:9" x14ac:dyDescent="0.3">
      <c r="A303" s="114">
        <v>46094</v>
      </c>
      <c r="B303" t="s">
        <v>282</v>
      </c>
      <c r="C303" s="11">
        <v>60000</v>
      </c>
      <c r="D303" s="11"/>
      <c r="E303" t="s">
        <v>363</v>
      </c>
      <c r="F303" s="110" t="s">
        <v>108</v>
      </c>
      <c r="I303">
        <v>22800</v>
      </c>
    </row>
    <row r="304" spans="1:9" x14ac:dyDescent="0.3">
      <c r="A304" s="114">
        <v>46094</v>
      </c>
      <c r="B304" t="s">
        <v>282</v>
      </c>
      <c r="C304" s="11">
        <v>970360</v>
      </c>
      <c r="D304" s="11"/>
      <c r="E304" t="s">
        <v>352</v>
      </c>
      <c r="F304" s="110" t="s">
        <v>108</v>
      </c>
      <c r="I304">
        <v>11600</v>
      </c>
    </row>
    <row r="305" spans="1:9" x14ac:dyDescent="0.3">
      <c r="A305" s="114">
        <v>46094</v>
      </c>
      <c r="B305" t="s">
        <v>228</v>
      </c>
      <c r="C305" s="11"/>
      <c r="D305" s="11">
        <v>50000</v>
      </c>
      <c r="E305" t="s">
        <v>365</v>
      </c>
      <c r="F305" s="110" t="s">
        <v>108</v>
      </c>
      <c r="I305">
        <v>20800</v>
      </c>
    </row>
    <row r="306" spans="1:9" x14ac:dyDescent="0.3">
      <c r="A306" s="114">
        <v>46094</v>
      </c>
      <c r="B306" t="s">
        <v>422</v>
      </c>
      <c r="C306" s="11"/>
      <c r="D306" s="11">
        <v>150000</v>
      </c>
      <c r="E306" t="s">
        <v>109</v>
      </c>
      <c r="F306" s="110" t="s">
        <v>108</v>
      </c>
      <c r="I306">
        <v>37000</v>
      </c>
    </row>
    <row r="307" spans="1:9" x14ac:dyDescent="0.3">
      <c r="A307" s="114">
        <v>46094</v>
      </c>
      <c r="B307" t="s">
        <v>220</v>
      </c>
      <c r="C307" s="11">
        <v>50000</v>
      </c>
      <c r="D307" s="11"/>
      <c r="E307" t="s">
        <v>228</v>
      </c>
      <c r="F307" s="110" t="s">
        <v>108</v>
      </c>
      <c r="I307">
        <v>25200</v>
      </c>
    </row>
    <row r="308" spans="1:9" x14ac:dyDescent="0.3">
      <c r="A308" s="114">
        <v>46094</v>
      </c>
      <c r="B308" t="s">
        <v>220</v>
      </c>
      <c r="C308" s="11">
        <v>150000</v>
      </c>
      <c r="D308" s="11"/>
      <c r="E308" t="s">
        <v>422</v>
      </c>
      <c r="F308" s="110" t="s">
        <v>108</v>
      </c>
      <c r="I308">
        <v>30000</v>
      </c>
    </row>
    <row r="309" spans="1:9" x14ac:dyDescent="0.3">
      <c r="A309" s="114">
        <v>46095</v>
      </c>
      <c r="B309" t="s">
        <v>246</v>
      </c>
      <c r="C309" s="11">
        <v>15000</v>
      </c>
      <c r="D309" s="11"/>
      <c r="E309" t="s">
        <v>453</v>
      </c>
      <c r="F309" s="110" t="s">
        <v>108</v>
      </c>
      <c r="I309">
        <v>33600</v>
      </c>
    </row>
    <row r="310" spans="1:9" x14ac:dyDescent="0.3">
      <c r="A310" s="114">
        <v>46095</v>
      </c>
      <c r="B310" t="s">
        <v>282</v>
      </c>
      <c r="C310" s="11">
        <v>50000</v>
      </c>
      <c r="D310" s="11"/>
      <c r="E310" t="s">
        <v>281</v>
      </c>
      <c r="F310" s="110" t="s">
        <v>108</v>
      </c>
      <c r="I310">
        <v>13000</v>
      </c>
    </row>
    <row r="311" spans="1:9" x14ac:dyDescent="0.3">
      <c r="A311" s="114">
        <v>46095</v>
      </c>
      <c r="B311" t="s">
        <v>357</v>
      </c>
      <c r="C311" s="11">
        <v>10000</v>
      </c>
      <c r="D311" s="11"/>
      <c r="E311" t="s">
        <v>454</v>
      </c>
      <c r="F311" s="110" t="s">
        <v>108</v>
      </c>
      <c r="I311">
        <v>13650</v>
      </c>
    </row>
    <row r="312" spans="1:9" x14ac:dyDescent="0.3">
      <c r="A312" s="114">
        <v>46095</v>
      </c>
      <c r="B312" t="s">
        <v>220</v>
      </c>
      <c r="C312" s="11"/>
      <c r="D312" s="11">
        <v>130000</v>
      </c>
      <c r="E312" t="s">
        <v>455</v>
      </c>
      <c r="F312" s="110" t="s">
        <v>108</v>
      </c>
      <c r="I312">
        <v>20800</v>
      </c>
    </row>
    <row r="313" spans="1:9" x14ac:dyDescent="0.3">
      <c r="A313" s="114">
        <v>46095</v>
      </c>
      <c r="B313" t="s">
        <v>282</v>
      </c>
      <c r="C313" s="11">
        <v>60000</v>
      </c>
      <c r="D313" s="11"/>
      <c r="E313" t="s">
        <v>455</v>
      </c>
      <c r="F313" s="110" t="s">
        <v>108</v>
      </c>
      <c r="I313">
        <v>20000</v>
      </c>
    </row>
    <row r="314" spans="1:9" x14ac:dyDescent="0.3">
      <c r="A314" s="114">
        <v>46095</v>
      </c>
      <c r="B314" t="s">
        <v>169</v>
      </c>
      <c r="C314" s="11">
        <v>4000</v>
      </c>
      <c r="D314" s="11"/>
      <c r="E314" t="s">
        <v>341</v>
      </c>
      <c r="F314" s="110" t="s">
        <v>108</v>
      </c>
      <c r="I314">
        <v>13300</v>
      </c>
    </row>
    <row r="315" spans="1:9" x14ac:dyDescent="0.3">
      <c r="A315" s="114">
        <v>46095</v>
      </c>
      <c r="B315" t="s">
        <v>222</v>
      </c>
      <c r="C315" s="11">
        <v>2000</v>
      </c>
      <c r="D315" s="11"/>
      <c r="E315" t="s">
        <v>341</v>
      </c>
      <c r="F315" s="110" t="s">
        <v>108</v>
      </c>
      <c r="I315">
        <v>13650</v>
      </c>
    </row>
    <row r="316" spans="1:9" x14ac:dyDescent="0.3">
      <c r="A316" s="114">
        <v>46095</v>
      </c>
      <c r="B316" t="s">
        <v>249</v>
      </c>
      <c r="C316" s="11">
        <v>3600</v>
      </c>
      <c r="D316" s="11"/>
      <c r="F316" s="110" t="s">
        <v>108</v>
      </c>
      <c r="I316">
        <v>12000</v>
      </c>
    </row>
    <row r="317" spans="1:9" x14ac:dyDescent="0.3">
      <c r="A317" s="114">
        <v>46095</v>
      </c>
      <c r="B317" t="s">
        <v>220</v>
      </c>
      <c r="C317" s="11"/>
      <c r="D317" s="11">
        <v>54000</v>
      </c>
      <c r="E317" t="s">
        <v>456</v>
      </c>
      <c r="F317" s="110" t="s">
        <v>108</v>
      </c>
      <c r="I317">
        <v>11650</v>
      </c>
    </row>
    <row r="318" spans="1:9" x14ac:dyDescent="0.3">
      <c r="A318" s="114">
        <v>46095</v>
      </c>
      <c r="B318" t="s">
        <v>282</v>
      </c>
      <c r="C318" s="11">
        <v>54000</v>
      </c>
      <c r="D318" s="11"/>
      <c r="E318" t="s">
        <v>456</v>
      </c>
      <c r="F318" s="110" t="s">
        <v>108</v>
      </c>
      <c r="I318">
        <v>20200</v>
      </c>
    </row>
    <row r="319" spans="1:9" x14ac:dyDescent="0.3">
      <c r="A319" s="114">
        <v>46095</v>
      </c>
      <c r="B319" t="s">
        <v>220</v>
      </c>
      <c r="C319" s="11"/>
      <c r="D319" s="11">
        <v>120000</v>
      </c>
      <c r="E319" t="s">
        <v>457</v>
      </c>
      <c r="F319" s="110" t="s">
        <v>108</v>
      </c>
      <c r="I319">
        <v>22650</v>
      </c>
    </row>
    <row r="320" spans="1:9" x14ac:dyDescent="0.3">
      <c r="A320" s="114">
        <v>46095</v>
      </c>
      <c r="B320" t="s">
        <v>165</v>
      </c>
      <c r="C320" s="11">
        <v>120000</v>
      </c>
      <c r="D320" s="11"/>
      <c r="E320" t="s">
        <v>457</v>
      </c>
      <c r="F320" s="110" t="s">
        <v>108</v>
      </c>
      <c r="I320">
        <v>14650</v>
      </c>
    </row>
    <row r="321" spans="1:9" x14ac:dyDescent="0.3">
      <c r="A321" s="114">
        <v>46095</v>
      </c>
      <c r="B321" t="s">
        <v>225</v>
      </c>
      <c r="C321" s="11"/>
      <c r="D321" s="11">
        <f>50000+150000</f>
        <v>200000</v>
      </c>
      <c r="E321" t="s">
        <v>458</v>
      </c>
      <c r="F321" s="110" t="s">
        <v>108</v>
      </c>
      <c r="I321">
        <v>24800</v>
      </c>
    </row>
    <row r="322" spans="1:9" x14ac:dyDescent="0.3">
      <c r="A322" s="114">
        <v>46095</v>
      </c>
      <c r="B322" t="s">
        <v>54</v>
      </c>
      <c r="C322" s="11">
        <v>3000</v>
      </c>
      <c r="D322" s="11"/>
      <c r="E322" t="s">
        <v>459</v>
      </c>
      <c r="F322" s="110" t="s">
        <v>108</v>
      </c>
      <c r="I322">
        <v>10650</v>
      </c>
    </row>
    <row r="323" spans="1:9" x14ac:dyDescent="0.3">
      <c r="A323" s="114">
        <v>46096</v>
      </c>
      <c r="B323" t="s">
        <v>55</v>
      </c>
      <c r="C323" s="11">
        <v>2900</v>
      </c>
      <c r="D323" s="11"/>
      <c r="E323" t="s">
        <v>460</v>
      </c>
      <c r="F323" s="110" t="s">
        <v>108</v>
      </c>
      <c r="I323">
        <v>14400</v>
      </c>
    </row>
    <row r="324" spans="1:9" x14ac:dyDescent="0.3">
      <c r="A324" s="114">
        <v>46096</v>
      </c>
      <c r="B324" t="s">
        <v>169</v>
      </c>
      <c r="C324" s="11">
        <v>150000</v>
      </c>
      <c r="D324" s="11"/>
      <c r="E324" t="s">
        <v>461</v>
      </c>
      <c r="F324" s="110" t="s">
        <v>108</v>
      </c>
      <c r="I324">
        <v>14800</v>
      </c>
    </row>
    <row r="325" spans="1:9" x14ac:dyDescent="0.3">
      <c r="A325" s="114">
        <v>46096</v>
      </c>
      <c r="B325" t="s">
        <v>444</v>
      </c>
      <c r="C325" s="11">
        <v>5000</v>
      </c>
      <c r="D325" s="11"/>
      <c r="E325" t="s">
        <v>443</v>
      </c>
      <c r="F325" s="110" t="s">
        <v>108</v>
      </c>
      <c r="I325">
        <v>12800</v>
      </c>
    </row>
    <row r="326" spans="1:9" x14ac:dyDescent="0.3">
      <c r="A326" s="114">
        <v>46096</v>
      </c>
      <c r="B326" t="s">
        <v>462</v>
      </c>
      <c r="C326" s="11"/>
      <c r="D326" s="11">
        <v>130000</v>
      </c>
      <c r="E326" t="s">
        <v>475</v>
      </c>
      <c r="F326" s="110" t="s">
        <v>108</v>
      </c>
      <c r="I326">
        <v>18000</v>
      </c>
    </row>
    <row r="327" spans="1:9" x14ac:dyDescent="0.3">
      <c r="A327" s="114">
        <v>46096</v>
      </c>
      <c r="B327" t="s">
        <v>463</v>
      </c>
      <c r="C327" s="11"/>
      <c r="D327" s="11">
        <v>40000</v>
      </c>
      <c r="E327" t="s">
        <v>476</v>
      </c>
      <c r="F327" s="110" t="s">
        <v>108</v>
      </c>
      <c r="I327">
        <v>14000</v>
      </c>
    </row>
    <row r="328" spans="1:9" x14ac:dyDescent="0.3">
      <c r="A328" s="114">
        <v>46096</v>
      </c>
      <c r="B328" t="s">
        <v>55</v>
      </c>
      <c r="C328" s="11">
        <v>1400</v>
      </c>
      <c r="D328" s="11"/>
      <c r="E328" t="s">
        <v>464</v>
      </c>
      <c r="F328" s="110" t="s">
        <v>108</v>
      </c>
      <c r="I328">
        <v>14000</v>
      </c>
    </row>
    <row r="329" spans="1:9" x14ac:dyDescent="0.3">
      <c r="A329" s="114">
        <v>46096</v>
      </c>
      <c r="B329" t="s">
        <v>220</v>
      </c>
      <c r="C329" s="11">
        <v>150000</v>
      </c>
      <c r="D329" s="11"/>
      <c r="E329" t="s">
        <v>465</v>
      </c>
      <c r="F329" s="110" t="s">
        <v>108</v>
      </c>
      <c r="I329">
        <v>55000</v>
      </c>
    </row>
    <row r="330" spans="1:9" x14ac:dyDescent="0.3">
      <c r="A330" s="114">
        <v>46097</v>
      </c>
      <c r="B330" t="s">
        <v>55</v>
      </c>
      <c r="C330" s="11">
        <v>33000</v>
      </c>
      <c r="D330" s="11"/>
      <c r="E330" t="s">
        <v>466</v>
      </c>
      <c r="F330" s="110" t="s">
        <v>108</v>
      </c>
      <c r="I330">
        <v>35000</v>
      </c>
    </row>
    <row r="331" spans="1:9" x14ac:dyDescent="0.3">
      <c r="A331" s="114">
        <v>46097</v>
      </c>
      <c r="B331" t="s">
        <v>221</v>
      </c>
      <c r="C331" s="11">
        <v>50000</v>
      </c>
      <c r="D331" s="11"/>
      <c r="E331" t="s">
        <v>467</v>
      </c>
      <c r="F331" s="110" t="s">
        <v>108</v>
      </c>
      <c r="I331">
        <v>14650</v>
      </c>
    </row>
    <row r="332" spans="1:9" x14ac:dyDescent="0.3">
      <c r="A332" s="114">
        <v>46097</v>
      </c>
      <c r="B332" t="s">
        <v>55</v>
      </c>
      <c r="C332" s="95">
        <v>7000</v>
      </c>
      <c r="D332" s="95"/>
      <c r="E332" t="s">
        <v>468</v>
      </c>
      <c r="F332" s="110" t="s">
        <v>108</v>
      </c>
      <c r="I332">
        <v>23000</v>
      </c>
    </row>
    <row r="333" spans="1:9" x14ac:dyDescent="0.3">
      <c r="A333" s="114">
        <v>46097</v>
      </c>
      <c r="B333" t="s">
        <v>282</v>
      </c>
      <c r="C333" s="11">
        <v>40000</v>
      </c>
      <c r="D333" s="11"/>
      <c r="E333" t="s">
        <v>469</v>
      </c>
      <c r="F333" s="110" t="s">
        <v>108</v>
      </c>
      <c r="I333">
        <v>2650</v>
      </c>
    </row>
    <row r="334" spans="1:9" x14ac:dyDescent="0.3">
      <c r="A334" s="114">
        <v>46097</v>
      </c>
      <c r="B334" t="s">
        <v>54</v>
      </c>
      <c r="C334" s="11">
        <v>800</v>
      </c>
      <c r="D334" s="11"/>
      <c r="E334" t="s">
        <v>470</v>
      </c>
      <c r="F334" s="110" t="s">
        <v>108</v>
      </c>
      <c r="I334">
        <v>17060</v>
      </c>
    </row>
    <row r="335" spans="1:9" x14ac:dyDescent="0.3">
      <c r="A335" s="114">
        <v>46097</v>
      </c>
      <c r="B335" t="s">
        <v>221</v>
      </c>
      <c r="C335" s="11">
        <f>5293+1282</f>
        <v>6575</v>
      </c>
      <c r="D335" s="11"/>
      <c r="E335" t="s">
        <v>474</v>
      </c>
      <c r="F335" s="110" t="s">
        <v>108</v>
      </c>
      <c r="I335">
        <v>10000</v>
      </c>
    </row>
    <row r="336" spans="1:9" x14ac:dyDescent="0.3">
      <c r="A336" s="114">
        <v>46098</v>
      </c>
      <c r="B336" t="s">
        <v>282</v>
      </c>
      <c r="C336" s="11">
        <v>165000</v>
      </c>
      <c r="D336" s="11"/>
      <c r="E336" t="s">
        <v>329</v>
      </c>
      <c r="F336" s="110" t="s">
        <v>108</v>
      </c>
      <c r="I336">
        <v>154000</v>
      </c>
    </row>
    <row r="337" spans="1:6" x14ac:dyDescent="0.3">
      <c r="A337" s="114">
        <v>46098</v>
      </c>
      <c r="B337" t="s">
        <v>282</v>
      </c>
      <c r="C337" s="11">
        <v>50000</v>
      </c>
      <c r="D337" s="11"/>
      <c r="E337" t="s">
        <v>404</v>
      </c>
      <c r="F337" s="110" t="s">
        <v>108</v>
      </c>
    </row>
    <row r="338" spans="1:6" x14ac:dyDescent="0.3">
      <c r="A338" s="114">
        <v>46098</v>
      </c>
      <c r="B338" t="s">
        <v>113</v>
      </c>
      <c r="C338" s="11">
        <v>44730</v>
      </c>
      <c r="D338" s="11"/>
      <c r="E338" t="s">
        <v>471</v>
      </c>
      <c r="F338" s="110" t="s">
        <v>108</v>
      </c>
    </row>
    <row r="339" spans="1:6" x14ac:dyDescent="0.3">
      <c r="A339" s="114">
        <v>46098</v>
      </c>
      <c r="B339" t="s">
        <v>55</v>
      </c>
      <c r="C339" s="11">
        <v>1150</v>
      </c>
      <c r="D339" s="11"/>
      <c r="F339" s="110" t="s">
        <v>108</v>
      </c>
    </row>
    <row r="340" spans="1:6" x14ac:dyDescent="0.3">
      <c r="A340" s="114">
        <v>46098</v>
      </c>
      <c r="B340" t="s">
        <v>221</v>
      </c>
      <c r="C340" s="11">
        <v>600</v>
      </c>
      <c r="D340" s="11"/>
      <c r="E340" t="s">
        <v>472</v>
      </c>
      <c r="F340" s="110" t="s">
        <v>108</v>
      </c>
    </row>
    <row r="341" spans="1:6" x14ac:dyDescent="0.3">
      <c r="A341" s="114">
        <v>46098</v>
      </c>
      <c r="B341" t="s">
        <v>212</v>
      </c>
      <c r="C341" s="95">
        <f>1500+800+400+760+1500+900+1200</f>
        <v>7060</v>
      </c>
      <c r="D341" s="95"/>
      <c r="F341" s="110" t="s">
        <v>108</v>
      </c>
    </row>
    <row r="342" spans="1:6" x14ac:dyDescent="0.3">
      <c r="A342" s="114">
        <v>46098</v>
      </c>
      <c r="B342" t="s">
        <v>221</v>
      </c>
      <c r="C342" s="11">
        <v>2640</v>
      </c>
      <c r="D342" s="11"/>
      <c r="E342" t="s">
        <v>473</v>
      </c>
      <c r="F342" s="110" t="s">
        <v>108</v>
      </c>
    </row>
    <row r="343" spans="1:6" x14ac:dyDescent="0.3">
      <c r="A343" s="114">
        <v>46098</v>
      </c>
      <c r="B343" t="s">
        <v>220</v>
      </c>
      <c r="C343" s="11">
        <v>100000</v>
      </c>
      <c r="D343" s="11"/>
      <c r="E343" t="s">
        <v>486</v>
      </c>
      <c r="F343" s="110" t="s">
        <v>108</v>
      </c>
    </row>
    <row r="344" spans="1:6" x14ac:dyDescent="0.3">
      <c r="A344" s="114">
        <v>46098</v>
      </c>
      <c r="B344" t="s">
        <v>245</v>
      </c>
      <c r="C344" s="11"/>
      <c r="D344" s="11">
        <v>200000</v>
      </c>
      <c r="F344" s="110" t="s">
        <v>108</v>
      </c>
    </row>
    <row r="345" spans="1:6" x14ac:dyDescent="0.3">
      <c r="A345" s="114">
        <v>46098</v>
      </c>
      <c r="B345" t="s">
        <v>115</v>
      </c>
      <c r="C345" s="95">
        <v>100000</v>
      </c>
      <c r="D345" s="95"/>
      <c r="F345" s="110" t="s">
        <v>108</v>
      </c>
    </row>
    <row r="346" spans="1:6" x14ac:dyDescent="0.3">
      <c r="A346" s="114">
        <v>46099</v>
      </c>
      <c r="B346" t="s">
        <v>282</v>
      </c>
      <c r="C346" s="11">
        <v>50000</v>
      </c>
      <c r="D346" s="11"/>
      <c r="E346" t="s">
        <v>329</v>
      </c>
      <c r="F346" s="110" t="s">
        <v>108</v>
      </c>
    </row>
    <row r="347" spans="1:6" x14ac:dyDescent="0.3">
      <c r="A347" s="114">
        <v>46099</v>
      </c>
      <c r="B347" t="s">
        <v>246</v>
      </c>
      <c r="C347" s="11">
        <v>2710</v>
      </c>
      <c r="D347" s="11"/>
      <c r="E347" t="s">
        <v>480</v>
      </c>
      <c r="F347" s="110" t="s">
        <v>108</v>
      </c>
    </row>
    <row r="348" spans="1:6" x14ac:dyDescent="0.3">
      <c r="A348" s="114">
        <v>46099</v>
      </c>
      <c r="B348" t="s">
        <v>282</v>
      </c>
      <c r="C348" s="11">
        <v>2666</v>
      </c>
      <c r="D348" s="11"/>
      <c r="E348" t="s">
        <v>448</v>
      </c>
      <c r="F348" s="110" t="s">
        <v>108</v>
      </c>
    </row>
    <row r="349" spans="1:6" x14ac:dyDescent="0.3">
      <c r="A349" s="114">
        <v>46099</v>
      </c>
      <c r="B349" t="s">
        <v>221</v>
      </c>
      <c r="C349" s="11">
        <v>900</v>
      </c>
      <c r="D349" s="11"/>
      <c r="E349" t="s">
        <v>481</v>
      </c>
      <c r="F349" s="110" t="s">
        <v>108</v>
      </c>
    </row>
    <row r="350" spans="1:6" x14ac:dyDescent="0.3">
      <c r="A350" s="38">
        <v>46099</v>
      </c>
      <c r="B350" t="s">
        <v>225</v>
      </c>
      <c r="C350" s="11"/>
      <c r="D350" s="11">
        <v>100000</v>
      </c>
      <c r="E350" t="s">
        <v>482</v>
      </c>
      <c r="F350" s="110" t="s">
        <v>108</v>
      </c>
    </row>
    <row r="351" spans="1:6" x14ac:dyDescent="0.3">
      <c r="A351" s="114">
        <v>46099</v>
      </c>
      <c r="B351" t="s">
        <v>246</v>
      </c>
      <c r="C351" s="11">
        <v>20000</v>
      </c>
      <c r="D351" s="11"/>
      <c r="E351" t="s">
        <v>483</v>
      </c>
      <c r="F351" s="110" t="s">
        <v>108</v>
      </c>
    </row>
    <row r="352" spans="1:6" x14ac:dyDescent="0.3">
      <c r="A352" s="114">
        <v>46099</v>
      </c>
      <c r="B352" t="s">
        <v>212</v>
      </c>
      <c r="C352" s="95">
        <f>760+581</f>
        <v>1341</v>
      </c>
      <c r="D352" s="95"/>
      <c r="F352" s="110" t="s">
        <v>108</v>
      </c>
    </row>
    <row r="353" spans="1:6" x14ac:dyDescent="0.3">
      <c r="A353" s="114">
        <v>46100</v>
      </c>
      <c r="B353" t="s">
        <v>55</v>
      </c>
      <c r="C353" s="95">
        <v>50000</v>
      </c>
      <c r="D353" s="95"/>
      <c r="E353" t="s">
        <v>484</v>
      </c>
      <c r="F353" s="110" t="s">
        <v>108</v>
      </c>
    </row>
    <row r="354" spans="1:6" x14ac:dyDescent="0.3">
      <c r="A354" s="114">
        <v>46100</v>
      </c>
      <c r="B354" t="s">
        <v>220</v>
      </c>
      <c r="C354" s="95"/>
      <c r="D354" s="95">
        <v>50000</v>
      </c>
      <c r="E354" t="s">
        <v>484</v>
      </c>
      <c r="F354" s="110" t="s">
        <v>108</v>
      </c>
    </row>
    <row r="355" spans="1:6" x14ac:dyDescent="0.3">
      <c r="A355" s="114">
        <v>46100</v>
      </c>
      <c r="B355" t="s">
        <v>220</v>
      </c>
      <c r="C355" s="95"/>
      <c r="D355" s="95">
        <v>1800000</v>
      </c>
      <c r="E355" t="s">
        <v>485</v>
      </c>
      <c r="F355" s="110" t="s">
        <v>108</v>
      </c>
    </row>
    <row r="356" spans="1:6" x14ac:dyDescent="0.3">
      <c r="A356" s="114">
        <v>46101</v>
      </c>
      <c r="B356" t="s">
        <v>221</v>
      </c>
      <c r="C356" s="95">
        <v>2500</v>
      </c>
      <c r="D356" s="95"/>
      <c r="E356" t="s">
        <v>487</v>
      </c>
      <c r="F356" s="110" t="s">
        <v>108</v>
      </c>
    </row>
    <row r="357" spans="1:6" x14ac:dyDescent="0.3">
      <c r="A357" s="38">
        <v>46101</v>
      </c>
      <c r="B357" t="s">
        <v>221</v>
      </c>
      <c r="C357" s="11">
        <v>581</v>
      </c>
      <c r="D357" s="11"/>
      <c r="E357" t="s">
        <v>497</v>
      </c>
      <c r="F357" s="110" t="s">
        <v>108</v>
      </c>
    </row>
    <row r="358" spans="1:6" x14ac:dyDescent="0.3">
      <c r="A358" s="38">
        <v>46101</v>
      </c>
      <c r="B358" t="s">
        <v>54</v>
      </c>
      <c r="C358" s="11">
        <v>5000</v>
      </c>
      <c r="D358" s="11"/>
      <c r="E358" t="s">
        <v>290</v>
      </c>
      <c r="F358" s="110" t="s">
        <v>108</v>
      </c>
    </row>
    <row r="359" spans="1:6" x14ac:dyDescent="0.3">
      <c r="A359" s="38">
        <v>46101</v>
      </c>
      <c r="B359" t="s">
        <v>212</v>
      </c>
      <c r="C359" s="11">
        <f>594+526</f>
        <v>1120</v>
      </c>
      <c r="D359" s="11"/>
      <c r="F359" s="110" t="s">
        <v>108</v>
      </c>
    </row>
    <row r="360" spans="1:6" x14ac:dyDescent="0.3">
      <c r="A360" s="38">
        <v>46101</v>
      </c>
      <c r="B360" t="s">
        <v>409</v>
      </c>
      <c r="C360" s="11"/>
      <c r="D360" s="11">
        <v>300000</v>
      </c>
      <c r="E360" t="s">
        <v>518</v>
      </c>
      <c r="F360" s="110" t="s">
        <v>108</v>
      </c>
    </row>
    <row r="361" spans="1:6" x14ac:dyDescent="0.3">
      <c r="A361" s="38">
        <v>46101</v>
      </c>
      <c r="B361" t="s">
        <v>298</v>
      </c>
      <c r="C361" s="11">
        <v>100470</v>
      </c>
      <c r="D361" s="11"/>
      <c r="E361" t="s">
        <v>519</v>
      </c>
      <c r="F361" s="110" t="s">
        <v>108</v>
      </c>
    </row>
    <row r="362" spans="1:6" x14ac:dyDescent="0.3">
      <c r="A362" s="38">
        <v>46101</v>
      </c>
      <c r="B362" t="s">
        <v>55</v>
      </c>
      <c r="C362" s="11">
        <v>20000</v>
      </c>
      <c r="D362" s="11"/>
      <c r="E362" t="s">
        <v>520</v>
      </c>
      <c r="F362" s="110" t="s">
        <v>108</v>
      </c>
    </row>
    <row r="363" spans="1:6" x14ac:dyDescent="0.3">
      <c r="A363" s="38">
        <v>46101</v>
      </c>
      <c r="B363" t="s">
        <v>222</v>
      </c>
      <c r="C363" s="11">
        <v>104470</v>
      </c>
      <c r="D363" s="11"/>
      <c r="E363" t="s">
        <v>521</v>
      </c>
      <c r="F363" s="110" t="s">
        <v>108</v>
      </c>
    </row>
    <row r="364" spans="1:6" x14ac:dyDescent="0.3">
      <c r="A364" s="38">
        <v>46101</v>
      </c>
      <c r="B364" t="s">
        <v>220</v>
      </c>
      <c r="C364" s="11">
        <f>300000-SUM(C361:C363)</f>
        <v>75060</v>
      </c>
      <c r="D364" s="11"/>
      <c r="E364" t="s">
        <v>522</v>
      </c>
      <c r="F364" s="110" t="s">
        <v>108</v>
      </c>
    </row>
    <row r="365" spans="1:6" x14ac:dyDescent="0.3">
      <c r="A365" s="114">
        <v>46101</v>
      </c>
      <c r="B365" t="s">
        <v>54</v>
      </c>
      <c r="C365" s="11">
        <v>8151</v>
      </c>
      <c r="D365" s="11"/>
      <c r="E365" t="s">
        <v>290</v>
      </c>
      <c r="F365" s="110" t="s">
        <v>108</v>
      </c>
    </row>
    <row r="366" spans="1:6" x14ac:dyDescent="0.3">
      <c r="A366" s="114">
        <v>46102</v>
      </c>
      <c r="B366" t="s">
        <v>221</v>
      </c>
      <c r="C366" s="11">
        <v>35102</v>
      </c>
      <c r="D366" s="11"/>
      <c r="E366" t="s">
        <v>498</v>
      </c>
      <c r="F366" s="110" t="s">
        <v>108</v>
      </c>
    </row>
    <row r="367" spans="1:6" x14ac:dyDescent="0.3">
      <c r="A367" s="114">
        <v>46102</v>
      </c>
      <c r="B367" t="s">
        <v>212</v>
      </c>
      <c r="C367" s="11">
        <v>1200</v>
      </c>
      <c r="D367" s="11"/>
      <c r="F367" s="110" t="s">
        <v>108</v>
      </c>
    </row>
    <row r="368" spans="1:6" x14ac:dyDescent="0.3">
      <c r="A368" s="114">
        <v>46103</v>
      </c>
      <c r="B368" t="s">
        <v>221</v>
      </c>
      <c r="C368" s="95">
        <v>50000</v>
      </c>
      <c r="D368" s="95"/>
      <c r="E368" t="s">
        <v>487</v>
      </c>
      <c r="F368" s="110" t="s">
        <v>108</v>
      </c>
    </row>
    <row r="369" spans="1:6" x14ac:dyDescent="0.3">
      <c r="A369" s="114">
        <v>46105</v>
      </c>
      <c r="B369" t="s">
        <v>220</v>
      </c>
      <c r="C369" s="95"/>
      <c r="D369" s="95">
        <v>490000</v>
      </c>
      <c r="E369" t="s">
        <v>488</v>
      </c>
      <c r="F369" s="110" t="s">
        <v>108</v>
      </c>
    </row>
    <row r="370" spans="1:6" x14ac:dyDescent="0.3">
      <c r="A370" s="114">
        <v>46105</v>
      </c>
      <c r="B370" t="s">
        <v>220</v>
      </c>
      <c r="C370" s="95"/>
      <c r="D370" s="95">
        <v>125000</v>
      </c>
      <c r="E370" t="s">
        <v>489</v>
      </c>
      <c r="F370" s="110" t="s">
        <v>108</v>
      </c>
    </row>
    <row r="371" spans="1:6" x14ac:dyDescent="0.3">
      <c r="A371" s="114">
        <v>46105</v>
      </c>
      <c r="B371" t="s">
        <v>51</v>
      </c>
      <c r="C371" s="11">
        <v>2576170</v>
      </c>
      <c r="D371" s="11"/>
      <c r="F371" s="110" t="s">
        <v>108</v>
      </c>
    </row>
    <row r="372" spans="1:6" x14ac:dyDescent="0.3">
      <c r="A372" s="114">
        <v>46105</v>
      </c>
      <c r="B372" t="s">
        <v>220</v>
      </c>
      <c r="C372" s="11"/>
      <c r="D372" s="11">
        <v>130000</v>
      </c>
      <c r="E372" t="s">
        <v>490</v>
      </c>
      <c r="F372" s="110" t="s">
        <v>108</v>
      </c>
    </row>
    <row r="373" spans="1:6" x14ac:dyDescent="0.3">
      <c r="A373" s="114">
        <v>46105</v>
      </c>
      <c r="B373" t="s">
        <v>54</v>
      </c>
      <c r="C373" s="11">
        <v>5000</v>
      </c>
      <c r="D373" s="11"/>
      <c r="E373" t="s">
        <v>496</v>
      </c>
      <c r="F373" s="110" t="s">
        <v>108</v>
      </c>
    </row>
    <row r="374" spans="1:6" x14ac:dyDescent="0.3">
      <c r="A374" s="114">
        <v>46105</v>
      </c>
      <c r="B374" t="s">
        <v>221</v>
      </c>
      <c r="C374" s="95">
        <v>730</v>
      </c>
      <c r="D374" s="95"/>
      <c r="F374" s="110" t="s">
        <v>108</v>
      </c>
    </row>
    <row r="375" spans="1:6" x14ac:dyDescent="0.3">
      <c r="A375" s="114">
        <v>46107</v>
      </c>
      <c r="B375" t="s">
        <v>192</v>
      </c>
      <c r="C375" s="11"/>
      <c r="D375" s="11">
        <v>50000</v>
      </c>
      <c r="F375" s="110" t="s">
        <v>108</v>
      </c>
    </row>
    <row r="376" spans="1:6" x14ac:dyDescent="0.3">
      <c r="A376" s="114">
        <v>46107</v>
      </c>
      <c r="B376" t="s">
        <v>55</v>
      </c>
      <c r="C376" s="11">
        <v>896</v>
      </c>
      <c r="D376" s="11"/>
      <c r="F376" s="110" t="s">
        <v>108</v>
      </c>
    </row>
    <row r="377" spans="1:6" x14ac:dyDescent="0.3">
      <c r="A377" s="114">
        <v>46107</v>
      </c>
      <c r="B377" t="s">
        <v>55</v>
      </c>
      <c r="C377" s="11">
        <v>4200</v>
      </c>
      <c r="D377" s="11"/>
      <c r="F377" s="110" t="s">
        <v>108</v>
      </c>
    </row>
    <row r="378" spans="1:6" x14ac:dyDescent="0.3">
      <c r="A378" s="114">
        <v>46108</v>
      </c>
      <c r="B378" t="s">
        <v>357</v>
      </c>
      <c r="C378" s="11">
        <v>5000</v>
      </c>
      <c r="D378" s="11"/>
      <c r="E378" t="s">
        <v>469</v>
      </c>
      <c r="F378" s="110" t="s">
        <v>108</v>
      </c>
    </row>
    <row r="379" spans="1:6" x14ac:dyDescent="0.3">
      <c r="A379" s="114">
        <v>46109</v>
      </c>
      <c r="B379" t="s">
        <v>55</v>
      </c>
      <c r="C379" s="11">
        <v>1250</v>
      </c>
      <c r="D379" s="11"/>
      <c r="E379" t="s">
        <v>491</v>
      </c>
      <c r="F379" s="110" t="s">
        <v>108</v>
      </c>
    </row>
    <row r="380" spans="1:6" x14ac:dyDescent="0.3">
      <c r="A380" s="114">
        <v>46109</v>
      </c>
      <c r="B380" t="s">
        <v>202</v>
      </c>
      <c r="C380" s="11"/>
      <c r="D380" s="11">
        <v>135000</v>
      </c>
      <c r="E380" t="s">
        <v>492</v>
      </c>
      <c r="F380" s="110" t="s">
        <v>108</v>
      </c>
    </row>
    <row r="381" spans="1:6" x14ac:dyDescent="0.3">
      <c r="A381" s="114">
        <v>46109</v>
      </c>
      <c r="B381" t="s">
        <v>228</v>
      </c>
      <c r="C381" s="11"/>
      <c r="D381" s="11">
        <v>75000</v>
      </c>
      <c r="E381" t="s">
        <v>493</v>
      </c>
      <c r="F381" s="110" t="s">
        <v>108</v>
      </c>
    </row>
    <row r="382" spans="1:6" x14ac:dyDescent="0.3">
      <c r="A382" s="114">
        <v>46109</v>
      </c>
      <c r="B382" t="s">
        <v>9</v>
      </c>
      <c r="C382" s="11"/>
      <c r="D382" s="11">
        <v>125000</v>
      </c>
      <c r="E382" t="s">
        <v>494</v>
      </c>
      <c r="F382" s="110" t="s">
        <v>108</v>
      </c>
    </row>
    <row r="383" spans="1:6" x14ac:dyDescent="0.3">
      <c r="A383" s="114">
        <v>46109</v>
      </c>
      <c r="B383" t="s">
        <v>169</v>
      </c>
      <c r="C383" s="11">
        <v>200100</v>
      </c>
      <c r="D383" s="11"/>
      <c r="E383" t="s">
        <v>495</v>
      </c>
      <c r="F383" s="110" t="s">
        <v>108</v>
      </c>
    </row>
    <row r="384" spans="1:6" x14ac:dyDescent="0.3">
      <c r="A384" s="114">
        <v>46109</v>
      </c>
      <c r="B384" t="s">
        <v>212</v>
      </c>
      <c r="C384" s="95">
        <f>760*4</f>
        <v>3040</v>
      </c>
      <c r="D384" s="95"/>
      <c r="F384" s="110" t="s">
        <v>108</v>
      </c>
    </row>
    <row r="385" spans="1:6" x14ac:dyDescent="0.3">
      <c r="A385" s="114">
        <v>46109</v>
      </c>
      <c r="B385" t="s">
        <v>221</v>
      </c>
      <c r="C385" s="11">
        <v>3500</v>
      </c>
      <c r="D385" s="11"/>
      <c r="E385" t="s">
        <v>499</v>
      </c>
      <c r="F385" s="110" t="s">
        <v>108</v>
      </c>
    </row>
    <row r="386" spans="1:6" x14ac:dyDescent="0.3">
      <c r="A386" s="114">
        <v>46110</v>
      </c>
      <c r="B386" t="s">
        <v>249</v>
      </c>
      <c r="C386" s="11">
        <v>10000</v>
      </c>
      <c r="D386" s="11"/>
      <c r="E386" t="s">
        <v>447</v>
      </c>
      <c r="F386" s="110" t="s">
        <v>108</v>
      </c>
    </row>
    <row r="387" spans="1:6" x14ac:dyDescent="0.3">
      <c r="A387" s="114">
        <v>46111</v>
      </c>
      <c r="B387" t="s">
        <v>54</v>
      </c>
      <c r="C387" s="95">
        <v>5000</v>
      </c>
      <c r="D387" s="95"/>
      <c r="E387" t="s">
        <v>290</v>
      </c>
      <c r="F387" s="110" t="s">
        <v>108</v>
      </c>
    </row>
    <row r="388" spans="1:6" x14ac:dyDescent="0.3">
      <c r="A388" s="38">
        <v>46112</v>
      </c>
      <c r="B388" t="s">
        <v>500</v>
      </c>
      <c r="C388" s="11"/>
      <c r="D388" s="11">
        <v>463280</v>
      </c>
      <c r="F388" s="110" t="s">
        <v>108</v>
      </c>
    </row>
    <row r="389" spans="1:6" x14ac:dyDescent="0.3">
      <c r="A389" s="38">
        <v>46112</v>
      </c>
      <c r="B389" t="s">
        <v>249</v>
      </c>
      <c r="C389" s="11">
        <v>52000</v>
      </c>
      <c r="D389" s="11"/>
      <c r="E389" t="s">
        <v>501</v>
      </c>
      <c r="F389" s="110" t="s">
        <v>108</v>
      </c>
    </row>
    <row r="390" spans="1:6" x14ac:dyDescent="0.3">
      <c r="A390" s="114">
        <v>46112</v>
      </c>
      <c r="B390" t="s">
        <v>357</v>
      </c>
      <c r="C390" s="11">
        <v>5000</v>
      </c>
      <c r="D390" s="11"/>
      <c r="E390" t="s">
        <v>469</v>
      </c>
      <c r="F390" s="110" t="s">
        <v>108</v>
      </c>
    </row>
    <row r="391" spans="1:6" x14ac:dyDescent="0.3">
      <c r="A391" s="114">
        <v>46112</v>
      </c>
      <c r="B391" t="s">
        <v>249</v>
      </c>
      <c r="C391" s="11">
        <v>3280</v>
      </c>
      <c r="D391" s="11"/>
      <c r="E391" t="s">
        <v>247</v>
      </c>
      <c r="F391" s="110" t="s">
        <v>108</v>
      </c>
    </row>
    <row r="392" spans="1:6" x14ac:dyDescent="0.3">
      <c r="A392" s="114">
        <v>46113</v>
      </c>
      <c r="B392" t="s">
        <v>225</v>
      </c>
      <c r="C392" s="11"/>
      <c r="D392" s="11">
        <v>100000</v>
      </c>
      <c r="E392" t="s">
        <v>502</v>
      </c>
      <c r="F392" s="110" t="s">
        <v>108</v>
      </c>
    </row>
    <row r="393" spans="1:6" x14ac:dyDescent="0.3">
      <c r="A393" s="114">
        <v>46113</v>
      </c>
      <c r="B393" t="s">
        <v>55</v>
      </c>
      <c r="C393" s="95">
        <v>30000</v>
      </c>
      <c r="D393" s="95"/>
      <c r="E393" t="s">
        <v>503</v>
      </c>
      <c r="F393" s="110" t="s">
        <v>108</v>
      </c>
    </row>
    <row r="394" spans="1:6" x14ac:dyDescent="0.3">
      <c r="A394" s="114">
        <v>46113</v>
      </c>
      <c r="B394" t="s">
        <v>357</v>
      </c>
      <c r="C394" s="95">
        <v>40000</v>
      </c>
      <c r="D394" s="95"/>
      <c r="E394" t="s">
        <v>281</v>
      </c>
      <c r="F394" s="110" t="s">
        <v>108</v>
      </c>
    </row>
    <row r="395" spans="1:6" x14ac:dyDescent="0.3">
      <c r="A395" s="114">
        <v>46113</v>
      </c>
      <c r="B395" t="s">
        <v>246</v>
      </c>
      <c r="C395" s="95">
        <v>2000</v>
      </c>
      <c r="D395" s="95"/>
      <c r="E395" t="s">
        <v>504</v>
      </c>
      <c r="F395" s="110" t="s">
        <v>108</v>
      </c>
    </row>
    <row r="396" spans="1:6" x14ac:dyDescent="0.3">
      <c r="A396" s="114">
        <v>46113</v>
      </c>
      <c r="B396" t="s">
        <v>55</v>
      </c>
      <c r="C396" s="95">
        <v>2625</v>
      </c>
      <c r="D396" s="95"/>
      <c r="F396" s="110" t="s">
        <v>108</v>
      </c>
    </row>
    <row r="397" spans="1:6" x14ac:dyDescent="0.3">
      <c r="A397" s="38">
        <v>46113</v>
      </c>
      <c r="B397" t="s">
        <v>94</v>
      </c>
      <c r="C397" s="95">
        <v>150000</v>
      </c>
      <c r="D397" s="11"/>
      <c r="E397" t="s">
        <v>505</v>
      </c>
      <c r="F397" s="110" t="s">
        <v>108</v>
      </c>
    </row>
    <row r="398" spans="1:6" x14ac:dyDescent="0.3">
      <c r="A398" s="38">
        <v>46113</v>
      </c>
      <c r="B398" t="s">
        <v>212</v>
      </c>
      <c r="C398" s="95">
        <v>250000</v>
      </c>
      <c r="D398" s="95"/>
      <c r="E398" t="s">
        <v>506</v>
      </c>
      <c r="F398" s="110" t="s">
        <v>108</v>
      </c>
    </row>
    <row r="399" spans="1:6" x14ac:dyDescent="0.3">
      <c r="A399" s="38">
        <v>46113</v>
      </c>
      <c r="B399" t="s">
        <v>212</v>
      </c>
      <c r="C399" s="95"/>
      <c r="D399" s="95">
        <v>5000</v>
      </c>
      <c r="E399" t="s">
        <v>507</v>
      </c>
      <c r="F399" s="110" t="s">
        <v>108</v>
      </c>
    </row>
    <row r="400" spans="1:6" x14ac:dyDescent="0.3">
      <c r="A400" s="38">
        <v>46113</v>
      </c>
      <c r="B400" t="s">
        <v>508</v>
      </c>
      <c r="C400" s="95">
        <v>5000</v>
      </c>
      <c r="D400" s="95"/>
      <c r="F400" s="110" t="s">
        <v>108</v>
      </c>
    </row>
    <row r="401" spans="1:15" x14ac:dyDescent="0.3">
      <c r="A401" s="38">
        <v>46113</v>
      </c>
      <c r="B401" t="s">
        <v>249</v>
      </c>
      <c r="C401" s="95"/>
      <c r="D401" s="95"/>
      <c r="F401" s="110" t="s">
        <v>108</v>
      </c>
    </row>
    <row r="402" spans="1:15" x14ac:dyDescent="0.3">
      <c r="A402" s="38">
        <v>46113</v>
      </c>
      <c r="B402" t="s">
        <v>282</v>
      </c>
      <c r="C402" s="95"/>
      <c r="D402" s="95"/>
      <c r="E402" t="s">
        <v>509</v>
      </c>
      <c r="F402" s="110" t="s">
        <v>108</v>
      </c>
    </row>
    <row r="403" spans="1:15" x14ac:dyDescent="0.3">
      <c r="A403" s="38">
        <v>46113</v>
      </c>
      <c r="B403" t="s">
        <v>55</v>
      </c>
      <c r="C403" s="95">
        <v>3400</v>
      </c>
      <c r="D403" s="95"/>
      <c r="E403" t="s">
        <v>510</v>
      </c>
      <c r="F403" s="110" t="s">
        <v>108</v>
      </c>
    </row>
    <row r="404" spans="1:15" x14ac:dyDescent="0.3">
      <c r="A404" s="38">
        <v>46114</v>
      </c>
      <c r="B404" t="s">
        <v>212</v>
      </c>
      <c r="C404" s="95">
        <v>100000</v>
      </c>
      <c r="D404" s="95"/>
      <c r="E404" t="s">
        <v>511</v>
      </c>
      <c r="F404" s="110" t="s">
        <v>108</v>
      </c>
    </row>
    <row r="405" spans="1:15" x14ac:dyDescent="0.3">
      <c r="A405" s="38">
        <v>46114</v>
      </c>
      <c r="B405" t="s">
        <v>249</v>
      </c>
      <c r="C405" s="95"/>
      <c r="D405" s="95"/>
      <c r="E405" t="s">
        <v>437</v>
      </c>
      <c r="F405" s="110" t="s">
        <v>108</v>
      </c>
    </row>
    <row r="406" spans="1:15" x14ac:dyDescent="0.3">
      <c r="A406" s="38">
        <v>46114</v>
      </c>
      <c r="B406" t="s">
        <v>225</v>
      </c>
      <c r="C406" s="95"/>
      <c r="D406" s="95">
        <v>60635</v>
      </c>
      <c r="E406" t="s">
        <v>512</v>
      </c>
      <c r="F406" s="110" t="s">
        <v>108</v>
      </c>
    </row>
    <row r="407" spans="1:15" x14ac:dyDescent="0.3">
      <c r="A407" s="38">
        <v>46114</v>
      </c>
      <c r="B407" t="s">
        <v>282</v>
      </c>
      <c r="C407" s="95">
        <v>15150</v>
      </c>
      <c r="D407" s="95"/>
      <c r="E407" t="s">
        <v>327</v>
      </c>
      <c r="F407" s="110" t="s">
        <v>108</v>
      </c>
    </row>
    <row r="408" spans="1:15" x14ac:dyDescent="0.3">
      <c r="A408" s="38">
        <v>46114</v>
      </c>
      <c r="B408" t="s">
        <v>9</v>
      </c>
      <c r="C408" s="95"/>
      <c r="D408" s="95">
        <v>100000</v>
      </c>
      <c r="E408" t="s">
        <v>513</v>
      </c>
      <c r="F408" s="110" t="s">
        <v>108</v>
      </c>
    </row>
    <row r="409" spans="1:15" x14ac:dyDescent="0.3">
      <c r="A409" s="38">
        <v>46114</v>
      </c>
      <c r="B409" t="s">
        <v>169</v>
      </c>
      <c r="C409" s="95">
        <v>150100</v>
      </c>
      <c r="D409" s="95"/>
      <c r="E409" t="s">
        <v>514</v>
      </c>
      <c r="F409" s="110" t="s">
        <v>108</v>
      </c>
    </row>
    <row r="410" spans="1:15" x14ac:dyDescent="0.3">
      <c r="A410" s="38">
        <v>46114</v>
      </c>
      <c r="B410" t="s">
        <v>54</v>
      </c>
      <c r="C410" s="95">
        <v>12038</v>
      </c>
      <c r="D410" s="95"/>
      <c r="F410" s="110" t="s">
        <v>108</v>
      </c>
    </row>
    <row r="411" spans="1:15" x14ac:dyDescent="0.3">
      <c r="A411" s="38">
        <v>46114</v>
      </c>
      <c r="B411" t="s">
        <v>212</v>
      </c>
      <c r="C411" s="95">
        <f>620+1470+1470+481+2711+760</f>
        <v>7512</v>
      </c>
      <c r="D411" s="95"/>
      <c r="F411" s="110" t="s">
        <v>108</v>
      </c>
    </row>
    <row r="412" spans="1:15" x14ac:dyDescent="0.3">
      <c r="A412" s="114">
        <v>46114</v>
      </c>
      <c r="B412" t="s">
        <v>221</v>
      </c>
      <c r="C412" s="95">
        <f>9714-5500</f>
        <v>4214</v>
      </c>
      <c r="D412" s="95"/>
      <c r="E412" t="s">
        <v>515</v>
      </c>
      <c r="F412" s="110" t="s">
        <v>108</v>
      </c>
    </row>
    <row r="413" spans="1:15" x14ac:dyDescent="0.3">
      <c r="A413" s="38">
        <v>46115</v>
      </c>
      <c r="B413" t="s">
        <v>221</v>
      </c>
      <c r="C413" s="11">
        <v>5615</v>
      </c>
      <c r="D413" s="11"/>
      <c r="E413" t="s">
        <v>516</v>
      </c>
      <c r="F413" s="110" t="s">
        <v>108</v>
      </c>
    </row>
    <row r="414" spans="1:15" x14ac:dyDescent="0.3">
      <c r="A414" s="38">
        <v>46115</v>
      </c>
      <c r="B414" t="s">
        <v>220</v>
      </c>
      <c r="C414" s="11"/>
      <c r="D414" s="11">
        <f>71000+50000</f>
        <v>121000</v>
      </c>
      <c r="E414" t="s">
        <v>449</v>
      </c>
      <c r="F414" s="110" t="s">
        <v>108</v>
      </c>
    </row>
    <row r="415" spans="1:15" x14ac:dyDescent="0.3">
      <c r="A415" s="38">
        <v>46115</v>
      </c>
      <c r="B415" t="s">
        <v>298</v>
      </c>
      <c r="C415" s="95">
        <v>60214</v>
      </c>
      <c r="D415" s="95"/>
      <c r="E415" t="s">
        <v>517</v>
      </c>
      <c r="F415" s="110" t="s">
        <v>108</v>
      </c>
      <c r="J415">
        <v>30000</v>
      </c>
      <c r="L415">
        <v>10000</v>
      </c>
      <c r="M415">
        <v>16300</v>
      </c>
      <c r="O415">
        <v>5100</v>
      </c>
    </row>
    <row r="416" spans="1:15" x14ac:dyDescent="0.3">
      <c r="A416" s="38">
        <v>46116</v>
      </c>
      <c r="B416" t="s">
        <v>115</v>
      </c>
      <c r="C416" s="95">
        <v>100000</v>
      </c>
      <c r="D416" s="95"/>
      <c r="F416" s="110" t="s">
        <v>108</v>
      </c>
      <c r="J416">
        <v>119760</v>
      </c>
      <c r="L416">
        <v>3200</v>
      </c>
      <c r="M416">
        <v>12800</v>
      </c>
      <c r="O416">
        <v>12300</v>
      </c>
    </row>
    <row r="417" spans="1:15" x14ac:dyDescent="0.3">
      <c r="A417" s="38">
        <v>46116</v>
      </c>
      <c r="B417" t="s">
        <v>220</v>
      </c>
      <c r="C417" s="11"/>
      <c r="D417" s="11">
        <v>100000</v>
      </c>
      <c r="E417" t="s">
        <v>523</v>
      </c>
      <c r="F417" s="110" t="s">
        <v>108</v>
      </c>
      <c r="J417">
        <v>35000</v>
      </c>
      <c r="L417">
        <v>22800</v>
      </c>
      <c r="M417">
        <v>22650</v>
      </c>
      <c r="O417">
        <v>10810</v>
      </c>
    </row>
    <row r="418" spans="1:15" x14ac:dyDescent="0.3">
      <c r="A418" s="114">
        <v>46116</v>
      </c>
      <c r="B418" t="s">
        <v>221</v>
      </c>
      <c r="C418" s="11">
        <v>8000</v>
      </c>
      <c r="D418" s="11"/>
      <c r="E418" t="s">
        <v>524</v>
      </c>
      <c r="F418" s="110" t="s">
        <v>108</v>
      </c>
      <c r="J418">
        <v>29600</v>
      </c>
      <c r="L418">
        <v>29600</v>
      </c>
      <c r="M418">
        <v>22800</v>
      </c>
      <c r="O418">
        <v>12000</v>
      </c>
    </row>
    <row r="419" spans="1:15" x14ac:dyDescent="0.3">
      <c r="A419" s="114">
        <v>46116</v>
      </c>
      <c r="B419" t="s">
        <v>246</v>
      </c>
      <c r="C419" s="11">
        <v>5000</v>
      </c>
      <c r="D419" s="11"/>
      <c r="E419" t="s">
        <v>525</v>
      </c>
      <c r="F419" s="110" t="s">
        <v>108</v>
      </c>
      <c r="J419">
        <v>46600</v>
      </c>
      <c r="L419">
        <v>46600</v>
      </c>
      <c r="M419">
        <v>15000</v>
      </c>
      <c r="O419">
        <v>11650</v>
      </c>
    </row>
    <row r="420" spans="1:15" x14ac:dyDescent="0.3">
      <c r="A420" s="38">
        <v>46116</v>
      </c>
      <c r="B420" t="s">
        <v>282</v>
      </c>
      <c r="C420" s="11">
        <v>25000</v>
      </c>
      <c r="D420" s="11"/>
      <c r="E420" t="s">
        <v>509</v>
      </c>
      <c r="F420" s="110" t="s">
        <v>108</v>
      </c>
      <c r="J420">
        <v>22800</v>
      </c>
      <c r="L420">
        <v>20800</v>
      </c>
      <c r="M420">
        <v>18450</v>
      </c>
      <c r="O420">
        <v>16300</v>
      </c>
    </row>
    <row r="421" spans="1:15" x14ac:dyDescent="0.3">
      <c r="A421" s="38">
        <v>46116</v>
      </c>
      <c r="B421" t="s">
        <v>246</v>
      </c>
      <c r="C421" s="11">
        <v>15000</v>
      </c>
      <c r="D421" s="11"/>
      <c r="E421" t="s">
        <v>561</v>
      </c>
      <c r="F421" s="110" t="s">
        <v>108</v>
      </c>
      <c r="J421">
        <v>3200</v>
      </c>
      <c r="L421">
        <v>20000</v>
      </c>
      <c r="M421">
        <v>24600</v>
      </c>
      <c r="O421">
        <v>17300</v>
      </c>
    </row>
    <row r="422" spans="1:15" x14ac:dyDescent="0.3">
      <c r="A422" s="114">
        <v>46116</v>
      </c>
      <c r="B422" t="s">
        <v>508</v>
      </c>
      <c r="C422" s="11">
        <v>6000</v>
      </c>
      <c r="D422" s="11"/>
      <c r="E422" t="s">
        <v>562</v>
      </c>
      <c r="F422" s="110" t="s">
        <v>108</v>
      </c>
      <c r="J422">
        <v>11640</v>
      </c>
      <c r="L422">
        <v>80000</v>
      </c>
      <c r="M422">
        <v>15000</v>
      </c>
      <c r="O422">
        <v>17460</v>
      </c>
    </row>
    <row r="423" spans="1:15" x14ac:dyDescent="0.3">
      <c r="A423" s="114">
        <v>46116</v>
      </c>
      <c r="B423" t="s">
        <v>54</v>
      </c>
      <c r="C423" s="11">
        <v>400</v>
      </c>
      <c r="D423" s="11"/>
      <c r="F423" s="110" t="s">
        <v>108</v>
      </c>
      <c r="J423">
        <v>17500</v>
      </c>
      <c r="L423">
        <v>30000</v>
      </c>
      <c r="M423">
        <v>12000</v>
      </c>
      <c r="O423">
        <v>18450</v>
      </c>
    </row>
    <row r="424" spans="1:15" x14ac:dyDescent="0.3">
      <c r="A424" s="114">
        <v>46116</v>
      </c>
      <c r="B424" t="s">
        <v>249</v>
      </c>
      <c r="C424" s="11">
        <v>17200</v>
      </c>
      <c r="D424" s="11"/>
      <c r="E424" t="s">
        <v>563</v>
      </c>
      <c r="F424" s="110" t="s">
        <v>108</v>
      </c>
      <c r="J424">
        <v>20800</v>
      </c>
      <c r="L424">
        <v>15600</v>
      </c>
      <c r="M424">
        <v>18300</v>
      </c>
      <c r="O424">
        <v>12800</v>
      </c>
    </row>
    <row r="425" spans="1:15" x14ac:dyDescent="0.3">
      <c r="A425" s="114">
        <v>46116</v>
      </c>
      <c r="B425" t="s">
        <v>246</v>
      </c>
      <c r="C425" s="95">
        <f>780+700</f>
        <v>1480</v>
      </c>
      <c r="D425" s="95"/>
      <c r="E425" t="s">
        <v>564</v>
      </c>
      <c r="F425" s="110" t="s">
        <v>108</v>
      </c>
      <c r="J425">
        <v>15600</v>
      </c>
      <c r="L425">
        <v>15000</v>
      </c>
      <c r="M425">
        <v>20000</v>
      </c>
      <c r="O425">
        <v>24600</v>
      </c>
    </row>
    <row r="426" spans="1:15" x14ac:dyDescent="0.3">
      <c r="A426" s="114">
        <v>46116</v>
      </c>
      <c r="B426" t="s">
        <v>246</v>
      </c>
      <c r="C426" s="95">
        <f>1500+10600</f>
        <v>12100</v>
      </c>
      <c r="D426" s="95"/>
      <c r="E426" t="s">
        <v>565</v>
      </c>
      <c r="F426" s="110" t="s">
        <v>108</v>
      </c>
      <c r="J426">
        <v>11000</v>
      </c>
      <c r="L426">
        <v>14300</v>
      </c>
      <c r="M426">
        <v>20000</v>
      </c>
      <c r="O426">
        <v>22800</v>
      </c>
    </row>
    <row r="427" spans="1:15" x14ac:dyDescent="0.3">
      <c r="A427" s="114">
        <v>46118</v>
      </c>
      <c r="B427" s="121" t="s">
        <v>54</v>
      </c>
      <c r="C427" s="11">
        <v>4400</v>
      </c>
      <c r="D427" s="11"/>
      <c r="E427" t="s">
        <v>459</v>
      </c>
      <c r="F427" s="110" t="s">
        <v>108</v>
      </c>
      <c r="J427">
        <v>17000</v>
      </c>
      <c r="L427">
        <v>16500</v>
      </c>
      <c r="M427">
        <v>38400</v>
      </c>
      <c r="O427">
        <v>20000</v>
      </c>
    </row>
    <row r="428" spans="1:15" x14ac:dyDescent="0.3">
      <c r="A428" s="114">
        <v>46118</v>
      </c>
      <c r="B428" t="s">
        <v>245</v>
      </c>
      <c r="C428" s="11"/>
      <c r="D428" s="11">
        <v>100000</v>
      </c>
      <c r="E428" t="s">
        <v>526</v>
      </c>
      <c r="F428" s="110" t="s">
        <v>108</v>
      </c>
      <c r="J428">
        <v>10000</v>
      </c>
      <c r="L428">
        <v>17500</v>
      </c>
      <c r="M428">
        <v>12300</v>
      </c>
      <c r="O428">
        <v>18300</v>
      </c>
    </row>
    <row r="429" spans="1:15" x14ac:dyDescent="0.3">
      <c r="A429" s="114">
        <v>46118</v>
      </c>
      <c r="B429" t="s">
        <v>249</v>
      </c>
      <c r="C429" s="11">
        <v>11340</v>
      </c>
      <c r="D429" s="11"/>
      <c r="E429" t="s">
        <v>527</v>
      </c>
      <c r="F429" s="110" t="s">
        <v>108</v>
      </c>
      <c r="J429">
        <v>80000</v>
      </c>
      <c r="L429">
        <v>17500</v>
      </c>
      <c r="M429">
        <v>17300</v>
      </c>
      <c r="O429">
        <v>15000</v>
      </c>
    </row>
    <row r="430" spans="1:15" x14ac:dyDescent="0.3">
      <c r="A430" s="114">
        <v>46118</v>
      </c>
      <c r="B430" t="s">
        <v>169</v>
      </c>
      <c r="C430" s="11">
        <v>100000</v>
      </c>
      <c r="D430" s="11"/>
      <c r="E430" t="s">
        <v>529</v>
      </c>
      <c r="F430" s="110" t="s">
        <v>108</v>
      </c>
      <c r="J430">
        <v>20000</v>
      </c>
      <c r="L430">
        <v>17500</v>
      </c>
      <c r="M430">
        <v>5100</v>
      </c>
      <c r="O430">
        <v>11000</v>
      </c>
    </row>
    <row r="431" spans="1:15" x14ac:dyDescent="0.3">
      <c r="A431" s="114">
        <v>46118</v>
      </c>
      <c r="B431" t="s">
        <v>282</v>
      </c>
      <c r="C431" s="11">
        <v>20000</v>
      </c>
      <c r="D431" s="11"/>
      <c r="E431" t="s">
        <v>452</v>
      </c>
      <c r="F431" s="110" t="s">
        <v>108</v>
      </c>
      <c r="L431">
        <v>3300</v>
      </c>
      <c r="M431">
        <v>8350</v>
      </c>
      <c r="O431">
        <v>35000</v>
      </c>
    </row>
    <row r="432" spans="1:15" x14ac:dyDescent="0.3">
      <c r="A432" s="114">
        <v>46118</v>
      </c>
      <c r="B432" t="s">
        <v>212</v>
      </c>
      <c r="C432" s="11"/>
      <c r="D432" s="11">
        <v>20000</v>
      </c>
      <c r="E432" t="s">
        <v>560</v>
      </c>
      <c r="F432" s="110" t="s">
        <v>108</v>
      </c>
      <c r="L432">
        <v>5830</v>
      </c>
      <c r="M432">
        <v>9850</v>
      </c>
      <c r="O432">
        <v>7000</v>
      </c>
    </row>
    <row r="433" spans="1:15" x14ac:dyDescent="0.3">
      <c r="A433" s="114">
        <v>46118</v>
      </c>
      <c r="B433" t="s">
        <v>212</v>
      </c>
      <c r="C433" s="95"/>
      <c r="D433" s="95">
        <v>2000</v>
      </c>
      <c r="E433" t="s">
        <v>281</v>
      </c>
      <c r="F433" s="110" t="s">
        <v>108</v>
      </c>
      <c r="L433">
        <v>7000</v>
      </c>
      <c r="M433">
        <v>20000</v>
      </c>
      <c r="O433">
        <v>5850</v>
      </c>
    </row>
    <row r="434" spans="1:15" x14ac:dyDescent="0.3">
      <c r="A434" s="114">
        <v>46118</v>
      </c>
      <c r="B434" t="s">
        <v>357</v>
      </c>
      <c r="C434" s="95">
        <v>2000</v>
      </c>
      <c r="D434" s="95"/>
      <c r="E434" t="s">
        <v>281</v>
      </c>
      <c r="F434" s="110" t="s">
        <v>108</v>
      </c>
      <c r="L434">
        <v>5332</v>
      </c>
      <c r="O434">
        <v>3300</v>
      </c>
    </row>
    <row r="435" spans="1:15" x14ac:dyDescent="0.3">
      <c r="A435" s="38">
        <v>46119</v>
      </c>
      <c r="B435" t="s">
        <v>212</v>
      </c>
      <c r="C435" s="11"/>
      <c r="D435" s="11">
        <v>12000</v>
      </c>
      <c r="E435" t="s">
        <v>528</v>
      </c>
      <c r="F435" s="110" t="s">
        <v>108</v>
      </c>
      <c r="L435">
        <v>35000</v>
      </c>
      <c r="O435">
        <v>17500</v>
      </c>
    </row>
    <row r="436" spans="1:15" x14ac:dyDescent="0.3">
      <c r="A436" s="38">
        <v>46119</v>
      </c>
      <c r="B436" t="s">
        <v>530</v>
      </c>
      <c r="C436" s="11">
        <v>312000</v>
      </c>
      <c r="D436" s="11"/>
      <c r="E436" t="s">
        <v>531</v>
      </c>
      <c r="F436" s="110" t="s">
        <v>108</v>
      </c>
      <c r="L436">
        <v>11000</v>
      </c>
      <c r="M436">
        <v>17000</v>
      </c>
      <c r="O436">
        <v>17500</v>
      </c>
    </row>
    <row r="437" spans="1:15" x14ac:dyDescent="0.3">
      <c r="A437" s="38">
        <v>46119</v>
      </c>
      <c r="B437" t="s">
        <v>212</v>
      </c>
      <c r="C437" s="11"/>
      <c r="D437" s="11">
        <v>12000</v>
      </c>
      <c r="E437" t="s">
        <v>558</v>
      </c>
      <c r="F437" s="110" t="s">
        <v>108</v>
      </c>
      <c r="L437">
        <v>17460</v>
      </c>
      <c r="M437">
        <v>22000</v>
      </c>
      <c r="O437">
        <v>17500</v>
      </c>
    </row>
    <row r="438" spans="1:15" x14ac:dyDescent="0.3">
      <c r="A438" s="38">
        <v>46119</v>
      </c>
      <c r="B438" t="s">
        <v>220</v>
      </c>
      <c r="C438" s="11"/>
      <c r="D438" s="11">
        <v>300000</v>
      </c>
      <c r="E438" t="s">
        <v>532</v>
      </c>
      <c r="F438" s="110" t="s">
        <v>108</v>
      </c>
      <c r="L438">
        <v>11640</v>
      </c>
      <c r="O438">
        <v>16500</v>
      </c>
    </row>
    <row r="439" spans="1:15" x14ac:dyDescent="0.3">
      <c r="A439" s="38">
        <v>46119</v>
      </c>
      <c r="B439" t="s">
        <v>220</v>
      </c>
      <c r="C439" s="95"/>
      <c r="D439" s="95">
        <v>20000</v>
      </c>
      <c r="E439" t="s">
        <v>533</v>
      </c>
      <c r="F439" s="110" t="s">
        <v>108</v>
      </c>
      <c r="L439">
        <v>10800</v>
      </c>
      <c r="O439">
        <v>14300</v>
      </c>
    </row>
    <row r="440" spans="1:15" x14ac:dyDescent="0.3">
      <c r="A440" s="38">
        <v>46119</v>
      </c>
      <c r="B440" t="s">
        <v>282</v>
      </c>
      <c r="C440" s="95">
        <v>10000</v>
      </c>
      <c r="D440" s="95"/>
      <c r="E440" t="s">
        <v>469</v>
      </c>
      <c r="F440" s="110" t="s">
        <v>108</v>
      </c>
      <c r="L440">
        <v>17000</v>
      </c>
      <c r="O440">
        <v>15000</v>
      </c>
    </row>
    <row r="441" spans="1:15" x14ac:dyDescent="0.3">
      <c r="A441" s="38">
        <v>46119</v>
      </c>
      <c r="B441" t="s">
        <v>282</v>
      </c>
      <c r="C441" s="95">
        <v>10000</v>
      </c>
      <c r="D441" s="95"/>
      <c r="E441" t="s">
        <v>404</v>
      </c>
      <c r="F441" s="110" t="s">
        <v>108</v>
      </c>
      <c r="O441">
        <v>22650</v>
      </c>
    </row>
    <row r="442" spans="1:15" x14ac:dyDescent="0.3">
      <c r="A442" s="38">
        <v>46120</v>
      </c>
      <c r="B442" t="s">
        <v>220</v>
      </c>
      <c r="C442" s="95"/>
      <c r="D442" s="95">
        <v>150000</v>
      </c>
      <c r="E442" t="s">
        <v>534</v>
      </c>
      <c r="F442" s="110" t="s">
        <v>108</v>
      </c>
      <c r="O442">
        <v>20000</v>
      </c>
    </row>
    <row r="443" spans="1:15" x14ac:dyDescent="0.3">
      <c r="A443" s="38">
        <v>46120</v>
      </c>
      <c r="B443" t="s">
        <v>222</v>
      </c>
      <c r="C443" s="95">
        <v>150000</v>
      </c>
      <c r="D443" s="95"/>
      <c r="E443" t="s">
        <v>534</v>
      </c>
      <c r="F443" s="110" t="s">
        <v>108</v>
      </c>
      <c r="O443">
        <v>15600</v>
      </c>
    </row>
    <row r="444" spans="1:15" x14ac:dyDescent="0.3">
      <c r="A444" s="38">
        <v>46120</v>
      </c>
      <c r="B444" t="s">
        <v>220</v>
      </c>
      <c r="C444" s="95"/>
      <c r="D444" s="95">
        <v>30000</v>
      </c>
      <c r="E444" t="s">
        <v>535</v>
      </c>
      <c r="F444" s="110" t="s">
        <v>108</v>
      </c>
      <c r="O444">
        <v>15000</v>
      </c>
    </row>
    <row r="445" spans="1:15" x14ac:dyDescent="0.3">
      <c r="A445" s="38">
        <v>46120</v>
      </c>
      <c r="B445" t="s">
        <v>55</v>
      </c>
      <c r="C445" s="95">
        <v>1600</v>
      </c>
      <c r="D445" s="95"/>
      <c r="F445" s="110" t="s">
        <v>108</v>
      </c>
      <c r="O445">
        <v>400</v>
      </c>
    </row>
    <row r="446" spans="1:15" x14ac:dyDescent="0.3">
      <c r="A446" s="38">
        <v>46120</v>
      </c>
      <c r="B446" t="s">
        <v>54</v>
      </c>
      <c r="C446" s="95">
        <v>5305</v>
      </c>
      <c r="D446" s="95"/>
      <c r="E446" t="s">
        <v>536</v>
      </c>
      <c r="F446" s="110" t="s">
        <v>108</v>
      </c>
      <c r="O446">
        <v>20000</v>
      </c>
    </row>
    <row r="447" spans="1:15" x14ac:dyDescent="0.3">
      <c r="A447" s="38">
        <v>46120</v>
      </c>
      <c r="B447" t="s">
        <v>55</v>
      </c>
      <c r="C447" s="95">
        <v>15673</v>
      </c>
      <c r="D447" s="95"/>
      <c r="E447" t="s">
        <v>537</v>
      </c>
      <c r="F447" s="110" t="s">
        <v>108</v>
      </c>
      <c r="O447">
        <v>30000</v>
      </c>
    </row>
    <row r="448" spans="1:15" x14ac:dyDescent="0.3">
      <c r="A448" s="38">
        <v>46120</v>
      </c>
      <c r="B448" t="s">
        <v>55</v>
      </c>
      <c r="C448" s="95">
        <v>400</v>
      </c>
      <c r="D448" s="95"/>
      <c r="F448" s="110" t="s">
        <v>108</v>
      </c>
      <c r="O448">
        <v>8350</v>
      </c>
    </row>
    <row r="449" spans="1:16" x14ac:dyDescent="0.3">
      <c r="A449" s="38">
        <v>46120</v>
      </c>
      <c r="B449" t="s">
        <v>220</v>
      </c>
      <c r="C449" s="95"/>
      <c r="D449" s="95">
        <v>74380</v>
      </c>
      <c r="E449" t="s">
        <v>176</v>
      </c>
      <c r="F449" s="110" t="s">
        <v>108</v>
      </c>
      <c r="O449">
        <v>9850</v>
      </c>
      <c r="P449">
        <v>17000</v>
      </c>
    </row>
    <row r="450" spans="1:16" x14ac:dyDescent="0.3">
      <c r="A450" s="38">
        <v>46120</v>
      </c>
      <c r="B450" t="s">
        <v>176</v>
      </c>
      <c r="C450" s="11">
        <v>74380</v>
      </c>
      <c r="D450" s="11"/>
      <c r="E450" t="s">
        <v>297</v>
      </c>
      <c r="F450" s="110" t="s">
        <v>108</v>
      </c>
      <c r="O450">
        <v>80000</v>
      </c>
    </row>
    <row r="451" spans="1:16" x14ac:dyDescent="0.3">
      <c r="A451" s="38">
        <v>46120</v>
      </c>
      <c r="B451" t="s">
        <v>54</v>
      </c>
      <c r="C451" s="11">
        <v>2800</v>
      </c>
      <c r="D451" s="11"/>
      <c r="E451" t="s">
        <v>538</v>
      </c>
      <c r="F451" s="110" t="s">
        <v>108</v>
      </c>
      <c r="O451">
        <v>20000</v>
      </c>
    </row>
    <row r="452" spans="1:16" x14ac:dyDescent="0.3">
      <c r="A452" s="38">
        <v>46120</v>
      </c>
      <c r="B452" t="s">
        <v>55</v>
      </c>
      <c r="C452" s="11">
        <v>6800</v>
      </c>
      <c r="D452" s="11"/>
      <c r="E452" t="s">
        <v>540</v>
      </c>
      <c r="F452" s="110" t="s">
        <v>108</v>
      </c>
      <c r="O452">
        <v>20800</v>
      </c>
    </row>
    <row r="453" spans="1:16" x14ac:dyDescent="0.3">
      <c r="A453" s="38">
        <v>46120</v>
      </c>
      <c r="B453" t="s">
        <v>249</v>
      </c>
      <c r="C453" s="11">
        <v>15000</v>
      </c>
      <c r="D453" s="11"/>
      <c r="E453" t="s">
        <v>541</v>
      </c>
      <c r="F453" s="110" t="s">
        <v>108</v>
      </c>
      <c r="O453">
        <v>46600</v>
      </c>
    </row>
    <row r="454" spans="1:16" x14ac:dyDescent="0.3">
      <c r="A454" s="38">
        <v>46120</v>
      </c>
      <c r="B454" t="s">
        <v>222</v>
      </c>
      <c r="C454" s="11">
        <v>50000</v>
      </c>
      <c r="D454" s="11"/>
      <c r="E454" t="s">
        <v>543</v>
      </c>
      <c r="F454" s="110" t="s">
        <v>108</v>
      </c>
      <c r="L454" s="19">
        <v>48600</v>
      </c>
      <c r="N454" s="19">
        <v>27400</v>
      </c>
      <c r="O454">
        <v>29600</v>
      </c>
    </row>
    <row r="455" spans="1:16" x14ac:dyDescent="0.3">
      <c r="A455" s="38">
        <v>46120</v>
      </c>
      <c r="B455" t="s">
        <v>220</v>
      </c>
      <c r="C455" s="11"/>
      <c r="D455" s="11">
        <v>50000</v>
      </c>
      <c r="E455" t="s">
        <v>543</v>
      </c>
      <c r="F455" s="110" t="s">
        <v>108</v>
      </c>
      <c r="L455">
        <v>49200</v>
      </c>
      <c r="N455">
        <v>3400</v>
      </c>
      <c r="O455">
        <v>22800</v>
      </c>
    </row>
    <row r="456" spans="1:16" x14ac:dyDescent="0.3">
      <c r="A456" s="38">
        <v>46121</v>
      </c>
      <c r="B456" t="s">
        <v>55</v>
      </c>
      <c r="C456" s="11">
        <v>1300</v>
      </c>
      <c r="D456" s="11"/>
      <c r="F456" s="110" t="s">
        <v>108</v>
      </c>
      <c r="L456">
        <v>52000</v>
      </c>
      <c r="N456" s="19">
        <v>6200</v>
      </c>
      <c r="O456">
        <v>3200</v>
      </c>
    </row>
    <row r="457" spans="1:16" x14ac:dyDescent="0.3">
      <c r="A457" s="114">
        <v>46121</v>
      </c>
      <c r="B457" t="s">
        <v>277</v>
      </c>
      <c r="C457" s="11">
        <v>34336</v>
      </c>
      <c r="D457" s="11"/>
      <c r="E457" t="s">
        <v>539</v>
      </c>
      <c r="F457" s="110" t="s">
        <v>108</v>
      </c>
      <c r="L457">
        <v>42800</v>
      </c>
      <c r="N457">
        <v>3400</v>
      </c>
      <c r="O457">
        <v>48400</v>
      </c>
    </row>
    <row r="458" spans="1:16" x14ac:dyDescent="0.3">
      <c r="A458" s="114">
        <v>46121</v>
      </c>
      <c r="B458" t="s">
        <v>212</v>
      </c>
      <c r="C458" s="11"/>
      <c r="D458" s="11">
        <v>34336</v>
      </c>
      <c r="E458" t="s">
        <v>277</v>
      </c>
      <c r="F458" s="110" t="s">
        <v>108</v>
      </c>
      <c r="L458">
        <v>25200</v>
      </c>
      <c r="N458" s="19">
        <v>25200</v>
      </c>
      <c r="O458">
        <v>5330</v>
      </c>
    </row>
    <row r="459" spans="1:16" x14ac:dyDescent="0.3">
      <c r="A459" s="114">
        <v>46121</v>
      </c>
      <c r="B459" t="s">
        <v>176</v>
      </c>
      <c r="C459" s="11">
        <v>27000</v>
      </c>
      <c r="D459" s="11"/>
      <c r="E459" t="s">
        <v>542</v>
      </c>
      <c r="F459" s="110" t="s">
        <v>108</v>
      </c>
      <c r="L459">
        <v>37600</v>
      </c>
      <c r="N459" s="19">
        <v>19500</v>
      </c>
      <c r="O459">
        <v>17000</v>
      </c>
    </row>
    <row r="460" spans="1:16" x14ac:dyDescent="0.3">
      <c r="A460" s="114">
        <v>46121</v>
      </c>
      <c r="B460" t="s">
        <v>220</v>
      </c>
      <c r="C460" s="11"/>
      <c r="D460" s="11">
        <v>27000</v>
      </c>
      <c r="E460" t="s">
        <v>176</v>
      </c>
      <c r="F460" s="110" t="s">
        <v>108</v>
      </c>
      <c r="L460">
        <v>23000</v>
      </c>
      <c r="N460" s="19">
        <v>20300</v>
      </c>
    </row>
    <row r="461" spans="1:16" x14ac:dyDescent="0.3">
      <c r="A461" s="114">
        <v>46121</v>
      </c>
      <c r="B461" t="s">
        <v>220</v>
      </c>
      <c r="C461" s="11"/>
      <c r="D461" s="11">
        <v>1000000</v>
      </c>
      <c r="E461" t="s">
        <v>365</v>
      </c>
      <c r="F461" s="110" t="s">
        <v>108</v>
      </c>
      <c r="L461">
        <v>6200</v>
      </c>
      <c r="N461" s="19">
        <v>21000</v>
      </c>
    </row>
    <row r="462" spans="1:16" x14ac:dyDescent="0.3">
      <c r="A462" s="114">
        <v>46121</v>
      </c>
      <c r="B462" t="s">
        <v>220</v>
      </c>
      <c r="C462" s="11"/>
      <c r="D462" s="11">
        <v>45000</v>
      </c>
      <c r="E462" t="s">
        <v>365</v>
      </c>
      <c r="F462" s="110" t="s">
        <v>108</v>
      </c>
      <c r="L462">
        <v>3400</v>
      </c>
      <c r="N462" s="19">
        <v>40000</v>
      </c>
    </row>
    <row r="463" spans="1:16" x14ac:dyDescent="0.3">
      <c r="A463" s="114">
        <v>46121</v>
      </c>
      <c r="B463" t="s">
        <v>282</v>
      </c>
      <c r="C463" s="11">
        <v>841267</v>
      </c>
      <c r="D463" s="11"/>
      <c r="E463" t="s">
        <v>568</v>
      </c>
      <c r="F463" s="110" t="s">
        <v>108</v>
      </c>
      <c r="L463">
        <v>19800</v>
      </c>
      <c r="N463" s="19">
        <v>3000</v>
      </c>
    </row>
    <row r="464" spans="1:16" x14ac:dyDescent="0.3">
      <c r="A464" s="114">
        <v>46121</v>
      </c>
      <c r="B464" t="s">
        <v>282</v>
      </c>
      <c r="C464" s="11">
        <v>165000</v>
      </c>
      <c r="D464" s="11"/>
      <c r="E464" t="s">
        <v>329</v>
      </c>
      <c r="F464" s="110" t="s">
        <v>108</v>
      </c>
      <c r="L464">
        <v>3400</v>
      </c>
      <c r="N464" s="19">
        <v>20600</v>
      </c>
    </row>
    <row r="465" spans="1:14" x14ac:dyDescent="0.3">
      <c r="A465" s="114">
        <v>46121</v>
      </c>
      <c r="B465" t="s">
        <v>282</v>
      </c>
      <c r="C465" s="11">
        <v>50000</v>
      </c>
      <c r="D465" s="11"/>
      <c r="E465" t="s">
        <v>469</v>
      </c>
      <c r="F465" s="110" t="s">
        <v>108</v>
      </c>
      <c r="L465">
        <v>31150</v>
      </c>
      <c r="N465" s="19">
        <v>12750</v>
      </c>
    </row>
    <row r="466" spans="1:14" x14ac:dyDescent="0.3">
      <c r="A466" s="114">
        <v>46122</v>
      </c>
      <c r="B466" t="s">
        <v>220</v>
      </c>
      <c r="C466" s="11"/>
      <c r="D466" s="11">
        <v>62000</v>
      </c>
      <c r="E466" t="s">
        <v>544</v>
      </c>
      <c r="F466" s="110" t="s">
        <v>108</v>
      </c>
      <c r="L466">
        <v>12750</v>
      </c>
      <c r="N466" s="19">
        <v>14400</v>
      </c>
    </row>
    <row r="467" spans="1:14" x14ac:dyDescent="0.3">
      <c r="A467" s="114">
        <v>46122</v>
      </c>
      <c r="B467" t="s">
        <v>55</v>
      </c>
      <c r="C467" s="11">
        <v>2200</v>
      </c>
      <c r="D467" s="11"/>
      <c r="F467" s="110" t="s">
        <v>108</v>
      </c>
      <c r="L467">
        <v>27400</v>
      </c>
      <c r="N467" s="19">
        <v>9000</v>
      </c>
    </row>
    <row r="468" spans="1:14" x14ac:dyDescent="0.3">
      <c r="A468" s="114">
        <v>46122</v>
      </c>
      <c r="B468" t="s">
        <v>55</v>
      </c>
      <c r="C468" s="11">
        <v>30000</v>
      </c>
      <c r="D468" s="11"/>
      <c r="E468" t="s">
        <v>545</v>
      </c>
      <c r="F468" s="110" t="s">
        <v>108</v>
      </c>
      <c r="L468">
        <v>15700</v>
      </c>
      <c r="N468" s="19">
        <v>17400</v>
      </c>
    </row>
    <row r="469" spans="1:14" x14ac:dyDescent="0.3">
      <c r="A469" s="114">
        <v>46122</v>
      </c>
      <c r="B469" t="s">
        <v>546</v>
      </c>
      <c r="C469" s="11">
        <v>50000</v>
      </c>
      <c r="D469" s="11"/>
      <c r="E469" t="s">
        <v>547</v>
      </c>
      <c r="F469" s="110" t="s">
        <v>108</v>
      </c>
      <c r="L469">
        <v>12550</v>
      </c>
      <c r="N469" s="19">
        <v>19782</v>
      </c>
    </row>
    <row r="470" spans="1:14" x14ac:dyDescent="0.3">
      <c r="A470" s="114">
        <v>46122</v>
      </c>
      <c r="B470" t="s">
        <v>220</v>
      </c>
      <c r="C470" s="11"/>
      <c r="D470" s="11">
        <v>77000</v>
      </c>
      <c r="E470" t="s">
        <v>535</v>
      </c>
      <c r="F470" s="110" t="s">
        <v>108</v>
      </c>
      <c r="L470">
        <v>14800</v>
      </c>
      <c r="N470" s="19">
        <v>23000</v>
      </c>
    </row>
    <row r="471" spans="1:14" x14ac:dyDescent="0.3">
      <c r="A471" s="114">
        <v>46122</v>
      </c>
      <c r="B471" t="s">
        <v>54</v>
      </c>
      <c r="C471" s="11">
        <v>3044</v>
      </c>
      <c r="D471" s="11"/>
      <c r="E471" t="s">
        <v>548</v>
      </c>
      <c r="F471" s="110" t="s">
        <v>108</v>
      </c>
      <c r="L471">
        <v>14350</v>
      </c>
      <c r="N471" s="19">
        <v>15700</v>
      </c>
    </row>
    <row r="472" spans="1:14" x14ac:dyDescent="0.3">
      <c r="A472" s="114">
        <v>46122</v>
      </c>
      <c r="B472" t="s">
        <v>282</v>
      </c>
      <c r="C472" s="11">
        <v>40000</v>
      </c>
      <c r="D472" s="11"/>
      <c r="E472" t="s">
        <v>549</v>
      </c>
      <c r="F472" s="110" t="s">
        <v>108</v>
      </c>
      <c r="L472">
        <v>40000</v>
      </c>
      <c r="N472" s="19">
        <v>14800</v>
      </c>
    </row>
    <row r="473" spans="1:14" x14ac:dyDescent="0.3">
      <c r="A473" s="114">
        <v>46122</v>
      </c>
      <c r="B473" t="s">
        <v>55</v>
      </c>
      <c r="C473" s="11">
        <v>1200</v>
      </c>
      <c r="D473" s="11"/>
      <c r="F473" s="110" t="s">
        <v>108</v>
      </c>
      <c r="L473">
        <v>17400</v>
      </c>
      <c r="N473" s="19">
        <v>12550</v>
      </c>
    </row>
    <row r="474" spans="1:14" x14ac:dyDescent="0.3">
      <c r="A474" s="114">
        <v>46122</v>
      </c>
      <c r="B474" t="s">
        <v>246</v>
      </c>
      <c r="C474" s="11">
        <v>600</v>
      </c>
      <c r="D474" s="11"/>
      <c r="F474" s="110" t="s">
        <v>108</v>
      </c>
      <c r="L474">
        <v>19500</v>
      </c>
      <c r="N474" s="19">
        <v>31150</v>
      </c>
    </row>
    <row r="475" spans="1:14" x14ac:dyDescent="0.3">
      <c r="A475" s="114">
        <v>46122</v>
      </c>
      <c r="B475" t="s">
        <v>54</v>
      </c>
      <c r="C475" s="95">
        <v>7636.4</v>
      </c>
      <c r="D475" s="95"/>
      <c r="E475" t="s">
        <v>290</v>
      </c>
      <c r="F475" s="110" t="s">
        <v>108</v>
      </c>
      <c r="L475">
        <v>3000</v>
      </c>
      <c r="N475" s="19">
        <v>27500</v>
      </c>
    </row>
    <row r="476" spans="1:14" x14ac:dyDescent="0.3">
      <c r="A476" s="114">
        <v>46122</v>
      </c>
      <c r="B476" t="s">
        <v>220</v>
      </c>
      <c r="C476" s="95"/>
      <c r="D476" s="95">
        <v>50000</v>
      </c>
      <c r="E476" t="s">
        <v>449</v>
      </c>
      <c r="F476" s="110" t="s">
        <v>108</v>
      </c>
      <c r="L476">
        <v>1000</v>
      </c>
      <c r="N476" s="19">
        <v>20000</v>
      </c>
    </row>
    <row r="477" spans="1:14" x14ac:dyDescent="0.3">
      <c r="A477" s="114">
        <v>46122</v>
      </c>
      <c r="B477" t="s">
        <v>282</v>
      </c>
      <c r="C477" s="95">
        <v>14000</v>
      </c>
      <c r="D477" s="95"/>
      <c r="E477" t="s">
        <v>361</v>
      </c>
      <c r="F477" s="110" t="s">
        <v>108</v>
      </c>
      <c r="L477">
        <v>9000</v>
      </c>
      <c r="N477" s="19">
        <v>52000</v>
      </c>
    </row>
    <row r="478" spans="1:14" x14ac:dyDescent="0.3">
      <c r="A478" s="114">
        <v>46122</v>
      </c>
      <c r="B478" t="s">
        <v>282</v>
      </c>
      <c r="C478" s="95">
        <v>22400</v>
      </c>
      <c r="D478" s="95"/>
      <c r="E478" t="s">
        <v>566</v>
      </c>
      <c r="F478" s="110" t="s">
        <v>108</v>
      </c>
      <c r="L478">
        <v>21000</v>
      </c>
      <c r="N478" s="19">
        <v>49200</v>
      </c>
    </row>
    <row r="479" spans="1:14" x14ac:dyDescent="0.3">
      <c r="A479" s="114">
        <v>46123</v>
      </c>
      <c r="B479" t="s">
        <v>582</v>
      </c>
      <c r="C479" s="95"/>
      <c r="D479" s="95">
        <v>5965</v>
      </c>
      <c r="E479" t="s">
        <v>54</v>
      </c>
      <c r="F479" s="110" t="s">
        <v>108</v>
      </c>
      <c r="L479">
        <v>20300</v>
      </c>
      <c r="N479" s="19">
        <v>37600</v>
      </c>
    </row>
    <row r="480" spans="1:14" x14ac:dyDescent="0.3">
      <c r="A480" s="114">
        <v>46123</v>
      </c>
      <c r="B480" t="s">
        <v>54</v>
      </c>
      <c r="C480" s="95">
        <v>5965</v>
      </c>
      <c r="D480" s="95"/>
      <c r="E480" t="s">
        <v>175</v>
      </c>
      <c r="F480" s="110" t="s">
        <v>108</v>
      </c>
      <c r="L480">
        <v>27500</v>
      </c>
      <c r="N480" s="19">
        <v>48600</v>
      </c>
    </row>
    <row r="481" spans="1:14" x14ac:dyDescent="0.3">
      <c r="A481" s="114">
        <v>46123</v>
      </c>
      <c r="B481" t="s">
        <v>221</v>
      </c>
      <c r="C481" s="11">
        <v>4471</v>
      </c>
      <c r="D481" s="11"/>
      <c r="E481" t="s">
        <v>439</v>
      </c>
      <c r="F481" s="110" t="s">
        <v>108</v>
      </c>
      <c r="L481">
        <v>20000</v>
      </c>
      <c r="N481" s="19">
        <v>42800</v>
      </c>
    </row>
    <row r="482" spans="1:14" x14ac:dyDescent="0.3">
      <c r="A482" s="114">
        <v>46123</v>
      </c>
      <c r="B482" t="s">
        <v>54</v>
      </c>
      <c r="C482" s="11">
        <v>1500</v>
      </c>
      <c r="D482" s="11"/>
      <c r="E482" t="s">
        <v>538</v>
      </c>
      <c r="F482" s="110" t="s">
        <v>108</v>
      </c>
      <c r="L482">
        <v>20600</v>
      </c>
    </row>
    <row r="483" spans="1:14" x14ac:dyDescent="0.3">
      <c r="A483" s="114">
        <v>46123</v>
      </c>
      <c r="B483" t="s">
        <v>35</v>
      </c>
      <c r="C483" s="11"/>
      <c r="D483" s="11">
        <v>400000</v>
      </c>
      <c r="E483" t="s">
        <v>550</v>
      </c>
      <c r="F483" s="110" t="s">
        <v>108</v>
      </c>
      <c r="L483">
        <v>3400</v>
      </c>
    </row>
    <row r="484" spans="1:14" x14ac:dyDescent="0.3">
      <c r="A484" s="38">
        <v>46123</v>
      </c>
      <c r="B484" t="s">
        <v>169</v>
      </c>
      <c r="C484" s="11">
        <v>200200</v>
      </c>
      <c r="D484" s="11"/>
      <c r="E484" t="s">
        <v>551</v>
      </c>
      <c r="F484" s="110" t="s">
        <v>108</v>
      </c>
    </row>
    <row r="485" spans="1:14" x14ac:dyDescent="0.3">
      <c r="A485" s="38">
        <v>46123</v>
      </c>
      <c r="B485" t="s">
        <v>282</v>
      </c>
      <c r="C485" s="11">
        <v>29000</v>
      </c>
      <c r="D485" s="11"/>
      <c r="E485" t="s">
        <v>281</v>
      </c>
      <c r="F485" s="110" t="s">
        <v>108</v>
      </c>
    </row>
    <row r="486" spans="1:14" x14ac:dyDescent="0.3">
      <c r="A486" s="114">
        <v>46123</v>
      </c>
      <c r="B486" t="s">
        <v>54</v>
      </c>
      <c r="C486" s="11">
        <v>6000</v>
      </c>
      <c r="D486" s="11"/>
      <c r="E486" t="s">
        <v>552</v>
      </c>
      <c r="F486" s="110" t="s">
        <v>108</v>
      </c>
    </row>
    <row r="487" spans="1:14" x14ac:dyDescent="0.3">
      <c r="A487" s="114">
        <v>46123</v>
      </c>
      <c r="B487" t="s">
        <v>212</v>
      </c>
      <c r="C487" s="11">
        <v>1490</v>
      </c>
      <c r="D487" s="11"/>
      <c r="F487" s="110" t="s">
        <v>108</v>
      </c>
    </row>
    <row r="488" spans="1:14" x14ac:dyDescent="0.3">
      <c r="A488" s="114">
        <v>46124</v>
      </c>
      <c r="B488" t="s">
        <v>55</v>
      </c>
      <c r="C488" s="11">
        <v>4500</v>
      </c>
      <c r="D488" s="11"/>
      <c r="F488" s="110" t="s">
        <v>108</v>
      </c>
    </row>
    <row r="489" spans="1:14" x14ac:dyDescent="0.3">
      <c r="A489" s="114">
        <v>46124</v>
      </c>
      <c r="B489" t="s">
        <v>546</v>
      </c>
      <c r="C489" s="11">
        <v>100000</v>
      </c>
      <c r="D489" s="11"/>
      <c r="E489" t="s">
        <v>553</v>
      </c>
      <c r="F489" s="110" t="s">
        <v>108</v>
      </c>
    </row>
    <row r="490" spans="1:14" x14ac:dyDescent="0.3">
      <c r="A490" s="114">
        <v>46124</v>
      </c>
      <c r="B490" t="s">
        <v>220</v>
      </c>
      <c r="C490" s="11"/>
      <c r="D490" s="11">
        <v>40000</v>
      </c>
      <c r="E490" t="s">
        <v>554</v>
      </c>
      <c r="F490" s="110" t="s">
        <v>108</v>
      </c>
    </row>
    <row r="491" spans="1:14" x14ac:dyDescent="0.3">
      <c r="A491" s="38">
        <v>46124</v>
      </c>
      <c r="B491" t="s">
        <v>222</v>
      </c>
      <c r="C491" s="11">
        <v>100000</v>
      </c>
      <c r="D491" s="11"/>
      <c r="E491" t="s">
        <v>555</v>
      </c>
      <c r="F491" s="110" t="s">
        <v>108</v>
      </c>
    </row>
    <row r="492" spans="1:14" x14ac:dyDescent="0.3">
      <c r="A492" s="38">
        <v>46124</v>
      </c>
      <c r="B492" t="s">
        <v>55</v>
      </c>
      <c r="C492" s="11">
        <v>1600</v>
      </c>
      <c r="D492" s="11"/>
      <c r="F492" s="110" t="s">
        <v>108</v>
      </c>
    </row>
    <row r="493" spans="1:14" x14ac:dyDescent="0.3">
      <c r="A493" s="38">
        <v>46124</v>
      </c>
      <c r="B493" t="s">
        <v>55</v>
      </c>
      <c r="C493" s="11">
        <v>5040</v>
      </c>
      <c r="D493" s="11"/>
      <c r="F493" s="110" t="s">
        <v>108</v>
      </c>
    </row>
    <row r="494" spans="1:14" x14ac:dyDescent="0.3">
      <c r="A494" s="38">
        <v>46124</v>
      </c>
      <c r="B494" t="s">
        <v>212</v>
      </c>
      <c r="C494" s="11"/>
      <c r="D494" s="11">
        <v>5040</v>
      </c>
      <c r="E494" t="s">
        <v>559</v>
      </c>
      <c r="F494" s="110" t="s">
        <v>108</v>
      </c>
    </row>
    <row r="495" spans="1:14" x14ac:dyDescent="0.3">
      <c r="A495" s="38">
        <v>46124</v>
      </c>
      <c r="B495" t="s">
        <v>220</v>
      </c>
      <c r="C495" s="11"/>
      <c r="D495" s="11">
        <v>10000</v>
      </c>
      <c r="E495" t="s">
        <v>556</v>
      </c>
      <c r="F495" s="110" t="s">
        <v>108</v>
      </c>
    </row>
    <row r="496" spans="1:14" x14ac:dyDescent="0.3">
      <c r="A496" s="38">
        <v>46124</v>
      </c>
      <c r="B496" t="s">
        <v>54</v>
      </c>
      <c r="C496" s="11">
        <v>7392</v>
      </c>
      <c r="D496" s="11"/>
      <c r="E496" t="s">
        <v>557</v>
      </c>
      <c r="F496" s="110" t="s">
        <v>108</v>
      </c>
    </row>
    <row r="497" spans="1:10" x14ac:dyDescent="0.3">
      <c r="A497" s="38">
        <v>46125</v>
      </c>
      <c r="B497" t="s">
        <v>9</v>
      </c>
      <c r="C497" s="11"/>
      <c r="D497" s="11">
        <v>100000</v>
      </c>
      <c r="E497" t="s">
        <v>571</v>
      </c>
      <c r="F497" s="110" t="s">
        <v>108</v>
      </c>
    </row>
    <row r="498" spans="1:10" x14ac:dyDescent="0.3">
      <c r="A498" s="38">
        <v>46125</v>
      </c>
      <c r="B498" t="s">
        <v>55</v>
      </c>
      <c r="C498" s="11">
        <v>1000</v>
      </c>
      <c r="D498" s="11"/>
      <c r="F498" s="110" t="s">
        <v>108</v>
      </c>
    </row>
    <row r="499" spans="1:10" x14ac:dyDescent="0.3">
      <c r="A499" s="38">
        <v>46125</v>
      </c>
      <c r="B499" t="s">
        <v>572</v>
      </c>
      <c r="C499" s="95">
        <v>65310</v>
      </c>
      <c r="D499" s="95"/>
      <c r="E499" t="s">
        <v>573</v>
      </c>
      <c r="F499" s="110" t="s">
        <v>108</v>
      </c>
    </row>
    <row r="500" spans="1:10" x14ac:dyDescent="0.3">
      <c r="A500" s="114">
        <v>46125</v>
      </c>
      <c r="B500" t="s">
        <v>212</v>
      </c>
      <c r="C500" s="95"/>
      <c r="D500" s="95">
        <v>70000</v>
      </c>
      <c r="E500" t="s">
        <v>574</v>
      </c>
      <c r="F500" s="110" t="s">
        <v>108</v>
      </c>
      <c r="I500">
        <v>150000</v>
      </c>
      <c r="J500">
        <v>32800</v>
      </c>
    </row>
    <row r="501" spans="1:10" x14ac:dyDescent="0.3">
      <c r="A501" s="114">
        <v>46125</v>
      </c>
      <c r="B501" t="s">
        <v>222</v>
      </c>
      <c r="C501" s="95">
        <v>100000</v>
      </c>
      <c r="D501" s="95"/>
      <c r="E501" t="s">
        <v>575</v>
      </c>
      <c r="F501" s="110" t="s">
        <v>108</v>
      </c>
      <c r="I501">
        <v>17334</v>
      </c>
      <c r="J501">
        <v>22400</v>
      </c>
    </row>
    <row r="502" spans="1:10" x14ac:dyDescent="0.3">
      <c r="A502" s="114">
        <v>46125</v>
      </c>
      <c r="B502" t="s">
        <v>54</v>
      </c>
      <c r="C502" s="95">
        <v>3920</v>
      </c>
      <c r="D502" s="95"/>
      <c r="F502" s="110" t="s">
        <v>108</v>
      </c>
      <c r="I502">
        <v>40000</v>
      </c>
      <c r="J502">
        <v>26800</v>
      </c>
    </row>
    <row r="503" spans="1:10" x14ac:dyDescent="0.3">
      <c r="A503" s="114">
        <v>46125</v>
      </c>
      <c r="B503" t="s">
        <v>169</v>
      </c>
      <c r="C503" s="95">
        <v>1000</v>
      </c>
      <c r="D503" s="95"/>
      <c r="E503" t="s">
        <v>341</v>
      </c>
      <c r="F503" s="110" t="s">
        <v>108</v>
      </c>
      <c r="I503">
        <v>55000</v>
      </c>
      <c r="J503">
        <v>24800</v>
      </c>
    </row>
    <row r="504" spans="1:10" x14ac:dyDescent="0.3">
      <c r="A504" s="114">
        <v>46125</v>
      </c>
      <c r="B504" t="s">
        <v>169</v>
      </c>
      <c r="C504" s="95">
        <v>10000</v>
      </c>
      <c r="D504" s="95"/>
      <c r="E504" t="s">
        <v>576</v>
      </c>
      <c r="F504" s="110" t="s">
        <v>108</v>
      </c>
      <c r="I504">
        <v>20000</v>
      </c>
      <c r="J504">
        <v>23600</v>
      </c>
    </row>
    <row r="505" spans="1:10" x14ac:dyDescent="0.3">
      <c r="A505" s="114">
        <v>46125</v>
      </c>
      <c r="B505" t="s">
        <v>192</v>
      </c>
      <c r="C505" s="95"/>
      <c r="D505" s="95">
        <v>28000</v>
      </c>
      <c r="E505" t="s">
        <v>595</v>
      </c>
      <c r="F505" s="110" t="s">
        <v>108</v>
      </c>
      <c r="I505">
        <v>22650</v>
      </c>
      <c r="J505">
        <v>12400</v>
      </c>
    </row>
    <row r="506" spans="1:10" x14ac:dyDescent="0.3">
      <c r="A506" s="114">
        <v>46125</v>
      </c>
      <c r="B506" t="s">
        <v>54</v>
      </c>
      <c r="C506" s="95">
        <v>1700</v>
      </c>
      <c r="D506" s="95"/>
      <c r="E506" t="s">
        <v>577</v>
      </c>
      <c r="F506" s="110" t="s">
        <v>108</v>
      </c>
      <c r="I506">
        <v>20550</v>
      </c>
      <c r="J506">
        <v>21600</v>
      </c>
    </row>
    <row r="507" spans="1:10" x14ac:dyDescent="0.3">
      <c r="A507" s="114">
        <v>46125</v>
      </c>
      <c r="B507" t="s">
        <v>176</v>
      </c>
      <c r="C507" s="95">
        <v>98950</v>
      </c>
      <c r="D507" s="95"/>
      <c r="E507" t="s">
        <v>578</v>
      </c>
      <c r="F507" s="110" t="s">
        <v>108</v>
      </c>
      <c r="I507">
        <v>4000</v>
      </c>
      <c r="J507">
        <v>80000</v>
      </c>
    </row>
    <row r="508" spans="1:10" x14ac:dyDescent="0.3">
      <c r="A508" s="114">
        <v>46125</v>
      </c>
      <c r="B508" t="s">
        <v>220</v>
      </c>
      <c r="C508" s="95"/>
      <c r="D508" s="95">
        <v>100000</v>
      </c>
      <c r="E508" t="s">
        <v>176</v>
      </c>
      <c r="F508" s="110" t="s">
        <v>108</v>
      </c>
      <c r="I508">
        <v>14000</v>
      </c>
      <c r="J508">
        <v>50000</v>
      </c>
    </row>
    <row r="509" spans="1:10" x14ac:dyDescent="0.3">
      <c r="A509" s="38">
        <v>46126</v>
      </c>
      <c r="B509" t="s">
        <v>55</v>
      </c>
      <c r="C509" s="11">
        <v>2600</v>
      </c>
      <c r="D509" s="11"/>
      <c r="F509" s="110" t="s">
        <v>108</v>
      </c>
      <c r="I509">
        <v>12220</v>
      </c>
      <c r="J509">
        <v>60000</v>
      </c>
    </row>
    <row r="510" spans="1:10" x14ac:dyDescent="0.3">
      <c r="A510" s="114">
        <v>46126</v>
      </c>
      <c r="B510" t="s">
        <v>246</v>
      </c>
      <c r="C510" s="11">
        <v>500</v>
      </c>
      <c r="D510" s="11"/>
      <c r="F510" s="110"/>
      <c r="I510">
        <v>14213</v>
      </c>
      <c r="J510">
        <v>35000</v>
      </c>
    </row>
    <row r="511" spans="1:10" x14ac:dyDescent="0.3">
      <c r="A511" s="38">
        <v>46126</v>
      </c>
      <c r="B511" t="s">
        <v>35</v>
      </c>
      <c r="C511" s="95"/>
      <c r="D511" s="95">
        <v>200000</v>
      </c>
      <c r="E511" t="s">
        <v>570</v>
      </c>
      <c r="F511" s="110" t="s">
        <v>108</v>
      </c>
      <c r="I511">
        <v>17500</v>
      </c>
      <c r="J511">
        <v>19600</v>
      </c>
    </row>
    <row r="512" spans="1:10" x14ac:dyDescent="0.3">
      <c r="A512" s="38">
        <v>46126</v>
      </c>
      <c r="B512" t="s">
        <v>222</v>
      </c>
      <c r="C512" s="95">
        <v>85000</v>
      </c>
      <c r="D512" s="95"/>
      <c r="E512" t="s">
        <v>579</v>
      </c>
      <c r="F512" s="110" t="s">
        <v>108</v>
      </c>
      <c r="I512">
        <v>20800</v>
      </c>
      <c r="J512">
        <v>15600</v>
      </c>
    </row>
    <row r="513" spans="1:10" x14ac:dyDescent="0.3">
      <c r="A513" s="38">
        <v>46126</v>
      </c>
      <c r="B513" t="s">
        <v>220</v>
      </c>
      <c r="C513" s="95"/>
      <c r="D513" s="95">
        <v>85000</v>
      </c>
      <c r="E513" t="s">
        <v>580</v>
      </c>
      <c r="F513" s="110" t="s">
        <v>108</v>
      </c>
      <c r="I513">
        <v>15600</v>
      </c>
      <c r="J513">
        <v>20800</v>
      </c>
    </row>
    <row r="514" spans="1:10" x14ac:dyDescent="0.3">
      <c r="A514" s="38">
        <v>46126</v>
      </c>
      <c r="B514" t="s">
        <v>246</v>
      </c>
      <c r="C514" s="95">
        <v>2020</v>
      </c>
      <c r="D514" s="95"/>
      <c r="E514" t="s">
        <v>581</v>
      </c>
      <c r="F514" s="110" t="s">
        <v>108</v>
      </c>
      <c r="I514">
        <v>19600</v>
      </c>
      <c r="J514">
        <v>17500</v>
      </c>
    </row>
    <row r="515" spans="1:10" x14ac:dyDescent="0.3">
      <c r="A515" s="114">
        <v>46126</v>
      </c>
      <c r="B515" t="s">
        <v>582</v>
      </c>
      <c r="C515" s="95"/>
      <c r="D515" s="95">
        <v>500000</v>
      </c>
      <c r="E515" t="s">
        <v>583</v>
      </c>
      <c r="F515" s="110" t="s">
        <v>108</v>
      </c>
      <c r="I515">
        <v>35000</v>
      </c>
      <c r="J515">
        <v>14220</v>
      </c>
    </row>
    <row r="516" spans="1:10" x14ac:dyDescent="0.3">
      <c r="A516" s="38">
        <v>46126</v>
      </c>
      <c r="B516" t="s">
        <v>220</v>
      </c>
      <c r="C516" s="95">
        <v>200000</v>
      </c>
      <c r="D516" s="95"/>
      <c r="E516" t="s">
        <v>584</v>
      </c>
      <c r="F516" s="110" t="s">
        <v>108</v>
      </c>
      <c r="I516">
        <v>60000</v>
      </c>
      <c r="J516">
        <v>12220</v>
      </c>
    </row>
    <row r="517" spans="1:10" x14ac:dyDescent="0.3">
      <c r="A517" s="114">
        <v>46126</v>
      </c>
      <c r="B517" t="s">
        <v>587</v>
      </c>
      <c r="C517" s="95">
        <v>4000</v>
      </c>
      <c r="D517" s="95"/>
      <c r="E517" t="s">
        <v>470</v>
      </c>
      <c r="F517" s="110" t="s">
        <v>108</v>
      </c>
      <c r="I517">
        <v>50000</v>
      </c>
      <c r="J517">
        <v>14000</v>
      </c>
    </row>
    <row r="518" spans="1:10" x14ac:dyDescent="0.3">
      <c r="A518" s="38">
        <v>46126</v>
      </c>
      <c r="B518" t="s">
        <v>249</v>
      </c>
      <c r="C518" s="95">
        <v>3900</v>
      </c>
      <c r="D518" s="95"/>
      <c r="F518" s="110" t="s">
        <v>108</v>
      </c>
      <c r="I518">
        <v>80000</v>
      </c>
      <c r="J518">
        <v>150000</v>
      </c>
    </row>
    <row r="519" spans="1:10" x14ac:dyDescent="0.3">
      <c r="A519" s="38">
        <v>46126</v>
      </c>
      <c r="B519" t="s">
        <v>282</v>
      </c>
      <c r="C519" s="95">
        <v>6670</v>
      </c>
      <c r="D519" s="95"/>
      <c r="E519" t="s">
        <v>594</v>
      </c>
      <c r="F519" s="110" t="s">
        <v>108</v>
      </c>
      <c r="I519">
        <v>21600</v>
      </c>
      <c r="J519">
        <v>17350</v>
      </c>
    </row>
    <row r="520" spans="1:10" x14ac:dyDescent="0.3">
      <c r="A520" s="38">
        <v>46127</v>
      </c>
      <c r="B520" t="s">
        <v>409</v>
      </c>
      <c r="C520" s="95"/>
      <c r="D520" s="95">
        <v>164000</v>
      </c>
      <c r="F520" s="110" t="s">
        <v>108</v>
      </c>
      <c r="I520">
        <v>12400</v>
      </c>
      <c r="J520">
        <v>40000</v>
      </c>
    </row>
    <row r="521" spans="1:10" x14ac:dyDescent="0.3">
      <c r="A521" s="38">
        <v>46127</v>
      </c>
      <c r="B521" t="s">
        <v>220</v>
      </c>
      <c r="C521" s="95">
        <v>164000</v>
      </c>
      <c r="D521" s="95"/>
      <c r="E521" t="s">
        <v>593</v>
      </c>
      <c r="F521" s="110" t="s">
        <v>108</v>
      </c>
      <c r="I521">
        <v>23600</v>
      </c>
      <c r="J521">
        <v>55000</v>
      </c>
    </row>
    <row r="522" spans="1:10" x14ac:dyDescent="0.3">
      <c r="A522" s="38">
        <v>46127</v>
      </c>
      <c r="B522" t="s">
        <v>229</v>
      </c>
      <c r="C522" s="95">
        <v>400000</v>
      </c>
      <c r="D522" s="95"/>
      <c r="E522" t="s">
        <v>585</v>
      </c>
      <c r="F522" s="110" t="s">
        <v>108</v>
      </c>
      <c r="I522">
        <v>24800</v>
      </c>
      <c r="J522">
        <v>20000</v>
      </c>
    </row>
    <row r="523" spans="1:10" x14ac:dyDescent="0.3">
      <c r="A523" s="38">
        <v>46127</v>
      </c>
      <c r="B523" t="s">
        <v>55</v>
      </c>
      <c r="C523" s="11">
        <v>3210</v>
      </c>
      <c r="D523" s="11"/>
      <c r="E523" t="s">
        <v>588</v>
      </c>
      <c r="F523" s="110" t="s">
        <v>108</v>
      </c>
      <c r="I523">
        <v>26800</v>
      </c>
      <c r="J523">
        <v>22650</v>
      </c>
    </row>
    <row r="524" spans="1:10" x14ac:dyDescent="0.3">
      <c r="A524" s="38">
        <v>46127</v>
      </c>
      <c r="B524" t="s">
        <v>222</v>
      </c>
      <c r="C524" s="11">
        <v>50000</v>
      </c>
      <c r="D524" s="11"/>
      <c r="E524" t="s">
        <v>589</v>
      </c>
      <c r="F524" s="110" t="s">
        <v>108</v>
      </c>
      <c r="I524">
        <v>22400</v>
      </c>
      <c r="J524">
        <v>20550</v>
      </c>
    </row>
    <row r="525" spans="1:10" x14ac:dyDescent="0.3">
      <c r="A525" s="38">
        <v>46127</v>
      </c>
      <c r="B525" t="s">
        <v>212</v>
      </c>
      <c r="C525" s="11">
        <v>2490</v>
      </c>
      <c r="D525" s="11"/>
      <c r="F525" s="110" t="s">
        <v>108</v>
      </c>
      <c r="I525">
        <v>32800</v>
      </c>
      <c r="J525">
        <v>4000</v>
      </c>
    </row>
    <row r="526" spans="1:10" x14ac:dyDescent="0.3">
      <c r="A526" s="38">
        <v>46127</v>
      </c>
      <c r="B526" t="s">
        <v>228</v>
      </c>
      <c r="C526" s="95"/>
      <c r="D526" s="95">
        <v>676071</v>
      </c>
      <c r="E526" t="s">
        <v>660</v>
      </c>
      <c r="F526" s="110" t="s">
        <v>108</v>
      </c>
      <c r="I526">
        <v>8400</v>
      </c>
      <c r="J526">
        <v>8400</v>
      </c>
    </row>
    <row r="527" spans="1:10" x14ac:dyDescent="0.3">
      <c r="A527" s="38">
        <v>46127</v>
      </c>
      <c r="B527" t="s">
        <v>220</v>
      </c>
      <c r="C527" s="95">
        <v>676071</v>
      </c>
      <c r="D527" s="95"/>
      <c r="E527" t="s">
        <v>661</v>
      </c>
      <c r="F527" s="110" t="s">
        <v>108</v>
      </c>
    </row>
    <row r="528" spans="1:10" x14ac:dyDescent="0.3">
      <c r="A528" s="38">
        <v>46128</v>
      </c>
      <c r="B528" t="s">
        <v>55</v>
      </c>
      <c r="C528" s="11">
        <v>27000</v>
      </c>
      <c r="D528" s="11"/>
      <c r="F528" s="110" t="s">
        <v>108</v>
      </c>
    </row>
    <row r="529" spans="1:7" x14ac:dyDescent="0.3">
      <c r="A529" s="38">
        <v>46128</v>
      </c>
      <c r="B529" t="s">
        <v>220</v>
      </c>
      <c r="C529" s="11"/>
      <c r="D529" s="11">
        <v>27000</v>
      </c>
      <c r="E529" t="s">
        <v>55</v>
      </c>
      <c r="F529" s="110" t="s">
        <v>108</v>
      </c>
    </row>
    <row r="530" spans="1:7" x14ac:dyDescent="0.3">
      <c r="A530" s="114">
        <v>46128</v>
      </c>
      <c r="B530" t="s">
        <v>55</v>
      </c>
      <c r="C530" s="95">
        <v>600</v>
      </c>
      <c r="D530" s="95"/>
      <c r="F530" s="110" t="s">
        <v>108</v>
      </c>
    </row>
    <row r="531" spans="1:7" x14ac:dyDescent="0.3">
      <c r="A531" s="114">
        <v>46128</v>
      </c>
      <c r="B531" t="s">
        <v>220</v>
      </c>
      <c r="C531" s="95"/>
      <c r="D531" s="95">
        <v>600</v>
      </c>
      <c r="F531" s="110" t="s">
        <v>108</v>
      </c>
    </row>
    <row r="532" spans="1:7" x14ac:dyDescent="0.3">
      <c r="A532" s="114">
        <v>46128</v>
      </c>
      <c r="B532" t="s">
        <v>55</v>
      </c>
      <c r="C532" s="95">
        <v>3800</v>
      </c>
      <c r="D532" s="95"/>
      <c r="F532" s="110" t="s">
        <v>108</v>
      </c>
    </row>
    <row r="533" spans="1:7" x14ac:dyDescent="0.3">
      <c r="A533" s="114">
        <v>46128</v>
      </c>
      <c r="B533" t="s">
        <v>220</v>
      </c>
      <c r="C533" s="95"/>
      <c r="D533" s="95">
        <v>3800</v>
      </c>
      <c r="F533" s="110" t="s">
        <v>108</v>
      </c>
    </row>
    <row r="534" spans="1:7" x14ac:dyDescent="0.3">
      <c r="A534" s="114">
        <v>46128</v>
      </c>
      <c r="B534" t="s">
        <v>55</v>
      </c>
      <c r="C534" s="95">
        <v>2635</v>
      </c>
      <c r="D534" s="95"/>
      <c r="F534" s="110" t="s">
        <v>108</v>
      </c>
    </row>
    <row r="535" spans="1:7" x14ac:dyDescent="0.3">
      <c r="A535" s="38">
        <v>46128</v>
      </c>
      <c r="B535" t="s">
        <v>582</v>
      </c>
      <c r="C535" s="95"/>
      <c r="D535" s="95">
        <v>400000</v>
      </c>
      <c r="E535" t="s">
        <v>590</v>
      </c>
      <c r="F535" s="110" t="s">
        <v>108</v>
      </c>
    </row>
    <row r="536" spans="1:7" x14ac:dyDescent="0.3">
      <c r="A536" s="38">
        <v>46128</v>
      </c>
      <c r="B536" t="s">
        <v>222</v>
      </c>
      <c r="C536" s="95">
        <v>200125</v>
      </c>
      <c r="D536" s="95"/>
      <c r="E536" t="s">
        <v>591</v>
      </c>
      <c r="F536" s="110" t="s">
        <v>108</v>
      </c>
    </row>
    <row r="537" spans="1:7" x14ac:dyDescent="0.3">
      <c r="A537" s="38">
        <v>46128</v>
      </c>
      <c r="B537" t="s">
        <v>169</v>
      </c>
      <c r="C537" s="95">
        <v>203000</v>
      </c>
      <c r="D537" s="95"/>
      <c r="E537" t="s">
        <v>592</v>
      </c>
      <c r="F537" s="110" t="s">
        <v>108</v>
      </c>
    </row>
    <row r="538" spans="1:7" x14ac:dyDescent="0.3">
      <c r="A538" s="38">
        <v>46128</v>
      </c>
      <c r="B538" t="s">
        <v>9</v>
      </c>
      <c r="C538" s="95"/>
      <c r="D538" s="95">
        <v>100000</v>
      </c>
      <c r="E538" t="s">
        <v>109</v>
      </c>
      <c r="F538" s="110" t="s">
        <v>108</v>
      </c>
    </row>
    <row r="539" spans="1:7" x14ac:dyDescent="0.3">
      <c r="A539" s="38">
        <v>46128</v>
      </c>
      <c r="B539" t="s">
        <v>115</v>
      </c>
      <c r="C539" s="11">
        <v>90000</v>
      </c>
      <c r="D539" s="11"/>
      <c r="F539" s="110" t="s">
        <v>108</v>
      </c>
    </row>
    <row r="540" spans="1:7" x14ac:dyDescent="0.3">
      <c r="A540" s="38">
        <v>46128</v>
      </c>
      <c r="B540" t="s">
        <v>220</v>
      </c>
      <c r="C540" s="11">
        <v>10000</v>
      </c>
      <c r="D540" s="11"/>
      <c r="E540" t="s">
        <v>596</v>
      </c>
      <c r="F540" s="110" t="s">
        <v>108</v>
      </c>
    </row>
    <row r="541" spans="1:7" x14ac:dyDescent="0.3">
      <c r="A541" s="38">
        <v>46128</v>
      </c>
      <c r="B541" t="s">
        <v>54</v>
      </c>
      <c r="C541" s="95">
        <v>7763</v>
      </c>
      <c r="D541" s="95"/>
      <c r="E541" t="s">
        <v>290</v>
      </c>
      <c r="F541" s="110" t="s">
        <v>108</v>
      </c>
    </row>
    <row r="542" spans="1:7" x14ac:dyDescent="0.3">
      <c r="A542" s="38">
        <v>46128</v>
      </c>
      <c r="B542" t="s">
        <v>117</v>
      </c>
      <c r="C542" s="11">
        <v>38800</v>
      </c>
      <c r="D542" s="11"/>
      <c r="E542" t="s">
        <v>597</v>
      </c>
      <c r="F542" s="110" t="s">
        <v>108</v>
      </c>
    </row>
    <row r="543" spans="1:7" x14ac:dyDescent="0.3">
      <c r="A543" s="38">
        <v>46128</v>
      </c>
      <c r="B543" t="s">
        <v>35</v>
      </c>
      <c r="C543" s="11"/>
      <c r="D543" s="11">
        <v>200000</v>
      </c>
      <c r="E543" t="s">
        <v>598</v>
      </c>
      <c r="F543" s="110" t="s">
        <v>108</v>
      </c>
    </row>
    <row r="544" spans="1:7" x14ac:dyDescent="0.3">
      <c r="A544" s="38">
        <v>46128</v>
      </c>
      <c r="B544" t="s">
        <v>282</v>
      </c>
      <c r="C544" s="11">
        <v>50000</v>
      </c>
      <c r="D544" s="11"/>
      <c r="E544" t="s">
        <v>329</v>
      </c>
      <c r="F544" s="110" t="s">
        <v>108</v>
      </c>
      <c r="G544" s="126"/>
    </row>
    <row r="545" spans="1:7" x14ac:dyDescent="0.3">
      <c r="A545" s="38">
        <v>46128</v>
      </c>
      <c r="B545" t="s">
        <v>54</v>
      </c>
      <c r="C545" s="11">
        <v>3943</v>
      </c>
      <c r="D545" s="11"/>
      <c r="E545" t="s">
        <v>599</v>
      </c>
      <c r="F545" s="110" t="s">
        <v>108</v>
      </c>
      <c r="G545" s="126"/>
    </row>
    <row r="546" spans="1:7" x14ac:dyDescent="0.3">
      <c r="A546" s="38">
        <v>46128</v>
      </c>
      <c r="B546" t="s">
        <v>54</v>
      </c>
      <c r="C546" s="11">
        <v>1500</v>
      </c>
      <c r="D546" s="11"/>
      <c r="E546" t="s">
        <v>600</v>
      </c>
      <c r="F546" s="110" t="s">
        <v>108</v>
      </c>
      <c r="G546" s="126"/>
    </row>
    <row r="547" spans="1:7" x14ac:dyDescent="0.3">
      <c r="A547" s="38">
        <v>46129</v>
      </c>
      <c r="B547" t="s">
        <v>601</v>
      </c>
      <c r="C547" s="11">
        <v>1437</v>
      </c>
      <c r="D547" s="11"/>
      <c r="E547" t="s">
        <v>602</v>
      </c>
      <c r="F547" s="110" t="s">
        <v>108</v>
      </c>
    </row>
    <row r="548" spans="1:7" x14ac:dyDescent="0.3">
      <c r="A548" s="114">
        <v>46129</v>
      </c>
      <c r="B548" t="s">
        <v>212</v>
      </c>
      <c r="C548" s="11">
        <v>2880</v>
      </c>
      <c r="D548" s="11"/>
      <c r="F548" s="110" t="s">
        <v>108</v>
      </c>
    </row>
    <row r="549" spans="1:7" x14ac:dyDescent="0.3">
      <c r="A549" s="38">
        <v>46129</v>
      </c>
      <c r="B549" t="s">
        <v>55</v>
      </c>
      <c r="C549" s="11">
        <v>6000</v>
      </c>
      <c r="D549" s="11"/>
      <c r="E549" t="s">
        <v>603</v>
      </c>
      <c r="F549" s="110" t="s">
        <v>108</v>
      </c>
    </row>
    <row r="550" spans="1:7" x14ac:dyDescent="0.3">
      <c r="A550" s="38">
        <v>46129</v>
      </c>
      <c r="B550" t="s">
        <v>222</v>
      </c>
      <c r="C550" s="11">
        <v>50000</v>
      </c>
      <c r="D550" s="11"/>
      <c r="E550" t="s">
        <v>604</v>
      </c>
      <c r="F550" s="110" t="s">
        <v>108</v>
      </c>
    </row>
    <row r="551" spans="1:7" x14ac:dyDescent="0.3">
      <c r="A551" s="38">
        <v>46129</v>
      </c>
      <c r="B551" t="s">
        <v>54</v>
      </c>
      <c r="C551" s="11">
        <v>2010</v>
      </c>
      <c r="D551" s="11"/>
      <c r="E551" t="s">
        <v>605</v>
      </c>
      <c r="F551" s="110" t="s">
        <v>108</v>
      </c>
    </row>
    <row r="552" spans="1:7" x14ac:dyDescent="0.3">
      <c r="A552" s="38">
        <v>46129</v>
      </c>
      <c r="B552" t="s">
        <v>55</v>
      </c>
      <c r="C552" s="11">
        <v>1320</v>
      </c>
      <c r="D552" s="11"/>
      <c r="F552" s="110" t="s">
        <v>108</v>
      </c>
    </row>
    <row r="553" spans="1:7" x14ac:dyDescent="0.3">
      <c r="A553" s="38">
        <v>46129</v>
      </c>
      <c r="B553" t="s">
        <v>54</v>
      </c>
      <c r="C553" s="11">
        <v>1000</v>
      </c>
      <c r="D553" s="11"/>
      <c r="F553" s="110" t="s">
        <v>108</v>
      </c>
    </row>
    <row r="554" spans="1:7" x14ac:dyDescent="0.3">
      <c r="A554" s="114">
        <v>46130</v>
      </c>
      <c r="B554" t="s">
        <v>55</v>
      </c>
      <c r="C554" s="11">
        <v>1370</v>
      </c>
      <c r="D554" s="11"/>
      <c r="E554" t="s">
        <v>445</v>
      </c>
      <c r="F554" s="110" t="s">
        <v>108</v>
      </c>
    </row>
    <row r="555" spans="1:7" x14ac:dyDescent="0.3">
      <c r="A555" s="38">
        <v>46130</v>
      </c>
      <c r="B555" t="s">
        <v>220</v>
      </c>
      <c r="C555" s="11"/>
      <c r="D555" s="11">
        <v>1370</v>
      </c>
      <c r="E555" t="s">
        <v>445</v>
      </c>
      <c r="F555" s="110" t="s">
        <v>108</v>
      </c>
    </row>
    <row r="556" spans="1:7" x14ac:dyDescent="0.3">
      <c r="A556" s="38">
        <v>46130</v>
      </c>
      <c r="B556" t="s">
        <v>357</v>
      </c>
      <c r="C556" s="11">
        <v>5000</v>
      </c>
      <c r="D556" s="11"/>
      <c r="E556" t="s">
        <v>606</v>
      </c>
      <c r="F556" s="110" t="s">
        <v>108</v>
      </c>
    </row>
    <row r="557" spans="1:7" x14ac:dyDescent="0.3">
      <c r="A557" s="38">
        <v>46130</v>
      </c>
      <c r="B557" t="s">
        <v>572</v>
      </c>
      <c r="C557" s="11">
        <v>10000</v>
      </c>
      <c r="D557" s="11"/>
      <c r="E557" t="s">
        <v>541</v>
      </c>
      <c r="F557" s="110" t="s">
        <v>108</v>
      </c>
    </row>
    <row r="558" spans="1:7" x14ac:dyDescent="0.3">
      <c r="A558" s="38">
        <v>46130</v>
      </c>
      <c r="B558" t="s">
        <v>9</v>
      </c>
      <c r="C558" s="11"/>
      <c r="D558" s="11">
        <v>100000</v>
      </c>
      <c r="E558" t="s">
        <v>109</v>
      </c>
      <c r="F558" s="110" t="s">
        <v>108</v>
      </c>
    </row>
    <row r="559" spans="1:7" x14ac:dyDescent="0.3">
      <c r="A559" s="38">
        <v>46130</v>
      </c>
      <c r="B559" t="s">
        <v>115</v>
      </c>
      <c r="C559" s="11">
        <v>100000</v>
      </c>
      <c r="D559" s="11"/>
      <c r="E559" t="s">
        <v>109</v>
      </c>
      <c r="F559" s="110" t="s">
        <v>108</v>
      </c>
    </row>
    <row r="560" spans="1:7" x14ac:dyDescent="0.3">
      <c r="A560" s="38">
        <v>46130</v>
      </c>
      <c r="B560" t="s">
        <v>55</v>
      </c>
      <c r="C560" s="11">
        <v>1100</v>
      </c>
      <c r="D560" s="11"/>
      <c r="F560" s="110" t="s">
        <v>108</v>
      </c>
    </row>
    <row r="561" spans="1:6" x14ac:dyDescent="0.3">
      <c r="A561" s="38">
        <v>46130</v>
      </c>
      <c r="B561" t="s">
        <v>572</v>
      </c>
      <c r="C561" s="11">
        <v>30000</v>
      </c>
      <c r="D561" s="11"/>
      <c r="E561" t="s">
        <v>607</v>
      </c>
      <c r="F561" s="110" t="s">
        <v>108</v>
      </c>
    </row>
    <row r="562" spans="1:6" x14ac:dyDescent="0.3">
      <c r="A562" s="38">
        <v>46130</v>
      </c>
      <c r="B562" t="s">
        <v>55</v>
      </c>
      <c r="C562" s="11">
        <v>1800</v>
      </c>
      <c r="D562" s="11"/>
      <c r="F562" s="110" t="s">
        <v>108</v>
      </c>
    </row>
    <row r="563" spans="1:6" x14ac:dyDescent="0.3">
      <c r="A563" s="38">
        <v>46130</v>
      </c>
      <c r="B563" t="s">
        <v>55</v>
      </c>
      <c r="C563" s="11">
        <v>550</v>
      </c>
      <c r="D563" s="11"/>
      <c r="F563" s="110" t="s">
        <v>108</v>
      </c>
    </row>
    <row r="564" spans="1:6" x14ac:dyDescent="0.3">
      <c r="A564" s="38">
        <v>46130</v>
      </c>
      <c r="B564" t="s">
        <v>54</v>
      </c>
      <c r="C564" s="11">
        <v>950</v>
      </c>
      <c r="D564" s="11"/>
      <c r="F564" s="110" t="s">
        <v>108</v>
      </c>
    </row>
    <row r="565" spans="1:6" x14ac:dyDescent="0.3">
      <c r="A565" s="38">
        <v>46130</v>
      </c>
      <c r="B565" t="s">
        <v>222</v>
      </c>
      <c r="C565" s="11">
        <v>48800</v>
      </c>
      <c r="D565" s="11"/>
      <c r="E565" t="s">
        <v>608</v>
      </c>
      <c r="F565" s="110" t="s">
        <v>108</v>
      </c>
    </row>
    <row r="566" spans="1:6" x14ac:dyDescent="0.3">
      <c r="A566" s="38">
        <v>46130</v>
      </c>
      <c r="B566" t="s">
        <v>35</v>
      </c>
      <c r="C566" s="11"/>
      <c r="D566" s="11">
        <v>123800</v>
      </c>
      <c r="F566" s="110" t="s">
        <v>108</v>
      </c>
    </row>
    <row r="567" spans="1:6" x14ac:dyDescent="0.3">
      <c r="A567" s="38">
        <v>46130</v>
      </c>
      <c r="B567" t="s">
        <v>220</v>
      </c>
      <c r="C567" s="11"/>
      <c r="D567" s="11">
        <v>48800</v>
      </c>
      <c r="E567" t="s">
        <v>609</v>
      </c>
      <c r="F567" s="110" t="s">
        <v>108</v>
      </c>
    </row>
    <row r="568" spans="1:6" x14ac:dyDescent="0.3">
      <c r="A568" s="38">
        <v>46130</v>
      </c>
      <c r="B568" t="s">
        <v>220</v>
      </c>
      <c r="C568" s="11">
        <v>123800</v>
      </c>
      <c r="D568" s="11"/>
      <c r="E568" t="s">
        <v>610</v>
      </c>
      <c r="F568" s="110" t="s">
        <v>108</v>
      </c>
    </row>
    <row r="569" spans="1:6" x14ac:dyDescent="0.3">
      <c r="A569" s="38">
        <v>46131</v>
      </c>
      <c r="B569" t="s">
        <v>357</v>
      </c>
      <c r="C569" s="11">
        <v>75000</v>
      </c>
      <c r="D569" s="11"/>
      <c r="E569" t="s">
        <v>611</v>
      </c>
      <c r="F569" s="110" t="s">
        <v>108</v>
      </c>
    </row>
    <row r="570" spans="1:6" x14ac:dyDescent="0.3">
      <c r="A570" s="38">
        <v>46131</v>
      </c>
      <c r="B570" t="s">
        <v>220</v>
      </c>
      <c r="C570" s="11"/>
      <c r="D570" s="11">
        <v>75000</v>
      </c>
      <c r="E570" t="s">
        <v>612</v>
      </c>
      <c r="F570" s="110" t="s">
        <v>108</v>
      </c>
    </row>
    <row r="571" spans="1:6" x14ac:dyDescent="0.3">
      <c r="A571" s="38">
        <v>46131</v>
      </c>
      <c r="B571" t="s">
        <v>117</v>
      </c>
      <c r="C571" s="11">
        <v>31000</v>
      </c>
      <c r="D571" s="11"/>
      <c r="E571" t="s">
        <v>61</v>
      </c>
      <c r="F571" s="110" t="s">
        <v>108</v>
      </c>
    </row>
    <row r="572" spans="1:6" x14ac:dyDescent="0.3">
      <c r="A572" s="38">
        <v>46131</v>
      </c>
      <c r="B572" t="s">
        <v>220</v>
      </c>
      <c r="C572" s="11"/>
      <c r="D572" s="11">
        <v>31000</v>
      </c>
      <c r="E572" t="s">
        <v>531</v>
      </c>
      <c r="F572" s="110" t="s">
        <v>108</v>
      </c>
    </row>
    <row r="573" spans="1:6" x14ac:dyDescent="0.3">
      <c r="A573" s="38">
        <v>46131</v>
      </c>
      <c r="B573" t="s">
        <v>220</v>
      </c>
      <c r="C573" s="11"/>
      <c r="D573" s="11">
        <v>48500</v>
      </c>
      <c r="E573" t="s">
        <v>613</v>
      </c>
      <c r="F573" s="110" t="s">
        <v>108</v>
      </c>
    </row>
    <row r="574" spans="1:6" x14ac:dyDescent="0.3">
      <c r="A574" s="38">
        <v>46131</v>
      </c>
      <c r="B574" t="s">
        <v>224</v>
      </c>
      <c r="C574" s="11">
        <v>48500</v>
      </c>
      <c r="D574" s="11"/>
      <c r="E574" t="s">
        <v>242</v>
      </c>
      <c r="F574" s="110" t="s">
        <v>108</v>
      </c>
    </row>
    <row r="575" spans="1:6" x14ac:dyDescent="0.3">
      <c r="A575" s="38">
        <v>46131</v>
      </c>
      <c r="B575" t="s">
        <v>601</v>
      </c>
      <c r="C575" s="11">
        <v>3000</v>
      </c>
      <c r="D575" s="11"/>
      <c r="E575" t="s">
        <v>350</v>
      </c>
      <c r="F575" s="110" t="s">
        <v>108</v>
      </c>
    </row>
    <row r="576" spans="1:6" x14ac:dyDescent="0.3">
      <c r="A576" s="38">
        <v>46131</v>
      </c>
      <c r="B576" t="s">
        <v>640</v>
      </c>
      <c r="C576" s="11">
        <v>25000</v>
      </c>
      <c r="D576" s="11"/>
      <c r="E576" t="s">
        <v>242</v>
      </c>
      <c r="F576" s="110" t="s">
        <v>108</v>
      </c>
    </row>
    <row r="577" spans="1:6" x14ac:dyDescent="0.3">
      <c r="A577" s="38">
        <v>46131</v>
      </c>
      <c r="B577" t="s">
        <v>246</v>
      </c>
      <c r="C577" s="11">
        <v>480</v>
      </c>
      <c r="D577" s="11"/>
      <c r="E577" t="s">
        <v>614</v>
      </c>
      <c r="F577" s="110" t="s">
        <v>108</v>
      </c>
    </row>
    <row r="578" spans="1:6" x14ac:dyDescent="0.3">
      <c r="A578" s="38">
        <v>46131</v>
      </c>
      <c r="B578" t="s">
        <v>601</v>
      </c>
      <c r="C578" s="11">
        <v>4000</v>
      </c>
      <c r="D578" s="11" t="s">
        <v>615</v>
      </c>
      <c r="E578" t="s">
        <v>616</v>
      </c>
      <c r="F578" s="110" t="s">
        <v>108</v>
      </c>
    </row>
    <row r="579" spans="1:6" x14ac:dyDescent="0.3">
      <c r="A579" s="38">
        <v>46131</v>
      </c>
      <c r="B579" t="s">
        <v>55</v>
      </c>
      <c r="C579" s="11">
        <v>5400</v>
      </c>
      <c r="D579" s="11"/>
      <c r="E579" t="s">
        <v>617</v>
      </c>
      <c r="F579" s="110" t="s">
        <v>108</v>
      </c>
    </row>
    <row r="580" spans="1:6" x14ac:dyDescent="0.3">
      <c r="A580" s="38">
        <v>46132</v>
      </c>
      <c r="B580" t="s">
        <v>54</v>
      </c>
      <c r="C580" s="11">
        <v>7014</v>
      </c>
      <c r="D580" s="11"/>
      <c r="E580" t="s">
        <v>290</v>
      </c>
      <c r="F580" s="110"/>
    </row>
    <row r="581" spans="1:6" x14ac:dyDescent="0.3">
      <c r="A581" s="38">
        <v>46132</v>
      </c>
      <c r="B581" t="s">
        <v>220</v>
      </c>
      <c r="C581" s="11"/>
      <c r="D581" s="11">
        <v>15000</v>
      </c>
      <c r="E581" t="s">
        <v>618</v>
      </c>
      <c r="F581" s="110" t="s">
        <v>108</v>
      </c>
    </row>
    <row r="582" spans="1:6" x14ac:dyDescent="0.3">
      <c r="A582" s="38">
        <v>46132</v>
      </c>
      <c r="B582" t="s">
        <v>212</v>
      </c>
      <c r="C582" s="11"/>
      <c r="D582" s="11">
        <v>8800</v>
      </c>
      <c r="E582" t="s">
        <v>619</v>
      </c>
      <c r="F582" s="110" t="s">
        <v>108</v>
      </c>
    </row>
    <row r="583" spans="1:6" x14ac:dyDescent="0.3">
      <c r="A583" s="38">
        <v>46132</v>
      </c>
      <c r="B583" t="s">
        <v>601</v>
      </c>
      <c r="C583" s="11">
        <v>8800</v>
      </c>
      <c r="D583" s="11"/>
      <c r="E583" t="s">
        <v>619</v>
      </c>
      <c r="F583" s="110" t="s">
        <v>108</v>
      </c>
    </row>
    <row r="584" spans="1:6" x14ac:dyDescent="0.3">
      <c r="A584" s="38">
        <v>46132</v>
      </c>
      <c r="B584" t="s">
        <v>220</v>
      </c>
      <c r="C584" s="11"/>
      <c r="D584" s="11">
        <v>50000</v>
      </c>
      <c r="E584" t="s">
        <v>620</v>
      </c>
      <c r="F584" s="110" t="s">
        <v>108</v>
      </c>
    </row>
    <row r="585" spans="1:6" x14ac:dyDescent="0.3">
      <c r="A585" s="38">
        <v>46132</v>
      </c>
      <c r="B585" t="s">
        <v>357</v>
      </c>
      <c r="C585" s="11">
        <v>50000</v>
      </c>
      <c r="D585" s="11"/>
      <c r="E585" t="s">
        <v>621</v>
      </c>
      <c r="F585" s="110" t="s">
        <v>108</v>
      </c>
    </row>
    <row r="586" spans="1:6" x14ac:dyDescent="0.3">
      <c r="A586" s="38">
        <v>46132</v>
      </c>
      <c r="B586" t="s">
        <v>55</v>
      </c>
      <c r="C586" s="11">
        <v>4000</v>
      </c>
      <c r="D586" s="11"/>
      <c r="F586" s="110" t="s">
        <v>108</v>
      </c>
    </row>
    <row r="587" spans="1:6" x14ac:dyDescent="0.3">
      <c r="A587" s="114">
        <v>46132</v>
      </c>
      <c r="B587" t="s">
        <v>220</v>
      </c>
      <c r="C587" s="11"/>
      <c r="D587" s="11">
        <v>50000</v>
      </c>
      <c r="E587" t="s">
        <v>622</v>
      </c>
      <c r="F587" s="110" t="s">
        <v>108</v>
      </c>
    </row>
    <row r="588" spans="1:6" x14ac:dyDescent="0.3">
      <c r="A588" s="38">
        <v>46132</v>
      </c>
      <c r="B588" t="s">
        <v>117</v>
      </c>
      <c r="C588" s="11">
        <v>31200</v>
      </c>
      <c r="D588" s="11"/>
      <c r="E588" t="s">
        <v>61</v>
      </c>
      <c r="F588" s="110" t="s">
        <v>108</v>
      </c>
    </row>
    <row r="589" spans="1:6" x14ac:dyDescent="0.3">
      <c r="A589" s="38">
        <v>46132</v>
      </c>
      <c r="B589" t="s">
        <v>572</v>
      </c>
      <c r="C589" s="11">
        <v>19685</v>
      </c>
      <c r="D589" s="11"/>
      <c r="F589" s="110" t="s">
        <v>108</v>
      </c>
    </row>
    <row r="590" spans="1:6" x14ac:dyDescent="0.3">
      <c r="A590" s="38">
        <v>46132</v>
      </c>
      <c r="B590" t="s">
        <v>54</v>
      </c>
      <c r="C590" s="95">
        <v>600</v>
      </c>
      <c r="D590" s="95"/>
      <c r="E590" t="s">
        <v>470</v>
      </c>
      <c r="F590" s="110" t="s">
        <v>108</v>
      </c>
    </row>
    <row r="591" spans="1:6" x14ac:dyDescent="0.3">
      <c r="A591" s="38">
        <v>46132</v>
      </c>
      <c r="B591" t="s">
        <v>220</v>
      </c>
      <c r="C591" s="11"/>
      <c r="D591" s="11">
        <v>280000</v>
      </c>
      <c r="E591" t="s">
        <v>623</v>
      </c>
      <c r="F591" s="110" t="s">
        <v>108</v>
      </c>
    </row>
    <row r="592" spans="1:6" x14ac:dyDescent="0.3">
      <c r="A592" s="38">
        <v>46132</v>
      </c>
      <c r="B592" t="s">
        <v>169</v>
      </c>
      <c r="C592" s="11">
        <v>150000</v>
      </c>
      <c r="D592" s="11"/>
      <c r="E592" t="s">
        <v>624</v>
      </c>
      <c r="F592" s="110" t="s">
        <v>108</v>
      </c>
    </row>
    <row r="593" spans="1:6" x14ac:dyDescent="0.3">
      <c r="A593" s="38">
        <v>46132</v>
      </c>
      <c r="B593" t="s">
        <v>298</v>
      </c>
      <c r="C593" s="95">
        <v>100000</v>
      </c>
      <c r="D593" s="95"/>
      <c r="E593" t="s">
        <v>625</v>
      </c>
      <c r="F593" s="110" t="s">
        <v>108</v>
      </c>
    </row>
    <row r="594" spans="1:6" x14ac:dyDescent="0.3">
      <c r="A594" s="38">
        <v>46132</v>
      </c>
      <c r="B594" t="s">
        <v>601</v>
      </c>
      <c r="C594" s="95">
        <v>20000</v>
      </c>
      <c r="D594" s="95"/>
      <c r="E594" t="s">
        <v>626</v>
      </c>
      <c r="F594" s="110" t="s">
        <v>108</v>
      </c>
    </row>
    <row r="595" spans="1:6" x14ac:dyDescent="0.3">
      <c r="A595" s="114">
        <v>46132</v>
      </c>
      <c r="B595" t="s">
        <v>357</v>
      </c>
      <c r="C595" s="95">
        <v>10000</v>
      </c>
      <c r="D595" s="95"/>
      <c r="E595" t="s">
        <v>281</v>
      </c>
      <c r="F595" s="110" t="s">
        <v>108</v>
      </c>
    </row>
    <row r="596" spans="1:6" x14ac:dyDescent="0.3">
      <c r="A596" s="114">
        <v>46132</v>
      </c>
      <c r="B596" t="s">
        <v>54</v>
      </c>
      <c r="C596" s="95">
        <v>4226</v>
      </c>
      <c r="D596" s="95"/>
      <c r="E596" t="s">
        <v>175</v>
      </c>
      <c r="F596" s="110" t="s">
        <v>108</v>
      </c>
    </row>
    <row r="597" spans="1:6" x14ac:dyDescent="0.3">
      <c r="A597" s="38">
        <v>46132</v>
      </c>
      <c r="B597" t="s">
        <v>582</v>
      </c>
      <c r="C597" s="11"/>
      <c r="D597" s="11">
        <v>4226</v>
      </c>
      <c r="E597" t="s">
        <v>54</v>
      </c>
      <c r="F597" s="110" t="s">
        <v>108</v>
      </c>
    </row>
    <row r="598" spans="1:6" x14ac:dyDescent="0.3">
      <c r="A598" s="114">
        <v>46133</v>
      </c>
      <c r="B598" t="s">
        <v>582</v>
      </c>
      <c r="C598" s="11"/>
      <c r="D598" s="11">
        <v>1000000</v>
      </c>
      <c r="E598" t="s">
        <v>628</v>
      </c>
      <c r="F598" s="110" t="s">
        <v>108</v>
      </c>
    </row>
    <row r="599" spans="1:6" x14ac:dyDescent="0.3">
      <c r="A599" s="114">
        <v>46133</v>
      </c>
      <c r="B599" t="s">
        <v>55</v>
      </c>
      <c r="C599" s="11">
        <v>4000</v>
      </c>
      <c r="D599" s="11"/>
      <c r="F599" s="110" t="s">
        <v>108</v>
      </c>
    </row>
    <row r="600" spans="1:6" x14ac:dyDescent="0.3">
      <c r="A600" s="114">
        <v>46133</v>
      </c>
      <c r="B600" t="s">
        <v>51</v>
      </c>
      <c r="C600" s="11">
        <v>923841</v>
      </c>
      <c r="D600" s="11"/>
      <c r="E600" t="s">
        <v>629</v>
      </c>
      <c r="F600" s="110" t="s">
        <v>108</v>
      </c>
    </row>
    <row r="601" spans="1:6" x14ac:dyDescent="0.3">
      <c r="A601" s="114">
        <v>46133</v>
      </c>
      <c r="B601" t="s">
        <v>55</v>
      </c>
      <c r="C601" s="11">
        <v>1560</v>
      </c>
      <c r="D601" s="11"/>
      <c r="E601" t="s">
        <v>430</v>
      </c>
      <c r="F601" s="110" t="s">
        <v>108</v>
      </c>
    </row>
    <row r="602" spans="1:6" x14ac:dyDescent="0.3">
      <c r="A602" s="114">
        <v>46133</v>
      </c>
      <c r="B602" t="s">
        <v>55</v>
      </c>
      <c r="C602" s="11">
        <v>3700</v>
      </c>
      <c r="D602" s="11"/>
      <c r="E602" t="s">
        <v>430</v>
      </c>
      <c r="F602" s="110" t="s">
        <v>108</v>
      </c>
    </row>
    <row r="603" spans="1:6" x14ac:dyDescent="0.3">
      <c r="A603" s="114">
        <v>46133</v>
      </c>
      <c r="B603" t="s">
        <v>55</v>
      </c>
      <c r="C603" s="11">
        <v>2350</v>
      </c>
      <c r="D603" s="11"/>
      <c r="E603" t="s">
        <v>630</v>
      </c>
      <c r="F603" s="110" t="s">
        <v>108</v>
      </c>
    </row>
    <row r="604" spans="1:6" x14ac:dyDescent="0.3">
      <c r="A604" s="114">
        <v>46133</v>
      </c>
      <c r="B604" t="s">
        <v>587</v>
      </c>
      <c r="C604" s="11">
        <v>50000</v>
      </c>
      <c r="D604" s="11"/>
      <c r="E604" t="s">
        <v>631</v>
      </c>
      <c r="F604" s="110" t="s">
        <v>108</v>
      </c>
    </row>
    <row r="605" spans="1:6" x14ac:dyDescent="0.3">
      <c r="A605" s="114">
        <v>46133</v>
      </c>
      <c r="B605" t="s">
        <v>220</v>
      </c>
      <c r="C605" s="11"/>
      <c r="D605" s="11">
        <v>50000</v>
      </c>
      <c r="E605" t="s">
        <v>226</v>
      </c>
      <c r="F605" s="110" t="s">
        <v>108</v>
      </c>
    </row>
    <row r="606" spans="1:6" x14ac:dyDescent="0.3">
      <c r="A606" s="114">
        <v>46133</v>
      </c>
      <c r="B606" t="s">
        <v>357</v>
      </c>
      <c r="C606" s="11">
        <v>25000</v>
      </c>
      <c r="D606" s="11"/>
      <c r="E606" s="135" t="s">
        <v>469</v>
      </c>
      <c r="F606" s="110" t="s">
        <v>108</v>
      </c>
    </row>
    <row r="607" spans="1:6" x14ac:dyDescent="0.3">
      <c r="A607" s="114">
        <v>46133</v>
      </c>
      <c r="B607" t="s">
        <v>220</v>
      </c>
      <c r="C607" s="95"/>
      <c r="D607" s="95">
        <v>800000</v>
      </c>
      <c r="E607" t="s">
        <v>109</v>
      </c>
      <c r="F607" s="110" t="s">
        <v>108</v>
      </c>
    </row>
    <row r="608" spans="1:6" x14ac:dyDescent="0.3">
      <c r="A608" s="114">
        <v>46133</v>
      </c>
      <c r="B608" t="s">
        <v>245</v>
      </c>
      <c r="C608" s="95"/>
      <c r="D608" s="95">
        <v>100000</v>
      </c>
      <c r="E608" t="s">
        <v>109</v>
      </c>
      <c r="F608" s="110" t="s">
        <v>108</v>
      </c>
    </row>
    <row r="609" spans="1:6" x14ac:dyDescent="0.3">
      <c r="A609" s="114">
        <v>46133</v>
      </c>
      <c r="B609" t="s">
        <v>377</v>
      </c>
      <c r="C609" s="11"/>
      <c r="D609" s="11">
        <v>287000</v>
      </c>
      <c r="E609" t="s">
        <v>109</v>
      </c>
      <c r="F609" s="110" t="s">
        <v>108</v>
      </c>
    </row>
    <row r="610" spans="1:6" x14ac:dyDescent="0.3">
      <c r="A610" s="38">
        <v>46133</v>
      </c>
      <c r="B610" t="s">
        <v>220</v>
      </c>
      <c r="C610" s="11">
        <v>387000</v>
      </c>
      <c r="D610" s="11"/>
      <c r="E610" t="s">
        <v>646</v>
      </c>
      <c r="F610" s="110" t="s">
        <v>108</v>
      </c>
    </row>
    <row r="611" spans="1:6" x14ac:dyDescent="0.3">
      <c r="A611" s="38">
        <v>46133</v>
      </c>
      <c r="B611" t="s">
        <v>282</v>
      </c>
      <c r="C611" s="11">
        <v>495910</v>
      </c>
      <c r="D611" s="11"/>
      <c r="E611" t="s">
        <v>352</v>
      </c>
      <c r="F611" s="110" t="s">
        <v>108</v>
      </c>
    </row>
    <row r="612" spans="1:6" x14ac:dyDescent="0.3">
      <c r="A612" s="38">
        <v>46133</v>
      </c>
      <c r="B612" t="s">
        <v>282</v>
      </c>
      <c r="C612" s="11">
        <v>45000</v>
      </c>
      <c r="D612" s="11"/>
      <c r="E612" t="s">
        <v>606</v>
      </c>
      <c r="F612" s="110" t="s">
        <v>108</v>
      </c>
    </row>
    <row r="613" spans="1:6" x14ac:dyDescent="0.3">
      <c r="A613" s="38">
        <v>46134</v>
      </c>
      <c r="B613" t="s">
        <v>220</v>
      </c>
      <c r="C613" s="11"/>
      <c r="D613" s="11">
        <v>100000</v>
      </c>
      <c r="E613" t="s">
        <v>632</v>
      </c>
      <c r="F613" s="110" t="s">
        <v>108</v>
      </c>
    </row>
    <row r="614" spans="1:6" x14ac:dyDescent="0.3">
      <c r="A614" s="38">
        <v>46134</v>
      </c>
      <c r="B614" t="s">
        <v>176</v>
      </c>
      <c r="C614" s="11">
        <v>136375</v>
      </c>
      <c r="D614" s="11"/>
      <c r="E614" s="121">
        <v>46123</v>
      </c>
      <c r="F614" s="110" t="s">
        <v>108</v>
      </c>
    </row>
    <row r="615" spans="1:6" x14ac:dyDescent="0.3">
      <c r="A615" s="38">
        <v>46134</v>
      </c>
      <c r="B615" t="s">
        <v>220</v>
      </c>
      <c r="C615" s="11"/>
      <c r="D615" s="11">
        <v>300000</v>
      </c>
      <c r="E615" t="s">
        <v>634</v>
      </c>
      <c r="F615" s="110" t="s">
        <v>108</v>
      </c>
    </row>
    <row r="616" spans="1:6" x14ac:dyDescent="0.3">
      <c r="A616" s="38">
        <v>46134</v>
      </c>
      <c r="B616" t="s">
        <v>224</v>
      </c>
      <c r="C616" s="11">
        <v>200000</v>
      </c>
      <c r="D616" s="11"/>
      <c r="E616" t="s">
        <v>635</v>
      </c>
      <c r="F616" s="110" t="s">
        <v>108</v>
      </c>
    </row>
    <row r="617" spans="1:6" x14ac:dyDescent="0.3">
      <c r="A617" s="38">
        <v>46134</v>
      </c>
      <c r="B617" t="s">
        <v>298</v>
      </c>
      <c r="C617" s="11">
        <v>100000</v>
      </c>
      <c r="D617" s="11"/>
      <c r="E617" t="s">
        <v>636</v>
      </c>
      <c r="F617" s="110" t="s">
        <v>108</v>
      </c>
    </row>
    <row r="618" spans="1:6" x14ac:dyDescent="0.3">
      <c r="A618" s="38">
        <v>46134</v>
      </c>
      <c r="B618" t="s">
        <v>220</v>
      </c>
      <c r="C618" s="95"/>
      <c r="D618" s="95">
        <v>17000</v>
      </c>
      <c r="E618" t="s">
        <v>637</v>
      </c>
      <c r="F618" s="110" t="s">
        <v>108</v>
      </c>
    </row>
    <row r="619" spans="1:6" x14ac:dyDescent="0.3">
      <c r="A619" s="38">
        <v>46134</v>
      </c>
      <c r="B619" t="s">
        <v>282</v>
      </c>
      <c r="C619" s="95">
        <v>16000</v>
      </c>
      <c r="D619" s="95"/>
      <c r="E619" t="s">
        <v>638</v>
      </c>
      <c r="F619" s="110" t="s">
        <v>108</v>
      </c>
    </row>
    <row r="620" spans="1:6" x14ac:dyDescent="0.3">
      <c r="A620" s="38">
        <v>46134</v>
      </c>
      <c r="B620" t="s">
        <v>64</v>
      </c>
      <c r="C620" s="95">
        <v>60000</v>
      </c>
      <c r="D620" s="95"/>
      <c r="E620" t="s">
        <v>639</v>
      </c>
      <c r="F620" s="110" t="s">
        <v>108</v>
      </c>
    </row>
    <row r="621" spans="1:6" x14ac:dyDescent="0.3">
      <c r="A621" s="38">
        <v>46134</v>
      </c>
      <c r="B621" t="s">
        <v>220</v>
      </c>
      <c r="C621" s="95"/>
      <c r="D621" s="95">
        <v>60000</v>
      </c>
      <c r="E621" t="s">
        <v>639</v>
      </c>
      <c r="F621" s="110" t="s">
        <v>108</v>
      </c>
    </row>
    <row r="622" spans="1:6" x14ac:dyDescent="0.3">
      <c r="A622" s="38">
        <v>46134</v>
      </c>
      <c r="B622" t="s">
        <v>55</v>
      </c>
      <c r="C622" s="95">
        <v>2400</v>
      </c>
      <c r="D622" s="95"/>
      <c r="E622" t="s">
        <v>647</v>
      </c>
      <c r="F622" s="110" t="s">
        <v>108</v>
      </c>
    </row>
    <row r="623" spans="1:6" x14ac:dyDescent="0.3">
      <c r="A623" s="38">
        <v>46134</v>
      </c>
      <c r="B623" t="s">
        <v>54</v>
      </c>
      <c r="C623" s="11">
        <v>10000</v>
      </c>
      <c r="D623" s="11"/>
      <c r="E623" t="s">
        <v>648</v>
      </c>
      <c r="F623" s="110" t="s">
        <v>108</v>
      </c>
    </row>
    <row r="624" spans="1:6" x14ac:dyDescent="0.3">
      <c r="A624" s="38">
        <v>46134</v>
      </c>
      <c r="B624" t="s">
        <v>246</v>
      </c>
      <c r="C624" s="11">
        <v>400</v>
      </c>
      <c r="D624" s="11"/>
      <c r="E624" t="s">
        <v>649</v>
      </c>
      <c r="F624" s="110" t="s">
        <v>108</v>
      </c>
    </row>
    <row r="625" spans="1:6" x14ac:dyDescent="0.3">
      <c r="A625" s="38">
        <v>46134</v>
      </c>
      <c r="B625" t="s">
        <v>246</v>
      </c>
      <c r="C625" s="11">
        <v>1050</v>
      </c>
      <c r="D625" s="11"/>
      <c r="E625" t="s">
        <v>650</v>
      </c>
      <c r="F625" s="110" t="s">
        <v>108</v>
      </c>
    </row>
    <row r="626" spans="1:6" x14ac:dyDescent="0.3">
      <c r="A626" s="114">
        <v>46134</v>
      </c>
      <c r="B626" t="s">
        <v>222</v>
      </c>
      <c r="C626" s="11">
        <v>6000</v>
      </c>
      <c r="D626" s="11"/>
      <c r="E626" t="s">
        <v>341</v>
      </c>
      <c r="F626" s="110" t="s">
        <v>108</v>
      </c>
    </row>
    <row r="627" spans="1:6" x14ac:dyDescent="0.3">
      <c r="A627" s="114">
        <v>46134</v>
      </c>
      <c r="B627" t="s">
        <v>169</v>
      </c>
      <c r="C627" s="11">
        <v>2000</v>
      </c>
      <c r="D627" s="11"/>
      <c r="E627" t="s">
        <v>341</v>
      </c>
      <c r="F627" s="110" t="s">
        <v>108</v>
      </c>
    </row>
    <row r="628" spans="1:6" x14ac:dyDescent="0.3">
      <c r="A628" s="114">
        <v>46134</v>
      </c>
      <c r="B628" t="s">
        <v>298</v>
      </c>
      <c r="C628" s="11">
        <v>2000</v>
      </c>
      <c r="D628" s="11"/>
      <c r="E628" t="s">
        <v>341</v>
      </c>
      <c r="F628" s="110" t="s">
        <v>108</v>
      </c>
    </row>
    <row r="629" spans="1:6" x14ac:dyDescent="0.3">
      <c r="A629" s="114">
        <v>46134</v>
      </c>
      <c r="B629" t="s">
        <v>224</v>
      </c>
      <c r="C629" s="95">
        <v>1000</v>
      </c>
      <c r="D629" s="95"/>
      <c r="E629" t="s">
        <v>341</v>
      </c>
      <c r="F629" s="110" t="s">
        <v>108</v>
      </c>
    </row>
    <row r="630" spans="1:6" x14ac:dyDescent="0.3">
      <c r="A630" s="114">
        <v>46134</v>
      </c>
      <c r="B630" t="s">
        <v>640</v>
      </c>
      <c r="C630" s="95">
        <v>1000</v>
      </c>
      <c r="D630" s="95"/>
      <c r="E630" t="s">
        <v>341</v>
      </c>
      <c r="F630" s="110" t="s">
        <v>108</v>
      </c>
    </row>
    <row r="631" spans="1:6" x14ac:dyDescent="0.3">
      <c r="A631" s="114">
        <v>46135</v>
      </c>
      <c r="B631" t="s">
        <v>220</v>
      </c>
      <c r="C631" s="95"/>
      <c r="D631" s="95">
        <v>30000</v>
      </c>
      <c r="E631" t="s">
        <v>640</v>
      </c>
      <c r="F631" s="110" t="s">
        <v>108</v>
      </c>
    </row>
    <row r="632" spans="1:6" x14ac:dyDescent="0.3">
      <c r="A632" s="114">
        <v>46135</v>
      </c>
      <c r="B632" t="s">
        <v>640</v>
      </c>
      <c r="C632" s="95">
        <v>30000</v>
      </c>
      <c r="D632" s="95"/>
      <c r="E632" t="s">
        <v>242</v>
      </c>
      <c r="F632" s="110" t="s">
        <v>108</v>
      </c>
    </row>
    <row r="633" spans="1:6" x14ac:dyDescent="0.3">
      <c r="A633" s="114">
        <v>46135</v>
      </c>
      <c r="B633" t="s">
        <v>55</v>
      </c>
      <c r="C633" s="95">
        <v>2100</v>
      </c>
      <c r="D633" s="95"/>
      <c r="E633" t="s">
        <v>641</v>
      </c>
      <c r="F633" s="110" t="s">
        <v>108</v>
      </c>
    </row>
    <row r="634" spans="1:6" x14ac:dyDescent="0.3">
      <c r="A634" s="114">
        <v>46135</v>
      </c>
      <c r="B634" t="s">
        <v>55</v>
      </c>
      <c r="C634" s="95">
        <v>2600</v>
      </c>
      <c r="D634" s="95"/>
      <c r="E634" t="s">
        <v>642</v>
      </c>
      <c r="F634" s="110" t="s">
        <v>108</v>
      </c>
    </row>
    <row r="635" spans="1:6" x14ac:dyDescent="0.3">
      <c r="A635" s="114">
        <v>46135</v>
      </c>
      <c r="B635" t="s">
        <v>55</v>
      </c>
      <c r="C635" s="95">
        <v>550</v>
      </c>
      <c r="D635" s="95"/>
      <c r="E635" t="s">
        <v>643</v>
      </c>
      <c r="F635" s="110" t="s">
        <v>108</v>
      </c>
    </row>
    <row r="636" spans="1:6" x14ac:dyDescent="0.3">
      <c r="A636" s="114">
        <v>46135</v>
      </c>
      <c r="B636" t="s">
        <v>176</v>
      </c>
      <c r="C636" s="95">
        <v>30000</v>
      </c>
      <c r="D636" s="95"/>
      <c r="E636" t="s">
        <v>126</v>
      </c>
      <c r="F636" s="110" t="s">
        <v>108</v>
      </c>
    </row>
    <row r="637" spans="1:6" x14ac:dyDescent="0.3">
      <c r="A637" s="38">
        <v>46135</v>
      </c>
      <c r="B637" t="s">
        <v>220</v>
      </c>
      <c r="C637" s="95"/>
      <c r="D637" s="95">
        <v>142000</v>
      </c>
      <c r="E637" t="s">
        <v>644</v>
      </c>
      <c r="F637" s="110" t="s">
        <v>108</v>
      </c>
    </row>
    <row r="638" spans="1:6" x14ac:dyDescent="0.3">
      <c r="A638" s="38">
        <v>46135</v>
      </c>
      <c r="B638" t="s">
        <v>298</v>
      </c>
      <c r="C638" s="95">
        <v>100000</v>
      </c>
      <c r="D638" s="95"/>
      <c r="E638" t="s">
        <v>645</v>
      </c>
      <c r="F638" s="110" t="s">
        <v>108</v>
      </c>
    </row>
    <row r="639" spans="1:6" x14ac:dyDescent="0.3">
      <c r="A639" s="38">
        <v>46135</v>
      </c>
      <c r="B639" t="s">
        <v>282</v>
      </c>
      <c r="C639" s="95">
        <v>43000</v>
      </c>
      <c r="D639" s="95"/>
      <c r="E639" t="s">
        <v>329</v>
      </c>
      <c r="F639" s="110" t="s">
        <v>108</v>
      </c>
    </row>
    <row r="640" spans="1:6" x14ac:dyDescent="0.3">
      <c r="A640" s="38">
        <v>46135</v>
      </c>
      <c r="B640" t="s">
        <v>212</v>
      </c>
      <c r="C640" s="95">
        <f>1133+1490+300</f>
        <v>2923</v>
      </c>
      <c r="D640" s="95"/>
      <c r="F640" s="110" t="s">
        <v>108</v>
      </c>
    </row>
    <row r="641" spans="1:6" x14ac:dyDescent="0.3">
      <c r="A641" s="38">
        <v>46135</v>
      </c>
      <c r="B641" t="s">
        <v>55</v>
      </c>
      <c r="C641" s="95">
        <f>10656*2</f>
        <v>21312</v>
      </c>
      <c r="D641" s="95"/>
      <c r="E641" t="s">
        <v>651</v>
      </c>
      <c r="F641" s="110" t="s">
        <v>108</v>
      </c>
    </row>
    <row r="642" spans="1:6" x14ac:dyDescent="0.3">
      <c r="A642" s="38">
        <v>46135</v>
      </c>
      <c r="B642" t="s">
        <v>224</v>
      </c>
      <c r="C642" s="95">
        <v>70000</v>
      </c>
      <c r="D642" s="95"/>
      <c r="E642" t="s">
        <v>242</v>
      </c>
      <c r="F642" s="110" t="s">
        <v>108</v>
      </c>
    </row>
    <row r="643" spans="1:6" x14ac:dyDescent="0.3">
      <c r="A643" s="38">
        <v>46135</v>
      </c>
      <c r="B643" t="s">
        <v>357</v>
      </c>
      <c r="C643" s="95">
        <v>50000</v>
      </c>
      <c r="D643" s="95"/>
      <c r="E643" s="136" t="s">
        <v>652</v>
      </c>
      <c r="F643" s="110" t="s">
        <v>108</v>
      </c>
    </row>
    <row r="644" spans="1:6" x14ac:dyDescent="0.3">
      <c r="A644" s="38">
        <v>46135</v>
      </c>
      <c r="B644" t="s">
        <v>357</v>
      </c>
      <c r="C644" s="95">
        <v>20000</v>
      </c>
      <c r="D644" s="95"/>
      <c r="E644" s="136" t="s">
        <v>469</v>
      </c>
      <c r="F644" s="110" t="s">
        <v>108</v>
      </c>
    </row>
    <row r="645" spans="1:6" x14ac:dyDescent="0.3">
      <c r="A645" s="38">
        <v>46135</v>
      </c>
      <c r="B645" t="s">
        <v>54</v>
      </c>
      <c r="C645" s="95">
        <v>5000</v>
      </c>
      <c r="D645" s="95"/>
      <c r="E645" t="s">
        <v>653</v>
      </c>
      <c r="F645" s="110" t="s">
        <v>108</v>
      </c>
    </row>
    <row r="646" spans="1:6" x14ac:dyDescent="0.3">
      <c r="A646" s="38">
        <v>46135</v>
      </c>
      <c r="B646" t="s">
        <v>55</v>
      </c>
      <c r="C646" s="95">
        <v>5500</v>
      </c>
      <c r="D646" s="95"/>
      <c r="E646" t="s">
        <v>654</v>
      </c>
      <c r="F646" s="110" t="s">
        <v>108</v>
      </c>
    </row>
    <row r="647" spans="1:6" x14ac:dyDescent="0.3">
      <c r="A647" s="38">
        <v>46135</v>
      </c>
      <c r="B647" t="s">
        <v>601</v>
      </c>
      <c r="C647" s="95">
        <f>280+365</f>
        <v>645</v>
      </c>
      <c r="D647" s="95"/>
      <c r="E647" t="s">
        <v>655</v>
      </c>
      <c r="F647" s="110"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664</v>
      </c>
      <c r="F656" s="110" t="s">
        <v>108</v>
      </c>
    </row>
    <row r="657" spans="1:6" x14ac:dyDescent="0.3">
      <c r="A657" s="114">
        <v>46137</v>
      </c>
      <c r="B657" t="s">
        <v>55</v>
      </c>
      <c r="C657" s="11">
        <v>690</v>
      </c>
      <c r="D657" s="11"/>
      <c r="E657" t="s">
        <v>663</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6"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665</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666</v>
      </c>
      <c r="F663" s="110" t="s">
        <v>108</v>
      </c>
    </row>
    <row r="664" spans="1:6" x14ac:dyDescent="0.3">
      <c r="A664" s="114">
        <v>46137</v>
      </c>
      <c r="B664" t="s">
        <v>601</v>
      </c>
      <c r="C664" s="11">
        <v>8000</v>
      </c>
      <c r="D664" s="11"/>
      <c r="E664" t="s">
        <v>667</v>
      </c>
      <c r="F664" s="110" t="s">
        <v>108</v>
      </c>
    </row>
    <row r="665" spans="1:6" x14ac:dyDescent="0.3">
      <c r="A665" s="114">
        <v>46137</v>
      </c>
      <c r="B665" t="s">
        <v>220</v>
      </c>
      <c r="C665" s="11"/>
      <c r="D665" s="11">
        <v>10000</v>
      </c>
      <c r="E665" t="s">
        <v>668</v>
      </c>
      <c r="F665" s="110" t="s">
        <v>108</v>
      </c>
    </row>
    <row r="666" spans="1:6" x14ac:dyDescent="0.3">
      <c r="A666" s="114">
        <v>46137</v>
      </c>
      <c r="B666" t="s">
        <v>9</v>
      </c>
      <c r="C666" s="11"/>
      <c r="D666" s="11">
        <v>98000</v>
      </c>
      <c r="E666" t="s">
        <v>669</v>
      </c>
      <c r="F666" s="110" t="s">
        <v>108</v>
      </c>
    </row>
    <row r="667" spans="1:6" x14ac:dyDescent="0.3">
      <c r="A667" s="114">
        <v>46137</v>
      </c>
      <c r="B667" t="s">
        <v>357</v>
      </c>
      <c r="C667" s="11">
        <v>10000</v>
      </c>
      <c r="D667" s="11"/>
      <c r="E667" s="136"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670</v>
      </c>
      <c r="F669" s="110" t="s">
        <v>108</v>
      </c>
    </row>
    <row r="670" spans="1:6" x14ac:dyDescent="0.3">
      <c r="A670" s="144">
        <v>46137</v>
      </c>
      <c r="B670" t="s">
        <v>176</v>
      </c>
      <c r="C670" s="11">
        <v>18000</v>
      </c>
      <c r="D670" s="11"/>
      <c r="E670" t="s">
        <v>781</v>
      </c>
      <c r="F670" s="110" t="s">
        <v>108</v>
      </c>
    </row>
    <row r="671" spans="1:6" x14ac:dyDescent="0.3">
      <c r="A671" s="144">
        <v>46137</v>
      </c>
      <c r="B671" t="s">
        <v>220</v>
      </c>
      <c r="C671" s="11"/>
      <c r="D671" s="11">
        <v>18000</v>
      </c>
      <c r="E671" t="s">
        <v>781</v>
      </c>
      <c r="F671" s="110" t="s">
        <v>108</v>
      </c>
    </row>
    <row r="672" spans="1:6" x14ac:dyDescent="0.3">
      <c r="A672" s="114">
        <v>46138</v>
      </c>
      <c r="B672" t="s">
        <v>55</v>
      </c>
      <c r="C672" s="11">
        <v>11456</v>
      </c>
      <c r="D672" s="11"/>
      <c r="E672" t="s">
        <v>672</v>
      </c>
      <c r="F672" s="110" t="s">
        <v>108</v>
      </c>
    </row>
    <row r="673" spans="1:6" x14ac:dyDescent="0.3">
      <c r="A673" s="114">
        <v>46139</v>
      </c>
      <c r="B673" t="s">
        <v>115</v>
      </c>
      <c r="C673" s="11">
        <v>200000</v>
      </c>
      <c r="D673" s="11"/>
      <c r="E673" t="s">
        <v>673</v>
      </c>
      <c r="F673" s="110" t="s">
        <v>108</v>
      </c>
    </row>
    <row r="674" spans="1:6" x14ac:dyDescent="0.3">
      <c r="A674" s="114">
        <v>46139</v>
      </c>
      <c r="B674" t="s">
        <v>220</v>
      </c>
      <c r="C674" s="11"/>
      <c r="D674" s="11">
        <v>200000</v>
      </c>
      <c r="E674" t="s">
        <v>115</v>
      </c>
      <c r="F674" s="110" t="s">
        <v>108</v>
      </c>
    </row>
    <row r="675" spans="1:6" x14ac:dyDescent="0.3">
      <c r="A675" s="114">
        <v>46139</v>
      </c>
      <c r="B675" t="s">
        <v>245</v>
      </c>
      <c r="C675" s="11"/>
      <c r="D675" s="11">
        <v>86594</v>
      </c>
      <c r="E675" t="s">
        <v>674</v>
      </c>
      <c r="F675" s="110" t="s">
        <v>108</v>
      </c>
    </row>
    <row r="676" spans="1:6" x14ac:dyDescent="0.3">
      <c r="A676" s="114">
        <v>46139</v>
      </c>
      <c r="B676" t="s">
        <v>220</v>
      </c>
      <c r="C676" s="11">
        <v>86594</v>
      </c>
      <c r="D676" s="11"/>
      <c r="E676" t="s">
        <v>245</v>
      </c>
      <c r="F676" s="110" t="s">
        <v>108</v>
      </c>
    </row>
    <row r="677" spans="1:6" x14ac:dyDescent="0.3">
      <c r="A677" s="114">
        <v>46139</v>
      </c>
      <c r="B677" t="s">
        <v>55</v>
      </c>
      <c r="C677" s="11">
        <v>6200</v>
      </c>
      <c r="D677" s="11"/>
      <c r="E677" t="s">
        <v>675</v>
      </c>
      <c r="F677" s="110" t="s">
        <v>108</v>
      </c>
    </row>
    <row r="678" spans="1:6" x14ac:dyDescent="0.3">
      <c r="A678" s="114">
        <v>46139</v>
      </c>
      <c r="B678" t="s">
        <v>220</v>
      </c>
      <c r="C678" s="95"/>
      <c r="D678" s="95">
        <v>6200</v>
      </c>
      <c r="E678" t="s">
        <v>675</v>
      </c>
      <c r="F678" s="110" t="s">
        <v>108</v>
      </c>
    </row>
    <row r="679" spans="1:6" x14ac:dyDescent="0.3">
      <c r="A679" s="114">
        <v>46139</v>
      </c>
      <c r="B679" t="s">
        <v>54</v>
      </c>
      <c r="C679" s="11">
        <v>1500</v>
      </c>
      <c r="D679" s="11"/>
      <c r="F679" s="110" t="s">
        <v>108</v>
      </c>
    </row>
    <row r="680" spans="1:6" x14ac:dyDescent="0.3">
      <c r="A680" s="114">
        <v>46139</v>
      </c>
      <c r="B680" t="s">
        <v>55</v>
      </c>
      <c r="C680" s="95">
        <v>1460</v>
      </c>
      <c r="D680" s="95"/>
      <c r="E680" t="s">
        <v>676</v>
      </c>
      <c r="F680" s="110" t="s">
        <v>108</v>
      </c>
    </row>
    <row r="681" spans="1:6" x14ac:dyDescent="0.3">
      <c r="A681" s="114">
        <v>46139</v>
      </c>
      <c r="B681" t="s">
        <v>220</v>
      </c>
      <c r="C681" s="95"/>
      <c r="D681" s="95">
        <v>7000</v>
      </c>
      <c r="E681" t="s">
        <v>637</v>
      </c>
      <c r="F681" s="110" t="s">
        <v>108</v>
      </c>
    </row>
    <row r="682" spans="1:6" x14ac:dyDescent="0.3">
      <c r="A682" s="114">
        <v>46139</v>
      </c>
      <c r="B682" t="s">
        <v>54</v>
      </c>
      <c r="C682" s="95">
        <v>2500</v>
      </c>
      <c r="D682" s="95"/>
      <c r="E682" t="s">
        <v>678</v>
      </c>
      <c r="F682" s="110" t="s">
        <v>108</v>
      </c>
    </row>
    <row r="683" spans="1:6" x14ac:dyDescent="0.3">
      <c r="A683" s="114">
        <v>46139</v>
      </c>
      <c r="B683" t="s">
        <v>54</v>
      </c>
      <c r="C683" s="95">
        <v>4500</v>
      </c>
      <c r="D683" s="95"/>
      <c r="E683" t="s">
        <v>679</v>
      </c>
      <c r="F683" s="110" t="s">
        <v>108</v>
      </c>
    </row>
    <row r="684" spans="1:6" x14ac:dyDescent="0.3">
      <c r="A684" s="38">
        <v>46139</v>
      </c>
      <c r="B684" t="s">
        <v>54</v>
      </c>
      <c r="C684" s="95">
        <v>5000</v>
      </c>
      <c r="D684" s="95"/>
      <c r="E684" t="s">
        <v>290</v>
      </c>
      <c r="F684" s="110" t="s">
        <v>108</v>
      </c>
    </row>
    <row r="685" spans="1:6" x14ac:dyDescent="0.3">
      <c r="A685" s="38">
        <v>46139</v>
      </c>
      <c r="B685" t="s">
        <v>212</v>
      </c>
      <c r="C685" s="95">
        <v>1350</v>
      </c>
      <c r="D685" s="95"/>
      <c r="F685" s="110" t="s">
        <v>108</v>
      </c>
    </row>
    <row r="686" spans="1:6" x14ac:dyDescent="0.3">
      <c r="A686" s="114">
        <v>46139</v>
      </c>
      <c r="B686" t="s">
        <v>582</v>
      </c>
      <c r="C686" s="95"/>
      <c r="D686" s="95">
        <v>3927</v>
      </c>
      <c r="E686" t="s">
        <v>54</v>
      </c>
      <c r="F686" s="110" t="s">
        <v>108</v>
      </c>
    </row>
    <row r="687" spans="1:6" x14ac:dyDescent="0.3">
      <c r="A687" s="114">
        <v>46139</v>
      </c>
      <c r="B687" t="s">
        <v>54</v>
      </c>
      <c r="C687" s="95">
        <v>3927</v>
      </c>
      <c r="D687" s="95"/>
      <c r="F687" s="110" t="s">
        <v>108</v>
      </c>
    </row>
    <row r="688" spans="1:6" x14ac:dyDescent="0.3">
      <c r="A688" s="114">
        <v>46140</v>
      </c>
      <c r="B688" t="s">
        <v>220</v>
      </c>
      <c r="C688" s="11"/>
      <c r="D688" s="11">
        <v>50000</v>
      </c>
      <c r="E688" t="s">
        <v>680</v>
      </c>
      <c r="F688" s="110" t="s">
        <v>108</v>
      </c>
    </row>
    <row r="689" spans="1:6" x14ac:dyDescent="0.3">
      <c r="A689" s="114">
        <v>46140</v>
      </c>
      <c r="B689" t="s">
        <v>117</v>
      </c>
      <c r="C689" s="11">
        <v>39000</v>
      </c>
      <c r="D689" s="11"/>
      <c r="E689" t="s">
        <v>531</v>
      </c>
      <c r="F689" s="110" t="s">
        <v>108</v>
      </c>
    </row>
    <row r="690" spans="1:6" x14ac:dyDescent="0.3">
      <c r="A690" s="114">
        <v>46140</v>
      </c>
      <c r="B690" t="s">
        <v>54</v>
      </c>
      <c r="C690" s="11">
        <v>600</v>
      </c>
      <c r="D690" s="11"/>
      <c r="E690" t="s">
        <v>681</v>
      </c>
      <c r="F690" s="110" t="s">
        <v>108</v>
      </c>
    </row>
    <row r="691" spans="1:6" x14ac:dyDescent="0.3">
      <c r="A691" s="114">
        <v>46140</v>
      </c>
      <c r="B691" t="s">
        <v>55</v>
      </c>
      <c r="C691" s="11">
        <v>190</v>
      </c>
      <c r="D691" s="11"/>
      <c r="F691" s="110" t="s">
        <v>108</v>
      </c>
    </row>
    <row r="692" spans="1:6" x14ac:dyDescent="0.3">
      <c r="A692" s="114">
        <v>46140</v>
      </c>
      <c r="B692" t="s">
        <v>55</v>
      </c>
      <c r="C692" s="11">
        <v>950</v>
      </c>
      <c r="D692" s="11"/>
      <c r="E692" t="s">
        <v>682</v>
      </c>
      <c r="F692" s="110" t="s">
        <v>108</v>
      </c>
    </row>
    <row r="693" spans="1:6" x14ac:dyDescent="0.3">
      <c r="A693" s="114">
        <v>46140</v>
      </c>
      <c r="B693" t="s">
        <v>220</v>
      </c>
      <c r="C693" s="11"/>
      <c r="D693" s="11">
        <v>60000</v>
      </c>
      <c r="E693" t="s">
        <v>683</v>
      </c>
      <c r="F693" s="110" t="s">
        <v>108</v>
      </c>
    </row>
    <row r="694" spans="1:6" x14ac:dyDescent="0.3">
      <c r="A694" s="38">
        <v>46140</v>
      </c>
      <c r="B694" t="s">
        <v>55</v>
      </c>
      <c r="C694" s="11">
        <v>500</v>
      </c>
      <c r="D694" s="11"/>
      <c r="F694" s="110" t="s">
        <v>108</v>
      </c>
    </row>
    <row r="695" spans="1:6" x14ac:dyDescent="0.3">
      <c r="A695" s="38">
        <v>46140</v>
      </c>
      <c r="B695" t="s">
        <v>357</v>
      </c>
      <c r="C695" s="11">
        <v>60000</v>
      </c>
      <c r="D695" s="11"/>
      <c r="E695" s="136" t="s">
        <v>621</v>
      </c>
      <c r="F695" s="110" t="s">
        <v>108</v>
      </c>
    </row>
    <row r="696" spans="1:6" x14ac:dyDescent="0.3">
      <c r="A696" s="114">
        <v>46140</v>
      </c>
      <c r="B696" t="s">
        <v>357</v>
      </c>
      <c r="C696" s="95">
        <v>5000</v>
      </c>
      <c r="D696" s="95"/>
      <c r="E696" t="s">
        <v>606</v>
      </c>
      <c r="F696" s="110" t="s">
        <v>108</v>
      </c>
    </row>
    <row r="697" spans="1:6" x14ac:dyDescent="0.3">
      <c r="A697" s="38">
        <v>46141</v>
      </c>
      <c r="B697" t="s">
        <v>246</v>
      </c>
      <c r="C697" s="95">
        <v>800</v>
      </c>
      <c r="D697" s="95"/>
      <c r="F697" s="110" t="s">
        <v>108</v>
      </c>
    </row>
    <row r="698" spans="1:6" x14ac:dyDescent="0.3">
      <c r="A698" s="114">
        <v>46141</v>
      </c>
      <c r="B698" t="s">
        <v>55</v>
      </c>
      <c r="C698" s="11">
        <v>34369</v>
      </c>
      <c r="D698" s="11"/>
      <c r="E698" t="s">
        <v>684</v>
      </c>
      <c r="F698" s="110" t="s">
        <v>108</v>
      </c>
    </row>
    <row r="699" spans="1:6" x14ac:dyDescent="0.3">
      <c r="A699" s="38">
        <v>46141</v>
      </c>
      <c r="B699" t="s">
        <v>220</v>
      </c>
      <c r="C699" s="11"/>
      <c r="D699" s="11">
        <v>40000</v>
      </c>
      <c r="E699" t="s">
        <v>685</v>
      </c>
      <c r="F699" s="110" t="s">
        <v>108</v>
      </c>
    </row>
    <row r="700" spans="1:6" x14ac:dyDescent="0.3">
      <c r="A700" s="114">
        <v>46141</v>
      </c>
      <c r="B700" t="s">
        <v>220</v>
      </c>
      <c r="C700" s="11"/>
      <c r="D700" s="11">
        <v>200000</v>
      </c>
      <c r="E700" t="s">
        <v>686</v>
      </c>
      <c r="F700" s="110" t="s">
        <v>108</v>
      </c>
    </row>
    <row r="701" spans="1:6" x14ac:dyDescent="0.3">
      <c r="A701" s="38">
        <v>46141</v>
      </c>
      <c r="B701" t="s">
        <v>224</v>
      </c>
      <c r="C701" s="11">
        <v>200500</v>
      </c>
      <c r="D701" s="11"/>
      <c r="E701" t="s">
        <v>687</v>
      </c>
      <c r="F701" s="110" t="s">
        <v>108</v>
      </c>
    </row>
    <row r="702" spans="1:6" x14ac:dyDescent="0.3">
      <c r="A702" s="114">
        <v>46141</v>
      </c>
      <c r="B702" t="s">
        <v>220</v>
      </c>
      <c r="C702" s="11"/>
      <c r="D702" s="11">
        <v>300000</v>
      </c>
      <c r="E702" t="s">
        <v>688</v>
      </c>
      <c r="F702" s="110" t="s">
        <v>108</v>
      </c>
    </row>
    <row r="703" spans="1:6" x14ac:dyDescent="0.3">
      <c r="A703" s="38">
        <v>46141</v>
      </c>
      <c r="B703" t="s">
        <v>298</v>
      </c>
      <c r="C703" s="11">
        <v>150000</v>
      </c>
      <c r="D703" s="11"/>
      <c r="E703" t="s">
        <v>689</v>
      </c>
      <c r="F703" s="110" t="s">
        <v>108</v>
      </c>
    </row>
    <row r="704" spans="1:6" x14ac:dyDescent="0.3">
      <c r="A704" s="114">
        <v>46141</v>
      </c>
      <c r="B704" t="s">
        <v>222</v>
      </c>
      <c r="C704" s="11">
        <v>150000</v>
      </c>
      <c r="D704" s="11"/>
      <c r="E704" t="s">
        <v>690</v>
      </c>
      <c r="F704" s="110" t="s">
        <v>108</v>
      </c>
    </row>
    <row r="705" spans="1:11" x14ac:dyDescent="0.3">
      <c r="A705" s="38">
        <v>46141</v>
      </c>
      <c r="B705" t="s">
        <v>671</v>
      </c>
      <c r="C705" s="11">
        <v>3000</v>
      </c>
      <c r="D705" s="11"/>
      <c r="E705" t="s">
        <v>704</v>
      </c>
      <c r="F705" s="110" t="s">
        <v>108</v>
      </c>
    </row>
    <row r="706" spans="1:11" x14ac:dyDescent="0.3">
      <c r="A706" s="114">
        <v>46141</v>
      </c>
      <c r="B706" t="s">
        <v>572</v>
      </c>
      <c r="C706" s="11">
        <v>5000</v>
      </c>
      <c r="D706" s="11"/>
      <c r="F706" s="110" t="s">
        <v>108</v>
      </c>
    </row>
    <row r="707" spans="1:11" x14ac:dyDescent="0.3">
      <c r="A707" s="38">
        <v>46141</v>
      </c>
      <c r="B707" t="s">
        <v>55</v>
      </c>
      <c r="C707" s="11">
        <v>600</v>
      </c>
      <c r="D707" s="11"/>
      <c r="F707" s="110" t="s">
        <v>108</v>
      </c>
    </row>
    <row r="708" spans="1:11" x14ac:dyDescent="0.3">
      <c r="A708" s="114">
        <v>46141</v>
      </c>
      <c r="B708" t="s">
        <v>220</v>
      </c>
      <c r="C708" s="11"/>
      <c r="D708" s="11">
        <v>176000</v>
      </c>
      <c r="E708" t="s">
        <v>691</v>
      </c>
      <c r="F708" s="110" t="s">
        <v>108</v>
      </c>
    </row>
    <row r="709" spans="1:11" x14ac:dyDescent="0.3">
      <c r="A709" s="38">
        <v>46141</v>
      </c>
      <c r="B709" t="s">
        <v>692</v>
      </c>
      <c r="C709" s="11">
        <v>26000</v>
      </c>
      <c r="D709" s="11"/>
      <c r="E709" t="s">
        <v>242</v>
      </c>
      <c r="F709" s="110" t="s">
        <v>108</v>
      </c>
      <c r="I709">
        <v>30550</v>
      </c>
      <c r="K709">
        <v>30550</v>
      </c>
    </row>
    <row r="710" spans="1:11" x14ac:dyDescent="0.3">
      <c r="A710" s="114">
        <v>46141</v>
      </c>
      <c r="B710" t="s">
        <v>169</v>
      </c>
      <c r="C710" s="11">
        <v>150000</v>
      </c>
      <c r="D710" s="11"/>
      <c r="E710" t="s">
        <v>693</v>
      </c>
      <c r="F710" s="110" t="s">
        <v>108</v>
      </c>
      <c r="I710">
        <v>14000</v>
      </c>
      <c r="K710">
        <v>14000</v>
      </c>
    </row>
    <row r="711" spans="1:11" x14ac:dyDescent="0.3">
      <c r="A711" s="38">
        <v>46141</v>
      </c>
      <c r="B711" t="s">
        <v>220</v>
      </c>
      <c r="C711" s="11"/>
      <c r="D711" s="11">
        <v>20000</v>
      </c>
      <c r="E711" t="s">
        <v>695</v>
      </c>
      <c r="F711" s="110" t="s">
        <v>108</v>
      </c>
      <c r="I711">
        <v>215000</v>
      </c>
      <c r="K711">
        <v>215000</v>
      </c>
    </row>
    <row r="712" spans="1:11" x14ac:dyDescent="0.3">
      <c r="A712" s="38">
        <v>46141</v>
      </c>
      <c r="B712" t="s">
        <v>282</v>
      </c>
      <c r="C712" s="11">
        <v>10000</v>
      </c>
      <c r="D712" s="11"/>
      <c r="E712" t="s">
        <v>694</v>
      </c>
      <c r="F712" s="110" t="s">
        <v>108</v>
      </c>
      <c r="I712">
        <v>125000</v>
      </c>
      <c r="K712">
        <v>125000</v>
      </c>
    </row>
    <row r="713" spans="1:11" x14ac:dyDescent="0.3">
      <c r="A713" s="38">
        <v>46142</v>
      </c>
      <c r="B713" t="s">
        <v>55</v>
      </c>
      <c r="C713" s="11">
        <v>590</v>
      </c>
      <c r="D713" s="11"/>
      <c r="F713" s="110" t="s">
        <v>108</v>
      </c>
      <c r="I713">
        <v>12800</v>
      </c>
      <c r="K713">
        <v>12800</v>
      </c>
    </row>
    <row r="714" spans="1:11" x14ac:dyDescent="0.3">
      <c r="A714" s="38">
        <v>46142</v>
      </c>
      <c r="B714" t="s">
        <v>220</v>
      </c>
      <c r="C714" s="11"/>
      <c r="D714" s="11">
        <v>12500</v>
      </c>
      <c r="E714" t="s">
        <v>606</v>
      </c>
      <c r="F714" s="110" t="s">
        <v>108</v>
      </c>
      <c r="I714">
        <v>9650</v>
      </c>
      <c r="K714">
        <f>25650-16000</f>
        <v>9650</v>
      </c>
    </row>
    <row r="715" spans="1:11" x14ac:dyDescent="0.3">
      <c r="A715" s="38">
        <v>46142</v>
      </c>
      <c r="B715" t="s">
        <v>246</v>
      </c>
      <c r="C715" s="11">
        <v>12500</v>
      </c>
      <c r="D715" s="11"/>
      <c r="E715" t="s">
        <v>606</v>
      </c>
      <c r="F715" s="110" t="s">
        <v>108</v>
      </c>
      <c r="I715">
        <v>30000</v>
      </c>
      <c r="K715">
        <v>30000</v>
      </c>
    </row>
    <row r="716" spans="1:11" x14ac:dyDescent="0.3">
      <c r="A716" s="38">
        <v>46142</v>
      </c>
      <c r="B716" t="s">
        <v>601</v>
      </c>
      <c r="C716" s="11">
        <v>12000</v>
      </c>
      <c r="D716" s="11"/>
      <c r="E716" t="s">
        <v>696</v>
      </c>
      <c r="F716" s="110" t="s">
        <v>108</v>
      </c>
      <c r="I716">
        <v>55000</v>
      </c>
      <c r="K716">
        <v>55000</v>
      </c>
    </row>
    <row r="717" spans="1:11" x14ac:dyDescent="0.3">
      <c r="A717" s="38">
        <v>46142</v>
      </c>
      <c r="B717" t="s">
        <v>709</v>
      </c>
      <c r="C717" s="11"/>
      <c r="D717" s="11">
        <v>100000</v>
      </c>
      <c r="E717" t="s">
        <v>365</v>
      </c>
      <c r="F717" s="110" t="s">
        <v>108</v>
      </c>
      <c r="I717">
        <v>24000</v>
      </c>
      <c r="K717">
        <v>30000</v>
      </c>
    </row>
    <row r="718" spans="1:11" x14ac:dyDescent="0.3">
      <c r="A718" s="38">
        <v>46142</v>
      </c>
      <c r="B718" t="s">
        <v>224</v>
      </c>
      <c r="C718" s="11">
        <v>82600</v>
      </c>
      <c r="D718" s="11"/>
      <c r="E718" t="s">
        <v>242</v>
      </c>
      <c r="F718" s="110" t="s">
        <v>108</v>
      </c>
      <c r="I718">
        <v>24000</v>
      </c>
      <c r="K718">
        <v>26660</v>
      </c>
    </row>
    <row r="719" spans="1:11" x14ac:dyDescent="0.3">
      <c r="A719" s="38">
        <v>46142</v>
      </c>
      <c r="B719" t="s">
        <v>220</v>
      </c>
      <c r="C719" s="95"/>
      <c r="D719" s="95">
        <v>715000</v>
      </c>
      <c r="E719" t="s">
        <v>109</v>
      </c>
      <c r="F719" s="110" t="s">
        <v>108</v>
      </c>
      <c r="I719">
        <v>20000</v>
      </c>
      <c r="K719">
        <v>20000</v>
      </c>
    </row>
    <row r="720" spans="1:11" x14ac:dyDescent="0.3">
      <c r="A720" s="38">
        <v>46142</v>
      </c>
      <c r="B720" t="s">
        <v>282</v>
      </c>
      <c r="C720" s="11">
        <v>16000</v>
      </c>
      <c r="D720" s="11"/>
      <c r="E720" t="s">
        <v>638</v>
      </c>
      <c r="F720" s="110" t="s">
        <v>108</v>
      </c>
      <c r="I720">
        <v>17200</v>
      </c>
      <c r="K720">
        <v>62000</v>
      </c>
    </row>
    <row r="721" spans="1:11" x14ac:dyDescent="0.3">
      <c r="A721" s="38">
        <v>46143</v>
      </c>
      <c r="B721" t="s">
        <v>54</v>
      </c>
      <c r="C721" s="95">
        <v>1500</v>
      </c>
      <c r="D721" s="95"/>
      <c r="F721" s="110" t="s">
        <v>108</v>
      </c>
      <c r="I721">
        <v>18400</v>
      </c>
    </row>
    <row r="722" spans="1:11" x14ac:dyDescent="0.3">
      <c r="A722" s="38">
        <v>46143</v>
      </c>
      <c r="B722" t="s">
        <v>54</v>
      </c>
      <c r="C722" s="95">
        <v>14000</v>
      </c>
      <c r="D722" s="95"/>
      <c r="E722" t="s">
        <v>290</v>
      </c>
      <c r="F722" s="110" t="s">
        <v>108</v>
      </c>
      <c r="I722">
        <v>18000</v>
      </c>
      <c r="K722">
        <v>1000</v>
      </c>
    </row>
    <row r="723" spans="1:11" x14ac:dyDescent="0.3">
      <c r="A723" s="38">
        <v>46143</v>
      </c>
      <c r="B723" t="s">
        <v>246</v>
      </c>
      <c r="C723" s="95">
        <v>2000</v>
      </c>
      <c r="D723" s="95"/>
      <c r="E723" t="s">
        <v>697</v>
      </c>
      <c r="F723" s="110" t="s">
        <v>108</v>
      </c>
      <c r="I723">
        <v>80000</v>
      </c>
      <c r="K723">
        <v>10600</v>
      </c>
    </row>
    <row r="724" spans="1:11" x14ac:dyDescent="0.3">
      <c r="A724" s="38">
        <v>46143</v>
      </c>
      <c r="B724" t="s">
        <v>220</v>
      </c>
      <c r="C724" s="95"/>
      <c r="D724" s="95">
        <v>42000</v>
      </c>
      <c r="E724" t="s">
        <v>535</v>
      </c>
      <c r="F724" s="110" t="s">
        <v>108</v>
      </c>
      <c r="I724">
        <v>60000</v>
      </c>
      <c r="K724">
        <v>11150</v>
      </c>
    </row>
    <row r="725" spans="1:11" x14ac:dyDescent="0.3">
      <c r="A725" s="38">
        <v>46143</v>
      </c>
      <c r="B725" t="s">
        <v>601</v>
      </c>
      <c r="C725" s="95">
        <v>43000</v>
      </c>
      <c r="D725" s="95"/>
      <c r="E725" t="s">
        <v>698</v>
      </c>
      <c r="F725" s="110" t="s">
        <v>108</v>
      </c>
      <c r="I725">
        <v>35000</v>
      </c>
      <c r="K725">
        <v>7220</v>
      </c>
    </row>
    <row r="726" spans="1:11" x14ac:dyDescent="0.3">
      <c r="A726" s="38">
        <v>46143</v>
      </c>
      <c r="B726" t="s">
        <v>282</v>
      </c>
      <c r="C726" s="95">
        <v>15000</v>
      </c>
      <c r="D726" s="95"/>
      <c r="E726" t="s">
        <v>699</v>
      </c>
      <c r="F726" s="110" t="s">
        <v>108</v>
      </c>
      <c r="I726">
        <v>15400</v>
      </c>
      <c r="K726">
        <v>11800</v>
      </c>
    </row>
    <row r="727" spans="1:11" x14ac:dyDescent="0.3">
      <c r="A727" s="114">
        <v>46143</v>
      </c>
      <c r="B727" t="s">
        <v>220</v>
      </c>
      <c r="C727" s="95"/>
      <c r="D727" s="95">
        <v>30000</v>
      </c>
      <c r="E727" t="s">
        <v>700</v>
      </c>
      <c r="F727" s="110" t="s">
        <v>108</v>
      </c>
      <c r="I727">
        <v>12700</v>
      </c>
      <c r="K727">
        <v>12600</v>
      </c>
    </row>
    <row r="728" spans="1:11" x14ac:dyDescent="0.3">
      <c r="A728" s="114">
        <v>46143</v>
      </c>
      <c r="B728" t="s">
        <v>117</v>
      </c>
      <c r="C728" s="95">
        <v>39000</v>
      </c>
      <c r="D728" s="95"/>
      <c r="E728" t="s">
        <v>61</v>
      </c>
      <c r="F728" s="110" t="s">
        <v>108</v>
      </c>
      <c r="I728">
        <v>12600</v>
      </c>
      <c r="K728">
        <v>12700</v>
      </c>
    </row>
    <row r="729" spans="1:11" x14ac:dyDescent="0.3">
      <c r="A729" s="114">
        <v>46143</v>
      </c>
      <c r="B729" t="s">
        <v>54</v>
      </c>
      <c r="C729" s="11">
        <v>600</v>
      </c>
      <c r="D729" s="11"/>
      <c r="F729" s="110" t="s">
        <v>108</v>
      </c>
      <c r="I729">
        <v>11800</v>
      </c>
      <c r="K729">
        <v>15400</v>
      </c>
    </row>
    <row r="730" spans="1:11" x14ac:dyDescent="0.3">
      <c r="A730" s="114">
        <v>46143</v>
      </c>
      <c r="B730" t="s">
        <v>709</v>
      </c>
      <c r="C730" s="11"/>
      <c r="D730" s="11">
        <v>100000</v>
      </c>
      <c r="E730" t="s">
        <v>710</v>
      </c>
      <c r="F730" s="110" t="s">
        <v>108</v>
      </c>
      <c r="I730">
        <v>7250</v>
      </c>
      <c r="K730">
        <v>35000</v>
      </c>
    </row>
    <row r="731" spans="1:11" x14ac:dyDescent="0.3">
      <c r="A731" s="114">
        <v>46143</v>
      </c>
      <c r="B731" t="s">
        <v>224</v>
      </c>
      <c r="C731" s="11">
        <v>60900</v>
      </c>
      <c r="D731" s="11"/>
      <c r="E731" t="s">
        <v>242</v>
      </c>
      <c r="F731" s="110" t="s">
        <v>108</v>
      </c>
      <c r="I731">
        <v>11150</v>
      </c>
      <c r="K731">
        <v>60000</v>
      </c>
    </row>
    <row r="732" spans="1:11" x14ac:dyDescent="0.3">
      <c r="A732" s="114">
        <v>46144</v>
      </c>
      <c r="B732" t="s">
        <v>582</v>
      </c>
      <c r="C732" s="11"/>
      <c r="D732" s="11">
        <v>800000</v>
      </c>
      <c r="E732" t="s">
        <v>701</v>
      </c>
      <c r="F732" s="110" t="s">
        <v>108</v>
      </c>
      <c r="I732">
        <v>10600</v>
      </c>
      <c r="K732">
        <v>80000</v>
      </c>
    </row>
    <row r="733" spans="1:11" x14ac:dyDescent="0.3">
      <c r="A733" s="114">
        <v>46144</v>
      </c>
      <c r="B733" t="s">
        <v>55</v>
      </c>
      <c r="C733" s="11">
        <v>4500</v>
      </c>
      <c r="D733" s="11"/>
      <c r="E733" t="s">
        <v>641</v>
      </c>
      <c r="F733" s="110" t="s">
        <v>108</v>
      </c>
      <c r="I733">
        <v>1000</v>
      </c>
      <c r="K733">
        <v>18000</v>
      </c>
    </row>
    <row r="734" spans="1:11" x14ac:dyDescent="0.3">
      <c r="A734" s="38">
        <v>46144</v>
      </c>
      <c r="B734" t="s">
        <v>176</v>
      </c>
      <c r="C734" s="11">
        <v>56000</v>
      </c>
      <c r="D734" s="11"/>
      <c r="E734" t="s">
        <v>702</v>
      </c>
      <c r="F734" s="110" t="s">
        <v>108</v>
      </c>
      <c r="I734">
        <v>62000</v>
      </c>
      <c r="K734">
        <v>18400</v>
      </c>
    </row>
    <row r="735" spans="1:11" x14ac:dyDescent="0.3">
      <c r="A735" s="38">
        <v>46144</v>
      </c>
      <c r="B735" t="s">
        <v>117</v>
      </c>
      <c r="C735" s="11">
        <f>104000-56000</f>
        <v>48000</v>
      </c>
      <c r="D735" s="11"/>
      <c r="E735" t="s">
        <v>703</v>
      </c>
      <c r="F735" s="110" t="s">
        <v>108</v>
      </c>
      <c r="I735">
        <v>26660</v>
      </c>
      <c r="K735">
        <v>17200</v>
      </c>
    </row>
    <row r="736" spans="1:11" x14ac:dyDescent="0.3">
      <c r="A736" s="38">
        <v>46144</v>
      </c>
      <c r="B736" t="s">
        <v>117</v>
      </c>
      <c r="C736" s="95">
        <v>4400</v>
      </c>
      <c r="D736" s="95"/>
      <c r="E736" t="s">
        <v>705</v>
      </c>
      <c r="F736" s="110" t="s">
        <v>108</v>
      </c>
      <c r="I736">
        <v>30000</v>
      </c>
      <c r="K736">
        <v>20000</v>
      </c>
    </row>
    <row r="737" spans="1:11" x14ac:dyDescent="0.3">
      <c r="A737" s="114">
        <v>46144</v>
      </c>
      <c r="B737" t="s">
        <v>55</v>
      </c>
      <c r="C737" s="95">
        <v>10620</v>
      </c>
      <c r="D737" s="95"/>
      <c r="E737" t="s">
        <v>706</v>
      </c>
      <c r="F737" s="110" t="s">
        <v>108</v>
      </c>
      <c r="I737">
        <v>9900</v>
      </c>
      <c r="K737">
        <v>24000</v>
      </c>
    </row>
    <row r="738" spans="1:11" x14ac:dyDescent="0.3">
      <c r="A738" s="114">
        <v>46144</v>
      </c>
      <c r="B738" t="s">
        <v>224</v>
      </c>
      <c r="C738" s="95">
        <v>200500</v>
      </c>
      <c r="D738" s="95"/>
      <c r="E738" t="s">
        <v>707</v>
      </c>
      <c r="F738" s="110" t="s">
        <v>108</v>
      </c>
      <c r="I738">
        <v>20000</v>
      </c>
      <c r="K738">
        <v>24000</v>
      </c>
    </row>
    <row r="739" spans="1:11" x14ac:dyDescent="0.3">
      <c r="A739" s="114">
        <v>46144</v>
      </c>
      <c r="B739" t="s">
        <v>224</v>
      </c>
      <c r="C739" s="95">
        <v>4000</v>
      </c>
      <c r="D739" s="95"/>
      <c r="E739" t="s">
        <v>341</v>
      </c>
      <c r="F739" s="110" t="s">
        <v>108</v>
      </c>
      <c r="K739">
        <v>9900</v>
      </c>
    </row>
    <row r="740" spans="1:11" x14ac:dyDescent="0.3">
      <c r="A740" s="114">
        <v>46144</v>
      </c>
      <c r="B740" t="s">
        <v>692</v>
      </c>
      <c r="C740" s="95">
        <v>1000</v>
      </c>
      <c r="D740" s="95"/>
      <c r="E740" t="s">
        <v>341</v>
      </c>
      <c r="F740" s="110" t="s">
        <v>108</v>
      </c>
    </row>
    <row r="741" spans="1:11" x14ac:dyDescent="0.3">
      <c r="A741" s="114">
        <v>46144</v>
      </c>
      <c r="B741" t="s">
        <v>640</v>
      </c>
      <c r="C741" s="95">
        <v>1000</v>
      </c>
      <c r="D741" s="95"/>
      <c r="E741" t="s">
        <v>341</v>
      </c>
      <c r="F741" s="110" t="s">
        <v>108</v>
      </c>
    </row>
    <row r="742" spans="1:11" x14ac:dyDescent="0.3">
      <c r="A742" s="114">
        <v>46144</v>
      </c>
      <c r="B742" t="s">
        <v>298</v>
      </c>
      <c r="C742" s="95">
        <v>2000</v>
      </c>
      <c r="D742" s="95"/>
      <c r="E742" t="s">
        <v>341</v>
      </c>
      <c r="F742" s="110" t="s">
        <v>108</v>
      </c>
    </row>
    <row r="743" spans="1:11" x14ac:dyDescent="0.3">
      <c r="A743" s="38">
        <v>46144</v>
      </c>
      <c r="B743" t="s">
        <v>282</v>
      </c>
      <c r="C743" s="95">
        <v>27600</v>
      </c>
      <c r="D743" s="95"/>
      <c r="E743" t="s">
        <v>469</v>
      </c>
      <c r="F743" s="110" t="s">
        <v>108</v>
      </c>
    </row>
    <row r="744" spans="1:11" x14ac:dyDescent="0.3">
      <c r="A744" s="38">
        <v>46144</v>
      </c>
      <c r="B744" t="s">
        <v>282</v>
      </c>
      <c r="C744" s="95">
        <v>1019630</v>
      </c>
      <c r="D744" s="95"/>
      <c r="E744" t="s">
        <v>352</v>
      </c>
      <c r="F744" s="110" t="s">
        <v>108</v>
      </c>
    </row>
    <row r="745" spans="1:11" x14ac:dyDescent="0.3">
      <c r="A745" s="38">
        <v>46144</v>
      </c>
      <c r="B745" t="s">
        <v>220</v>
      </c>
      <c r="C745" s="95">
        <v>500000</v>
      </c>
      <c r="D745" s="95"/>
      <c r="E745" t="s">
        <v>708</v>
      </c>
      <c r="F745" s="110" t="s">
        <v>108</v>
      </c>
    </row>
    <row r="746" spans="1:11" x14ac:dyDescent="0.3">
      <c r="A746" s="38">
        <v>46144</v>
      </c>
      <c r="B746" t="s">
        <v>220</v>
      </c>
      <c r="C746" s="95"/>
      <c r="D746" s="95">
        <v>400000</v>
      </c>
      <c r="E746" t="s">
        <v>109</v>
      </c>
      <c r="F746" s="110" t="s">
        <v>108</v>
      </c>
    </row>
    <row r="747" spans="1:11" x14ac:dyDescent="0.3">
      <c r="A747" s="38">
        <v>46145</v>
      </c>
      <c r="B747" t="s">
        <v>55</v>
      </c>
      <c r="C747" s="95">
        <v>1160</v>
      </c>
      <c r="D747" s="95"/>
      <c r="E747" t="s">
        <v>372</v>
      </c>
      <c r="F747" s="110" t="s">
        <v>108</v>
      </c>
    </row>
    <row r="748" spans="1:11" x14ac:dyDescent="0.3">
      <c r="A748" s="38">
        <v>46145</v>
      </c>
      <c r="B748" t="s">
        <v>55</v>
      </c>
      <c r="C748" s="95">
        <v>10200</v>
      </c>
      <c r="D748" s="95"/>
      <c r="E748" t="s">
        <v>641</v>
      </c>
      <c r="F748" s="110" t="s">
        <v>108</v>
      </c>
    </row>
    <row r="749" spans="1:11" x14ac:dyDescent="0.3">
      <c r="A749" s="38">
        <v>46145</v>
      </c>
      <c r="B749" t="s">
        <v>220</v>
      </c>
      <c r="C749" s="95"/>
      <c r="D749" s="95">
        <v>10200</v>
      </c>
      <c r="E749" t="s">
        <v>641</v>
      </c>
      <c r="F749" s="110" t="s">
        <v>108</v>
      </c>
    </row>
    <row r="750" spans="1:11" x14ac:dyDescent="0.3">
      <c r="A750" s="38">
        <v>46145</v>
      </c>
      <c r="B750" t="s">
        <v>55</v>
      </c>
      <c r="C750" s="95">
        <v>10000</v>
      </c>
      <c r="D750" s="95"/>
      <c r="E750" t="s">
        <v>315</v>
      </c>
      <c r="F750" s="110" t="s">
        <v>108</v>
      </c>
    </row>
    <row r="751" spans="1:11" x14ac:dyDescent="0.3">
      <c r="A751" s="38">
        <v>46145</v>
      </c>
      <c r="B751" t="s">
        <v>220</v>
      </c>
      <c r="C751" s="95"/>
      <c r="D751" s="95">
        <v>10000</v>
      </c>
      <c r="E751" t="s">
        <v>315</v>
      </c>
      <c r="F751" s="110" t="s">
        <v>108</v>
      </c>
    </row>
    <row r="752" spans="1:11" x14ac:dyDescent="0.3">
      <c r="A752" s="114">
        <v>46145</v>
      </c>
      <c r="B752" t="s">
        <v>212</v>
      </c>
      <c r="C752" s="95">
        <f>1970+780+780+1300+780</f>
        <v>5610</v>
      </c>
      <c r="D752" s="95"/>
      <c r="F752" s="110" t="s">
        <v>108</v>
      </c>
    </row>
    <row r="753" spans="1:6" x14ac:dyDescent="0.3">
      <c r="A753" s="38">
        <v>46146</v>
      </c>
      <c r="B753" t="s">
        <v>212</v>
      </c>
      <c r="C753" s="95">
        <f>750+1860+760</f>
        <v>3370</v>
      </c>
      <c r="D753" s="95"/>
      <c r="F753" s="110" t="s">
        <v>108</v>
      </c>
    </row>
    <row r="754" spans="1:6" x14ac:dyDescent="0.3">
      <c r="A754" s="114">
        <v>46146</v>
      </c>
      <c r="B754" t="s">
        <v>508</v>
      </c>
      <c r="C754" s="11">
        <v>5000</v>
      </c>
      <c r="D754" s="11"/>
      <c r="E754" t="s">
        <v>562</v>
      </c>
      <c r="F754" s="110" t="s">
        <v>108</v>
      </c>
    </row>
    <row r="755" spans="1:6" x14ac:dyDescent="0.3">
      <c r="A755" s="38">
        <v>46146</v>
      </c>
      <c r="B755" t="s">
        <v>55</v>
      </c>
      <c r="C755" s="11">
        <v>52160</v>
      </c>
      <c r="D755" s="11"/>
      <c r="E755" t="s">
        <v>315</v>
      </c>
      <c r="F755" s="110" t="s">
        <v>108</v>
      </c>
    </row>
    <row r="756" spans="1:6" x14ac:dyDescent="0.3">
      <c r="A756" s="114">
        <v>46146</v>
      </c>
      <c r="B756" t="s">
        <v>54</v>
      </c>
      <c r="C756" s="11">
        <v>2000</v>
      </c>
      <c r="D756" s="11"/>
      <c r="E756" t="s">
        <v>711</v>
      </c>
      <c r="F756" s="110" t="s">
        <v>108</v>
      </c>
    </row>
    <row r="757" spans="1:6" x14ac:dyDescent="0.3">
      <c r="A757" s="38">
        <v>46146</v>
      </c>
      <c r="B757" t="s">
        <v>54</v>
      </c>
      <c r="C757" s="11">
        <v>3000</v>
      </c>
      <c r="D757" s="11"/>
      <c r="E757" t="s">
        <v>712</v>
      </c>
      <c r="F757" s="110" t="s">
        <v>108</v>
      </c>
    </row>
    <row r="758" spans="1:6" x14ac:dyDescent="0.3">
      <c r="A758" s="114">
        <v>46146</v>
      </c>
      <c r="B758" t="s">
        <v>54</v>
      </c>
      <c r="C758" s="11">
        <v>5000</v>
      </c>
      <c r="D758" s="11"/>
      <c r="E758" t="s">
        <v>679</v>
      </c>
      <c r="F758" s="110" t="s">
        <v>108</v>
      </c>
    </row>
    <row r="759" spans="1:6" x14ac:dyDescent="0.3">
      <c r="A759" s="38">
        <v>46146</v>
      </c>
      <c r="B759" t="s">
        <v>55</v>
      </c>
      <c r="C759" s="11">
        <v>10000</v>
      </c>
      <c r="D759" s="11"/>
      <c r="E759" t="s">
        <v>713</v>
      </c>
      <c r="F759" s="110" t="s">
        <v>108</v>
      </c>
    </row>
    <row r="760" spans="1:6" x14ac:dyDescent="0.3">
      <c r="A760" s="114">
        <v>46146</v>
      </c>
      <c r="B760" t="s">
        <v>35</v>
      </c>
      <c r="C760" s="11"/>
      <c r="D760" s="11">
        <v>178000</v>
      </c>
      <c r="E760" t="s">
        <v>109</v>
      </c>
      <c r="F760" s="110" t="s">
        <v>108</v>
      </c>
    </row>
    <row r="761" spans="1:6" x14ac:dyDescent="0.3">
      <c r="A761" s="38">
        <v>46146</v>
      </c>
      <c r="B761" t="s">
        <v>9</v>
      </c>
      <c r="C761" s="11"/>
      <c r="D761" s="11">
        <v>100000</v>
      </c>
      <c r="E761" t="s">
        <v>714</v>
      </c>
      <c r="F761" s="110" t="s">
        <v>108</v>
      </c>
    </row>
    <row r="762" spans="1:6" x14ac:dyDescent="0.3">
      <c r="A762" s="114">
        <v>46146</v>
      </c>
      <c r="B762" t="s">
        <v>601</v>
      </c>
      <c r="C762" s="11">
        <v>9000</v>
      </c>
      <c r="D762" s="11"/>
      <c r="E762" t="s">
        <v>696</v>
      </c>
      <c r="F762" s="110" t="s">
        <v>108</v>
      </c>
    </row>
    <row r="763" spans="1:6" x14ac:dyDescent="0.3">
      <c r="A763" s="38">
        <v>46146</v>
      </c>
      <c r="B763" t="s">
        <v>298</v>
      </c>
      <c r="C763" s="11">
        <v>150000</v>
      </c>
      <c r="D763" s="11"/>
      <c r="E763" t="s">
        <v>715</v>
      </c>
      <c r="F763" s="110" t="s">
        <v>108</v>
      </c>
    </row>
    <row r="764" spans="1:6" x14ac:dyDescent="0.3">
      <c r="A764" s="114">
        <v>46146</v>
      </c>
      <c r="B764" t="s">
        <v>572</v>
      </c>
      <c r="C764" s="11">
        <v>18000</v>
      </c>
      <c r="D764" s="11"/>
      <c r="E764" t="s">
        <v>113</v>
      </c>
      <c r="F764" s="110" t="s">
        <v>108</v>
      </c>
    </row>
    <row r="765" spans="1:6" x14ac:dyDescent="0.3">
      <c r="A765" s="38">
        <v>46146</v>
      </c>
      <c r="B765" t="s">
        <v>117</v>
      </c>
      <c r="C765" s="11">
        <v>39000</v>
      </c>
      <c r="D765" s="11"/>
      <c r="E765" t="s">
        <v>531</v>
      </c>
      <c r="F765" s="110" t="s">
        <v>108</v>
      </c>
    </row>
    <row r="766" spans="1:6" x14ac:dyDescent="0.3">
      <c r="A766" s="114">
        <v>46146</v>
      </c>
      <c r="B766" t="s">
        <v>54</v>
      </c>
      <c r="C766" s="95">
        <v>700</v>
      </c>
      <c r="D766" s="95"/>
      <c r="E766" t="s">
        <v>470</v>
      </c>
      <c r="F766" s="110" t="s">
        <v>108</v>
      </c>
    </row>
    <row r="767" spans="1:6" x14ac:dyDescent="0.3">
      <c r="A767" s="114">
        <v>46146</v>
      </c>
      <c r="B767" t="s">
        <v>192</v>
      </c>
      <c r="C767" s="11"/>
      <c r="D767" s="11">
        <v>100000</v>
      </c>
      <c r="E767" t="s">
        <v>365</v>
      </c>
      <c r="F767" s="110" t="s">
        <v>108</v>
      </c>
    </row>
    <row r="768" spans="1:6" x14ac:dyDescent="0.3">
      <c r="A768" s="38">
        <v>46146</v>
      </c>
      <c r="B768" t="s">
        <v>55</v>
      </c>
      <c r="C768" s="11">
        <v>24080</v>
      </c>
      <c r="D768" s="11"/>
      <c r="E768" t="s">
        <v>315</v>
      </c>
      <c r="F768" s="110" t="s">
        <v>108</v>
      </c>
    </row>
    <row r="769" spans="1:6" x14ac:dyDescent="0.3">
      <c r="A769" s="114">
        <v>46146</v>
      </c>
      <c r="B769" t="s">
        <v>733</v>
      </c>
      <c r="C769" s="11">
        <v>25000</v>
      </c>
      <c r="D769" s="11"/>
      <c r="E769" t="s">
        <v>242</v>
      </c>
      <c r="F769" s="110" t="s">
        <v>108</v>
      </c>
    </row>
    <row r="770" spans="1:6" x14ac:dyDescent="0.3">
      <c r="A770" s="114">
        <v>46146</v>
      </c>
      <c r="B770" t="s">
        <v>733</v>
      </c>
      <c r="C770" s="11">
        <v>24000</v>
      </c>
      <c r="D770" s="11"/>
      <c r="E770" t="s">
        <v>242</v>
      </c>
      <c r="F770" s="110" t="s">
        <v>108</v>
      </c>
    </row>
    <row r="771" spans="1:6" x14ac:dyDescent="0.3">
      <c r="A771" s="114">
        <v>46147</v>
      </c>
      <c r="B771" t="s">
        <v>224</v>
      </c>
      <c r="C771" s="11">
        <v>105000</v>
      </c>
      <c r="D771" s="11"/>
      <c r="E771" t="s">
        <v>242</v>
      </c>
      <c r="F771" s="110" t="s">
        <v>108</v>
      </c>
    </row>
    <row r="772" spans="1:6" x14ac:dyDescent="0.3">
      <c r="A772" s="114">
        <v>46147</v>
      </c>
      <c r="B772" t="s">
        <v>671</v>
      </c>
      <c r="C772" s="11">
        <v>32000</v>
      </c>
      <c r="D772" s="11"/>
      <c r="F772" s="110" t="s">
        <v>108</v>
      </c>
    </row>
    <row r="773" spans="1:6" x14ac:dyDescent="0.3">
      <c r="A773" s="38">
        <v>46147</v>
      </c>
      <c r="B773" t="s">
        <v>192</v>
      </c>
      <c r="C773" s="11"/>
      <c r="D773" s="11">
        <v>50000</v>
      </c>
      <c r="F773" s="110" t="s">
        <v>108</v>
      </c>
    </row>
    <row r="774" spans="1:6" x14ac:dyDescent="0.3">
      <c r="A774" s="38">
        <v>46147</v>
      </c>
      <c r="B774" t="s">
        <v>246</v>
      </c>
      <c r="C774" s="11">
        <v>3000</v>
      </c>
      <c r="D774" s="11"/>
      <c r="F774" s="110" t="s">
        <v>108</v>
      </c>
    </row>
    <row r="775" spans="1:6" x14ac:dyDescent="0.3">
      <c r="A775" s="38">
        <v>46147</v>
      </c>
      <c r="B775" t="s">
        <v>55</v>
      </c>
      <c r="C775" s="95">
        <v>300</v>
      </c>
      <c r="D775" s="95"/>
      <c r="E775" t="s">
        <v>734</v>
      </c>
      <c r="F775" s="110" t="s">
        <v>108</v>
      </c>
    </row>
    <row r="776" spans="1:6" x14ac:dyDescent="0.3">
      <c r="A776" s="38">
        <v>46147</v>
      </c>
      <c r="B776" t="s">
        <v>54</v>
      </c>
      <c r="C776" s="95">
        <v>1606</v>
      </c>
      <c r="D776" s="95"/>
      <c r="F776" s="110" t="s">
        <v>108</v>
      </c>
    </row>
    <row r="777" spans="1:6" x14ac:dyDescent="0.3">
      <c r="A777" s="38">
        <v>46147</v>
      </c>
      <c r="B777" t="s">
        <v>709</v>
      </c>
      <c r="C777" s="95"/>
      <c r="D777" s="95">
        <v>65000</v>
      </c>
      <c r="F777" s="110" t="s">
        <v>108</v>
      </c>
    </row>
    <row r="778" spans="1:6" x14ac:dyDescent="0.3">
      <c r="A778" s="38">
        <v>46147</v>
      </c>
      <c r="B778" t="s">
        <v>55</v>
      </c>
      <c r="C778" s="95">
        <v>1180</v>
      </c>
      <c r="D778" s="95"/>
      <c r="F778" s="110" t="s">
        <v>108</v>
      </c>
    </row>
    <row r="779" spans="1:6" x14ac:dyDescent="0.3">
      <c r="A779" s="38">
        <v>46147</v>
      </c>
      <c r="B779" t="s">
        <v>246</v>
      </c>
      <c r="C779" s="95">
        <v>15000</v>
      </c>
      <c r="D779" s="95"/>
      <c r="E779" t="s">
        <v>735</v>
      </c>
      <c r="F779" s="110" t="s">
        <v>108</v>
      </c>
    </row>
    <row r="780" spans="1:6" x14ac:dyDescent="0.3">
      <c r="A780" s="38">
        <v>46147</v>
      </c>
      <c r="B780" t="s">
        <v>741</v>
      </c>
      <c r="C780" s="95">
        <v>3600</v>
      </c>
      <c r="D780" s="95"/>
      <c r="F780" s="110" t="s">
        <v>108</v>
      </c>
    </row>
    <row r="781" spans="1:6" x14ac:dyDescent="0.3">
      <c r="A781" s="38">
        <v>46147</v>
      </c>
      <c r="B781" t="s">
        <v>54</v>
      </c>
      <c r="C781" s="95">
        <v>600</v>
      </c>
      <c r="D781" s="95"/>
      <c r="F781" s="110" t="s">
        <v>108</v>
      </c>
    </row>
    <row r="782" spans="1:6" x14ac:dyDescent="0.3">
      <c r="A782" s="38">
        <v>46147</v>
      </c>
      <c r="B782" t="s">
        <v>246</v>
      </c>
      <c r="C782" s="95">
        <f>11000-3600-600</f>
        <v>6800</v>
      </c>
      <c r="D782" s="95"/>
      <c r="E782" t="s">
        <v>742</v>
      </c>
      <c r="F782" s="110" t="s">
        <v>108</v>
      </c>
    </row>
    <row r="783" spans="1:6" x14ac:dyDescent="0.3">
      <c r="A783" s="38">
        <v>46148</v>
      </c>
      <c r="B783" t="s">
        <v>35</v>
      </c>
      <c r="C783" s="95"/>
      <c r="D783" s="95">
        <v>100000</v>
      </c>
      <c r="F783" s="110" t="s">
        <v>108</v>
      </c>
    </row>
    <row r="784" spans="1:6" x14ac:dyDescent="0.3">
      <c r="A784" s="38">
        <v>46148</v>
      </c>
      <c r="B784" t="s">
        <v>117</v>
      </c>
      <c r="C784" s="95">
        <v>58500</v>
      </c>
      <c r="D784" s="95"/>
      <c r="E784" t="s">
        <v>736</v>
      </c>
      <c r="F784" s="110" t="s">
        <v>108</v>
      </c>
    </row>
    <row r="785" spans="1:6" x14ac:dyDescent="0.3">
      <c r="A785" s="38">
        <v>46148</v>
      </c>
      <c r="B785" t="s">
        <v>55</v>
      </c>
      <c r="C785" s="95">
        <v>1200</v>
      </c>
      <c r="D785" s="95"/>
      <c r="F785" s="110" t="s">
        <v>108</v>
      </c>
    </row>
    <row r="786" spans="1:6" x14ac:dyDescent="0.3">
      <c r="A786" s="38">
        <v>46148</v>
      </c>
      <c r="B786" t="s">
        <v>55</v>
      </c>
      <c r="C786" s="95">
        <v>4280</v>
      </c>
      <c r="D786" s="95"/>
      <c r="F786" s="110" t="s">
        <v>108</v>
      </c>
    </row>
    <row r="787" spans="1:6" x14ac:dyDescent="0.3">
      <c r="A787" s="38">
        <v>46148</v>
      </c>
      <c r="B787" t="s">
        <v>246</v>
      </c>
      <c r="C787" s="95">
        <v>550</v>
      </c>
      <c r="D787" s="95"/>
      <c r="E787" t="s">
        <v>581</v>
      </c>
      <c r="F787" s="110" t="s">
        <v>108</v>
      </c>
    </row>
    <row r="788" spans="1:6" x14ac:dyDescent="0.3">
      <c r="A788" s="38">
        <v>46148</v>
      </c>
      <c r="B788" t="s">
        <v>709</v>
      </c>
      <c r="C788" s="95"/>
      <c r="D788" s="95">
        <v>70000</v>
      </c>
      <c r="E788" t="s">
        <v>109</v>
      </c>
      <c r="F788" s="110" t="s">
        <v>108</v>
      </c>
    </row>
    <row r="789" spans="1:6" x14ac:dyDescent="0.3">
      <c r="A789" s="38">
        <v>46148</v>
      </c>
      <c r="B789" t="s">
        <v>55</v>
      </c>
      <c r="C789" s="95">
        <v>2550</v>
      </c>
      <c r="D789" s="95"/>
      <c r="E789" t="s">
        <v>737</v>
      </c>
      <c r="F789" s="110" t="s">
        <v>108</v>
      </c>
    </row>
    <row r="790" spans="1:6" x14ac:dyDescent="0.3">
      <c r="A790" s="38">
        <v>46148</v>
      </c>
      <c r="B790" t="s">
        <v>246</v>
      </c>
      <c r="C790" s="95">
        <v>2600</v>
      </c>
      <c r="D790" s="95"/>
      <c r="E790" t="s">
        <v>738</v>
      </c>
      <c r="F790" s="110" t="s">
        <v>108</v>
      </c>
    </row>
    <row r="791" spans="1:6" x14ac:dyDescent="0.3">
      <c r="A791" s="38">
        <v>46148</v>
      </c>
      <c r="B791" t="s">
        <v>692</v>
      </c>
      <c r="C791" s="95">
        <v>29500</v>
      </c>
      <c r="D791" s="95"/>
      <c r="E791" t="s">
        <v>242</v>
      </c>
      <c r="F791" s="110" t="s">
        <v>108</v>
      </c>
    </row>
    <row r="792" spans="1:6" x14ac:dyDescent="0.3">
      <c r="A792" s="38">
        <v>46148</v>
      </c>
      <c r="B792" t="s">
        <v>733</v>
      </c>
      <c r="C792" s="95">
        <v>28000</v>
      </c>
      <c r="D792" s="95"/>
      <c r="E792" t="s">
        <v>242</v>
      </c>
      <c r="F792" s="110" t="s">
        <v>108</v>
      </c>
    </row>
    <row r="793" spans="1:6" x14ac:dyDescent="0.3">
      <c r="A793" s="38">
        <v>46148</v>
      </c>
      <c r="B793" t="s">
        <v>220</v>
      </c>
      <c r="C793" s="95"/>
      <c r="D793" s="95">
        <v>56632</v>
      </c>
      <c r="E793" t="s">
        <v>449</v>
      </c>
      <c r="F793" s="110" t="s">
        <v>108</v>
      </c>
    </row>
    <row r="794" spans="1:6" x14ac:dyDescent="0.3">
      <c r="A794" s="38">
        <v>46148</v>
      </c>
      <c r="B794" t="s">
        <v>220</v>
      </c>
      <c r="C794" s="95"/>
      <c r="D794" s="95">
        <v>100000</v>
      </c>
      <c r="E794" t="s">
        <v>739</v>
      </c>
      <c r="F794" s="110" t="s">
        <v>108</v>
      </c>
    </row>
    <row r="795" spans="1:6" x14ac:dyDescent="0.3">
      <c r="A795" s="38">
        <v>46148</v>
      </c>
      <c r="B795" t="s">
        <v>733</v>
      </c>
      <c r="C795" s="95">
        <v>150000</v>
      </c>
      <c r="D795" s="95"/>
      <c r="E795" t="s">
        <v>740</v>
      </c>
      <c r="F795" s="110" t="s">
        <v>108</v>
      </c>
    </row>
    <row r="796" spans="1:6" x14ac:dyDescent="0.3">
      <c r="A796" s="38">
        <v>46148</v>
      </c>
      <c r="B796" t="s">
        <v>357</v>
      </c>
      <c r="C796" s="95">
        <v>5000</v>
      </c>
      <c r="D796" s="95"/>
      <c r="E796" t="s">
        <v>281</v>
      </c>
      <c r="F796" s="110" t="s">
        <v>108</v>
      </c>
    </row>
    <row r="797" spans="1:6" x14ac:dyDescent="0.3">
      <c r="A797" s="38">
        <v>46148</v>
      </c>
      <c r="B797" t="s">
        <v>709</v>
      </c>
      <c r="C797" s="95"/>
      <c r="D797" s="95">
        <v>30000</v>
      </c>
      <c r="F797" s="110" t="s">
        <v>108</v>
      </c>
    </row>
    <row r="798" spans="1:6" x14ac:dyDescent="0.3">
      <c r="A798" s="38">
        <v>46148</v>
      </c>
      <c r="B798" t="s">
        <v>220</v>
      </c>
      <c r="C798" s="95">
        <v>30000</v>
      </c>
      <c r="D798" s="95"/>
      <c r="E798" t="s">
        <v>745</v>
      </c>
      <c r="F798" s="110" t="s">
        <v>108</v>
      </c>
    </row>
    <row r="799" spans="1:6" x14ac:dyDescent="0.3">
      <c r="A799" s="38">
        <v>46149</v>
      </c>
      <c r="B799" t="s">
        <v>220</v>
      </c>
      <c r="C799" s="95"/>
      <c r="D799" s="95">
        <v>55000</v>
      </c>
      <c r="F799" s="110" t="s">
        <v>108</v>
      </c>
    </row>
    <row r="800" spans="1:6" x14ac:dyDescent="0.3">
      <c r="A800" s="38">
        <v>46149</v>
      </c>
      <c r="B800" t="s">
        <v>743</v>
      </c>
      <c r="C800" s="95">
        <v>55000</v>
      </c>
      <c r="D800" s="95"/>
      <c r="E800" t="s">
        <v>216</v>
      </c>
      <c r="F800" s="110" t="s">
        <v>108</v>
      </c>
    </row>
    <row r="801" spans="1:6" x14ac:dyDescent="0.3">
      <c r="A801" s="114">
        <v>46149</v>
      </c>
      <c r="B801" t="s">
        <v>601</v>
      </c>
      <c r="C801" s="95">
        <v>9000</v>
      </c>
      <c r="D801" s="95"/>
      <c r="E801" t="s">
        <v>744</v>
      </c>
      <c r="F801" s="110" t="s">
        <v>108</v>
      </c>
    </row>
    <row r="802" spans="1:6" x14ac:dyDescent="0.3">
      <c r="A802" s="114">
        <v>46149</v>
      </c>
      <c r="B802" t="s">
        <v>220</v>
      </c>
      <c r="C802" s="95"/>
      <c r="D802" s="95">
        <v>50000</v>
      </c>
      <c r="E802" t="s">
        <v>749</v>
      </c>
      <c r="F802" s="110" t="s">
        <v>108</v>
      </c>
    </row>
    <row r="803" spans="1:6" x14ac:dyDescent="0.3">
      <c r="A803" s="114">
        <v>46149</v>
      </c>
      <c r="B803" t="s">
        <v>733</v>
      </c>
      <c r="C803" s="11">
        <v>24500</v>
      </c>
      <c r="D803" s="11"/>
      <c r="E803" t="s">
        <v>242</v>
      </c>
      <c r="F803" s="110" t="s">
        <v>108</v>
      </c>
    </row>
    <row r="804" spans="1:6" x14ac:dyDescent="0.3">
      <c r="A804" s="114">
        <v>46149</v>
      </c>
      <c r="B804" t="s">
        <v>733</v>
      </c>
      <c r="C804" s="11">
        <v>25000</v>
      </c>
      <c r="D804" s="11"/>
      <c r="E804" t="s">
        <v>242</v>
      </c>
      <c r="F804" s="110" t="s">
        <v>108</v>
      </c>
    </row>
    <row r="805" spans="1:6" x14ac:dyDescent="0.3">
      <c r="A805" s="114">
        <v>46149</v>
      </c>
      <c r="B805" t="s">
        <v>212</v>
      </c>
      <c r="C805" s="11">
        <v>500</v>
      </c>
      <c r="D805" s="11"/>
      <c r="F805" s="110" t="s">
        <v>108</v>
      </c>
    </row>
    <row r="806" spans="1:6" x14ac:dyDescent="0.3">
      <c r="A806" s="114">
        <v>46149</v>
      </c>
      <c r="B806" t="s">
        <v>220</v>
      </c>
      <c r="C806" s="11"/>
      <c r="D806" s="11">
        <v>20000</v>
      </c>
      <c r="E806" t="s">
        <v>330</v>
      </c>
      <c r="F806" s="110" t="s">
        <v>108</v>
      </c>
    </row>
    <row r="807" spans="1:6" x14ac:dyDescent="0.3">
      <c r="A807" s="38">
        <v>46149</v>
      </c>
      <c r="B807" t="s">
        <v>357</v>
      </c>
      <c r="C807" s="11">
        <v>25000</v>
      </c>
      <c r="D807" s="11"/>
      <c r="E807" t="s">
        <v>621</v>
      </c>
      <c r="F807" s="110" t="s">
        <v>108</v>
      </c>
    </row>
    <row r="808" spans="1:6" x14ac:dyDescent="0.3">
      <c r="A808" s="38">
        <v>46149</v>
      </c>
      <c r="B808" t="s">
        <v>572</v>
      </c>
      <c r="C808" s="95">
        <v>2200</v>
      </c>
      <c r="D808" s="95"/>
      <c r="F808" s="110" t="s">
        <v>108</v>
      </c>
    </row>
    <row r="809" spans="1:6" x14ac:dyDescent="0.3">
      <c r="A809" s="38">
        <v>46150</v>
      </c>
      <c r="B809" t="s">
        <v>55</v>
      </c>
      <c r="C809" s="11">
        <v>1600</v>
      </c>
      <c r="D809" s="11"/>
      <c r="F809" s="110" t="s">
        <v>108</v>
      </c>
    </row>
    <row r="810" spans="1:6" x14ac:dyDescent="0.3">
      <c r="A810" s="38">
        <v>46150</v>
      </c>
      <c r="B810" t="s">
        <v>220</v>
      </c>
      <c r="C810" s="95"/>
      <c r="D810" s="95">
        <v>60000</v>
      </c>
      <c r="E810" t="s">
        <v>750</v>
      </c>
      <c r="F810" s="110" t="s">
        <v>108</v>
      </c>
    </row>
    <row r="811" spans="1:6" x14ac:dyDescent="0.3">
      <c r="A811" s="38">
        <v>46150</v>
      </c>
      <c r="B811" t="s">
        <v>55</v>
      </c>
      <c r="C811" s="95">
        <v>2520</v>
      </c>
      <c r="D811" s="95"/>
      <c r="E811" t="s">
        <v>663</v>
      </c>
      <c r="F811" s="110" t="s">
        <v>108</v>
      </c>
    </row>
    <row r="812" spans="1:6" x14ac:dyDescent="0.3">
      <c r="A812" s="38">
        <v>46150</v>
      </c>
      <c r="B812" t="s">
        <v>117</v>
      </c>
      <c r="C812" s="95">
        <v>46800</v>
      </c>
      <c r="D812" s="95"/>
      <c r="E812" t="s">
        <v>751</v>
      </c>
      <c r="F812" s="110" t="s">
        <v>108</v>
      </c>
    </row>
    <row r="813" spans="1:6" x14ac:dyDescent="0.3">
      <c r="A813" s="38">
        <v>46150</v>
      </c>
      <c r="B813" t="s">
        <v>54</v>
      </c>
      <c r="C813" s="95">
        <v>700</v>
      </c>
      <c r="D813" s="95"/>
      <c r="E813" t="s">
        <v>470</v>
      </c>
      <c r="F813" s="110" t="s">
        <v>108</v>
      </c>
    </row>
    <row r="814" spans="1:6" x14ac:dyDescent="0.3">
      <c r="A814" s="38">
        <v>46150</v>
      </c>
      <c r="B814" t="s">
        <v>572</v>
      </c>
      <c r="C814" s="95">
        <v>2200</v>
      </c>
      <c r="D814" s="95"/>
      <c r="E814" t="s">
        <v>752</v>
      </c>
      <c r="F814" s="110" t="s">
        <v>108</v>
      </c>
    </row>
    <row r="815" spans="1:6" x14ac:dyDescent="0.3">
      <c r="A815" s="38">
        <v>46150</v>
      </c>
      <c r="B815" t="s">
        <v>220</v>
      </c>
      <c r="C815" s="95"/>
      <c r="D815" s="95">
        <v>250000</v>
      </c>
      <c r="E815" t="s">
        <v>753</v>
      </c>
      <c r="F815" s="110" t="s">
        <v>108</v>
      </c>
    </row>
    <row r="816" spans="1:6" x14ac:dyDescent="0.3">
      <c r="A816" s="38">
        <v>46150</v>
      </c>
      <c r="B816" t="s">
        <v>709</v>
      </c>
      <c r="C816" s="95"/>
      <c r="D816" s="95">
        <v>100000</v>
      </c>
      <c r="E816" t="s">
        <v>109</v>
      </c>
      <c r="F816" s="110" t="s">
        <v>108</v>
      </c>
    </row>
    <row r="817" spans="1:6" x14ac:dyDescent="0.3">
      <c r="A817" s="38">
        <v>46150</v>
      </c>
      <c r="B817" t="s">
        <v>220</v>
      </c>
      <c r="C817" s="95">
        <v>100000</v>
      </c>
      <c r="D817" s="95"/>
      <c r="E817" t="s">
        <v>745</v>
      </c>
      <c r="F817" s="110" t="s">
        <v>108</v>
      </c>
    </row>
    <row r="818" spans="1:6" x14ac:dyDescent="0.3">
      <c r="A818" s="38">
        <v>46150</v>
      </c>
      <c r="B818" t="s">
        <v>298</v>
      </c>
      <c r="C818" s="95">
        <v>100000</v>
      </c>
      <c r="D818" s="95"/>
      <c r="E818" t="s">
        <v>754</v>
      </c>
      <c r="F818" s="110" t="s">
        <v>108</v>
      </c>
    </row>
    <row r="819" spans="1:6" x14ac:dyDescent="0.3">
      <c r="A819" s="38">
        <v>46150</v>
      </c>
      <c r="B819" t="s">
        <v>222</v>
      </c>
      <c r="C819" s="95">
        <v>100000</v>
      </c>
      <c r="D819" s="95"/>
      <c r="E819" t="s">
        <v>754</v>
      </c>
      <c r="F819" s="110" t="s">
        <v>108</v>
      </c>
    </row>
    <row r="820" spans="1:6" x14ac:dyDescent="0.3">
      <c r="A820" s="38">
        <v>46150</v>
      </c>
      <c r="B820" t="s">
        <v>282</v>
      </c>
      <c r="C820" s="95">
        <v>45000</v>
      </c>
      <c r="D820" s="95"/>
      <c r="E820" t="s">
        <v>755</v>
      </c>
      <c r="F820" s="110" t="s">
        <v>108</v>
      </c>
    </row>
    <row r="821" spans="1:6" x14ac:dyDescent="0.3">
      <c r="A821" s="38">
        <v>46150</v>
      </c>
      <c r="B821" t="s">
        <v>212</v>
      </c>
      <c r="C821" s="95">
        <v>790</v>
      </c>
      <c r="D821" s="95"/>
      <c r="E821" t="s">
        <v>293</v>
      </c>
      <c r="F821" s="110" t="s">
        <v>108</v>
      </c>
    </row>
    <row r="822" spans="1:6" x14ac:dyDescent="0.3">
      <c r="A822" s="145">
        <v>46150</v>
      </c>
      <c r="B822" t="s">
        <v>176</v>
      </c>
      <c r="C822" s="11">
        <v>36000</v>
      </c>
      <c r="D822" s="11"/>
      <c r="E822" t="s">
        <v>781</v>
      </c>
      <c r="F822" s="110" t="s">
        <v>108</v>
      </c>
    </row>
    <row r="823" spans="1:6" x14ac:dyDescent="0.3">
      <c r="A823" s="145">
        <v>46150</v>
      </c>
      <c r="B823" t="s">
        <v>220</v>
      </c>
      <c r="C823" s="11"/>
      <c r="D823" s="11">
        <v>36000</v>
      </c>
      <c r="E823" t="s">
        <v>781</v>
      </c>
      <c r="F823" s="110" t="s">
        <v>108</v>
      </c>
    </row>
    <row r="824" spans="1:6" x14ac:dyDescent="0.3">
      <c r="A824" s="38">
        <v>46151</v>
      </c>
      <c r="B824" t="s">
        <v>756</v>
      </c>
      <c r="C824" s="95"/>
      <c r="D824" s="95">
        <v>500000</v>
      </c>
      <c r="E824" t="s">
        <v>757</v>
      </c>
      <c r="F824" s="110" t="s">
        <v>108</v>
      </c>
    </row>
    <row r="825" spans="1:6" x14ac:dyDescent="0.3">
      <c r="A825" s="38">
        <v>46151</v>
      </c>
      <c r="B825" t="s">
        <v>176</v>
      </c>
      <c r="C825" s="95">
        <v>55000</v>
      </c>
      <c r="D825" s="95"/>
      <c r="E825" t="s">
        <v>702</v>
      </c>
      <c r="F825" s="110" t="s">
        <v>108</v>
      </c>
    </row>
    <row r="826" spans="1:6" x14ac:dyDescent="0.3">
      <c r="A826" s="38">
        <v>46151</v>
      </c>
      <c r="B826" t="s">
        <v>54</v>
      </c>
      <c r="C826" s="95">
        <v>2000</v>
      </c>
      <c r="D826" s="95"/>
      <c r="E826" t="s">
        <v>758</v>
      </c>
      <c r="F826" s="110" t="s">
        <v>108</v>
      </c>
    </row>
    <row r="827" spans="1:6" x14ac:dyDescent="0.3">
      <c r="A827" s="38">
        <v>46151</v>
      </c>
      <c r="B827" t="s">
        <v>224</v>
      </c>
      <c r="C827" s="95">
        <v>100000</v>
      </c>
      <c r="D827" s="95"/>
      <c r="E827" t="s">
        <v>242</v>
      </c>
      <c r="F827" s="110" t="s">
        <v>108</v>
      </c>
    </row>
    <row r="828" spans="1:6" x14ac:dyDescent="0.3">
      <c r="A828" s="38">
        <v>46151</v>
      </c>
      <c r="B828" t="s">
        <v>572</v>
      </c>
      <c r="C828" s="95">
        <v>30000</v>
      </c>
      <c r="D828" s="95"/>
      <c r="E828" t="s">
        <v>759</v>
      </c>
      <c r="F828" s="110" t="s">
        <v>108</v>
      </c>
    </row>
    <row r="829" spans="1:6" x14ac:dyDescent="0.3">
      <c r="A829" s="38">
        <v>46151</v>
      </c>
      <c r="B829" t="s">
        <v>692</v>
      </c>
      <c r="C829" s="95">
        <v>198400</v>
      </c>
      <c r="D829" s="95"/>
      <c r="E829" t="s">
        <v>760</v>
      </c>
      <c r="F829" s="110" t="s">
        <v>108</v>
      </c>
    </row>
    <row r="830" spans="1:6" x14ac:dyDescent="0.3">
      <c r="A830" s="38">
        <v>46151</v>
      </c>
      <c r="B830" t="s">
        <v>169</v>
      </c>
      <c r="C830" s="95">
        <v>100000</v>
      </c>
      <c r="D830" s="95"/>
      <c r="E830" t="s">
        <v>761</v>
      </c>
      <c r="F830" s="110" t="s">
        <v>108</v>
      </c>
    </row>
    <row r="831" spans="1:6" x14ac:dyDescent="0.3">
      <c r="A831" s="38">
        <v>46151</v>
      </c>
      <c r="B831" t="s">
        <v>55</v>
      </c>
      <c r="C831" s="95">
        <v>2800</v>
      </c>
      <c r="D831" s="95"/>
      <c r="E831" t="s">
        <v>642</v>
      </c>
      <c r="F831" s="110" t="s">
        <v>108</v>
      </c>
    </row>
    <row r="832" spans="1:6" x14ac:dyDescent="0.3">
      <c r="A832" s="38">
        <v>46151</v>
      </c>
      <c r="B832" t="s">
        <v>357</v>
      </c>
      <c r="C832" s="95">
        <v>10000</v>
      </c>
      <c r="D832" s="95"/>
      <c r="E832" t="s">
        <v>694</v>
      </c>
      <c r="F832" s="110" t="s">
        <v>108</v>
      </c>
    </row>
    <row r="833" spans="1:6" x14ac:dyDescent="0.3">
      <c r="A833" s="38">
        <v>46151</v>
      </c>
      <c r="B833" t="s">
        <v>357</v>
      </c>
      <c r="C833" s="95">
        <v>10000</v>
      </c>
      <c r="D833" s="95"/>
      <c r="E833" t="s">
        <v>469</v>
      </c>
      <c r="F833" s="110" t="s">
        <v>108</v>
      </c>
    </row>
    <row r="834" spans="1:6" x14ac:dyDescent="0.3">
      <c r="A834" s="38">
        <v>46151</v>
      </c>
      <c r="B834" t="s">
        <v>212</v>
      </c>
      <c r="C834" s="95">
        <v>2260</v>
      </c>
      <c r="D834" s="95"/>
      <c r="F834" s="110" t="s">
        <v>108</v>
      </c>
    </row>
    <row r="835" spans="1:6" x14ac:dyDescent="0.3">
      <c r="A835" s="38">
        <v>46151</v>
      </c>
      <c r="B835" t="s">
        <v>709</v>
      </c>
      <c r="C835" s="95"/>
      <c r="D835" s="95">
        <v>100000</v>
      </c>
      <c r="E835" t="s">
        <v>109</v>
      </c>
      <c r="F835" s="110" t="s">
        <v>108</v>
      </c>
    </row>
    <row r="836" spans="1:6" x14ac:dyDescent="0.3">
      <c r="A836" s="38">
        <v>46151</v>
      </c>
      <c r="B836" t="s">
        <v>220</v>
      </c>
      <c r="C836" s="95">
        <v>100000</v>
      </c>
      <c r="D836" s="95"/>
      <c r="E836" t="s">
        <v>745</v>
      </c>
      <c r="F836" s="110" t="s">
        <v>108</v>
      </c>
    </row>
    <row r="837" spans="1:6" x14ac:dyDescent="0.3">
      <c r="A837" s="38">
        <v>46152</v>
      </c>
      <c r="B837" t="s">
        <v>220</v>
      </c>
      <c r="C837" s="95"/>
      <c r="D837" s="95">
        <v>18000</v>
      </c>
      <c r="F837" s="110" t="s">
        <v>108</v>
      </c>
    </row>
    <row r="838" spans="1:6" x14ac:dyDescent="0.3">
      <c r="A838" s="38">
        <v>46152</v>
      </c>
      <c r="B838" t="s">
        <v>601</v>
      </c>
      <c r="C838" s="95">
        <v>4500</v>
      </c>
      <c r="D838" s="95"/>
      <c r="E838" t="s">
        <v>439</v>
      </c>
      <c r="F838" s="110" t="s">
        <v>108</v>
      </c>
    </row>
    <row r="839" spans="1:6" x14ac:dyDescent="0.3">
      <c r="A839" s="38">
        <v>46152</v>
      </c>
      <c r="B839" t="s">
        <v>212</v>
      </c>
      <c r="C839" s="95">
        <v>780</v>
      </c>
      <c r="D839" s="95"/>
      <c r="F839" s="110" t="s">
        <v>108</v>
      </c>
    </row>
    <row r="840" spans="1:6" x14ac:dyDescent="0.3">
      <c r="A840" s="38">
        <v>46152</v>
      </c>
      <c r="B840" t="s">
        <v>55</v>
      </c>
      <c r="C840" s="95">
        <v>1560</v>
      </c>
      <c r="D840" s="95"/>
      <c r="F840" s="110" t="s">
        <v>108</v>
      </c>
    </row>
    <row r="841" spans="1:6" x14ac:dyDescent="0.3">
      <c r="A841" s="38">
        <v>46152</v>
      </c>
      <c r="B841" t="s">
        <v>55</v>
      </c>
      <c r="C841" s="95">
        <v>2500</v>
      </c>
      <c r="D841" s="95"/>
      <c r="F841" s="110" t="s">
        <v>108</v>
      </c>
    </row>
    <row r="842" spans="1:6" x14ac:dyDescent="0.3">
      <c r="A842" s="38">
        <v>46152</v>
      </c>
      <c r="B842" t="s">
        <v>55</v>
      </c>
      <c r="C842" s="95">
        <v>550</v>
      </c>
      <c r="D842" s="95"/>
      <c r="F842" s="110" t="s">
        <v>108</v>
      </c>
    </row>
    <row r="843" spans="1:6" x14ac:dyDescent="0.3">
      <c r="A843" s="38">
        <v>46152</v>
      </c>
      <c r="B843" t="s">
        <v>55</v>
      </c>
      <c r="C843" s="95">
        <v>1000</v>
      </c>
      <c r="D843" s="95"/>
      <c r="F843" s="110" t="s">
        <v>108</v>
      </c>
    </row>
    <row r="844" spans="1:6" x14ac:dyDescent="0.3">
      <c r="A844" s="38">
        <v>46152</v>
      </c>
      <c r="B844" t="s">
        <v>212</v>
      </c>
      <c r="C844" s="95"/>
      <c r="D844" s="95">
        <v>1000</v>
      </c>
      <c r="F844" s="110" t="s">
        <v>108</v>
      </c>
    </row>
    <row r="845" spans="1:6" x14ac:dyDescent="0.3">
      <c r="A845" s="38">
        <v>46153</v>
      </c>
      <c r="B845" t="s">
        <v>192</v>
      </c>
      <c r="C845" s="95"/>
      <c r="D845" s="95">
        <v>60000</v>
      </c>
      <c r="F845" s="110" t="s">
        <v>108</v>
      </c>
    </row>
    <row r="846" spans="1:6" x14ac:dyDescent="0.3">
      <c r="A846" s="38">
        <v>46153</v>
      </c>
      <c r="B846" t="s">
        <v>220</v>
      </c>
      <c r="C846" s="95">
        <v>60000</v>
      </c>
      <c r="D846" s="95"/>
      <c r="E846" t="s">
        <v>192</v>
      </c>
      <c r="F846" s="110" t="s">
        <v>108</v>
      </c>
    </row>
    <row r="847" spans="1:6" x14ac:dyDescent="0.3">
      <c r="A847" s="38">
        <v>46153</v>
      </c>
      <c r="B847" t="s">
        <v>55</v>
      </c>
      <c r="C847" s="95">
        <v>3500</v>
      </c>
      <c r="D847" s="95"/>
      <c r="E847" t="s">
        <v>763</v>
      </c>
      <c r="F847" s="110" t="s">
        <v>108</v>
      </c>
    </row>
    <row r="848" spans="1:6" x14ac:dyDescent="0.3">
      <c r="A848" s="38">
        <v>46153</v>
      </c>
      <c r="B848" t="s">
        <v>55</v>
      </c>
      <c r="C848" s="95">
        <v>1560</v>
      </c>
      <c r="D848" s="95"/>
      <c r="E848" t="s">
        <v>763</v>
      </c>
      <c r="F848" s="110" t="s">
        <v>108</v>
      </c>
    </row>
    <row r="849" spans="1:6" x14ac:dyDescent="0.3">
      <c r="A849" s="38">
        <v>46153</v>
      </c>
      <c r="B849" t="s">
        <v>220</v>
      </c>
      <c r="C849" s="95"/>
      <c r="D849" s="95">
        <v>3500</v>
      </c>
      <c r="F849" s="110" t="s">
        <v>108</v>
      </c>
    </row>
    <row r="850" spans="1:6" x14ac:dyDescent="0.3">
      <c r="A850" s="38">
        <v>46153</v>
      </c>
      <c r="B850" t="s">
        <v>55</v>
      </c>
      <c r="C850" s="95">
        <v>2500</v>
      </c>
      <c r="D850" s="95"/>
      <c r="E850" t="s">
        <v>491</v>
      </c>
      <c r="F850" s="110" t="s">
        <v>108</v>
      </c>
    </row>
    <row r="851" spans="1:6" x14ac:dyDescent="0.3">
      <c r="A851" s="38">
        <v>46153</v>
      </c>
      <c r="B851" t="s">
        <v>55</v>
      </c>
      <c r="C851" s="95">
        <v>550</v>
      </c>
      <c r="D851" s="95"/>
      <c r="F851" s="110" t="s">
        <v>108</v>
      </c>
    </row>
    <row r="852" spans="1:6" x14ac:dyDescent="0.3">
      <c r="A852" s="38">
        <v>46153</v>
      </c>
      <c r="B852" t="s">
        <v>115</v>
      </c>
      <c r="C852" s="95">
        <v>500000</v>
      </c>
      <c r="D852" s="95"/>
      <c r="E852" t="s">
        <v>764</v>
      </c>
      <c r="F852" s="110" t="s">
        <v>108</v>
      </c>
    </row>
    <row r="853" spans="1:6" x14ac:dyDescent="0.3">
      <c r="A853" s="38">
        <v>46153</v>
      </c>
      <c r="B853" t="s">
        <v>220</v>
      </c>
      <c r="C853" s="95"/>
      <c r="D853" s="95">
        <v>500000</v>
      </c>
      <c r="E853" t="s">
        <v>765</v>
      </c>
      <c r="F853" s="110" t="s">
        <v>108</v>
      </c>
    </row>
    <row r="854" spans="1:6" x14ac:dyDescent="0.3">
      <c r="A854" s="38">
        <v>46153</v>
      </c>
      <c r="B854" t="s">
        <v>9</v>
      </c>
      <c r="C854" s="95"/>
      <c r="D854" s="95">
        <v>37085</v>
      </c>
      <c r="E854" t="s">
        <v>216</v>
      </c>
      <c r="F854" s="110" t="s">
        <v>108</v>
      </c>
    </row>
    <row r="855" spans="1:6" x14ac:dyDescent="0.3">
      <c r="A855" s="38">
        <v>46153</v>
      </c>
      <c r="B855" t="s">
        <v>55</v>
      </c>
      <c r="C855" s="95">
        <v>28500</v>
      </c>
      <c r="D855" s="95"/>
      <c r="E855" t="s">
        <v>766</v>
      </c>
      <c r="F855" s="110" t="s">
        <v>108</v>
      </c>
    </row>
    <row r="856" spans="1:6" x14ac:dyDescent="0.3">
      <c r="A856" s="38">
        <v>46153</v>
      </c>
      <c r="B856" t="s">
        <v>220</v>
      </c>
      <c r="C856" s="95"/>
      <c r="D856" s="95">
        <v>250000</v>
      </c>
      <c r="E856" t="s">
        <v>767</v>
      </c>
      <c r="F856" s="110" t="s">
        <v>108</v>
      </c>
    </row>
    <row r="857" spans="1:6" x14ac:dyDescent="0.3">
      <c r="A857" s="38">
        <v>46153</v>
      </c>
      <c r="B857" t="s">
        <v>220</v>
      </c>
      <c r="C857" s="95"/>
      <c r="D857" s="95">
        <v>134000</v>
      </c>
      <c r="E857" t="s">
        <v>768</v>
      </c>
      <c r="F857" s="110" t="s">
        <v>108</v>
      </c>
    </row>
    <row r="858" spans="1:6" x14ac:dyDescent="0.3">
      <c r="A858" s="38">
        <v>46153</v>
      </c>
      <c r="B858" t="s">
        <v>733</v>
      </c>
      <c r="C858" s="95">
        <v>300000</v>
      </c>
      <c r="D858" s="95"/>
      <c r="E858" t="s">
        <v>769</v>
      </c>
      <c r="F858" s="110" t="s">
        <v>108</v>
      </c>
    </row>
    <row r="859" spans="1:6" x14ac:dyDescent="0.3">
      <c r="A859" s="38">
        <v>46153</v>
      </c>
      <c r="B859" t="s">
        <v>54</v>
      </c>
      <c r="C859" s="95">
        <v>3500</v>
      </c>
      <c r="D859" s="95"/>
      <c r="E859" t="s">
        <v>770</v>
      </c>
      <c r="F859" s="110" t="s">
        <v>108</v>
      </c>
    </row>
    <row r="860" spans="1:6" x14ac:dyDescent="0.3">
      <c r="A860" s="38">
        <v>46153</v>
      </c>
      <c r="B860" t="s">
        <v>357</v>
      </c>
      <c r="C860" s="95">
        <v>5000</v>
      </c>
      <c r="D860" s="95"/>
      <c r="E860" t="s">
        <v>771</v>
      </c>
      <c r="F860" s="110" t="s">
        <v>108</v>
      </c>
    </row>
    <row r="861" spans="1:6" x14ac:dyDescent="0.3">
      <c r="A861" s="38">
        <v>46153</v>
      </c>
      <c r="B861" t="s">
        <v>212</v>
      </c>
      <c r="C861" s="95">
        <v>200</v>
      </c>
      <c r="D861" s="95"/>
      <c r="F861" s="110" t="s">
        <v>108</v>
      </c>
    </row>
    <row r="862" spans="1:6" x14ac:dyDescent="0.3">
      <c r="A862" s="38">
        <v>46153</v>
      </c>
      <c r="B862" t="s">
        <v>55</v>
      </c>
      <c r="C862" s="95">
        <v>12491</v>
      </c>
      <c r="D862" s="95"/>
      <c r="E862" t="s">
        <v>315</v>
      </c>
      <c r="F862" s="110" t="s">
        <v>108</v>
      </c>
    </row>
    <row r="863" spans="1:6" x14ac:dyDescent="0.3">
      <c r="A863" s="38">
        <v>46154</v>
      </c>
      <c r="B863" t="s">
        <v>709</v>
      </c>
      <c r="C863" s="95"/>
      <c r="D863" s="95">
        <v>50000</v>
      </c>
      <c r="E863" t="s">
        <v>109</v>
      </c>
      <c r="F863" s="110" t="s">
        <v>108</v>
      </c>
    </row>
    <row r="864" spans="1:6" x14ac:dyDescent="0.3">
      <c r="A864" s="38">
        <v>46154</v>
      </c>
      <c r="B864" t="s">
        <v>220</v>
      </c>
      <c r="C864" s="95">
        <v>50000</v>
      </c>
      <c r="D864" s="95"/>
      <c r="E864" t="s">
        <v>762</v>
      </c>
      <c r="F864" s="110" t="s">
        <v>108</v>
      </c>
    </row>
    <row r="865" spans="1:6" x14ac:dyDescent="0.3">
      <c r="A865" s="38">
        <v>46154</v>
      </c>
      <c r="B865" t="s">
        <v>55</v>
      </c>
      <c r="C865" s="95">
        <v>400</v>
      </c>
      <c r="D865" s="95"/>
      <c r="F865" s="110" t="s">
        <v>108</v>
      </c>
    </row>
    <row r="866" spans="1:6" x14ac:dyDescent="0.3">
      <c r="A866" s="38">
        <v>46154</v>
      </c>
      <c r="B866" t="s">
        <v>54</v>
      </c>
      <c r="C866" s="95">
        <v>17000</v>
      </c>
      <c r="D866" s="95"/>
      <c r="E866" t="s">
        <v>772</v>
      </c>
      <c r="F866" s="110" t="s">
        <v>108</v>
      </c>
    </row>
    <row r="867" spans="1:6" x14ac:dyDescent="0.3">
      <c r="A867" s="38">
        <v>46154</v>
      </c>
      <c r="B867" t="s">
        <v>55</v>
      </c>
      <c r="C867" s="11">
        <v>350</v>
      </c>
      <c r="D867" s="11"/>
      <c r="E867" t="s">
        <v>773</v>
      </c>
      <c r="F867" s="110" t="s">
        <v>108</v>
      </c>
    </row>
    <row r="868" spans="1:6" x14ac:dyDescent="0.3">
      <c r="A868" s="38">
        <v>46154</v>
      </c>
      <c r="B868" t="s">
        <v>572</v>
      </c>
      <c r="C868" s="11">
        <v>1800</v>
      </c>
      <c r="D868" s="11"/>
      <c r="F868" s="110" t="s">
        <v>108</v>
      </c>
    </row>
    <row r="869" spans="1:6" x14ac:dyDescent="0.3">
      <c r="A869" s="38">
        <v>46154</v>
      </c>
      <c r="B869" t="s">
        <v>224</v>
      </c>
      <c r="C869" s="11">
        <v>39000</v>
      </c>
      <c r="D869" s="11"/>
      <c r="E869" t="s">
        <v>242</v>
      </c>
      <c r="F869" s="110" t="s">
        <v>108</v>
      </c>
    </row>
    <row r="870" spans="1:6" x14ac:dyDescent="0.3">
      <c r="A870" s="38">
        <v>46154</v>
      </c>
      <c r="B870" t="s">
        <v>601</v>
      </c>
      <c r="C870" s="11">
        <v>6000</v>
      </c>
      <c r="D870" s="11"/>
      <c r="E870" t="s">
        <v>774</v>
      </c>
      <c r="F870" s="110" t="s">
        <v>108</v>
      </c>
    </row>
    <row r="871" spans="1:6" x14ac:dyDescent="0.3">
      <c r="A871" s="38">
        <v>46154</v>
      </c>
      <c r="B871" t="s">
        <v>220</v>
      </c>
      <c r="C871" s="11"/>
      <c r="D871" s="11">
        <v>60000</v>
      </c>
      <c r="E871" t="s">
        <v>775</v>
      </c>
      <c r="F871" s="110" t="s">
        <v>108</v>
      </c>
    </row>
    <row r="872" spans="1:6" x14ac:dyDescent="0.3">
      <c r="A872" s="114">
        <v>46154</v>
      </c>
      <c r="B872" t="s">
        <v>224</v>
      </c>
      <c r="C872" s="11">
        <v>100000</v>
      </c>
      <c r="D872" s="11"/>
      <c r="E872" t="s">
        <v>776</v>
      </c>
      <c r="F872" s="110" t="s">
        <v>108</v>
      </c>
    </row>
    <row r="873" spans="1:6" x14ac:dyDescent="0.3">
      <c r="A873" s="114">
        <v>46154</v>
      </c>
      <c r="B873" t="s">
        <v>220</v>
      </c>
      <c r="C873" s="11"/>
      <c r="D873" s="11">
        <v>135000</v>
      </c>
      <c r="E873" t="s">
        <v>777</v>
      </c>
      <c r="F873" s="110" t="s">
        <v>108</v>
      </c>
    </row>
    <row r="874" spans="1:6" x14ac:dyDescent="0.3">
      <c r="A874" s="114">
        <v>46154</v>
      </c>
      <c r="B874" t="s">
        <v>55</v>
      </c>
      <c r="C874" s="11">
        <v>3700</v>
      </c>
      <c r="D874" s="11"/>
      <c r="E874" t="s">
        <v>778</v>
      </c>
      <c r="F874" s="110" t="s">
        <v>108</v>
      </c>
    </row>
    <row r="875" spans="1:6" x14ac:dyDescent="0.3">
      <c r="A875" s="114">
        <v>46154</v>
      </c>
      <c r="B875" t="s">
        <v>220</v>
      </c>
      <c r="C875" s="11"/>
      <c r="D875" s="11">
        <v>195000</v>
      </c>
      <c r="E875" t="s">
        <v>757</v>
      </c>
      <c r="F875" s="110" t="s">
        <v>108</v>
      </c>
    </row>
    <row r="876" spans="1:6" x14ac:dyDescent="0.3">
      <c r="A876" s="114">
        <v>46154</v>
      </c>
      <c r="B876" t="s">
        <v>220</v>
      </c>
      <c r="C876" s="11"/>
      <c r="D876" s="11">
        <v>18000</v>
      </c>
      <c r="E876" t="s">
        <v>779</v>
      </c>
      <c r="F876" s="110" t="s">
        <v>108</v>
      </c>
    </row>
    <row r="877" spans="1:6" x14ac:dyDescent="0.3">
      <c r="A877" s="114">
        <v>46154</v>
      </c>
      <c r="B877" t="s">
        <v>224</v>
      </c>
      <c r="C877" s="11">
        <v>350000</v>
      </c>
      <c r="D877" s="11"/>
      <c r="E877" t="s">
        <v>780</v>
      </c>
      <c r="F877" s="110" t="s">
        <v>108</v>
      </c>
    </row>
    <row r="878" spans="1:6" x14ac:dyDescent="0.3">
      <c r="A878" s="114">
        <v>46154</v>
      </c>
      <c r="B878" t="s">
        <v>212</v>
      </c>
      <c r="C878" s="11">
        <v>500</v>
      </c>
      <c r="D878" s="11"/>
      <c r="F878" s="110" t="s">
        <v>108</v>
      </c>
    </row>
    <row r="879" spans="1:6" x14ac:dyDescent="0.3">
      <c r="A879" s="114">
        <v>46155</v>
      </c>
      <c r="B879" t="s">
        <v>220</v>
      </c>
      <c r="C879" s="11"/>
      <c r="D879" s="11">
        <v>18000</v>
      </c>
      <c r="E879" t="s">
        <v>781</v>
      </c>
      <c r="F879" s="110" t="s">
        <v>108</v>
      </c>
    </row>
    <row r="880" spans="1:6" x14ac:dyDescent="0.3">
      <c r="A880" s="114">
        <v>46155</v>
      </c>
      <c r="B880" t="s">
        <v>117</v>
      </c>
      <c r="C880" s="11">
        <v>18000</v>
      </c>
      <c r="D880" s="11"/>
      <c r="E880" t="s">
        <v>781</v>
      </c>
      <c r="F880" s="110" t="s">
        <v>108</v>
      </c>
    </row>
    <row r="881" spans="1:11" x14ac:dyDescent="0.3">
      <c r="A881" s="114">
        <v>46155</v>
      </c>
      <c r="B881" t="s">
        <v>357</v>
      </c>
      <c r="C881" s="11">
        <v>5000</v>
      </c>
      <c r="D881" s="11"/>
      <c r="E881" t="s">
        <v>621</v>
      </c>
      <c r="F881" s="110" t="s">
        <v>108</v>
      </c>
    </row>
    <row r="882" spans="1:11" x14ac:dyDescent="0.3">
      <c r="A882" s="114">
        <v>46155</v>
      </c>
      <c r="B882" t="s">
        <v>601</v>
      </c>
      <c r="C882" s="11">
        <v>3240</v>
      </c>
      <c r="D882" s="11"/>
      <c r="E882" t="s">
        <v>782</v>
      </c>
      <c r="F882" s="110" t="s">
        <v>108</v>
      </c>
    </row>
    <row r="883" spans="1:11" x14ac:dyDescent="0.3">
      <c r="A883" s="114">
        <v>46155</v>
      </c>
      <c r="B883" t="s">
        <v>192</v>
      </c>
      <c r="C883" s="11"/>
      <c r="D883" s="11">
        <v>68900</v>
      </c>
      <c r="E883" t="s">
        <v>783</v>
      </c>
      <c r="F883" s="110" t="s">
        <v>108</v>
      </c>
    </row>
    <row r="884" spans="1:11" x14ac:dyDescent="0.3">
      <c r="A884" s="114">
        <v>46155</v>
      </c>
      <c r="B884" t="s">
        <v>55</v>
      </c>
      <c r="C884" s="11">
        <v>51466</v>
      </c>
      <c r="D884" s="11"/>
      <c r="E884" t="s">
        <v>315</v>
      </c>
      <c r="F884" s="110" t="s">
        <v>108</v>
      </c>
    </row>
    <row r="885" spans="1:11" x14ac:dyDescent="0.3">
      <c r="A885" s="114">
        <v>46155</v>
      </c>
      <c r="B885" t="s">
        <v>220</v>
      </c>
      <c r="C885" s="11"/>
      <c r="D885" s="11">
        <v>45000</v>
      </c>
      <c r="E885" t="s">
        <v>535</v>
      </c>
      <c r="F885" s="110" t="s">
        <v>108</v>
      </c>
    </row>
    <row r="886" spans="1:11" x14ac:dyDescent="0.3">
      <c r="A886" s="114">
        <v>46155</v>
      </c>
      <c r="B886" t="s">
        <v>282</v>
      </c>
      <c r="C886" s="11">
        <v>50000</v>
      </c>
      <c r="D886" s="11"/>
      <c r="E886" t="s">
        <v>652</v>
      </c>
      <c r="F886" s="110" t="s">
        <v>108</v>
      </c>
    </row>
    <row r="887" spans="1:11" x14ac:dyDescent="0.3">
      <c r="A887" s="114">
        <v>46155</v>
      </c>
      <c r="B887" t="s">
        <v>212</v>
      </c>
      <c r="C887" s="11">
        <f>226+780</f>
        <v>1006</v>
      </c>
      <c r="D887" s="11"/>
      <c r="F887" s="110" t="s">
        <v>108</v>
      </c>
    </row>
    <row r="888" spans="1:11" x14ac:dyDescent="0.3">
      <c r="A888" s="114">
        <v>46155</v>
      </c>
      <c r="B888" t="s">
        <v>709</v>
      </c>
      <c r="C888" s="11"/>
      <c r="D888" s="11">
        <v>50000</v>
      </c>
      <c r="E888" t="s">
        <v>365</v>
      </c>
      <c r="F888" s="110" t="s">
        <v>108</v>
      </c>
    </row>
    <row r="889" spans="1:11" x14ac:dyDescent="0.3">
      <c r="A889" s="114">
        <v>46155</v>
      </c>
      <c r="B889" t="s">
        <v>220</v>
      </c>
      <c r="C889" s="11">
        <v>50000</v>
      </c>
      <c r="D889" s="11"/>
      <c r="E889" t="s">
        <v>745</v>
      </c>
      <c r="F889" s="110" t="s">
        <v>108</v>
      </c>
    </row>
    <row r="890" spans="1:11" x14ac:dyDescent="0.3">
      <c r="A890" s="114">
        <v>46156</v>
      </c>
      <c r="B890" t="s">
        <v>55</v>
      </c>
      <c r="C890" s="11">
        <v>1600</v>
      </c>
      <c r="D890" s="11"/>
      <c r="E890" t="s">
        <v>682</v>
      </c>
      <c r="F890" s="110" t="s">
        <v>108</v>
      </c>
    </row>
    <row r="891" spans="1:11" x14ac:dyDescent="0.3">
      <c r="A891" s="114">
        <v>46156</v>
      </c>
      <c r="B891" t="s">
        <v>357</v>
      </c>
      <c r="C891" s="11">
        <v>5000</v>
      </c>
      <c r="D891" s="11"/>
      <c r="E891" t="s">
        <v>281</v>
      </c>
      <c r="F891" s="110" t="s">
        <v>108</v>
      </c>
    </row>
    <row r="892" spans="1:11" x14ac:dyDescent="0.3">
      <c r="A892" s="114">
        <v>46156</v>
      </c>
      <c r="B892" t="s">
        <v>246</v>
      </c>
      <c r="C892" s="11">
        <v>2600</v>
      </c>
      <c r="D892" s="11"/>
      <c r="E892" t="s">
        <v>784</v>
      </c>
      <c r="F892" s="110" t="s">
        <v>108</v>
      </c>
    </row>
    <row r="893" spans="1:11" x14ac:dyDescent="0.3">
      <c r="A893" s="114">
        <v>46156</v>
      </c>
      <c r="B893" t="s">
        <v>220</v>
      </c>
      <c r="C893" s="11"/>
      <c r="D893" s="11">
        <v>150000</v>
      </c>
      <c r="E893" t="s">
        <v>449</v>
      </c>
      <c r="F893" s="110" t="s">
        <v>108</v>
      </c>
    </row>
    <row r="894" spans="1:11" x14ac:dyDescent="0.3">
      <c r="A894" s="114">
        <v>46156</v>
      </c>
      <c r="B894" t="s">
        <v>220</v>
      </c>
      <c r="C894" s="11"/>
      <c r="D894" s="11">
        <v>74125</v>
      </c>
      <c r="E894" t="s">
        <v>785</v>
      </c>
      <c r="F894" s="110" t="s">
        <v>108</v>
      </c>
    </row>
    <row r="895" spans="1:11" x14ac:dyDescent="0.3">
      <c r="A895" s="114">
        <v>46156</v>
      </c>
      <c r="B895" t="s">
        <v>176</v>
      </c>
      <c r="C895" s="11">
        <v>74125</v>
      </c>
      <c r="D895" s="11"/>
      <c r="E895" t="s">
        <v>786</v>
      </c>
      <c r="F895" s="110" t="s">
        <v>108</v>
      </c>
    </row>
    <row r="896" spans="1:11" x14ac:dyDescent="0.3">
      <c r="A896" s="114">
        <v>46157</v>
      </c>
      <c r="B896" t="s">
        <v>212</v>
      </c>
      <c r="C896" s="11">
        <f>1500+300+200+2000</f>
        <v>4000</v>
      </c>
      <c r="D896" s="11"/>
      <c r="F896" s="110" t="s">
        <v>108</v>
      </c>
      <c r="I896">
        <v>330000</v>
      </c>
      <c r="J896">
        <v>25600</v>
      </c>
      <c r="K896">
        <v>155000</v>
      </c>
    </row>
    <row r="897" spans="1:11" x14ac:dyDescent="0.3">
      <c r="A897" s="114">
        <v>46157</v>
      </c>
      <c r="B897" t="s">
        <v>357</v>
      </c>
      <c r="C897" s="11">
        <v>35000</v>
      </c>
      <c r="D897" s="11"/>
      <c r="E897" t="s">
        <v>325</v>
      </c>
      <c r="F897" s="110" t="s">
        <v>108</v>
      </c>
      <c r="I897">
        <v>80000</v>
      </c>
      <c r="J897">
        <v>36800</v>
      </c>
      <c r="K897">
        <v>5350</v>
      </c>
    </row>
    <row r="898" spans="1:11" x14ac:dyDescent="0.3">
      <c r="A898" s="38">
        <v>46157</v>
      </c>
      <c r="B898" t="s">
        <v>282</v>
      </c>
      <c r="C898" s="11">
        <v>80000</v>
      </c>
      <c r="D898" s="11"/>
      <c r="E898" t="s">
        <v>787</v>
      </c>
      <c r="F898" s="110" t="s">
        <v>108</v>
      </c>
      <c r="J898">
        <v>22800</v>
      </c>
      <c r="K898">
        <v>20000</v>
      </c>
    </row>
    <row r="899" spans="1:11" x14ac:dyDescent="0.3">
      <c r="A899" s="38">
        <v>46157</v>
      </c>
      <c r="B899" t="s">
        <v>601</v>
      </c>
      <c r="C899" s="11">
        <v>2100</v>
      </c>
      <c r="D899" s="11"/>
      <c r="E899" t="s">
        <v>788</v>
      </c>
      <c r="F899" s="110" t="s">
        <v>108</v>
      </c>
      <c r="I899">
        <v>70000</v>
      </c>
      <c r="J899">
        <v>31400</v>
      </c>
      <c r="K899">
        <v>30000</v>
      </c>
    </row>
    <row r="900" spans="1:11" x14ac:dyDescent="0.3">
      <c r="A900" s="38">
        <v>46157</v>
      </c>
      <c r="B900" t="s">
        <v>582</v>
      </c>
      <c r="C900" s="11"/>
      <c r="D900" s="11">
        <v>800000</v>
      </c>
      <c r="E900" t="s">
        <v>789</v>
      </c>
      <c r="F900" s="110" t="s">
        <v>108</v>
      </c>
      <c r="I900">
        <v>50000</v>
      </c>
      <c r="J900">
        <v>35600</v>
      </c>
      <c r="K900">
        <v>22000</v>
      </c>
    </row>
    <row r="901" spans="1:11" x14ac:dyDescent="0.3">
      <c r="A901" s="38">
        <v>46157</v>
      </c>
      <c r="B901" t="s">
        <v>220</v>
      </c>
      <c r="C901" s="11">
        <v>500000</v>
      </c>
      <c r="D901" s="11"/>
      <c r="E901" t="s">
        <v>790</v>
      </c>
      <c r="F901" s="110" t="s">
        <v>108</v>
      </c>
      <c r="I901">
        <v>194000</v>
      </c>
      <c r="J901">
        <v>30000</v>
      </c>
      <c r="K901">
        <v>22400</v>
      </c>
    </row>
    <row r="902" spans="1:11" x14ac:dyDescent="0.3">
      <c r="A902" s="145">
        <v>46157</v>
      </c>
      <c r="B902" s="146" t="s">
        <v>582</v>
      </c>
      <c r="C902" s="95"/>
      <c r="D902" s="95">
        <v>6768</v>
      </c>
      <c r="E902" s="146" t="s">
        <v>802</v>
      </c>
      <c r="F902" s="147" t="s">
        <v>108</v>
      </c>
      <c r="G902" s="146"/>
      <c r="J902">
        <v>30000</v>
      </c>
      <c r="K902">
        <v>4650</v>
      </c>
    </row>
    <row r="903" spans="1:11" x14ac:dyDescent="0.3">
      <c r="A903" s="145">
        <v>46157</v>
      </c>
      <c r="B903" s="146" t="s">
        <v>54</v>
      </c>
      <c r="C903" s="95">
        <v>6768</v>
      </c>
      <c r="D903" s="95"/>
      <c r="E903" s="146"/>
      <c r="F903" s="147" t="s">
        <v>108</v>
      </c>
      <c r="G903" s="146"/>
      <c r="J903">
        <v>24600</v>
      </c>
      <c r="K903">
        <v>22650</v>
      </c>
    </row>
    <row r="904" spans="1:11" x14ac:dyDescent="0.3">
      <c r="A904" s="38">
        <v>46158</v>
      </c>
      <c r="B904" t="s">
        <v>220</v>
      </c>
      <c r="C904" s="95">
        <v>290000</v>
      </c>
      <c r="D904" s="95"/>
      <c r="E904" t="s">
        <v>792</v>
      </c>
      <c r="F904" s="110" t="s">
        <v>108</v>
      </c>
      <c r="J904">
        <v>25800</v>
      </c>
      <c r="K904">
        <v>18300</v>
      </c>
    </row>
    <row r="905" spans="1:11" x14ac:dyDescent="0.3">
      <c r="A905" s="145">
        <v>46158</v>
      </c>
      <c r="B905" s="146" t="s">
        <v>582</v>
      </c>
      <c r="C905" s="95"/>
      <c r="D905" s="95">
        <v>450000</v>
      </c>
      <c r="E905" s="146" t="s">
        <v>793</v>
      </c>
      <c r="F905" s="147" t="s">
        <v>108</v>
      </c>
      <c r="G905" s="146"/>
      <c r="J905">
        <v>24600</v>
      </c>
      <c r="K905">
        <v>20450</v>
      </c>
    </row>
    <row r="906" spans="1:11" x14ac:dyDescent="0.3">
      <c r="A906" s="145">
        <v>46158</v>
      </c>
      <c r="B906" s="146" t="s">
        <v>220</v>
      </c>
      <c r="C906" s="95">
        <v>110000</v>
      </c>
      <c r="D906" s="95"/>
      <c r="E906" s="146" t="s">
        <v>794</v>
      </c>
      <c r="F906" s="147" t="s">
        <v>108</v>
      </c>
      <c r="G906" s="146"/>
      <c r="J906">
        <v>20000</v>
      </c>
      <c r="K906">
        <v>21450</v>
      </c>
    </row>
    <row r="907" spans="1:11" x14ac:dyDescent="0.3">
      <c r="A907" s="145">
        <v>46158</v>
      </c>
      <c r="B907" s="146" t="s">
        <v>220</v>
      </c>
      <c r="C907" s="95"/>
      <c r="D907" s="95">
        <v>60000</v>
      </c>
      <c r="E907" s="146" t="s">
        <v>795</v>
      </c>
      <c r="F907" s="147" t="s">
        <v>108</v>
      </c>
      <c r="G907" s="146"/>
      <c r="J907">
        <v>28350</v>
      </c>
      <c r="K907">
        <v>20450</v>
      </c>
    </row>
    <row r="908" spans="1:11" x14ac:dyDescent="0.3">
      <c r="A908" s="145">
        <v>46158</v>
      </c>
      <c r="B908" s="146" t="s">
        <v>117</v>
      </c>
      <c r="C908" s="95">
        <v>18000</v>
      </c>
      <c r="D908" s="95"/>
      <c r="E908" s="146" t="s">
        <v>164</v>
      </c>
      <c r="F908" s="147" t="s">
        <v>108</v>
      </c>
      <c r="G908" s="146"/>
      <c r="J908">
        <v>20450</v>
      </c>
      <c r="K908">
        <v>28350</v>
      </c>
    </row>
    <row r="909" spans="1:11" x14ac:dyDescent="0.3">
      <c r="A909" s="145">
        <v>46158</v>
      </c>
      <c r="B909" s="146" t="s">
        <v>220</v>
      </c>
      <c r="C909" s="95"/>
      <c r="D909" s="95">
        <v>56000</v>
      </c>
      <c r="E909" s="146" t="s">
        <v>796</v>
      </c>
      <c r="F909" s="147" t="s">
        <v>108</v>
      </c>
      <c r="G909" s="146"/>
      <c r="J909">
        <v>21450</v>
      </c>
      <c r="K909">
        <v>20000</v>
      </c>
    </row>
    <row r="910" spans="1:11" x14ac:dyDescent="0.3">
      <c r="A910" s="145">
        <v>46158</v>
      </c>
      <c r="B910" s="146" t="s">
        <v>508</v>
      </c>
      <c r="C910" s="95">
        <v>23000</v>
      </c>
      <c r="D910" s="95"/>
      <c r="E910" s="146"/>
      <c r="F910" s="147" t="s">
        <v>108</v>
      </c>
      <c r="G910" s="146"/>
      <c r="J910">
        <v>20450</v>
      </c>
      <c r="K910">
        <v>24600</v>
      </c>
    </row>
    <row r="911" spans="1:11" x14ac:dyDescent="0.3">
      <c r="A911" s="145">
        <v>46158</v>
      </c>
      <c r="B911" s="146" t="s">
        <v>709</v>
      </c>
      <c r="C911" s="95"/>
      <c r="D911" s="95">
        <v>50000</v>
      </c>
      <c r="E911" s="146" t="s">
        <v>365</v>
      </c>
      <c r="F911" s="147" t="s">
        <v>108</v>
      </c>
      <c r="G911" s="146"/>
      <c r="J911">
        <v>18300</v>
      </c>
      <c r="K911">
        <v>25800</v>
      </c>
    </row>
    <row r="912" spans="1:11" x14ac:dyDescent="0.3">
      <c r="A912" s="145">
        <v>46158</v>
      </c>
      <c r="B912" s="146" t="s">
        <v>357</v>
      </c>
      <c r="C912" s="95">
        <v>5000</v>
      </c>
      <c r="D912" s="95"/>
      <c r="E912" s="146" t="s">
        <v>797</v>
      </c>
      <c r="F912" s="147" t="s">
        <v>108</v>
      </c>
      <c r="G912" s="146"/>
      <c r="J912">
        <v>22650</v>
      </c>
      <c r="K912">
        <v>24600</v>
      </c>
    </row>
    <row r="913" spans="1:11" x14ac:dyDescent="0.3">
      <c r="A913" s="145">
        <v>46158</v>
      </c>
      <c r="B913" s="146" t="s">
        <v>54</v>
      </c>
      <c r="C913" s="95">
        <v>3000</v>
      </c>
      <c r="D913" s="95"/>
      <c r="E913" s="146" t="s">
        <v>679</v>
      </c>
      <c r="F913" s="147" t="s">
        <v>108</v>
      </c>
      <c r="G913" s="146"/>
      <c r="J913">
        <v>4650</v>
      </c>
      <c r="K913">
        <v>30000</v>
      </c>
    </row>
    <row r="914" spans="1:11" x14ac:dyDescent="0.3">
      <c r="A914" s="145">
        <v>46158</v>
      </c>
      <c r="B914" s="146" t="s">
        <v>220</v>
      </c>
      <c r="C914" s="95"/>
      <c r="D914" s="95">
        <v>194000</v>
      </c>
      <c r="E914" s="146" t="s">
        <v>798</v>
      </c>
      <c r="F914" s="147" t="s">
        <v>108</v>
      </c>
      <c r="G914" s="146"/>
      <c r="J914">
        <v>22400</v>
      </c>
      <c r="K914">
        <v>30000</v>
      </c>
    </row>
    <row r="915" spans="1:11" x14ac:dyDescent="0.3">
      <c r="A915" s="145">
        <v>46158</v>
      </c>
      <c r="B915" s="146" t="s">
        <v>220</v>
      </c>
      <c r="C915" s="95"/>
      <c r="D915" s="95">
        <v>70000</v>
      </c>
      <c r="E915" s="146" t="s">
        <v>798</v>
      </c>
      <c r="F915" s="147" t="s">
        <v>108</v>
      </c>
      <c r="G915" s="146"/>
      <c r="J915">
        <v>22000</v>
      </c>
      <c r="K915">
        <v>35600</v>
      </c>
    </row>
    <row r="916" spans="1:11" x14ac:dyDescent="0.3">
      <c r="A916" s="145">
        <v>46158</v>
      </c>
      <c r="B916" s="146" t="s">
        <v>282</v>
      </c>
      <c r="C916" s="95">
        <v>698250</v>
      </c>
      <c r="D916" s="95"/>
      <c r="E916" s="146" t="s">
        <v>352</v>
      </c>
      <c r="F916" s="147" t="s">
        <v>108</v>
      </c>
      <c r="G916" s="146"/>
      <c r="J916">
        <v>30000</v>
      </c>
      <c r="K916">
        <v>31400</v>
      </c>
    </row>
    <row r="917" spans="1:11" x14ac:dyDescent="0.3">
      <c r="A917" s="145">
        <v>46158</v>
      </c>
      <c r="B917" s="146" t="s">
        <v>282</v>
      </c>
      <c r="C917" s="95">
        <v>20000</v>
      </c>
      <c r="D917" s="95"/>
      <c r="E917" s="146" t="s">
        <v>469</v>
      </c>
      <c r="F917" s="147" t="s">
        <v>108</v>
      </c>
      <c r="G917" s="146"/>
      <c r="J917">
        <v>20000</v>
      </c>
      <c r="K917">
        <v>22800</v>
      </c>
    </row>
    <row r="918" spans="1:11" x14ac:dyDescent="0.3">
      <c r="A918" s="145">
        <v>46158</v>
      </c>
      <c r="B918" s="146" t="s">
        <v>220</v>
      </c>
      <c r="C918" s="95"/>
      <c r="D918" s="95">
        <v>16000</v>
      </c>
      <c r="E918" s="146" t="s">
        <v>799</v>
      </c>
      <c r="F918" s="147" t="s">
        <v>108</v>
      </c>
      <c r="G918" s="146"/>
      <c r="J918">
        <v>5350</v>
      </c>
      <c r="K918">
        <v>36800</v>
      </c>
    </row>
    <row r="919" spans="1:11" x14ac:dyDescent="0.3">
      <c r="A919" s="144">
        <v>46158</v>
      </c>
      <c r="B919" s="146" t="s">
        <v>282</v>
      </c>
      <c r="C919" s="95">
        <v>16000</v>
      </c>
      <c r="D919" s="95"/>
      <c r="E919" s="146" t="s">
        <v>638</v>
      </c>
      <c r="F919" s="147" t="s">
        <v>108</v>
      </c>
      <c r="G919" s="146"/>
      <c r="J919">
        <v>155000</v>
      </c>
      <c r="K919">
        <v>25600</v>
      </c>
    </row>
    <row r="920" spans="1:11" x14ac:dyDescent="0.3">
      <c r="A920" s="144">
        <v>46158</v>
      </c>
      <c r="B920" s="146" t="s">
        <v>357</v>
      </c>
      <c r="C920" s="95">
        <v>500</v>
      </c>
      <c r="D920" s="95"/>
      <c r="E920" s="146" t="s">
        <v>803</v>
      </c>
      <c r="F920" s="147" t="s">
        <v>108</v>
      </c>
      <c r="G920" s="146"/>
    </row>
    <row r="921" spans="1:11" x14ac:dyDescent="0.3">
      <c r="A921" s="144">
        <v>46159</v>
      </c>
      <c r="B921" s="146" t="s">
        <v>220</v>
      </c>
      <c r="C921" s="95"/>
      <c r="D921" s="95">
        <v>19500</v>
      </c>
      <c r="E921" s="146" t="s">
        <v>800</v>
      </c>
      <c r="F921" s="147" t="s">
        <v>108</v>
      </c>
      <c r="G921" s="146"/>
    </row>
    <row r="922" spans="1:11" x14ac:dyDescent="0.3">
      <c r="A922" s="144">
        <v>46159</v>
      </c>
      <c r="B922" s="146" t="s">
        <v>117</v>
      </c>
      <c r="C922" s="95">
        <v>19500</v>
      </c>
      <c r="D922" s="95"/>
      <c r="E922" s="146" t="s">
        <v>801</v>
      </c>
      <c r="F922" s="147" t="s">
        <v>108</v>
      </c>
      <c r="G922" s="146"/>
    </row>
    <row r="923" spans="1:11" x14ac:dyDescent="0.3">
      <c r="A923" s="145"/>
      <c r="B923" s="146"/>
      <c r="C923" s="95"/>
      <c r="D923" s="95"/>
      <c r="E923" s="146"/>
      <c r="F923" s="147"/>
      <c r="G923" s="146"/>
    </row>
    <row r="924" spans="1:11" x14ac:dyDescent="0.3">
      <c r="A924" s="38"/>
      <c r="C924" s="14">
        <f>SUBTOTAL(109,Table14[Debit])</f>
        <v>42469265.399999999</v>
      </c>
      <c r="D924" s="14">
        <f>SUBTOTAL(109,Table14[Credit])</f>
        <v>42477046.229517192</v>
      </c>
      <c r="F924" s="54">
        <f>(Table14[[#Totals],[Credit]]-Table14[[#Totals],[Debit]])</f>
        <v>7780.8295171931386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15" zoomScale="107" zoomScaleNormal="210" workbookViewId="0">
      <selection activeCell="G31" sqref="G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5">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5">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5">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5">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v>46151</v>
      </c>
      <c r="B33" t="s">
        <v>159</v>
      </c>
      <c r="E33">
        <v>55000</v>
      </c>
      <c r="F33" t="s">
        <v>176</v>
      </c>
      <c r="G33">
        <f>SUMIFS(Table14[Debit], Table14[Date], Table8[[#This Row],[Date]], Table14[Party], Table8[[#This Row],[Party]])</f>
        <v>55000</v>
      </c>
      <c r="H33">
        <f>Table8[[#This Row],[Price]]-Table8[[#This Row],[Paid]]</f>
        <v>0</v>
      </c>
      <c r="L33" t="s">
        <v>57</v>
      </c>
      <c r="M33" t="s">
        <v>156</v>
      </c>
      <c r="N33" t="s">
        <v>157</v>
      </c>
      <c r="O33" t="s">
        <v>4</v>
      </c>
      <c r="P33" t="s">
        <v>158</v>
      </c>
    </row>
    <row r="34" spans="1:16" x14ac:dyDescent="0.3">
      <c r="A34" s="121">
        <v>46156</v>
      </c>
      <c r="B34" t="s">
        <v>64</v>
      </c>
      <c r="E34">
        <v>74125</v>
      </c>
      <c r="F34" t="s">
        <v>176</v>
      </c>
      <c r="G34">
        <f>SUMIFS(Table14[Debit], Table14[Date], Table8[[#This Row],[Date]], Table14[Party], Table8[[#This Row],[Party]])</f>
        <v>74125</v>
      </c>
      <c r="H34">
        <f>Table8[[#This Row],[Price]]-Table8[[#This Row],[Paid]]</f>
        <v>0</v>
      </c>
      <c r="L34" t="s">
        <v>131</v>
      </c>
      <c r="M34">
        <v>1</v>
      </c>
      <c r="N34">
        <v>5</v>
      </c>
      <c r="O34">
        <v>1400</v>
      </c>
      <c r="P34">
        <f>Table23[[#This Row],[boxes]]*Table23[[#This Row],[kgs]]*Table23[[#This Row],[Rate]]</f>
        <v>7000</v>
      </c>
    </row>
    <row r="35" spans="1:16" x14ac:dyDescent="0.3">
      <c r="A35" s="121">
        <v>46153</v>
      </c>
      <c r="B35" t="s">
        <v>340</v>
      </c>
      <c r="F35" t="s">
        <v>115</v>
      </c>
      <c r="G35">
        <f>SUMIFS(Table14[Debit], Table14[Date], Table8[[#This Row],[Date]], Table14[Party], Table8[[#This Row],[Party]])</f>
        <v>500000</v>
      </c>
      <c r="H35">
        <f>Table8[[#This Row],[Price]]-Table8[[#This Row],[Paid]]</f>
        <v>-500000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3008380</v>
      </c>
      <c r="G42">
        <f>SUBTOTAL(109,Table8[Paid])</f>
        <v>2950005</v>
      </c>
      <c r="H42">
        <f>SUBTOTAL(109,Table8[Balance])</f>
        <v>1305750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8"/>
  <sheetViews>
    <sheetView topLeftCell="A35" zoomScale="104" workbookViewId="0">
      <selection activeCell="C57" sqref="C5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574100</v>
      </c>
      <c r="L7">
        <v>574100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240000</v>
      </c>
      <c r="M8">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142500</v>
      </c>
      <c r="M11">
        <v>-58000</v>
      </c>
    </row>
    <row r="12" spans="1:13" x14ac:dyDescent="0.3">
      <c r="A12" s="1"/>
      <c r="B12" s="1"/>
      <c r="J12" s="4" t="s">
        <v>427</v>
      </c>
      <c r="K12">
        <v>0</v>
      </c>
      <c r="L12">
        <v>0</v>
      </c>
      <c r="M12">
        <v>0</v>
      </c>
    </row>
    <row r="13" spans="1:13" x14ac:dyDescent="0.3">
      <c r="A13" s="1"/>
      <c r="B13" s="1"/>
      <c r="J13" s="4" t="s">
        <v>671</v>
      </c>
      <c r="K13">
        <v>35000</v>
      </c>
      <c r="L13">
        <v>35000</v>
      </c>
      <c r="M13">
        <v>0</v>
      </c>
    </row>
    <row r="14" spans="1:13" x14ac:dyDescent="0.3">
      <c r="A14" s="1"/>
      <c r="B14" s="1"/>
      <c r="J14" s="4" t="s">
        <v>28</v>
      </c>
      <c r="K14">
        <v>1278550</v>
      </c>
      <c r="L14">
        <v>1456550</v>
      </c>
      <c r="M14">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v>46800</v>
      </c>
      <c r="G52">
        <f>SUMIFS(Table14[Debit], Table14[Date], Table2[[#This Row],[Date]], Table14[Party], Table2[[#This Row],[Party Name]])</f>
        <v>46800</v>
      </c>
      <c r="H52">
        <f>Table2[[#This Row],[Price]]-Table2[[#This Row],[Paid]]</f>
        <v>0</v>
      </c>
    </row>
    <row r="53" spans="1:8" x14ac:dyDescent="0.3">
      <c r="A53" s="1">
        <v>46155</v>
      </c>
      <c r="B53" s="1" t="s">
        <v>117</v>
      </c>
      <c r="F53">
        <v>18000</v>
      </c>
      <c r="G53">
        <f>SUMIFS(Table14[Debit], Table14[Date], Table2[[#This Row],[Date]], Table14[Party], Table2[[#This Row],[Party Name]])</f>
        <v>18000</v>
      </c>
      <c r="H53">
        <f>Table2[[#This Row],[Price]]-Table2[[#This Row],[Paid]]</f>
        <v>0</v>
      </c>
    </row>
    <row r="54" spans="1:8" x14ac:dyDescent="0.3">
      <c r="A54" s="1">
        <v>46158</v>
      </c>
      <c r="B54" s="1" t="s">
        <v>117</v>
      </c>
      <c r="F54">
        <v>18000</v>
      </c>
      <c r="G54">
        <f>SUMIFS(Table14[Debit], Table14[Date], Table2[[#This Row],[Date]], Table14[Party], Table2[[#This Row],[Party Name]])</f>
        <v>18000</v>
      </c>
      <c r="H54">
        <f>Table2[[#This Row],[Price]]-Table2[[#This Row],[Paid]]</f>
        <v>0</v>
      </c>
    </row>
    <row r="55" spans="1:8" x14ac:dyDescent="0.3">
      <c r="A55" s="1">
        <v>46150</v>
      </c>
      <c r="B55" s="1" t="s">
        <v>195</v>
      </c>
      <c r="F55" s="148">
        <v>36000</v>
      </c>
      <c r="G55" s="148">
        <f>SUMIFS(Table14[Debit], Table14[Date], Table2[[#This Row],[Date]], Table14[Party], Table2[[#This Row],[Party Name]])</f>
        <v>36000</v>
      </c>
      <c r="H55" s="148">
        <f>Table2[[#This Row],[Price]]-Table2[[#This Row],[Paid]]</f>
        <v>0</v>
      </c>
    </row>
    <row r="56" spans="1:8" x14ac:dyDescent="0.3">
      <c r="A56" s="1">
        <v>46137</v>
      </c>
      <c r="B56" s="1" t="s">
        <v>195</v>
      </c>
      <c r="F56" s="148">
        <v>18000</v>
      </c>
      <c r="G56" s="148">
        <f>SUMIFS(Table14[Debit], Table14[Date], Table2[[#This Row],[Date]], Table14[Party], Table2[[#This Row],[Party Name]])</f>
        <v>18000</v>
      </c>
      <c r="H56" s="148">
        <f>Table2[[#This Row],[Price]]-Table2[[#This Row],[Paid]]</f>
        <v>0</v>
      </c>
    </row>
    <row r="57" spans="1:8" x14ac:dyDescent="0.3">
      <c r="A57" s="1"/>
      <c r="B57" s="1"/>
      <c r="F57" s="148">
        <f>Table2[[#This Row],[Quantity]]*200*Table2[[#This Row],[Boxes]]</f>
        <v>0</v>
      </c>
      <c r="G57" s="148">
        <f>SUMIFS(Table14[Debit], Table14[Date], Table2[[#This Row],[Date]], Table14[Party], Table2[[#This Row],[Party Name]])</f>
        <v>0</v>
      </c>
      <c r="H57" s="148">
        <f>Table2[[#This Row],[Price]]-Table2[[#This Row],[Paid]]</f>
        <v>0</v>
      </c>
    </row>
    <row r="58" spans="1:8" x14ac:dyDescent="0.3">
      <c r="A58" s="1"/>
      <c r="F58">
        <f>SUBTOTAL(109,Table2[Price])</f>
        <v>1350550</v>
      </c>
      <c r="G58">
        <f>SUBTOTAL(109,Table2[Paid])</f>
        <v>1528550</v>
      </c>
      <c r="H58">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7">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7">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7">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7">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7">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28"/>
  <sheetViews>
    <sheetView topLeftCell="A104" zoomScale="90" workbookViewId="0">
      <selection activeCell="H132" sqref="H13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3357331</v>
      </c>
      <c r="C2" s="32">
        <f>GETPIVOTDATA("Sum of Tiyaar/gaz",$A$3)</f>
        <v>3367714</v>
      </c>
      <c r="D2" s="31">
        <f>((B2*48)+((C2/1.0936)*10))/C2</f>
        <v>56.996122378615155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2194</v>
      </c>
      <c r="B113" s="14">
        <v>30184</v>
      </c>
      <c r="C113" s="14">
        <v>31810</v>
      </c>
      <c r="D113" s="28">
        <f t="shared" si="37"/>
        <v>54.690543132033724</v>
      </c>
      <c r="E113" s="11">
        <f t="shared" si="38"/>
        <v>33009.222399999999</v>
      </c>
      <c r="F113" s="11">
        <f t="shared" si="39"/>
        <v>31810</v>
      </c>
      <c r="G113" s="78">
        <f t="shared" si="40"/>
        <v>3.6329919725706645</v>
      </c>
      <c r="H113" s="28">
        <f t="shared" si="41"/>
        <v>29087.417702999272</v>
      </c>
      <c r="I113" s="28">
        <f t="shared" si="42"/>
        <v>54.690543132033724</v>
      </c>
    </row>
    <row r="114" spans="1:9" x14ac:dyDescent="0.3">
      <c r="A114" s="16">
        <v>2181</v>
      </c>
      <c r="B114" s="14">
        <v>9943</v>
      </c>
      <c r="C114" s="14">
        <v>10720</v>
      </c>
      <c r="D114" s="28">
        <f t="shared" si="37"/>
        <v>53.665006714780155</v>
      </c>
      <c r="E114" s="11">
        <f t="shared" si="38"/>
        <v>10873.664799999999</v>
      </c>
      <c r="F114" s="11">
        <f t="shared" si="39"/>
        <v>10720</v>
      </c>
      <c r="G114" s="78">
        <f t="shared" si="40"/>
        <v>1.4131831615776633</v>
      </c>
      <c r="H114" s="28">
        <f t="shared" si="41"/>
        <v>9802.487198244331</v>
      </c>
      <c r="I114" s="28">
        <f t="shared" si="42"/>
        <v>53.665006714780155</v>
      </c>
    </row>
    <row r="115" spans="1:9" x14ac:dyDescent="0.3">
      <c r="A115" s="16">
        <v>2195</v>
      </c>
      <c r="B115" s="14">
        <v>17930</v>
      </c>
      <c r="C115" s="14">
        <v>19428</v>
      </c>
      <c r="D115" s="28">
        <f t="shared" si="37"/>
        <v>53.443061161508837</v>
      </c>
      <c r="E115" s="11">
        <f t="shared" si="38"/>
        <v>19608.248</v>
      </c>
      <c r="F115" s="11">
        <f t="shared" si="39"/>
        <v>19428</v>
      </c>
      <c r="G115" s="78">
        <f t="shared" si="40"/>
        <v>0.91924581941231054</v>
      </c>
      <c r="H115" s="28">
        <f t="shared" si="41"/>
        <v>17765.179224579373</v>
      </c>
      <c r="I115" s="28">
        <f t="shared" si="42"/>
        <v>53.443061161508837</v>
      </c>
    </row>
    <row r="116" spans="1:9" x14ac:dyDescent="0.3">
      <c r="A116" s="16">
        <v>2192</v>
      </c>
      <c r="B116" s="14">
        <v>57164</v>
      </c>
      <c r="C116" s="14">
        <v>19836</v>
      </c>
      <c r="D116" s="28">
        <f t="shared" si="37"/>
        <v>147.47199987962745</v>
      </c>
      <c r="E116" s="11">
        <f t="shared" si="38"/>
        <v>62514.550399999993</v>
      </c>
      <c r="F116" s="11">
        <f t="shared" si="39"/>
        <v>19836</v>
      </c>
      <c r="G116" s="78">
        <f t="shared" si="40"/>
        <v>68.269786996660542</v>
      </c>
      <c r="H116" s="28">
        <f t="shared" si="41"/>
        <v>18138.25896122897</v>
      </c>
      <c r="I116" s="28">
        <f t="shared" si="42"/>
        <v>147.47199987962745</v>
      </c>
    </row>
    <row r="117" spans="1:9" x14ac:dyDescent="0.3">
      <c r="A117" s="16">
        <v>2182</v>
      </c>
      <c r="B117" s="14">
        <v>99404</v>
      </c>
      <c r="C117" s="14">
        <v>101431</v>
      </c>
      <c r="D117" s="28">
        <f t="shared" si="37"/>
        <v>56.184877821923507</v>
      </c>
      <c r="E117" s="11">
        <f t="shared" si="38"/>
        <v>108708.2144</v>
      </c>
      <c r="F117" s="11">
        <f t="shared" si="39"/>
        <v>101431</v>
      </c>
      <c r="G117" s="78">
        <f t="shared" si="40"/>
        <v>6.694263575356814</v>
      </c>
      <c r="H117" s="28">
        <f t="shared" si="41"/>
        <v>92749.634235552308</v>
      </c>
      <c r="I117" s="28">
        <f t="shared" si="42"/>
        <v>56.184877821923507</v>
      </c>
    </row>
    <row r="118" spans="1:9" x14ac:dyDescent="0.3">
      <c r="A118" s="16">
        <v>2176</v>
      </c>
      <c r="B118" s="14">
        <v>17218</v>
      </c>
      <c r="C118" s="14">
        <v>18230</v>
      </c>
      <c r="D118" s="28">
        <f t="shared" si="37"/>
        <v>54.479492432106852</v>
      </c>
      <c r="E118" s="11">
        <f t="shared" si="38"/>
        <v>18829.604799999997</v>
      </c>
      <c r="F118" s="11">
        <f t="shared" si="39"/>
        <v>18230</v>
      </c>
      <c r="G118" s="78">
        <f t="shared" si="40"/>
        <v>3.1843727277802287</v>
      </c>
      <c r="H118" s="28">
        <f t="shared" si="41"/>
        <v>16669.714703730799</v>
      </c>
      <c r="I118" s="28">
        <f t="shared" si="42"/>
        <v>54.479492432106852</v>
      </c>
    </row>
    <row r="119" spans="1:9" x14ac:dyDescent="0.3">
      <c r="A119" s="16">
        <v>2173</v>
      </c>
      <c r="B119" s="14">
        <v>46820</v>
      </c>
      <c r="C119" s="14">
        <v>47564</v>
      </c>
      <c r="D119" s="28">
        <f t="shared" si="37"/>
        <v>56.393291244532371</v>
      </c>
      <c r="E119" s="11">
        <f t="shared" si="38"/>
        <v>51202.351999999999</v>
      </c>
      <c r="F119" s="11">
        <f t="shared" si="39"/>
        <v>47564</v>
      </c>
      <c r="G119" s="78">
        <f t="shared" si="40"/>
        <v>7.1058298259423651</v>
      </c>
      <c r="H119" s="28">
        <f t="shared" si="41"/>
        <v>43493.050475493787</v>
      </c>
      <c r="I119" s="28">
        <f t="shared" si="42"/>
        <v>56.393291244532371</v>
      </c>
    </row>
    <row r="120" spans="1:9" x14ac:dyDescent="0.3">
      <c r="A120" s="16">
        <v>2200</v>
      </c>
      <c r="B120" s="14">
        <v>37514</v>
      </c>
      <c r="C120" s="14">
        <v>40509</v>
      </c>
      <c r="D120" s="28">
        <f t="shared" ref="D120:D128" si="43">I120</f>
        <v>53.595270194095427</v>
      </c>
      <c r="E120" s="11">
        <f t="shared" ref="E120:E128" si="44">B120 * 1.0936</f>
        <v>41025.310399999995</v>
      </c>
      <c r="F120" s="11">
        <f t="shared" ref="F120:F128" si="45">C120</f>
        <v>40509</v>
      </c>
      <c r="G120" s="78">
        <f t="shared" ref="G120:G128" si="46">100- (F120/E120 *100)</f>
        <v>1.2585167423864192</v>
      </c>
      <c r="H120" s="28">
        <f t="shared" ref="H120:H128" si="47">F120/1.0936</f>
        <v>37041.880029261156</v>
      </c>
      <c r="I120" s="28">
        <f t="shared" ref="I120:I128" si="48">((B120*48)+(H120*10))/C120</f>
        <v>53.595270194095427</v>
      </c>
    </row>
    <row r="121" spans="1:9" x14ac:dyDescent="0.3">
      <c r="A121" s="16" t="s">
        <v>791</v>
      </c>
      <c r="B121" s="14">
        <v>7846</v>
      </c>
      <c r="C121" s="14">
        <v>8229</v>
      </c>
      <c r="D121" s="28">
        <f t="shared" si="43"/>
        <v>54.910060882512411</v>
      </c>
      <c r="E121" s="11">
        <f t="shared" si="44"/>
        <v>8580.3855999999996</v>
      </c>
      <c r="F121" s="11">
        <f t="shared" si="45"/>
        <v>8229</v>
      </c>
      <c r="G121" s="78">
        <f t="shared" si="46"/>
        <v>4.0952192171876334</v>
      </c>
      <c r="H121" s="28">
        <f t="shared" si="47"/>
        <v>7524.6891002194598</v>
      </c>
      <c r="I121" s="28">
        <f t="shared" si="48"/>
        <v>54.910060882512411</v>
      </c>
    </row>
    <row r="122" spans="1:9" x14ac:dyDescent="0.3">
      <c r="A122" s="16" t="s">
        <v>28</v>
      </c>
      <c r="B122" s="30">
        <v>107006</v>
      </c>
      <c r="C122" s="30">
        <v>3367714</v>
      </c>
      <c r="D122" s="28">
        <f t="shared" si="43"/>
        <v>10.669266832093095</v>
      </c>
      <c r="E122" s="11">
        <f t="shared" si="44"/>
        <v>117021.76159999998</v>
      </c>
      <c r="F122" s="11">
        <f t="shared" si="45"/>
        <v>3367714</v>
      </c>
      <c r="G122" s="78">
        <f t="shared" si="46"/>
        <v>-2777.8527634128527</v>
      </c>
      <c r="H122" s="28">
        <f t="shared" si="47"/>
        <v>3079475.1280175569</v>
      </c>
      <c r="I122" s="28">
        <f t="shared" si="48"/>
        <v>10.669266832093095</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si="43"/>
        <v>#DIV/0!</v>
      </c>
      <c r="E128" s="11">
        <f t="shared" si="44"/>
        <v>0</v>
      </c>
      <c r="F128" s="11">
        <f t="shared" si="45"/>
        <v>0</v>
      </c>
      <c r="G128" s="78" t="e">
        <f t="shared" si="46"/>
        <v>#DIV/0!</v>
      </c>
      <c r="H128" s="28">
        <f t="shared" si="47"/>
        <v>0</v>
      </c>
      <c r="I128" s="28" t="e">
        <f t="shared" si="48"/>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89"/>
  <sheetViews>
    <sheetView topLeftCell="A62" workbookViewId="0">
      <selection activeCell="H75" sqref="H75:H8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c r="D86">
        <f>SUM(Table5[Amount])</f>
        <v>299340</v>
      </c>
      <c r="H86" s="1">
        <v>46156</v>
      </c>
      <c r="J86">
        <f>SUMIFS(Table14[Debit], Table14[Date], Table15[[#This Row],[Date]], Table14[Party], "Parts")</f>
        <v>1600</v>
      </c>
    </row>
    <row r="87" spans="2:10" x14ac:dyDescent="0.3">
      <c r="H87" s="1">
        <v>46157</v>
      </c>
      <c r="J87">
        <f>SUMIFS(Table14[Debit], Table14[Date], Table15[[#This Row],[Date]], Table14[Party], "Parts")</f>
        <v>0</v>
      </c>
    </row>
    <row r="88" spans="2:10" x14ac:dyDescent="0.3">
      <c r="H88" s="1"/>
      <c r="J88">
        <f>SUMIFS(Table14[Debit], Table14[Date], Table15[[#This Row],[Date]], Table14[Party], "Parts")</f>
        <v>0</v>
      </c>
    </row>
    <row r="89" spans="2:10" x14ac:dyDescent="0.3">
      <c r="H89" s="1"/>
      <c r="J89">
        <f>SUM(Table15[Amount])</f>
        <v>1408179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66" workbookViewId="0">
      <selection activeCell="H10" sqref="H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27752970.118507691</v>
      </c>
    </row>
    <row r="3" spans="1:3" ht="21" x14ac:dyDescent="0.4">
      <c r="A3" s="101" t="str">
        <f>Billing!R38</f>
        <v>Rauf Khan</v>
      </c>
      <c r="B3" s="104">
        <f>Billing!AF38</f>
        <v>0</v>
      </c>
      <c r="C3" s="102">
        <f>Billing!AG38</f>
        <v>2322753.2918800293</v>
      </c>
    </row>
    <row r="4" spans="1:3" ht="21" x14ac:dyDescent="0.4">
      <c r="A4" s="101" t="str">
        <f>Billing!R39</f>
        <v>Farhaan ali</v>
      </c>
      <c r="B4" s="104">
        <f>Billing!AF39</f>
        <v>500000</v>
      </c>
      <c r="C4" s="102">
        <f>Billing!AG39</f>
        <v>1647326.2618873445</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Billing!R6</f>
        <v>Ejaz Sahab</v>
      </c>
      <c r="B8" s="104">
        <f>Billing!AF6</f>
        <v>7214622</v>
      </c>
      <c r="C8" s="102">
        <f>Billing!AG6</f>
        <v>270520.64813460223</v>
      </c>
    </row>
    <row r="9" spans="1:3" ht="21" x14ac:dyDescent="0.4">
      <c r="A9" s="101" t="str">
        <f>Billing!R40</f>
        <v>ACM salman zaffar</v>
      </c>
      <c r="B9" s="104">
        <f>Billing!AF40</f>
        <v>0</v>
      </c>
      <c r="C9" s="102">
        <f>Billing!AG40</f>
        <v>189566.56912948063</v>
      </c>
    </row>
    <row r="10" spans="1:3" ht="21" x14ac:dyDescent="0.4">
      <c r="A10" s="101" t="str">
        <f>Billing!R11</f>
        <v>Raaz Fabrics</v>
      </c>
      <c r="B10" s="104">
        <f>Billing!AF11</f>
        <v>1726321</v>
      </c>
      <c r="C10" s="103">
        <f>Billing!AG11</f>
        <v>132704.23774689133</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Billing!R25</f>
        <v>Shahid Qasayi</v>
      </c>
      <c r="B13" s="104">
        <f>Billing!AF25</f>
        <v>4360477</v>
      </c>
      <c r="C13" s="102">
        <f>Billing!AG25</f>
        <v>61552.992684711702</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Billing!R36</f>
        <v>Faizan Kamoki</v>
      </c>
      <c r="B18" s="104">
        <f>Billing!AF36</f>
        <v>6502091.4930504756</v>
      </c>
      <c r="C18" s="102">
        <f>Billing!AG36</f>
        <v>3751.5940014636144</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835660</v>
      </c>
      <c r="C25" s="103">
        <f>Billing!AG22</f>
        <v>356.82516459410544</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2026-05-17T22:24:10Z</dcterms:modified>
  <cp:category/>
  <cp:contentStatus/>
</cp:coreProperties>
</file>