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531" documentId="8_{5FA7CF9A-3CD5-4319-9FC5-E34696581AAD}" xr6:coauthVersionLast="47" xr6:coauthVersionMax="47" xr10:uidLastSave="{D081600F-F2FF-4638-9D76-D68D2D19F5BF}"/>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8" i="17" l="1"/>
  <c r="F26" i="15"/>
  <c r="G26" i="15"/>
  <c r="AE6" i="9"/>
  <c r="AE7" i="9"/>
  <c r="AE8" i="9"/>
  <c r="AE9" i="9"/>
  <c r="AE10" i="9"/>
  <c r="AE11" i="9"/>
  <c r="AE12" i="9"/>
  <c r="AE13" i="9"/>
  <c r="AE14" i="9"/>
  <c r="AE15" i="9"/>
  <c r="AE16" i="9"/>
  <c r="AE17" i="9"/>
  <c r="AE18" i="9"/>
  <c r="AE19" i="9"/>
  <c r="AE20" i="9"/>
  <c r="AE21" i="9"/>
  <c r="AE22" i="9"/>
  <c r="AE23" i="9"/>
  <c r="AE24" i="9"/>
  <c r="AE25" i="9"/>
  <c r="AE26" i="9"/>
  <c r="AE27" i="9"/>
  <c r="AE28" i="9"/>
  <c r="AE29" i="9"/>
  <c r="AE30" i="9"/>
  <c r="AE31" i="9"/>
  <c r="AE32" i="9"/>
  <c r="AE33" i="9"/>
  <c r="AE34" i="9"/>
  <c r="AE35" i="9"/>
  <c r="AE36" i="9"/>
  <c r="AE37" i="9"/>
  <c r="AE38" i="9"/>
  <c r="AE5" i="9"/>
  <c r="AD6" i="9" a="1"/>
  <c r="AD6" i="9" s="1"/>
  <c r="AD7" i="9" a="1"/>
  <c r="AD7" i="9"/>
  <c r="AD8" i="9" a="1"/>
  <c r="AD8" i="9"/>
  <c r="AD9" i="9" a="1"/>
  <c r="AD9" i="9" s="1"/>
  <c r="AD10" i="9" a="1"/>
  <c r="AD10" i="9"/>
  <c r="AD11" i="9" a="1"/>
  <c r="AD11" i="9"/>
  <c r="AD12" i="9" a="1"/>
  <c r="AD12" i="9" s="1"/>
  <c r="AD13" i="9" a="1"/>
  <c r="AD13" i="9"/>
  <c r="AD14" i="9" a="1"/>
  <c r="AD14" i="9"/>
  <c r="AD15" i="9" a="1"/>
  <c r="AD15" i="9" s="1"/>
  <c r="AD16" i="9" a="1"/>
  <c r="AD16" i="9"/>
  <c r="AD17" i="9" a="1"/>
  <c r="AD17" i="9"/>
  <c r="AD18" i="9" a="1"/>
  <c r="AD18" i="9" s="1"/>
  <c r="AD19" i="9" a="1"/>
  <c r="AD19" i="9"/>
  <c r="AD20" i="9" a="1"/>
  <c r="AD20" i="9"/>
  <c r="AD21" i="9" a="1"/>
  <c r="AD21" i="9" s="1"/>
  <c r="AD22" i="9" a="1"/>
  <c r="AD22" i="9"/>
  <c r="AD23" i="9" a="1"/>
  <c r="AD23" i="9"/>
  <c r="AD24" i="9" a="1"/>
  <c r="AD24" i="9" s="1"/>
  <c r="AD25" i="9" a="1"/>
  <c r="AD25" i="9"/>
  <c r="AD26" i="9" a="1"/>
  <c r="AD26" i="9"/>
  <c r="AD27" i="9" a="1"/>
  <c r="AD27" i="9" s="1"/>
  <c r="AD28" i="9" a="1"/>
  <c r="AD28" i="9"/>
  <c r="AD29" i="9" a="1"/>
  <c r="AD29" i="9"/>
  <c r="AD30" i="9" a="1"/>
  <c r="AD30" i="9" s="1"/>
  <c r="AD31" i="9" a="1"/>
  <c r="AD31" i="9"/>
  <c r="AD32" i="9" a="1"/>
  <c r="AD32" i="9" s="1"/>
  <c r="AD33" i="9" a="1"/>
  <c r="AD33" i="9" s="1"/>
  <c r="AD34" i="9" a="1"/>
  <c r="AD34" i="9"/>
  <c r="AD35" i="9" a="1"/>
  <c r="AD35" i="9"/>
  <c r="AD36" i="9" a="1"/>
  <c r="AD36" i="9" s="1"/>
  <c r="AD37" i="9" a="1"/>
  <c r="AD37" i="9"/>
  <c r="AD38" i="9" a="1"/>
  <c r="AD38" i="9" s="1"/>
  <c r="AD39" i="9" a="1"/>
  <c r="AD39" i="9" s="1"/>
  <c r="AD40" i="9" a="1"/>
  <c r="AD40" i="9"/>
  <c r="AD41" i="9" a="1"/>
  <c r="AD41" i="9" s="1"/>
  <c r="AD5" i="9" a="1"/>
  <c r="AD5" i="9" s="1"/>
  <c r="M84" i="9"/>
  <c r="N81" i="9" a="1"/>
  <c r="N81" i="9" s="1"/>
  <c r="N50" i="9" a="1"/>
  <c r="N50" i="9" s="1"/>
  <c r="N51" i="9" a="1"/>
  <c r="N51" i="9" s="1"/>
  <c r="N52" i="9" a="1"/>
  <c r="N52" i="9" s="1"/>
  <c r="N53" i="9" a="1"/>
  <c r="N53" i="9" s="1"/>
  <c r="N54" i="9" a="1"/>
  <c r="N54" i="9" s="1"/>
  <c r="N55" i="9" a="1"/>
  <c r="N55" i="9" s="1"/>
  <c r="N56" i="9" a="1"/>
  <c r="N56" i="9" s="1"/>
  <c r="N57" i="9" a="1"/>
  <c r="N57" i="9" s="1"/>
  <c r="N58" i="9" a="1"/>
  <c r="N58" i="9" s="1"/>
  <c r="N59" i="9" a="1"/>
  <c r="N59" i="9" s="1"/>
  <c r="N60" i="9" a="1"/>
  <c r="N60" i="9" s="1"/>
  <c r="N61" i="9" a="1"/>
  <c r="N61" i="9" s="1"/>
  <c r="N62" i="9" a="1"/>
  <c r="N62" i="9" s="1"/>
  <c r="N63" i="9" a="1"/>
  <c r="N63" i="9" s="1"/>
  <c r="N64" i="9" a="1"/>
  <c r="N64" i="9"/>
  <c r="N65" i="9" a="1"/>
  <c r="N65" i="9" s="1"/>
  <c r="N66" i="9" a="1"/>
  <c r="N66" i="9" s="1"/>
  <c r="N67" i="9" a="1"/>
  <c r="N67" i="9" s="1"/>
  <c r="N68" i="9" a="1"/>
  <c r="N68" i="9" s="1"/>
  <c r="N69" i="9" a="1"/>
  <c r="N69" i="9" s="1"/>
  <c r="N70" i="9" a="1"/>
  <c r="N70" i="9" s="1"/>
  <c r="N71" i="9" a="1"/>
  <c r="N71" i="9" s="1"/>
  <c r="N72" i="9" a="1"/>
  <c r="N72" i="9" s="1"/>
  <c r="N73" i="9" a="1"/>
  <c r="N73" i="9" s="1"/>
  <c r="N74" i="9" a="1"/>
  <c r="N74" i="9" s="1"/>
  <c r="N75" i="9" a="1"/>
  <c r="N75" i="9" s="1"/>
  <c r="N76" i="9" a="1"/>
  <c r="N76" i="9" s="1"/>
  <c r="N77" i="9" a="1"/>
  <c r="N77" i="9" s="1"/>
  <c r="N78" i="9" a="1"/>
  <c r="N78" i="9" s="1"/>
  <c r="N79" i="9" a="1"/>
  <c r="N79" i="9" s="1"/>
  <c r="N80" i="9" a="1"/>
  <c r="N80" i="9" s="1"/>
  <c r="N49" i="9" a="1"/>
  <c r="N49" i="9" s="1"/>
  <c r="M49" i="9" a="1"/>
  <c r="M49" i="9" s="1"/>
  <c r="J113" i="1"/>
  <c r="J112" i="1"/>
  <c r="I112" i="1"/>
  <c r="I113" i="1"/>
  <c r="H112" i="1"/>
  <c r="G26" i="6"/>
  <c r="I106" i="1"/>
  <c r="J106" i="1" s="1" a="1"/>
  <c r="J106" i="1" s="1"/>
  <c r="I107" i="1"/>
  <c r="J107" i="1" a="1"/>
  <c r="J107" i="1" s="1"/>
  <c r="I108" i="1"/>
  <c r="J108" i="1" a="1"/>
  <c r="J108" i="1" s="1"/>
  <c r="I109" i="1"/>
  <c r="J109" i="1" s="1" a="1"/>
  <c r="J109" i="1" s="1"/>
  <c r="I110" i="1"/>
  <c r="J110" i="1" s="1" a="1"/>
  <c r="J110" i="1" s="1"/>
  <c r="I111" i="1"/>
  <c r="J111" i="1" a="1"/>
  <c r="J111" i="1" s="1"/>
  <c r="I114" i="1"/>
  <c r="J114" i="1" a="1"/>
  <c r="J114" i="1" s="1"/>
  <c r="I115" i="1"/>
  <c r="J115" i="1" s="1" a="1"/>
  <c r="J115" i="1" s="1"/>
  <c r="I116" i="1"/>
  <c r="J116" i="1" s="1" a="1"/>
  <c r="J116" i="1" s="1"/>
  <c r="I117" i="1"/>
  <c r="J117" i="1" s="1" a="1"/>
  <c r="J117" i="1" s="1"/>
  <c r="I118" i="1"/>
  <c r="J118" i="1" a="1"/>
  <c r="J118" i="1" s="1"/>
  <c r="I119" i="1"/>
  <c r="J119" i="1" a="1"/>
  <c r="J119" i="1" s="1"/>
  <c r="D176" i="17"/>
  <c r="D120" i="17"/>
  <c r="C58" i="17"/>
  <c r="H26" i="15" l="1"/>
  <c r="C162" i="17"/>
  <c r="C16" i="10" s="1"/>
  <c r="I102" i="1"/>
  <c r="J102" i="1" s="1" a="1"/>
  <c r="J102" i="1" s="1"/>
  <c r="I103" i="1"/>
  <c r="J103" i="1" s="1" a="1"/>
  <c r="J103" i="1" s="1"/>
  <c r="I104" i="1"/>
  <c r="J104" i="1" s="1" a="1"/>
  <c r="J104" i="1" s="1"/>
  <c r="I105" i="1"/>
  <c r="J105" i="1" s="1" a="1"/>
  <c r="J105" i="1" s="1"/>
  <c r="H107" i="1"/>
  <c r="G26" i="7"/>
  <c r="H26" i="7" s="1"/>
  <c r="G27" i="7"/>
  <c r="H27" i="7" s="1"/>
  <c r="G28" i="7"/>
  <c r="H28" i="7" s="1"/>
  <c r="I95" i="1"/>
  <c r="J95" i="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6" i="20"/>
  <c r="A37" i="20"/>
  <c r="A38" i="20"/>
  <c r="A39" i="20"/>
  <c r="A40" i="20"/>
  <c r="R5" i="9" a="1"/>
  <c r="AF38" i="9" s="1"/>
  <c r="B35" i="20" s="1"/>
  <c r="F5" i="15"/>
  <c r="F6" i="15"/>
  <c r="F7" i="15"/>
  <c r="F8" i="15"/>
  <c r="F9" i="15"/>
  <c r="F23" i="15"/>
  <c r="F24" i="15"/>
  <c r="G8" i="7"/>
  <c r="G6" i="7"/>
  <c r="G7" i="7"/>
  <c r="G9" i="7"/>
  <c r="G14" i="6"/>
  <c r="A36" i="21"/>
  <c r="B36" i="21" s="1"/>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30" i="15" s="1"/>
  <c r="K26" i="15"/>
  <c r="K25" i="15"/>
  <c r="B49" i="9" a="1"/>
  <c r="I36" i="12"/>
  <c r="J35" i="14"/>
  <c r="J36" i="14"/>
  <c r="D35" i="14"/>
  <c r="D36" i="14"/>
  <c r="D35" i="18"/>
  <c r="D36" i="18"/>
  <c r="D37" i="18"/>
  <c r="E35" i="18"/>
  <c r="E36" i="18"/>
  <c r="E37" i="18"/>
  <c r="J25" i="15"/>
  <c r="J27" i="15"/>
  <c r="J30" i="15" s="1"/>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c r="I27" i="2"/>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c r="I45" i="2"/>
  <c r="D45" i="2"/>
  <c r="E46" i="2"/>
  <c r="F46" i="2"/>
  <c r="E47" i="2"/>
  <c r="F47" i="2"/>
  <c r="H47" i="2"/>
  <c r="I47" i="2"/>
  <c r="D47" i="2"/>
  <c r="E48" i="2"/>
  <c r="F48" i="2"/>
  <c r="H48" i="2"/>
  <c r="I48" i="2"/>
  <c r="D48" i="2"/>
  <c r="F20" i="2"/>
  <c r="H20" i="2"/>
  <c r="I20" i="2" s="1"/>
  <c r="D20" i="2" s="1"/>
  <c r="E20" i="2"/>
  <c r="G20" i="2" s="1"/>
  <c r="H90" i="1" s="1"/>
  <c r="E49" i="2"/>
  <c r="F49" i="2"/>
  <c r="H49" i="2"/>
  <c r="I49" i="2"/>
  <c r="D49" i="2"/>
  <c r="F21" i="2"/>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s="1"/>
  <c r="H111" i="1" s="1"/>
  <c r="F33" i="2"/>
  <c r="H33" i="2"/>
  <c r="I33" i="2" s="1"/>
  <c r="D33" i="2" s="1"/>
  <c r="F6" i="2"/>
  <c r="H6" i="2" s="1"/>
  <c r="I6" i="2" s="1"/>
  <c r="D6" i="2" s="1"/>
  <c r="E6" i="2"/>
  <c r="F5" i="2"/>
  <c r="H5" i="2" s="1"/>
  <c r="I5" i="2" s="1"/>
  <c r="D5" i="2" s="1"/>
  <c r="E5" i="2"/>
  <c r="E34" i="2"/>
  <c r="F34" i="2"/>
  <c r="H34" i="2"/>
  <c r="I34" i="2"/>
  <c r="D34" i="2" s="1"/>
  <c r="F18" i="2"/>
  <c r="G18" i="2" s="1"/>
  <c r="E18" i="2"/>
  <c r="E35" i="2"/>
  <c r="G35" i="2" s="1"/>
  <c r="F35" i="2"/>
  <c r="E36" i="2"/>
  <c r="G36" i="2"/>
  <c r="H116" i="1" s="1"/>
  <c r="F36" i="2"/>
  <c r="H36" i="2" s="1"/>
  <c r="I36" i="2" s="1"/>
  <c r="D36" i="2" s="1"/>
  <c r="F22" i="2"/>
  <c r="H22" i="2"/>
  <c r="I22" i="2" s="1"/>
  <c r="D22" i="2" s="1"/>
  <c r="E22" i="2"/>
  <c r="F7" i="2"/>
  <c r="H7" i="2" s="1"/>
  <c r="I7" i="2" s="1"/>
  <c r="D7" i="2" s="1"/>
  <c r="E7" i="2"/>
  <c r="E37" i="2"/>
  <c r="F37" i="2"/>
  <c r="H37" i="2" s="1"/>
  <c r="I37" i="2" s="1"/>
  <c r="D37" i="2" s="1"/>
  <c r="E39" i="2"/>
  <c r="F39" i="2"/>
  <c r="G39" i="2" s="1"/>
  <c r="E40" i="2"/>
  <c r="F40" i="2"/>
  <c r="E41" i="2"/>
  <c r="F41" i="2"/>
  <c r="H41" i="2"/>
  <c r="I41" i="2"/>
  <c r="D41" i="2"/>
  <c r="E42" i="2"/>
  <c r="F42" i="2"/>
  <c r="H42" i="2"/>
  <c r="I42" i="2"/>
  <c r="D42" i="2"/>
  <c r="E43" i="2"/>
  <c r="G43" i="2"/>
  <c r="F43" i="2"/>
  <c r="H43" i="2"/>
  <c r="I43" i="2"/>
  <c r="D43" i="2"/>
  <c r="E44" i="2"/>
  <c r="F44" i="2"/>
  <c r="H44" i="2"/>
  <c r="I44" i="2"/>
  <c r="D44" i="2"/>
  <c r="F19" i="2"/>
  <c r="H19" i="2" s="1"/>
  <c r="I19" i="2" s="1"/>
  <c r="D19" i="2" s="1"/>
  <c r="E19" i="2"/>
  <c r="F38" i="2"/>
  <c r="H38" i="2"/>
  <c r="I38" i="2" s="1"/>
  <c r="D38" i="2" s="1"/>
  <c r="E38" i="2"/>
  <c r="G38" i="2" s="1"/>
  <c r="H119"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G23" i="2" s="1"/>
  <c r="H96" i="1" s="1"/>
  <c r="F15" i="2"/>
  <c r="H15" i="2" s="1"/>
  <c r="I15" i="2" s="1"/>
  <c r="D15" i="2" s="1"/>
  <c r="E15" i="2"/>
  <c r="G15" i="2" s="1"/>
  <c r="H76" i="1" s="1"/>
  <c r="F16" i="2"/>
  <c r="H16" i="2" s="1"/>
  <c r="I16" i="2" s="1"/>
  <c r="D16" i="2" s="1"/>
  <c r="E16" i="2"/>
  <c r="F26" i="2"/>
  <c r="G26" i="2" s="1"/>
  <c r="H100" i="1" s="1"/>
  <c r="E26" i="2"/>
  <c r="F29" i="2"/>
  <c r="G29" i="2" s="1"/>
  <c r="E29" i="2"/>
  <c r="F30" i="2"/>
  <c r="H30" i="2"/>
  <c r="I30" i="2" s="1"/>
  <c r="D30" i="2" s="1"/>
  <c r="F31" i="2"/>
  <c r="H31" i="2"/>
  <c r="I31" i="2"/>
  <c r="D31" i="2" s="1"/>
  <c r="E31" i="2"/>
  <c r="G31" i="2" s="1"/>
  <c r="F32" i="2"/>
  <c r="H32" i="2" s="1"/>
  <c r="I32" i="2" s="1"/>
  <c r="D32" i="2" s="1"/>
  <c r="F14" i="2"/>
  <c r="H14" i="2" s="1"/>
  <c r="I14" i="2" s="1"/>
  <c r="D14" i="2" s="1"/>
  <c r="E14" i="2"/>
  <c r="E30" i="2"/>
  <c r="G30" i="2"/>
  <c r="H106" i="1" s="1"/>
  <c r="E32" i="2"/>
  <c r="N4" i="17"/>
  <c r="F12" i="2"/>
  <c r="H12" i="2"/>
  <c r="I12" i="2" s="1"/>
  <c r="D12" i="2" s="1"/>
  <c r="E12" i="2"/>
  <c r="F11" i="2"/>
  <c r="H11" i="2"/>
  <c r="I11" i="2" s="1"/>
  <c r="E11" i="2"/>
  <c r="E17" i="2"/>
  <c r="F17" i="2"/>
  <c r="H17" i="2" s="1"/>
  <c r="I17" i="2" s="1"/>
  <c r="D17" i="2" s="1"/>
  <c r="F9" i="2"/>
  <c r="H9" i="2" s="1"/>
  <c r="I9" i="2" s="1"/>
  <c r="D9" i="2" s="1"/>
  <c r="E9" i="2"/>
  <c r="E8" i="2"/>
  <c r="F8" i="2"/>
  <c r="G8" i="2" s="1"/>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37" i="2"/>
  <c r="H117" i="1" s="1"/>
  <c r="G70" i="2"/>
  <c r="G69" i="2"/>
  <c r="H77" i="2"/>
  <c r="I77" i="2"/>
  <c r="D77" i="2"/>
  <c r="G66" i="2"/>
  <c r="G40" i="2"/>
  <c r="H76" i="2"/>
  <c r="I76" i="2"/>
  <c r="D76" i="2"/>
  <c r="G34" i="2"/>
  <c r="H113" i="1" s="1"/>
  <c r="G67" i="2"/>
  <c r="G68" i="2"/>
  <c r="H57" i="2"/>
  <c r="I57" i="2"/>
  <c r="D57" i="2"/>
  <c r="G46" i="2"/>
  <c r="G47" i="2"/>
  <c r="G51" i="2"/>
  <c r="G45" i="2"/>
  <c r="G44" i="2"/>
  <c r="G52" i="2"/>
  <c r="G61" i="2"/>
  <c r="H35" i="2"/>
  <c r="I35" i="2" s="1"/>
  <c r="D35" i="2" s="1"/>
  <c r="G56" i="2"/>
  <c r="G63" i="2"/>
  <c r="H40" i="2"/>
  <c r="I40" i="2"/>
  <c r="D40" i="2"/>
  <c r="G58" i="2"/>
  <c r="H54" i="2"/>
  <c r="I54" i="2"/>
  <c r="D54" i="2"/>
  <c r="H46" i="2"/>
  <c r="I46" i="2"/>
  <c r="D46" i="2"/>
  <c r="P56" i="7"/>
  <c r="G12" i="2"/>
  <c r="H97" i="1" s="1"/>
  <c r="G7" i="2"/>
  <c r="H86" i="1" s="1"/>
  <c r="G62" i="2"/>
  <c r="G42" i="2"/>
  <c r="G81" i="2"/>
  <c r="G41" i="2"/>
  <c r="G65" i="2"/>
  <c r="H50" i="2"/>
  <c r="I50" i="2"/>
  <c r="D50" i="2"/>
  <c r="H72" i="2"/>
  <c r="I72" i="2"/>
  <c r="D72" i="2"/>
  <c r="G48" i="2"/>
  <c r="G59" i="2"/>
  <c r="G75" i="2"/>
  <c r="G74" i="2"/>
  <c r="H71" i="2"/>
  <c r="I71" i="2"/>
  <c r="D71" i="2"/>
  <c r="G79" i="2"/>
  <c r="G60" i="2"/>
  <c r="G53" i="2"/>
  <c r="G22" i="2"/>
  <c r="H95" i="1"/>
  <c r="G78" i="2"/>
  <c r="E65" i="7"/>
  <c r="C212"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H24" i="15" l="1"/>
  <c r="C6" i="8"/>
  <c r="H23" i="15"/>
  <c r="F27" i="15"/>
  <c r="H9" i="15"/>
  <c r="B84" i="9"/>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05" i="1"/>
  <c r="H101" i="1"/>
  <c r="H118" i="1"/>
  <c r="H109" i="1"/>
  <c r="H115" i="1"/>
  <c r="H114"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103" i="1"/>
  <c r="H104" i="1"/>
  <c r="H89" i="1"/>
  <c r="H84" i="1"/>
  <c r="H87" i="1"/>
  <c r="H83" i="1"/>
  <c r="H82" i="1"/>
  <c r="H92" i="1"/>
  <c r="H94" i="1"/>
  <c r="H71" i="1"/>
  <c r="H70" i="1"/>
  <c r="G9" i="2"/>
  <c r="H80" i="1" s="1"/>
  <c r="G19" i="2"/>
  <c r="H85" i="1" s="1"/>
  <c r="G6" i="2"/>
  <c r="H81" i="1" s="1"/>
  <c r="G25" i="2"/>
  <c r="H99" i="1" s="1"/>
  <c r="G14" i="2"/>
  <c r="G10" i="2"/>
  <c r="H91" i="1" s="1"/>
  <c r="H72" i="1"/>
  <c r="H26" i="2"/>
  <c r="I26" i="2" s="1"/>
  <c r="D26" i="2" s="1"/>
  <c r="G5" i="2"/>
  <c r="H88" i="1" s="1"/>
  <c r="H8" i="2"/>
  <c r="I8" i="2" s="1"/>
  <c r="D8" i="2" s="1"/>
  <c r="G28" i="2"/>
  <c r="G16" i="2"/>
  <c r="H77" i="1" s="1"/>
  <c r="H75" i="1"/>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E18" i="9"/>
  <c r="K120"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29" i="7"/>
  <c r="H21" i="7"/>
  <c r="H29" i="7" s="1"/>
  <c r="D44" i="18"/>
  <c r="C11" i="8" s="1"/>
  <c r="I37" i="12"/>
  <c r="C43" i="12"/>
  <c r="E44" i="18"/>
  <c r="D42" i="14"/>
  <c r="C10" i="8" s="1"/>
  <c r="J43" i="14"/>
  <c r="C12" i="8" s="1"/>
  <c r="G27" i="15"/>
  <c r="D2" i="2"/>
  <c r="H27" i="15" l="1"/>
  <c r="C12" i="19" a="1"/>
  <c r="C12" i="19" s="1"/>
  <c r="AG38" i="9"/>
  <c r="C35" i="20" s="1"/>
  <c r="O81" i="9"/>
  <c r="Q81" i="9" s="1"/>
  <c r="AG37" i="9"/>
  <c r="C34" i="20"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AG35" i="9"/>
  <c r="C32" i="20" s="1"/>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212"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J15" i="1" l="1"/>
  <c r="G97" i="9"/>
  <c r="W27" i="9" a="1"/>
  <c r="W27" i="9" s="1"/>
  <c r="AG27" i="9" s="1"/>
  <c r="C24" i="20" s="1"/>
  <c r="O106" i="9"/>
  <c r="W28" i="9" a="1"/>
  <c r="W28" i="9" s="1"/>
  <c r="AG28" i="9" s="1"/>
  <c r="C25" i="20" s="1"/>
  <c r="O107" i="9"/>
  <c r="W33" i="9" a="1"/>
  <c r="W33" i="9" s="1"/>
  <c r="AG33" i="9" s="1"/>
  <c r="C30" i="20" s="1"/>
  <c r="O112" i="9"/>
  <c r="W19" i="9" a="1"/>
  <c r="W19" i="9" s="1"/>
  <c r="J43" i="1"/>
  <c r="H98" i="9"/>
  <c r="X19" i="9" s="1" a="1"/>
  <c r="X19" i="9" s="1"/>
  <c r="O111" i="9"/>
  <c r="AG32" i="9"/>
  <c r="C29" i="20" s="1"/>
  <c r="O105" i="9"/>
  <c r="W26" i="9" a="1"/>
  <c r="W26" i="9" s="1"/>
  <c r="AG26" i="9" s="1"/>
  <c r="C23" i="20" s="1"/>
  <c r="J68" i="1"/>
  <c r="L84" i="9"/>
  <c r="AB5" i="9" s="1" a="1"/>
  <c r="AB5" i="9" s="1"/>
  <c r="I29" i="1"/>
  <c r="F84" i="9"/>
  <c r="V5" i="9" s="1" a="1"/>
  <c r="V5" i="9" s="1"/>
  <c r="W9" i="9" a="1"/>
  <c r="W9" i="9" s="1"/>
  <c r="J29" i="1"/>
  <c r="H84" i="9"/>
  <c r="X5" i="9" s="1" a="1"/>
  <c r="X5" i="9" s="1"/>
  <c r="W34" i="9" a="1"/>
  <c r="W34" i="9" s="1"/>
  <c r="AG34" i="9" s="1"/>
  <c r="C31" i="20" s="1"/>
  <c r="O113" i="9"/>
  <c r="J2" i="1"/>
  <c r="G84" i="9"/>
  <c r="G99" i="9"/>
  <c r="J17" i="1"/>
  <c r="W14" i="9" a="1"/>
  <c r="W14" i="9" s="1"/>
  <c r="AG14" i="9" s="1"/>
  <c r="C11" i="20" s="1"/>
  <c r="O93" i="9"/>
  <c r="W13" i="9" a="1"/>
  <c r="W13" i="9" s="1"/>
  <c r="AG13" i="9" s="1"/>
  <c r="C10" i="20" s="1"/>
  <c r="O92" i="9"/>
  <c r="W10" i="9" a="1"/>
  <c r="W10" i="9" s="1"/>
  <c r="AG10" i="9" s="1"/>
  <c r="C7" i="20" s="1"/>
  <c r="O89" i="9"/>
  <c r="J21" i="1"/>
  <c r="G103" i="9"/>
  <c r="P7" i="17"/>
  <c r="C19" i="10"/>
  <c r="C21" i="10" s="1"/>
  <c r="P84" i="9"/>
  <c r="AF5" i="9" s="1"/>
  <c r="B2" i="20" s="1"/>
  <c r="B2" i="21"/>
  <c r="I2" i="1"/>
  <c r="E84" i="9"/>
  <c r="U5" i="9" s="1" a="1"/>
  <c r="U5" i="9" s="1"/>
  <c r="W11" i="9" a="1"/>
  <c r="W11" i="9" s="1"/>
  <c r="AG11" i="9" s="1"/>
  <c r="C8" i="20" s="1"/>
  <c r="O90" i="9"/>
  <c r="J12" i="1"/>
  <c r="G94" i="9"/>
  <c r="J33" i="1"/>
  <c r="H88" i="9"/>
  <c r="X9" i="9" s="1" a="1"/>
  <c r="X9" i="9" s="1"/>
  <c r="W29" i="9" a="1"/>
  <c r="W29" i="9" s="1"/>
  <c r="AG29" i="9" s="1"/>
  <c r="C26" i="20" s="1"/>
  <c r="O108" i="9"/>
  <c r="F212" i="17"/>
  <c r="K5" i="17"/>
  <c r="K6" i="17" s="1"/>
  <c r="W31" i="9" a="1"/>
  <c r="W31" i="9" s="1"/>
  <c r="AG31" i="9" s="1"/>
  <c r="O110" i="9"/>
  <c r="B28" i="20"/>
  <c r="E18" i="19" a="1"/>
  <c r="E18" i="19" s="1"/>
  <c r="W16" i="9" a="1"/>
  <c r="W16" i="9" s="1"/>
  <c r="AG16" i="9" s="1"/>
  <c r="C13" i="20" s="1"/>
  <c r="O95" i="9"/>
  <c r="J14" i="1"/>
  <c r="G96" i="9"/>
  <c r="W25" i="9" a="1"/>
  <c r="W25" i="9" s="1"/>
  <c r="AG25" i="9" s="1"/>
  <c r="C22" i="20" s="1"/>
  <c r="O104" i="9"/>
  <c r="W30" i="9" a="1"/>
  <c r="W30" i="9" s="1"/>
  <c r="AG30" i="9" s="1"/>
  <c r="C27" i="20" s="1"/>
  <c r="O109" i="9"/>
  <c r="W21" i="9" a="1"/>
  <c r="W21" i="9" s="1"/>
  <c r="AG21" i="9" s="1"/>
  <c r="C18" i="20" s="1"/>
  <c r="O100" i="9"/>
  <c r="J19" i="1"/>
  <c r="G101" i="9"/>
  <c r="W8" i="9" a="1"/>
  <c r="W8" i="9" s="1"/>
  <c r="AG8" i="9" s="1"/>
  <c r="C5" i="20" s="1"/>
  <c r="O87" i="9"/>
  <c r="W7" i="9" a="1"/>
  <c r="W7" i="9" s="1"/>
  <c r="AG7" i="9" s="1"/>
  <c r="C4" i="20" s="1"/>
  <c r="O86" i="9"/>
  <c r="W23" i="9" a="1"/>
  <c r="W23" i="9" s="1"/>
  <c r="AG23" i="9" s="1"/>
  <c r="C20" i="20" s="1"/>
  <c r="O102" i="9"/>
  <c r="W12" i="9" a="1"/>
  <c r="W12" i="9" s="1"/>
  <c r="AG12" i="9" s="1"/>
  <c r="C9" i="20" s="1"/>
  <c r="O91" i="9"/>
  <c r="W6" i="9" a="1"/>
  <c r="W6" i="9" s="1"/>
  <c r="AG6" i="9" s="1"/>
  <c r="C3" i="20" s="1"/>
  <c r="O85" i="9"/>
  <c r="Q86" i="9" l="1"/>
  <c r="Q89" i="9"/>
  <c r="Q85" i="9"/>
  <c r="Q100" i="9"/>
  <c r="Q110" i="9"/>
  <c r="Q93" i="9"/>
  <c r="Q107" i="9"/>
  <c r="Q111" i="9"/>
  <c r="Q95" i="9"/>
  <c r="Q90" i="9"/>
  <c r="Q92" i="9"/>
  <c r="Q91" i="9"/>
  <c r="Q109" i="9"/>
  <c r="Q106" i="9"/>
  <c r="Q112" i="9"/>
  <c r="Q113" i="9"/>
  <c r="Q87" i="9"/>
  <c r="Q102" i="9"/>
  <c r="Q104" i="9"/>
  <c r="Q108" i="9"/>
  <c r="Q105" i="9"/>
  <c r="I120" i="1" a="1"/>
  <c r="I120" i="1" s="1"/>
  <c r="E7" i="8" s="1"/>
  <c r="AG9" i="9"/>
  <c r="C6" i="20" s="1"/>
  <c r="W22" i="9" a="1"/>
  <c r="W22" i="9" s="1"/>
  <c r="AG22" i="9" s="1"/>
  <c r="C19" i="20" s="1"/>
  <c r="O101" i="9"/>
  <c r="O88" i="9"/>
  <c r="O98" i="9"/>
  <c r="AG19" i="9"/>
  <c r="C16" i="20" s="1"/>
  <c r="W20" i="9" a="1"/>
  <c r="W20" i="9" s="1"/>
  <c r="AG20" i="9" s="1"/>
  <c r="C17" i="20" s="1"/>
  <c r="O99" i="9"/>
  <c r="O84" i="9"/>
  <c r="W5" i="9" a="1"/>
  <c r="W5" i="9" s="1"/>
  <c r="AG5" i="9" s="1"/>
  <c r="C2" i="20" s="1"/>
  <c r="J120" i="1" a="1"/>
  <c r="J120" i="1" s="1"/>
  <c r="C28" i="20"/>
  <c r="E20" i="19" a="1"/>
  <c r="E20" i="19" s="1"/>
  <c r="W24" i="9" a="1"/>
  <c r="W24" i="9" s="1"/>
  <c r="AG24" i="9" s="1"/>
  <c r="C21" i="20" s="1"/>
  <c r="O103" i="9"/>
  <c r="W18" i="9" a="1"/>
  <c r="W18" i="9" s="1"/>
  <c r="AG18" i="9" s="1"/>
  <c r="C15" i="20" s="1"/>
  <c r="O97" i="9"/>
  <c r="W17" i="9" a="1"/>
  <c r="W17" i="9" s="1"/>
  <c r="AG17" i="9" s="1"/>
  <c r="C14" i="20" s="1"/>
  <c r="O96" i="9"/>
  <c r="W15" i="9" a="1"/>
  <c r="W15" i="9" s="1"/>
  <c r="AG15" i="9" s="1"/>
  <c r="C12" i="20" s="1"/>
  <c r="O94" i="9"/>
  <c r="Q97" i="9" l="1"/>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<sst xmlns="http://schemas.openxmlformats.org/spreadsheetml/2006/main" count="1486" uniqueCount="398">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</sst>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14" fontId="0" fillId="0" borderId="7" xfId="0" applyNumberFormat="1" applyFont="1" applyBorder="1"/>
    <xf numFmtId="0" fontId="0" fillId="0" borderId="0" xfId="0" applyNumberFormat="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380593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516337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6212772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098379631"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8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600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099652778"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0">
        <d v="2026-02-20T00:00:00"/>
        <m/>
        <d v="2026-02-21T00:00:00"/>
        <d v="2026-02-22T00:00:00"/>
        <d v="2026-02-23T00:00:00"/>
        <d v="2026-02-19T00:00:00"/>
        <d v="2026-02-24T00:00:00"/>
        <d v="2026-02-25T00:00:00"/>
        <d v="2026-02-2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000002"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7T00:00:00" count="82">
        <d v="2026-02-19T00:00:00"/>
        <m/>
        <d v="2026-02-20T00:00:00"/>
        <d v="2026-02-22T00:00:00"/>
        <d v="2026-02-23T00:00:00"/>
        <d v="2026-02-24T00:00:00"/>
        <d v="2026-02-25T00:00:00"/>
        <d v="2026-02-2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57870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69333.39429407462"/>
    </cacheField>
    <cacheField name="Rate" numFmtId="0">
      <sharedItems containsString="0" containsBlank="1" containsNumber="1" minValue="10" maxValue="12"/>
    </cacheField>
    <cacheField name="Total" numFmtId="164">
      <sharedItems containsSemiMixedTypes="0" containsString="0" containsNumber="1" minValue="0" maxValue="2086230.797366496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810187" createdVersion="8" refreshedVersion="8" minRefreshableVersion="3" recordCount="189" xr:uid="{B5BDFB73-D93A-4A7A-8149-666BC190B09B}">
  <cacheSource type="worksheet">
    <worksheetSource name="Table14"/>
  </cacheSource>
  <cacheFields count="7">
    <cacheField name="Date" numFmtId="14">
      <sharedItems containsNonDate="0" containsDate="1" containsString="0" containsBlank="1" minDate="2025-12-23T00:00:00" maxDate="2026-03-03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u="1"/>
        <s v="salman Zaffar" u="1"/>
        <s v="ubaidullah" u="1"/>
        <s v="sajad khan"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21277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115741" createdVersion="8" refreshedVersion="8" minRefreshableVersion="3" recordCount="117" xr:uid="{46CBB50D-3613-4E5B-8212-DD0313DCD05A}">
  <cacheSource type="worksheet">
    <worksheetSource name="Table1"/>
  </cacheSource>
  <cacheFields count="14">
    <cacheField name="Date" numFmtId="0">
      <sharedItems containsSemiMixedTypes="0" containsNonDate="0" containsDate="1" containsString="0" minDate="2026-02-19T00:00:00" maxDate="2026-03-03T00:00:00"/>
    </cacheField>
    <cacheField name="Party Name" numFmtId="0">
      <sharedItems containsBlank="1" count="41">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u="1"/>
        <s v="Reject" u="1"/>
        <s v="YING" u="1"/>
        <s v="Meow" u="1"/>
        <s v="Umer Sb" u="1"/>
        <s v="-" u="1"/>
        <s v="Sajjad" u="1"/>
        <s v="Haji Ejaz" u="1"/>
      </sharedItems>
    </cacheField>
    <cacheField name="Bill Number" numFmtId="0">
      <sharedItems containsMixedTypes="1" containsNumber="1" containsInteger="1" minValue="1509" maxValue="1557"/>
    </cacheField>
    <cacheField name="Quality" numFmtId="0">
      <sharedItems containsBlank="1"/>
    </cacheField>
    <cacheField name="Shipment Number" numFmtId="164">
      <sharedItems containsString="0" containsBlank="1" containsNumber="1" containsInteger="1" minValue="1558" maxValue="17000" count="466">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7760"/>
    <m/>
    <n v="77760"/>
  </r>
  <r>
    <x v="7"/>
    <x v="11"/>
    <x v="1"/>
    <n v="248"/>
    <n v="810"/>
    <m/>
    <n v="200880"/>
    <m/>
    <n v="200880"/>
  </r>
  <r>
    <x v="8"/>
    <x v="8"/>
    <x v="1"/>
    <n v="137"/>
    <n v="580"/>
    <m/>
    <n v="79460"/>
    <m/>
    <n v="7946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69333.39429407462"/>
    <n v="10"/>
    <n v="2086230.7973664962"/>
  </r>
  <r>
    <x v="1"/>
    <n v="27478.054133138263"/>
    <n v="10"/>
    <n v="329736.64959765912"/>
  </r>
  <r>
    <x v="2"/>
    <n v="66417.337234820778"/>
    <n v="10"/>
    <n v="702871.25091441115"/>
  </r>
  <r>
    <x v="3"/>
    <n v="0"/>
    <n v="10.5"/>
    <n v="0"/>
  </r>
  <r>
    <x v="4"/>
    <n v="0"/>
    <n v="10"/>
    <n v="0"/>
  </r>
  <r>
    <x v="5"/>
    <n v="0"/>
    <n v="10"/>
    <n v="0"/>
  </r>
  <r>
    <x v="6"/>
    <n v="23264.447695683983"/>
    <n v="10"/>
    <n v="232644.47695683982"/>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d v="2026-01-20T00:00:00"/>
    <x v="0"/>
    <m/>
    <n v="621277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50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81.197791550645263"/>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s v="NF"/>
    <m/>
    <m/>
    <m/>
  </r>
  <r>
    <d v="2026-03-02T00:00:00"/>
    <x v="31"/>
    <n v="1546"/>
    <s v="Silky"/>
    <x v="26"/>
    <n v="46392"/>
    <n v="15484"/>
    <s v="NF"/>
    <m/>
    <m/>
    <m/>
  </r>
  <r>
    <d v="2026-03-02T00:00:00"/>
    <x v="0"/>
    <n v="1547"/>
    <s v="Silky"/>
    <x v="24"/>
    <n v="46469"/>
    <n v="6890"/>
    <n v="81.197791550645263"/>
    <m/>
    <m/>
    <m/>
  </r>
  <r>
    <d v="2026-03-02T00:00:00"/>
    <x v="0"/>
    <n v="1548"/>
    <s v="Silky"/>
    <x v="27"/>
    <n v="22835"/>
    <n v="3207"/>
    <s v="NF"/>
    <m/>
    <m/>
    <m/>
  </r>
  <r>
    <d v="2026-03-02T00:00:00"/>
    <x v="31"/>
    <n v="1549"/>
    <s v="Silky"/>
    <x v="28"/>
    <n v="45985"/>
    <n v="46245"/>
    <s v="NF"/>
    <m/>
    <m/>
    <m/>
  </r>
  <r>
    <d v="2026-03-02T00:00:00"/>
    <x v="32"/>
    <n v="1550"/>
    <s v="Chamki"/>
    <x v="29"/>
    <n v="26023"/>
    <n v="28166"/>
    <s v="NF"/>
    <m/>
    <m/>
    <m/>
  </r>
  <r>
    <d v="2026-03-02T00:00:00"/>
    <x v="29"/>
    <n v="1551"/>
    <m/>
    <x v="30"/>
    <m/>
    <n v="2838"/>
    <s v="NF"/>
    <m/>
    <m/>
    <m/>
  </r>
  <r>
    <d v="2026-03-02T00:00:00"/>
    <x v="2"/>
    <n v="1552"/>
    <s v="Chamki"/>
    <x v="31"/>
    <n v="25082"/>
    <n v="13375"/>
    <s v="NF"/>
    <m/>
    <m/>
    <m/>
  </r>
  <r>
    <d v="2026-03-02T00:00:00"/>
    <x v="2"/>
    <n v="1553"/>
    <s v="Chamki"/>
    <x v="31"/>
    <n v="25082"/>
    <n v="13248"/>
    <s v="NF"/>
    <m/>
    <m/>
    <m/>
  </r>
  <r>
    <d v="2026-03-02T00:00:00"/>
    <x v="1"/>
    <n v="1554"/>
    <s v="Silky"/>
    <x v="32"/>
    <n v="13945"/>
    <n v="14730"/>
    <s v="NF"/>
    <m/>
    <m/>
    <m/>
  </r>
  <r>
    <d v="2026-03-02T00:00:00"/>
    <x v="0"/>
    <n v="1555"/>
    <s v="Silky"/>
    <x v="33"/>
    <n v="18783"/>
    <n v="16742"/>
    <s v="NF"/>
    <m/>
    <m/>
    <m/>
  </r>
  <r>
    <d v="2026-03-02T00:00:00"/>
    <x v="0"/>
    <n v="1556"/>
    <s v="Silky"/>
    <x v="27"/>
    <n v="22835"/>
    <n v="2504"/>
    <s v="NF"/>
    <m/>
    <m/>
    <m/>
  </r>
  <r>
    <d v="2026-03-02T00:00:00"/>
    <x v="26"/>
    <n v="1557"/>
    <s v="Chamki"/>
    <x v="34"/>
    <n v="24845"/>
    <n v="26443"/>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8" firstHeaderRow="0" firstDataRow="1" firstDataCol="1" rowPageCount="1" colPageCount="1"/>
  <pivotFields count="9">
    <pivotField axis="axisRow" numFmtId="14" showAll="0">
      <items count="201">
        <item m="1" x="184"/>
        <item m="1" x="185"/>
        <item m="1" x="186"/>
        <item m="1" x="187"/>
        <item m="1" x="188"/>
        <item m="1" x="189"/>
        <item m="1" x="190"/>
        <item m="1" x="199"/>
        <item m="1" x="180"/>
        <item m="1" x="191"/>
        <item m="1" x="192"/>
        <item m="1" x="193"/>
        <item m="1" x="194"/>
        <item m="1" x="195"/>
        <item m="1" x="196"/>
        <item m="1" x="197"/>
        <item m="1" x="151"/>
        <item m="1" x="152"/>
        <item m="1" x="198"/>
        <item m="1" x="153"/>
        <item m="1" x="150"/>
        <item m="1" x="154"/>
        <item m="1" x="156"/>
        <item m="1" x="157"/>
        <item m="1" x="158"/>
        <item m="1" x="160"/>
        <item m="1" x="161"/>
        <item m="1" x="162"/>
        <item m="1" x="155"/>
        <item m="1" x="159"/>
        <item m="1" x="163"/>
        <item m="1" x="164"/>
        <item m="1" x="165"/>
        <item m="1" x="166"/>
        <item m="1" x="149"/>
        <item m="1" x="167"/>
        <item m="1" x="181"/>
        <item m="1" x="182"/>
        <item m="1" x="183"/>
        <item m="1" x="168"/>
        <item m="1" x="169"/>
        <item m="1" x="170"/>
        <item m="1" x="171"/>
        <item m="1" x="172"/>
        <item m="1" x="173"/>
        <item m="1" x="174"/>
        <item m="1" x="175"/>
        <item m="1" x="176"/>
        <item m="1" x="177"/>
        <item m="1" x="178"/>
        <item m="1" x="179"/>
        <item m="1" x="120"/>
        <item m="1" x="121"/>
        <item m="1" x="122"/>
        <item m="1" x="123"/>
        <item m="1" x="124"/>
        <item m="1" x="125"/>
        <item m="1" x="126"/>
        <item m="1" x="127"/>
        <item m="1" x="129"/>
        <item m="1" x="130"/>
        <item m="1" x="131"/>
        <item m="1" x="128"/>
        <item m="1" x="132"/>
        <item m="1" x="133"/>
        <item m="1" x="134"/>
        <item m="1" x="135"/>
        <item m="1" x="136"/>
        <item m="1" x="137"/>
        <item m="1" x="138"/>
        <item m="1" x="139"/>
        <item m="1" x="140"/>
        <item m="1" x="141"/>
        <item m="1" x="142"/>
        <item m="1" x="143"/>
        <item m="1" x="144"/>
        <item m="1" x="145"/>
        <item m="1" x="146"/>
        <item m="1" x="147"/>
        <item m="1" x="148"/>
        <item m="1" x="66"/>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7"/>
        <item m="1" x="70"/>
        <item m="1" x="68"/>
        <item m="1" x="69"/>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34"/>
        <item m="1" x="35"/>
        <item m="1" x="36"/>
        <item m="1" x="37"/>
        <item m="1" x="38"/>
        <item m="1" x="39"/>
        <item m="1" x="40"/>
        <item m="1" x="41"/>
        <item x="1"/>
        <item m="1" x="42"/>
        <item m="1" x="43"/>
        <item m="1" x="44"/>
        <item m="1" x="45"/>
        <item m="1" x="46"/>
        <item m="1" x="47"/>
        <item m="1" x="65"/>
        <item m="1" x="48"/>
        <item m="1" x="49"/>
        <item m="1" x="33"/>
        <item m="1" x="32"/>
        <item m="1" x="50"/>
        <item m="1" x="51"/>
        <item m="1" x="52"/>
        <item m="1" x="53"/>
        <item m="1" x="54"/>
        <item m="1" x="55"/>
        <item m="1" x="56"/>
        <item m="1" x="57"/>
        <item m="1" x="58"/>
        <item m="1" x="59"/>
        <item m="1" x="60"/>
        <item m="1" x="61"/>
        <item m="1" x="62"/>
        <item m="1" x="63"/>
        <item m="1" x="64"/>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x="5"/>
        <item x="0"/>
        <item x="2"/>
        <item x="3"/>
        <item x="4"/>
        <item x="6"/>
        <item x="7"/>
        <item x="8"/>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0">
    <i>
      <x v="142"/>
    </i>
    <i r="1">
      <x v="54"/>
    </i>
    <i>
      <x v="192"/>
    </i>
    <i r="1">
      <x v="54"/>
    </i>
    <i>
      <x v="193"/>
    </i>
    <i r="1">
      <x v="20"/>
    </i>
    <i r="1">
      <x v="54"/>
    </i>
    <i>
      <x v="194"/>
    </i>
    <i r="1">
      <x v="54"/>
    </i>
    <i>
      <x v="195"/>
    </i>
    <i r="1">
      <x v="54"/>
    </i>
    <i>
      <x v="196"/>
    </i>
    <i r="1">
      <x v="54"/>
    </i>
    <i>
      <x v="197"/>
    </i>
    <i r="1">
      <x v="54"/>
    </i>
    <i>
      <x v="198"/>
    </i>
    <i r="1">
      <x v="54"/>
    </i>
    <i>
      <x v="19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94">
        <item x="33"/>
        <item x="19"/>
        <item m="1" x="62"/>
        <item m="1" x="80"/>
        <item m="1" x="83"/>
        <item x="13"/>
        <item x="21"/>
        <item x="14"/>
        <item x="5"/>
        <item m="1" x="35"/>
        <item x="23"/>
        <item m="1" x="91"/>
        <item m="1" x="57"/>
        <item x="10"/>
        <item m="1" x="42"/>
        <item m="1" x="89"/>
        <item x="2"/>
        <item m="1" x="40"/>
        <item x="3"/>
        <item x="4"/>
        <item x="18"/>
        <item m="1" x="38"/>
        <item m="1" x="92"/>
        <item m="1" x="58"/>
        <item x="15"/>
        <item m="1" x="90"/>
        <item m="1" x="82"/>
        <item x="31"/>
        <item m="1" x="84"/>
        <item m="1" x="85"/>
        <item m="1" x="86"/>
        <item m="1" x="87"/>
        <item m="1" x="37"/>
        <item m="1" x="88"/>
        <item m="1" x="59"/>
        <item m="1" x="51"/>
        <item x="34"/>
        <item m="1" x="48"/>
        <item m="1" x="79"/>
        <item m="1" x="75"/>
        <item m="1" x="55"/>
        <item x="22"/>
        <item x="17"/>
        <item m="1" x="81"/>
        <item x="1"/>
        <item x="24"/>
        <item m="1" x="70"/>
        <item x="7"/>
        <item x="27"/>
        <item m="1" x="71"/>
        <item m="1" x="72"/>
        <item m="1" x="73"/>
        <item m="1" x="74"/>
        <item m="1" x="76"/>
        <item m="1" x="47"/>
        <item m="1" x="63"/>
        <item m="1" x="77"/>
        <item m="1" x="78"/>
        <item m="1" x="61"/>
        <item m="1" x="50"/>
        <item m="1" x="60"/>
        <item x="8"/>
        <item m="1" x="64"/>
        <item m="1" x="52"/>
        <item m="1" x="69"/>
        <item x="26"/>
        <item x="30"/>
        <item m="1" x="66"/>
        <item x="32"/>
        <item m="1" x="65"/>
        <item x="28"/>
        <item m="1" x="67"/>
        <item x="20"/>
        <item m="1" x="68"/>
        <item x="0"/>
        <item m="1" x="53"/>
        <item m="1" x="36"/>
        <item m="1" x="56"/>
        <item x="12"/>
        <item m="1" x="46"/>
        <item m="1" x="54"/>
        <item m="1" x="41"/>
        <item x="9"/>
        <item m="1" x="39"/>
        <item m="1" x="43"/>
        <item m="1" x="44"/>
        <item m="1" x="45"/>
        <item m="1" x="49"/>
        <item x="25"/>
        <item x="11"/>
        <item x="6"/>
        <item x="16"/>
        <item x="29"/>
        <item t="default"/>
      </items>
    </pivotField>
    <pivotField dataField="1" showAll="0"/>
    <pivotField dataField="1" showAll="0"/>
    <pivotField showAll="0"/>
    <pivotField showAll="0"/>
    <pivotField showAll="0"/>
  </pivotFields>
  <rowFields count="1">
    <field x="1"/>
  </rowFields>
  <rowItems count="36">
    <i>
      <x/>
    </i>
    <i>
      <x v="1"/>
    </i>
    <i>
      <x v="5"/>
    </i>
    <i>
      <x v="6"/>
    </i>
    <i>
      <x v="7"/>
    </i>
    <i>
      <x v="8"/>
    </i>
    <i>
      <x v="10"/>
    </i>
    <i>
      <x v="13"/>
    </i>
    <i>
      <x v="16"/>
    </i>
    <i>
      <x v="18"/>
    </i>
    <i>
      <x v="19"/>
    </i>
    <i>
      <x v="20"/>
    </i>
    <i>
      <x v="24"/>
    </i>
    <i>
      <x v="27"/>
    </i>
    <i>
      <x v="36"/>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83">
        <item m="1" x="77"/>
        <item m="1" x="78"/>
        <item m="1" x="79"/>
        <item m="1" x="80"/>
        <item m="1" x="81"/>
        <item m="1" x="76"/>
        <item m="1" x="64"/>
        <item m="1" x="65"/>
        <item m="1" x="69"/>
        <item m="1" x="70"/>
        <item m="1" x="66"/>
        <item m="1" x="71"/>
        <item m="1" x="72"/>
        <item m="1" x="73"/>
        <item m="1" x="74"/>
        <item m="1" x="75"/>
        <item m="1" x="63"/>
        <item m="1" x="67"/>
        <item m="1" x="68"/>
        <item m="1" x="56"/>
        <item m="1" x="57"/>
        <item m="1" x="58"/>
        <item m="1" x="59"/>
        <item m="1" x="60"/>
        <item m="1" x="61"/>
        <item m="1" x="62"/>
        <item m="1" x="32"/>
        <item m="1" x="48"/>
        <item m="1" x="49"/>
        <item m="1" x="50"/>
        <item m="1" x="51"/>
        <item m="1" x="52"/>
        <item m="1" x="53"/>
        <item m="1" x="54"/>
        <item m="1" x="55"/>
        <item m="1" x="33"/>
        <item m="1" x="34"/>
        <item m="1" x="35"/>
        <item m="1" x="36"/>
        <item m="1" x="37"/>
        <item m="1" x="38"/>
        <item m="1" x="39"/>
        <item m="1" x="41"/>
        <item m="1" x="42"/>
        <item m="1" x="40"/>
        <item m="1" x="43"/>
        <item m="1" x="44"/>
        <item m="1" x="45"/>
        <item m="1" x="46"/>
        <item m="1" x="47"/>
        <item m="1" x="8"/>
        <item m="1" x="19"/>
        <item m="1" x="20"/>
        <item m="1" x="21"/>
        <item m="1" x="22"/>
        <item m="1" x="23"/>
        <item m="1" x="24"/>
        <item m="1" x="25"/>
        <item m="1" x="26"/>
        <item m="1" x="27"/>
        <item m="1" x="28"/>
        <item m="1" x="29"/>
        <item m="1" x="30"/>
        <item m="1" x="31"/>
        <item m="1" x="9"/>
        <item m="1" x="10"/>
        <item m="1" x="11"/>
        <item m="1" x="12"/>
        <item m="1" x="13"/>
        <item x="1"/>
        <item m="1" x="14"/>
        <item m="1" x="15"/>
        <item m="1" x="16"/>
        <item m="1" x="17"/>
        <item m="1" x="18"/>
        <item x="0"/>
        <item x="2"/>
        <item x="3"/>
        <item x="4"/>
        <item x="5"/>
        <item x="6"/>
        <item x="7"/>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9">
    <i>
      <x v="69"/>
    </i>
    <i>
      <x v="75"/>
    </i>
    <i>
      <x v="76"/>
    </i>
    <i>
      <x v="77"/>
    </i>
    <i>
      <x v="78"/>
    </i>
    <i>
      <x v="79"/>
    </i>
    <i>
      <x v="80"/>
    </i>
    <i>
      <x v="8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9" firstHeaderRow="0" firstDataRow="1" firstDataCol="1" rowPageCount="1" colPageCount="1"/>
  <pivotFields count="14">
    <pivotField showAll="0"/>
    <pivotField axis="axisPage" multipleItemSelectionAllowed="1" showAll="0">
      <items count="42">
        <item m="1" x="38"/>
        <item x="2"/>
        <item x="0"/>
        <item x="1"/>
        <item m="1" x="40"/>
        <item m="1" x="36"/>
        <item x="6"/>
        <item m="1" x="39"/>
        <item x="3"/>
        <item x="4"/>
        <item m="1" x="37"/>
        <item m="1" x="35"/>
        <item m="1" x="33"/>
        <item x="5"/>
        <item x="10"/>
        <item x="8"/>
        <item x="9"/>
        <item x="7"/>
        <item x="11"/>
        <item m="1" x="34"/>
        <item x="13"/>
        <item x="14"/>
        <item x="15"/>
        <item x="16"/>
        <item x="17"/>
        <item x="18"/>
        <item x="19"/>
        <item x="20"/>
        <item x="21"/>
        <item x="22"/>
        <item x="23"/>
        <item x="24"/>
        <item x="25"/>
        <item x="12"/>
        <item x="27"/>
        <item x="26"/>
        <item x="28"/>
        <item x="29"/>
        <item x="30"/>
        <item x="31"/>
        <item x="32"/>
        <item t="default"/>
      </items>
    </pivotField>
    <pivotField showAll="0"/>
    <pivotField showAll="0"/>
    <pivotField axis="axisRow" showAll="0">
      <items count="467">
        <item m="1" x="449"/>
        <item m="1" x="450"/>
        <item m="1" x="448"/>
        <item m="1" x="447"/>
        <item m="1" x="451"/>
        <item m="1" x="453"/>
        <item m="1" x="452"/>
        <item m="1" x="454"/>
        <item m="1" x="455"/>
        <item m="1" x="456"/>
        <item m="1" x="457"/>
        <item m="1" x="458"/>
        <item m="1" x="459"/>
        <item m="1" x="460"/>
        <item m="1" x="385"/>
        <item m="1" x="407"/>
        <item m="1" x="461"/>
        <item m="1" x="462"/>
        <item m="1" x="463"/>
        <item m="1" x="415"/>
        <item m="1" x="414"/>
        <item m="1" x="464"/>
        <item m="1" x="465"/>
        <item m="1" x="424"/>
        <item m="1" x="416"/>
        <item m="1" x="417"/>
        <item m="1" x="418"/>
        <item m="1" x="419"/>
        <item m="1" x="420"/>
        <item m="1" x="421"/>
        <item m="1" x="422"/>
        <item m="1" x="423"/>
        <item m="1" x="425"/>
        <item m="1" x="445"/>
        <item m="1" x="426"/>
        <item m="1" x="446"/>
        <item m="1" x="427"/>
        <item m="1" x="428"/>
        <item m="1" x="429"/>
        <item m="1" x="430"/>
        <item m="1" x="431"/>
        <item m="1" x="362"/>
        <item m="1" x="432"/>
        <item m="1" x="433"/>
        <item m="1" x="434"/>
        <item m="1" x="435"/>
        <item m="1" x="436"/>
        <item m="1" x="437"/>
        <item m="1" x="438"/>
        <item m="1" x="439"/>
        <item m="1" x="440"/>
        <item m="1" x="441"/>
        <item m="1" x="442"/>
        <item m="1" x="443"/>
        <item m="1" x="444"/>
        <item x="0"/>
        <item m="1" x="361"/>
        <item m="1" x="363"/>
        <item m="1" x="364"/>
        <item m="1" x="365"/>
        <item m="1" x="366"/>
        <item m="1" x="367"/>
        <item m="1" x="368"/>
        <item m="1" x="369"/>
        <item m="1" x="370"/>
        <item m="1" x="371"/>
        <item m="1" x="372"/>
        <item m="1" x="373"/>
        <item m="1" x="374"/>
        <item m="1" x="375"/>
        <item m="1" x="99"/>
        <item m="1" x="376"/>
        <item m="1" x="377"/>
        <item m="1" x="378"/>
        <item m="1" x="379"/>
        <item m="1" x="380"/>
        <item m="1" x="381"/>
        <item m="1" x="382"/>
        <item m="1" x="383"/>
        <item m="1" x="384"/>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8"/>
        <item m="1" x="409"/>
        <item m="1" x="410"/>
        <item m="1" x="411"/>
        <item m="1" x="412"/>
        <item m="1" x="413"/>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116"/>
        <item m="1" x="330"/>
        <item m="1" x="331"/>
        <item m="1" x="332"/>
        <item m="1" x="333"/>
        <item m="1" x="334"/>
        <item m="1" x="335"/>
        <item m="1" x="336"/>
        <item m="1" x="337"/>
        <item m="1" x="338"/>
        <item m="1" x="339"/>
        <item m="1" x="340"/>
        <item m="1" x="360"/>
        <item m="1" x="341"/>
        <item m="1" x="342"/>
        <item m="1" x="343"/>
        <item m="1" x="344"/>
        <item m="1" x="345"/>
        <item m="1" x="346"/>
        <item m="1" x="347"/>
        <item m="1" x="348"/>
        <item m="1" x="349"/>
        <item m="1" x="350"/>
        <item m="1" x="351"/>
        <item m="1" x="352"/>
        <item m="1" x="353"/>
        <item m="1" x="354"/>
        <item m="1" x="355"/>
        <item m="1" x="356"/>
        <item m="1" x="357"/>
        <item m="1" x="358"/>
        <item m="1" x="359"/>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156"/>
        <item m="1" x="279"/>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96"/>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00"/>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97"/>
        <item m="1" x="222"/>
        <item m="1" x="223"/>
        <item m="1" x="94"/>
        <item m="1" x="103"/>
        <item m="1" x="95"/>
        <item m="1" x="98"/>
        <item m="1" x="101"/>
        <item m="1" x="102"/>
        <item m="1" x="104"/>
        <item m="1" x="105"/>
        <item m="1" x="106"/>
        <item m="1" x="107"/>
        <item m="1" x="108"/>
        <item m="1" x="109"/>
        <item m="1" x="110"/>
        <item m="1" x="111"/>
        <item m="1" x="112"/>
        <item m="1" x="113"/>
        <item m="1" x="114"/>
        <item m="1" x="115"/>
        <item m="1" x="117"/>
        <item m="1" x="118"/>
        <item m="1" x="119"/>
        <item m="1" x="74"/>
        <item m="1" x="50"/>
        <item m="1" x="120"/>
        <item m="1" x="121"/>
        <item m="1" x="122"/>
        <item m="1" x="42"/>
        <item m="1" x="123"/>
        <item m="1" x="124"/>
        <item m="1" x="125"/>
        <item m="1" x="126"/>
        <item m="1" x="90"/>
        <item m="1" x="127"/>
        <item m="1" x="128"/>
        <item m="1" x="129"/>
        <item m="1" x="130"/>
        <item m="1" x="131"/>
        <item m="1" x="132"/>
        <item m="1" x="133"/>
        <item m="1" x="134"/>
        <item m="1" x="135"/>
        <item m="1" x="136"/>
        <item m="1" x="137"/>
        <item m="1" x="138"/>
        <item m="1" x="146"/>
        <item m="1" x="139"/>
        <item m="1" x="140"/>
        <item m="1" x="39"/>
        <item m="1" x="40"/>
        <item m="1" x="141"/>
        <item m="1" x="51"/>
        <item m="1" x="142"/>
        <item m="1" x="143"/>
        <item m="1" x="144"/>
        <item m="1" x="145"/>
        <item m="1" x="38"/>
        <item m="1" x="36"/>
        <item m="1" x="35"/>
        <item m="1" x="37"/>
        <item m="1" x="41"/>
        <item x="13"/>
        <item x="9"/>
        <item m="1" x="43"/>
        <item m="1" x="44"/>
        <item m="1" x="45"/>
        <item m="1" x="46"/>
        <item m="1" x="47"/>
        <item m="1" x="48"/>
        <item m="1" x="49"/>
        <item m="1" x="52"/>
        <item m="1" x="53"/>
        <item m="1" x="54"/>
        <item m="1" x="55"/>
        <item m="1" x="56"/>
        <item m="1" x="57"/>
        <item m="1" x="58"/>
        <item m="1" x="59"/>
        <item m="1" x="60"/>
        <item m="1" x="61"/>
        <item m="1" x="62"/>
        <item m="1" x="63"/>
        <item m="1" x="64"/>
        <item m="1" x="65"/>
        <item x="2"/>
        <item m="1" x="66"/>
        <item m="1" x="67"/>
        <item m="1" x="68"/>
        <item x="10"/>
        <item m="1" x="69"/>
        <item m="1" x="70"/>
        <item m="1" x="71"/>
        <item m="1" x="72"/>
        <item m="1" x="73"/>
        <item m="1" x="75"/>
        <item m="1" x="76"/>
        <item m="1" x="77"/>
        <item m="1" x="78"/>
        <item x="8"/>
        <item m="1" x="79"/>
        <item m="1" x="80"/>
        <item m="1" x="81"/>
        <item m="1" x="82"/>
        <item m="1" x="83"/>
        <item m="1" x="84"/>
        <item x="15"/>
        <item m="1" x="85"/>
        <item m="1" x="86"/>
        <item m="1" x="87"/>
        <item x="7"/>
        <item m="1" x="88"/>
        <item m="1" x="89"/>
        <item x="19"/>
        <item m="1" x="91"/>
        <item m="1" x="92"/>
        <item m="1" x="93"/>
        <item x="1"/>
        <item x="3"/>
        <item x="4"/>
        <item x="5"/>
        <item x="6"/>
        <item x="11"/>
        <item x="12"/>
        <item x="14"/>
        <item x="16"/>
        <item x="17"/>
        <item x="18"/>
        <item x="20"/>
        <item x="21"/>
        <item x="22"/>
        <item x="23"/>
        <item x="24"/>
        <item x="25"/>
        <item x="26"/>
        <item x="27"/>
        <item x="28"/>
        <item x="29"/>
        <item x="30"/>
        <item x="31"/>
        <item x="32"/>
        <item x="33"/>
        <item x="3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6">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6">
      <pivotArea type="all" dataOnly="0" outline="0" fieldPosition="0"/>
    </format>
    <format dxfId="25">
      <pivotArea outline="0" collapsedLevelsAreSubtotals="1" fieldPosition="0"/>
    </format>
    <format dxfId="24">
      <pivotArea field="4" type="button" dataOnly="0" labelOnly="1" outline="0" axis="axisRow" fieldPosition="0"/>
    </format>
    <format dxfId="23">
      <pivotArea dataOnly="0" labelOnly="1" fieldPosition="0">
        <references count="1">
          <reference field="4" count="0"/>
        </references>
      </pivotArea>
    </format>
    <format dxfId="22">
      <pivotArea dataOnly="0" labelOnly="1" grandRow="1" outline="0" fieldPosition="0"/>
    </format>
    <format dxfId="21">
      <pivotArea dataOnly="0" labelOnly="1" outline="0" fieldPosition="0">
        <references count="1">
          <reference field="4294967294" count="2">
            <x v="0"/>
            <x v="1"/>
          </reference>
        </references>
      </pivotArea>
    </format>
    <format dxfId="20">
      <pivotArea grandRow="1" outline="0" collapsedLevelsAreSubtotals="1" fieldPosition="0"/>
    </format>
    <format dxfId="19">
      <pivotArea field="4" type="button" dataOnly="0" labelOnly="1" outline="0" axis="axisRow"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66">
        <i x="5" s="1"/>
        <i x="34" s="1"/>
        <i x="23" s="1"/>
        <i x="13" s="1"/>
        <i x="9" s="1"/>
        <i x="10" s="1"/>
        <i x="3" s="1"/>
        <i x="6" s="1"/>
        <i x="4" s="1"/>
        <i x="8" s="1"/>
        <i x="2" s="1"/>
        <i x="12" s="1"/>
        <i x="17" s="1"/>
        <i x="7" s="1"/>
        <i x="22" s="1"/>
        <i x="15" s="1"/>
        <i x="11" s="1"/>
        <i x="19" s="1"/>
        <i x="1" s="1"/>
        <i x="16" s="1"/>
        <i x="14" s="1"/>
        <i x="18" s="1"/>
        <i x="21" s="1"/>
        <i x="20" s="1"/>
        <i x="30" s="1"/>
        <i x="25" s="1"/>
        <i x="26" s="1"/>
        <i x="28" s="1"/>
        <i x="29" s="1"/>
        <i x="32" s="1"/>
        <i x="24" s="1"/>
        <i x="27" s="1"/>
        <i x="33" s="1"/>
        <i x="31" s="1"/>
        <i x="420" s="1" nd="1"/>
        <i x="449" s="1" nd="1"/>
        <i x="450" s="1" nd="1"/>
        <i x="458" s="1" nd="1"/>
        <i x="448" s="1" nd="1"/>
        <i x="447" s="1" nd="1"/>
        <i x="451" s="1" nd="1"/>
        <i x="462" s="1" nd="1"/>
        <i x="454" s="1" nd="1"/>
        <i x="455" s="1" nd="1"/>
        <i x="452" s="1" nd="1"/>
        <i x="453" s="1" nd="1"/>
        <i x="463" s="1" nd="1"/>
        <i x="456" s="1" nd="1"/>
        <i x="457" s="1" nd="1"/>
        <i x="460" s="1" nd="1"/>
        <i x="461" s="1" nd="1"/>
        <i x="459" s="1" nd="1"/>
        <i x="415" s="1" nd="1"/>
        <i x="465" s="1" nd="1"/>
        <i x="414" s="1" nd="1"/>
        <i x="464" s="1" nd="1"/>
        <i x="417" s="1" nd="1"/>
        <i x="378" s="1" nd="1"/>
        <i x="416" s="1" nd="1"/>
        <i x="418" s="1" nd="1"/>
        <i x="424" s="1" nd="1"/>
        <i x="419" s="1" nd="1"/>
        <i x="421" s="1" nd="1"/>
        <i x="437" s="1" nd="1"/>
        <i x="361" s="1" nd="1"/>
        <i x="425" s="1" nd="1"/>
        <i x="366" s="1" nd="1"/>
        <i x="431" s="1" nd="1"/>
        <i x="426" s="1" nd="1"/>
        <i x="429" s="1" nd="1"/>
        <i x="434" s="1" nd="1"/>
        <i x="445" s="1" nd="1"/>
        <i x="427" s="1" nd="1"/>
        <i x="439" s="1" nd="1"/>
        <i x="442" s="1" nd="1"/>
        <i x="433" s="1" nd="1"/>
        <i x="422" s="1" nd="1"/>
        <i x="430" s="1" nd="1"/>
        <i x="423" s="1" nd="1"/>
        <i x="428" s="1" nd="1"/>
        <i x="362" s="1" nd="1"/>
        <i x="432" s="1" nd="1"/>
        <i x="438" s="1" nd="1"/>
        <i x="99" s="1" nd="1"/>
        <i x="435" s="1" nd="1"/>
        <i x="440" s="1" nd="1"/>
        <i x="436" s="1" nd="1"/>
        <i x="402" s="1" nd="1"/>
        <i x="441" s="1" nd="1"/>
        <i x="443" s="1" nd="1"/>
        <i x="364" s="1" nd="1"/>
        <i x="371" s="1" nd="1"/>
        <i x="444" s="1" nd="1"/>
        <i x="368" s="1" nd="1"/>
        <i x="369" s="1" nd="1"/>
        <i x="363" s="1" nd="1"/>
        <i x="367" s="1" nd="1"/>
        <i x="255" s="1" nd="1"/>
        <i x="365" s="1" nd="1"/>
        <i x="374" s="1" nd="1"/>
        <i x="370" s="1" nd="1"/>
        <i x="372" s="1" nd="1"/>
        <i x="375" s="1" nd="1"/>
        <i x="382" s="1" nd="1"/>
        <i x="373" s="1" nd="1"/>
        <i x="381" s="1" nd="1"/>
        <i x="386" s="1" nd="1"/>
        <i x="380" s="1" nd="1"/>
        <i x="383" s="1" nd="1"/>
        <i x="393" s="1" nd="1"/>
        <i x="379" s="1" nd="1"/>
        <i x="376" s="1" nd="1"/>
        <i x="377" s="1" nd="1"/>
        <i x="392" s="1" nd="1"/>
        <i x="251" s="1" nd="1"/>
        <i x="385" s="1" nd="1"/>
        <i x="396" s="1" nd="1"/>
        <i x="391" s="1" nd="1"/>
        <i x="384" s="1" nd="1"/>
        <i x="408" s="1" nd="1"/>
        <i x="389" s="1" nd="1"/>
        <i x="399" s="1" nd="1"/>
        <i x="397" s="1" nd="1"/>
        <i x="387" s="1" nd="1"/>
        <i x="395" s="1" nd="1"/>
        <i x="394" s="1" nd="1"/>
        <i x="390" s="1" nd="1"/>
        <i x="400" s="1" nd="1"/>
        <i x="398" s="1" nd="1"/>
        <i x="401" s="1" nd="1"/>
        <i x="388" s="1" nd="1"/>
        <i x="330" s="1" nd="1"/>
        <i x="403" s="1" nd="1"/>
        <i x="404" s="1" nd="1"/>
        <i x="289" s="1" nd="1"/>
        <i x="291" s="1" nd="1"/>
        <i x="411" s="1" nd="1"/>
        <i x="285" s="1" nd="1"/>
        <i x="331" s="1" nd="1"/>
        <i x="405" s="1" nd="1"/>
        <i x="406" s="1" nd="1"/>
        <i x="288" s="1" nd="1"/>
        <i x="413" s="1" nd="1"/>
        <i x="287" s="1" nd="1"/>
        <i x="302" s="1" nd="1"/>
        <i x="412" s="1" nd="1"/>
        <i x="407" s="1" nd="1"/>
        <i x="306" s="1" nd="1"/>
        <i x="410" s="1" nd="1"/>
        <i x="409" s="1" nd="1"/>
        <i x="327" s="1" nd="1"/>
        <i x="280" s="1" nd="1"/>
        <i x="292" s="1" nd="1"/>
        <i x="328" s="1" nd="1"/>
        <i x="326" s="1" nd="1"/>
        <i x="284" s="1" nd="1"/>
        <i x="286" s="1" nd="1"/>
        <i x="119" s="1" nd="1"/>
        <i x="290" s="1" nd="1"/>
        <i x="281" s="1" nd="1"/>
        <i x="316" s="1" nd="1"/>
        <i x="321" s="1" nd="1"/>
        <i x="282" s="1" nd="1"/>
        <i x="283" s="1" nd="1"/>
        <i x="293" s="1" nd="1"/>
        <i x="296" s="1" nd="1"/>
        <i x="303" s="1" nd="1"/>
        <i x="295" s="1" nd="1"/>
        <i x="298" s="1" nd="1"/>
        <i x="297" s="1" nd="1"/>
        <i x="339" s="1" nd="1"/>
        <i x="294" s="1" nd="1"/>
        <i x="319" s="1" nd="1"/>
        <i x="334" s="1" nd="1"/>
        <i x="299" s="1" nd="1"/>
        <i x="324" s="1" nd="1"/>
        <i x="336" s="1" nd="1"/>
        <i x="308" s="1" nd="1"/>
        <i x="348" s="1" nd="1"/>
        <i x="307" s="1" nd="1"/>
        <i x="304" s="1" nd="1"/>
        <i x="300" s="1" nd="1"/>
        <i x="301" s="1" nd="1"/>
        <i x="320" s="1" nd="1"/>
        <i x="309" s="1" nd="1"/>
        <i x="232" s="1" nd="1"/>
        <i x="310" s="1" nd="1"/>
        <i x="305" s="1" nd="1"/>
        <i x="312" s="1" nd="1"/>
        <i x="313" s="1" nd="1"/>
        <i x="341" s="1" nd="1"/>
        <i x="311" s="1" nd="1"/>
        <i x="329" s="1" nd="1"/>
        <i x="317" s="1" nd="1"/>
        <i x="314" s="1" nd="1"/>
        <i x="318" s="1" nd="1"/>
        <i x="315" s="1" nd="1"/>
        <i x="322" s="1" nd="1"/>
        <i x="114" s="1" nd="1"/>
        <i x="340" s="1" nd="1"/>
        <i x="335" s="1" nd="1"/>
        <i x="354" s="1" nd="1"/>
        <i x="323" s="1" nd="1"/>
        <i x="225" s="1" nd="1"/>
        <i x="333" s="1" nd="1"/>
        <i x="325" s="1" nd="1"/>
        <i x="349" s="1" nd="1"/>
        <i x="332" s="1" nd="1"/>
        <i x="347" s="1" nd="1"/>
        <i x="233" s="1" nd="1"/>
        <i x="338" s="1" nd="1"/>
        <i x="337" s="1" nd="1"/>
        <i x="353" s="1" nd="1"/>
        <i x="350" s="1" nd="1"/>
        <i x="244" s="1" nd="1"/>
        <i x="358" s="1" nd="1"/>
        <i x="342" s="1" nd="1"/>
        <i x="351" s="1" nd="1"/>
        <i x="356" s="1" nd="1"/>
        <i x="235" s="1" nd="1"/>
        <i x="261" s="1" nd="1"/>
        <i x="360" s="1" nd="1"/>
        <i x="357" s="1" nd="1"/>
        <i x="226" s="1" nd="1"/>
        <i x="246" s="1" nd="1"/>
        <i x="352" s="1" nd="1"/>
        <i x="228" s="1" nd="1"/>
        <i x="343" s="1" nd="1"/>
        <i x="346" s="1" nd="1"/>
        <i x="243" s="1" nd="1"/>
        <i x="355" s="1" nd="1"/>
        <i x="344" s="1" nd="1"/>
        <i x="345" s="1" nd="1"/>
        <i x="230" s="1" nd="1"/>
        <i x="248" s="1" nd="1"/>
        <i x="249" s="1" nd="1"/>
        <i x="262" s="1" nd="1"/>
        <i x="359" s="1" nd="1"/>
        <i x="224" s="1" nd="1"/>
        <i x="247" s="1" nd="1"/>
        <i x="240" s="1" nd="1"/>
        <i x="227" s="1" nd="1"/>
        <i x="231" s="1" nd="1"/>
        <i x="237" s="1" nd="1"/>
        <i x="229" s="1" nd="1"/>
        <i x="253" s="1" nd="1"/>
        <i x="257" s="1" nd="1"/>
        <i x="258" s="1" nd="1"/>
        <i x="250" s="1" nd="1"/>
        <i x="234" s="1" nd="1"/>
        <i x="98" s="1" nd="1"/>
        <i x="236" s="1" nd="1"/>
        <i x="238" s="1" nd="1"/>
        <i x="241" s="1" nd="1"/>
        <i x="254" s="1" nd="1"/>
        <i x="239" s="1" nd="1"/>
        <i x="260" s="1" nd="1"/>
        <i x="192" s="1" nd="1"/>
        <i x="171" s="1" nd="1"/>
        <i x="275" s="1" nd="1"/>
        <i x="242" s="1" nd="1"/>
        <i x="263" s="1" nd="1"/>
        <i x="259" s="1" nd="1"/>
        <i x="245" s="1" nd="1"/>
        <i x="267" s="1" nd="1"/>
        <i x="203" s="1" nd="1"/>
        <i x="166" s="1" nd="1"/>
        <i x="252" s="1" nd="1"/>
        <i x="276" s="1" nd="1"/>
        <i x="256" s="1" nd="1"/>
        <i x="279" s="1" nd="1"/>
        <i x="266" s="1" nd="1"/>
        <i x="271" s="1" nd="1"/>
        <i x="148" s="1" nd="1"/>
        <i x="268" s="1" nd="1"/>
        <i x="270" s="1" nd="1"/>
        <i x="188" s="1" nd="1"/>
        <i x="156" s="1" nd="1"/>
        <i x="265" s="1" nd="1"/>
        <i x="153" s="1" nd="1"/>
        <i x="264" s="1" nd="1"/>
        <i x="165" s="1" nd="1"/>
        <i x="149" s="1" nd="1"/>
        <i x="147" s="1" nd="1"/>
        <i x="269" s="1" nd="1"/>
        <i x="163" s="1" nd="1"/>
        <i x="157" s="1" nd="1"/>
        <i x="168" s="1" nd="1"/>
        <i x="185" s="1" nd="1"/>
        <i x="162" s="1" nd="1"/>
        <i x="173" s="1" nd="1"/>
        <i x="167" s="1" nd="1"/>
        <i x="164" s="1" nd="1"/>
        <i x="277" s="1" nd="1"/>
        <i x="221" s="1" nd="1"/>
        <i x="175" s="1" nd="1"/>
        <i x="176" s="1" nd="1"/>
        <i x="273" s="1" nd="1"/>
        <i x="272" s="1" nd="1"/>
        <i x="150" s="1" nd="1"/>
        <i x="152" s="1" nd="1"/>
        <i x="183" s="1" nd="1"/>
        <i x="159" s="1" nd="1"/>
        <i x="278" s="1" nd="1"/>
        <i x="217" s="1" nd="1"/>
        <i x="208" s="1" nd="1"/>
        <i x="196" s="1" nd="1"/>
        <i x="170" s="1" nd="1"/>
        <i x="155" s="1" nd="1"/>
        <i x="186" s="1" nd="1"/>
        <i x="205" s="1" nd="1"/>
        <i x="197" s="1" nd="1"/>
        <i x="193" s="1" nd="1"/>
        <i x="161" s="1" nd="1"/>
        <i x="181" s="1" nd="1"/>
        <i x="180" s="1" nd="1"/>
        <i x="195" s="1" nd="1"/>
        <i x="182" s="1" nd="1"/>
        <i x="274" s="1" nd="1"/>
        <i x="158" s="1" nd="1"/>
        <i x="154" s="1" nd="1"/>
        <i x="184" s="1" nd="1"/>
        <i x="151" s="1" nd="1"/>
        <i x="189" s="1" nd="1"/>
        <i x="190" s="1" nd="1"/>
        <i x="194" s="1" nd="1"/>
        <i x="97" s="1" nd="1"/>
        <i x="174" s="1" nd="1"/>
        <i x="169" s="1" nd="1"/>
        <i x="202" s="1" nd="1"/>
        <i x="201" s="1" nd="1"/>
        <i x="206" s="1" nd="1"/>
        <i x="160" s="1" nd="1"/>
        <i x="204" s="1" nd="1"/>
        <i x="191" s="1" nd="1"/>
        <i x="96" s="1" nd="1"/>
        <i x="172" s="1" nd="1"/>
        <i x="177" s="1" nd="1"/>
        <i x="178" s="1" nd="1"/>
        <i x="187" s="1" nd="1"/>
        <i x="179" s="1" nd="1"/>
        <i x="198" s="1" nd="1"/>
        <i x="115" s="1" nd="1"/>
        <i x="209" s="1" nd="1"/>
        <i x="199" s="1" nd="1"/>
        <i x="215" s="1" nd="1"/>
        <i x="212" s="1" nd="1"/>
        <i x="210" s="1" nd="1"/>
        <i x="109" s="1" nd="1"/>
        <i x="108" s="1" nd="1"/>
        <i x="222" s="1" nd="1"/>
        <i x="95" s="1" nd="1"/>
        <i x="107" s="1" nd="1"/>
        <i x="216" s="1" nd="1"/>
        <i x="223" s="1" nd="1"/>
        <i x="100" s="1" nd="1"/>
        <i x="218" s="1" nd="1"/>
        <i x="219" s="1" nd="1"/>
        <i x="200" s="1" nd="1"/>
        <i x="213" s="1" nd="1"/>
        <i x="220" s="1" nd="1"/>
        <i x="211" s="1" nd="1"/>
        <i x="131" s="1" nd="1"/>
        <i x="214" s="1" nd="1"/>
        <i x="94" s="1" nd="1"/>
        <i x="103" s="1" nd="1"/>
        <i x="102" s="1" nd="1"/>
        <i x="207" s="1" nd="1"/>
        <i x="90" s="1" nd="1"/>
        <i x="83" s="1" nd="1"/>
        <i x="54" s="1" nd="1"/>
        <i x="89" s="1" nd="1"/>
        <i x="106" s="1" nd="1"/>
        <i x="104" s="1" nd="1"/>
        <i x="111" s="1" nd="1"/>
        <i x="112" s="1" nd="1"/>
        <i x="110" s="1" nd="1"/>
        <i x="105" s="1" nd="1"/>
        <i x="101" s="1" nd="1"/>
        <i x="50" s="1" nd="1"/>
        <i x="74" s="1" nd="1"/>
        <i x="128" s="1" nd="1"/>
        <i x="118" s="1" nd="1"/>
        <i x="113" s="1" nd="1"/>
        <i x="132" s="1" nd="1"/>
        <i x="117" s="1" nd="1"/>
        <i x="127" s="1" nd="1"/>
        <i x="129" s="1" nd="1"/>
        <i x="116" s="1" nd="1"/>
        <i x="120" s="1" nd="1"/>
        <i x="130" s="1" nd="1"/>
        <i x="123" s="1" nd="1"/>
        <i x="121" s="1" nd="1"/>
        <i x="122" s="1" nd="1"/>
        <i x="42" s="1" nd="1"/>
        <i x="126" s="1" nd="1"/>
        <i x="124" s="1" nd="1"/>
        <i x="125" s="1" nd="1"/>
        <i x="134" s="1" nd="1"/>
        <i x="133" s="1" nd="1"/>
        <i x="51" s="1" nd="1"/>
        <i x="143" s="1" nd="1"/>
        <i x="142" s="1" nd="1"/>
        <i x="52" s="1" nd="1"/>
        <i x="141" s="1" nd="1"/>
        <i x="146" s="1" nd="1"/>
        <i x="139" s="1" nd="1"/>
        <i x="145" s="1" nd="1"/>
        <i x="43" s="1" nd="1"/>
        <i x="48" s="1" nd="1"/>
        <i x="135" s="1" nd="1"/>
        <i x="36" s="1" nd="1"/>
        <i x="35" s="1" nd="1"/>
        <i x="37" s="1" nd="1"/>
        <i x="40" s="1" nd="1"/>
        <i x="136" s="1" nd="1"/>
        <i x="137" s="1" nd="1"/>
        <i x="138" s="1" nd="1"/>
        <i x="140" s="1" nd="1"/>
        <i x="144" s="1" nd="1"/>
        <i x="47" s="1" nd="1"/>
        <i x="46" s="1" nd="1"/>
        <i x="44" s="1" nd="1"/>
        <i x="61" s="1" nd="1"/>
        <i x="39" s="1" nd="1"/>
        <i x="38" s="1" nd="1"/>
        <i x="41" s="1" nd="1"/>
        <i x="60" s="1" nd="1"/>
        <i x="55" s="1" nd="1"/>
        <i x="56" s="1" nd="1"/>
        <i x="86" s="1" nd="1"/>
        <i x="45" s="1" nd="1"/>
        <i x="68" s="1" nd="1"/>
        <i x="91" s="1" nd="1"/>
        <i x="57" s="1" nd="1"/>
        <i x="59" s="1" nd="1"/>
        <i x="49" s="1" nd="1"/>
        <i x="65" s="1" nd="1"/>
        <i x="69" s="1" nd="1"/>
        <i x="63" s="1" nd="1"/>
        <i x="62" s="1" nd="1"/>
        <i x="58" s="1" nd="1"/>
        <i x="53" s="1" nd="1"/>
        <i x="76" s="1" nd="1"/>
        <i x="77" s="1" nd="1"/>
        <i x="75" s="1" nd="1"/>
        <i x="64" s="1" nd="1"/>
        <i x="87" s="1" nd="1"/>
        <i x="67" s="1" nd="1"/>
        <i x="66" s="1" nd="1"/>
        <i x="73" s="1" nd="1"/>
        <i x="78" s="1" nd="1"/>
        <i x="82" s="1" nd="1"/>
        <i x="93" s="1" nd="1"/>
        <i x="92" s="1" nd="1"/>
        <i x="72" s="1" nd="1"/>
        <i x="71" s="1" nd="1"/>
        <i x="85" s="1" nd="1"/>
        <i x="81" s="1" nd="1"/>
        <i x="70" s="1" nd="1"/>
        <i x="80" s="1" nd="1"/>
        <i x="79" s="1" nd="1"/>
        <i x="84" s="1" nd="1"/>
        <i x="88" s="1" nd="1"/>
        <i x="44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0" totalsRowCount="1" headerRowDxfId="108" dataDxfId="107" headerRowCellStyle="Comma" dataCellStyle="Comma">
  <autoFilter ref="A1:K11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90" totalsRowDxfId="8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86" headerRowBorderDxfId="85" tableBorderDxfId="84">
  <autoFilter ref="A1:I122"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12" totalsRowCount="1">
  <autoFilter ref="A1:G211" xr:uid="{CB032221-B416-47A8-9A76-693DE76CFD04}"/>
  <tableColumns count="7">
    <tableColumn id="1" xr3:uid="{554B1EED-65B6-4E9A-B646-82727FAC40DE}" name="Date" dataDxfId="68" totalsRowDxfId="8"/>
    <tableColumn id="2" xr3:uid="{32259059-42CF-4947-83DE-115AA430BE2B}" name="Party"/>
    <tableColumn id="3" xr3:uid="{A1320223-D55D-483C-91C3-AB19B95CC9D8}" name="Debit" totalsRowFunction="sum" dataDxfId="67" totalsRowDxfId="7" dataCellStyle="Comma"/>
    <tableColumn id="4" xr3:uid="{E9745767-9FF0-4B1C-9052-FF335D1D7588}" name="Credit" totalsRowFunction="sum" dataDxfId="66" totalsRowDxfId="6" dataCellStyle="Comma"/>
    <tableColumn id="5" xr3:uid="{5C88A48E-2467-4E6D-B626-2442B7FD0BE4}" name="Description"/>
    <tableColumn id="6" xr3:uid="{63CA4666-144E-4BE6-8B7C-7CB992BD3041}" name="Mode" totalsRowFunction="custom" dataDxfId="65"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46" headerRowBorderDxfId="45">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7" totalsRowCount="1" headerRowDxfId="41" headerRowBorderDxfId="40">
  <autoFilter ref="A4:H26" xr:uid="{A4C80688-A8BA-4BA7-90B4-791CD99446B4}"/>
  <sortState xmlns:xlrd2="http://schemas.microsoft.com/office/spreadsheetml/2017/richdata2" ref="A5:H6">
    <sortCondition ref="A4:A6"/>
  </sortState>
  <tableColumns count="8">
    <tableColumn id="1" xr3:uid="{4A818912-918E-4111-ACFC-BC93FEF7C1AD}" name="Date" dataDxfId="39" totalsRowDxfId="9"/>
    <tableColumn id="8" xr3:uid="{477ACFD5-62AF-4F69-974B-E9B974C11D7D}" name="Party Name" dataDxfId="3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7">
      <calculatedColumnFormula>Table2[[#This Row],[Quantity]]*200*Table2[[#This Row],[Boxes]]</calculatedColumnFormula>
    </tableColumn>
    <tableColumn id="6" xr3:uid="{30432929-CBD4-4BA8-B63F-CD0F6CF6405F}" name="Paid" totalsRowFunction="sum" dataDxfId="36">
      <calculatedColumnFormula>SUMIFS(Table14[Debit], Table14[Date], Table2[[#This Row],[Date]], Table14[Party], Table2[[#This Row],[Party Name]])</calculatedColumnFormula>
    </tableColumn>
    <tableColumn id="7" xr3:uid="{BB689DF2-5D1E-436D-84C4-9745D88E8F3D}" name="Balance" totalsRowFunction="sum" dataDxfId="35">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4" totalsRowDxfId="33"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2" totalsRowDxfId="31"/>
    <tableColumn id="2" xr3:uid="{053BFC14-4828-417C-9F9F-95B6E232A945}" name="Amount" totalsRowFunction="custom" dataDxfId="30" totalsRowDxfId="2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8" totalsRowDxfId="2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7" totalsRowDxfId="1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5" totalsRowDxfId="1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3">
      <calculatedColumnFormula>Billing!R5</calculatedColumnFormula>
    </tableColumn>
    <tableColumn id="2" xr3:uid="{7093A59E-B58F-487D-888A-9AA8156B5F9A}" name="Amount Paid" dataDxfId="12">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1">
      <calculatedColumnFormula>G2</calculatedColumnFormula>
    </tableColumn>
    <tableColumn id="2" xr3:uid="{F72CFEEB-BA11-4A49-BD19-88592EB6A27C}" name="Credit" dataDxfId="1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269333.39429407462</v>
      </c>
      <c r="D2">
        <v>10</v>
      </c>
      <c r="E2" s="14">
        <f>(SUMIFS(ledger!G:G, ledger!B:B, B2, ledger!E:E, "&lt;&gt;*RD*",ledger!D:D, "Silky") / 1.0936)*12 + (SUMIFS(ledger!G:G, ledger!B:B, B2, ledger!E:E, "&lt;&gt;*RD*",ledger!D:D, "Chamki") / 1.0936)*10</f>
        <v>2086230.7973664962</v>
      </c>
      <c r="I2" t="s">
        <v>21</v>
      </c>
      <c r="R2" t="s">
        <v>1</v>
      </c>
    </row>
    <row r="3" spans="2:35"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385</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3947309.8824</v>
      </c>
      <c r="T5" s="22" cm="1">
        <f t="array" ref="T5">_xlfn.BYROW(B49, _xlfn.LAMBDA(_xlpm.party, SUMIFS(ledger!G:G, ledger!B:B, _xlpm.party, ledger!E:E, "&lt;&gt;*RD*") / 1.0936 ))+_xlfn.IFNA(D84,0)</f>
        <v>3609464.0475493786</v>
      </c>
      <c r="U5" s="22" cm="1">
        <f t="array" ref="U5">(_xlfn.BYROW(B49,_xlfn.LAMBDA(_xlpm.party,SUMIFS(ledger!G:G,ledger!B:B,_xlpm.party,ledger!E:E,"&lt;&gt;*RD*",ledger!D:D,"Chamki")+SUMIFS(ledger!G:G, ledger!B:B, _xlpm.party, ledger!E:E, "&lt;&gt;*RD*", ledger!D:D, "Crinkle")))/1.0936)+_xlfn.IFNA(E84,0)</f>
        <v>2932869.3145574252</v>
      </c>
      <c r="V5" s="70" cm="1">
        <f t="array" ref="V5">(_xlfn.BYROW(B49,_xlfn.LAMBDA(_xlpm.party,SUMIFS(ledger!G:G,ledger!B:B,_xlpm.party,ledger!E:E,"&lt;&gt;*RD*",ledger!D:D,"Silky")))/1.0936)+_xlfn.IFNA(F84,0)</f>
        <v>602414.04535479157</v>
      </c>
      <c r="W5" s="22" cm="1">
        <f t="array" ref="W5">(_xlfn.BYROW(B49,_xlfn.LAMBDA(_xlpm.party,
(SUMIFS(ledger!J:J,ledger!B:B,_xlpm.party,ledger!E:E,"&lt;&gt;*RD*",ledger!D:D,"Chamki",ledger!C:C,"&lt;&gt;January Closing CF")+
SUMIFS(ledger!J:J,ledger!B:B,_xlpm.party,ledger!E:E,"&lt;&gt;*RD*",ledger!D:D,"Crinkle",ledger!C:C,"&lt;&gt;January Closing CF")
)+_xlfn.IFNA(G84,0))))</f>
        <v>29328693.145574257</v>
      </c>
      <c r="X5" s="70" cm="1">
        <f t="array" ref="X5">_xlfn.BYROW(B49, _xlfn.LAMBDA(_xlpm.party,
   SUMIFS(ledger!J:J, ledger!B:B, _xlpm.party, ledger!E:E, "&lt;&gt;*RD*", ledger!D:D, "Silky", ledger!C:C, "&lt;&gt;January Closing CF")
)) + _xlfn.IFNA(H84, 0)</f>
        <v>7743026.7008046824</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815987.56400877843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37887707.410387717</v>
      </c>
      <c r="AF5" s="22">
        <f>(SUMIF(Table14[Party],#REF!,Table14[Credit]))+_xlfn.IFNA(P84,0)</f>
        <v>19750734</v>
      </c>
      <c r="AG5" s="33">
        <f>AE5-AF5</f>
        <v>18136973.410387717</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610529</v>
      </c>
      <c r="T6" s="22" cm="1">
        <f t="array" ref="T6">_xlfn.BYROW(B50, _xlfn.LAMBDA(_xlpm.party, SUMIFS(ledger!G:G, ledger!B:B, _xlpm.party, ledger!E:E, "&lt;&gt;*RD*") / 1.0936 ))+_xlfn.IFNA(D85,0)</f>
        <v>558274.50621799566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410128.93196781276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5272532.0043891743</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6753987.7468910031</v>
      </c>
      <c r="AF6" s="22">
        <f>(SUMIF(Table14[Party],R6,Table14[Credit]))+_xlfn.IFNA(P85,0)</f>
        <v>6601773</v>
      </c>
      <c r="AG6" s="33">
        <f t="shared" ref="AG6:AG36" si="2">AE6-AF6</f>
        <v>152214.7468910031</v>
      </c>
      <c r="AH6" s="21">
        <v>10</v>
      </c>
      <c r="AI6" s="21">
        <v>13</v>
      </c>
    </row>
    <row r="7" spans="2:35"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8952501</v>
      </c>
      <c r="AG7" s="33">
        <f t="shared" si="2"/>
        <v>373713.33796634898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1065869</v>
      </c>
      <c r="T10" s="22" cm="1">
        <f t="array" ref="T10">_xlfn.BYROW(B54, _xlfn.LAMBDA(_xlpm.party, SUMIFS(ledger!G:G, ledger!B:B, _xlpm.party, ledger!E:E, "&lt;&gt;*RD*") / 1.0936 ))+_xlfn.IFNA(D89,0)</f>
        <v>974642.46525237767</v>
      </c>
      <c r="U10" s="22" cm="1">
        <f t="array" ref="U10">(_xlfn.BYROW(B54,_xlfn.LAMBDA(_xlpm.party,SUMIFS(ledger!G:G,ledger!B:B,_xlpm.party,ledger!E:E,"&lt;&gt;*RD*",ledger!D:D,"Chamki")+SUMIFS(ledger!G:G, ledger!B:B, _xlpm.party, ledger!E:E, "&lt;&gt;*RD*", ledger!D:D, "Crinkle")))/1.0936)+_xlfn.IFNA(E89,0)</f>
        <v>942295.17190929048</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9422951.7190929055</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9816608.449158743</v>
      </c>
      <c r="AF10" s="22">
        <f>(SUMIF(Table14[Party],R10,Table14[Credit]))+_xlfn.IFNA(P89,0)</f>
        <v>9609871</v>
      </c>
      <c r="AG10" s="33">
        <f t="shared" si="2"/>
        <v>206737.44915874302</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1526321</v>
      </c>
      <c r="AG11" s="33">
        <f t="shared" si="2"/>
        <v>332704.23774689133</v>
      </c>
      <c r="AH11" s="21">
        <v>10</v>
      </c>
      <c r="AI11" s="21">
        <v>13</v>
      </c>
    </row>
    <row r="12" spans="2:35"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529682</v>
      </c>
      <c r="T15" s="22" cm="1">
        <f t="array" ref="T15">_xlfn.BYROW(B59, _xlfn.LAMBDA(_xlpm.party, SUMIFS(ledger!G:G, ledger!B:B, _xlpm.party, ledger!E:E, "&lt;&gt;*RD*") / 1.0936 ))+_xlfn.IFNA(D94,0)</f>
        <v>484347.11046086327</v>
      </c>
      <c r="U15" s="22" cm="1">
        <f t="array" ref="U15">(_xlfn.BYROW(B59,_xlfn.LAMBDA(_xlpm.party,SUMIFS(ledger!G:G,ledger!B:B,_xlpm.party,ledger!E:E,"&lt;&gt;*RD*",ledger!D:D,"Chamki")+SUMIFS(ledger!G:G, ledger!B:B, _xlpm.party, ledger!E:E, "&lt;&gt;*RD*", ledger!D:D, "Crinkle")))/1.0936)+_xlfn.IFNA(E94,0)</f>
        <v>484347.11046086327</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4843471.1046086326</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4843471.1046086326</v>
      </c>
      <c r="AF15" s="22">
        <f>(SUMIF(Table14[Party],R15,Table14[Credit]))+_xlfn.IFNA(P94,0)</f>
        <v>4830359</v>
      </c>
      <c r="AG15" s="33">
        <f t="shared" si="2"/>
        <v>13112.104608632624</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8733847.8419897575</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8733847.8419897575</v>
      </c>
      <c r="D23" t="s">
        <v>32</v>
      </c>
      <c r="I23" t="s">
        <v>193</v>
      </c>
      <c r="P23" s="21"/>
      <c r="R23" t="str">
        <v>Amjad sohail</v>
      </c>
      <c r="S23" s="22" cm="1">
        <f t="array" ref="S23">_xlfn.BYROW(B67,_xlfn.LAMBDA(_xlpm.party,SUMIFS(ledger!G:G,ledger!B:B,_xlpm.party,ledger!E:E,"&lt;&gt;*RD*")))+_xlfn.IFNA(C102,0)</f>
        <v>447742</v>
      </c>
      <c r="T23" s="22" cm="1">
        <f t="array" ref="T23">_xlfn.BYROW(B67, _xlfn.LAMBDA(_xlpm.party, SUMIFS(ledger!G:G, ledger!B:B, _xlpm.party, ledger!E:E, "&lt;&gt;*RD*") / 1.0936 ))+_xlfn.IFNA(D102,0)</f>
        <v>409420.2633504023</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46600.219458668624</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605802.85296269215</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4234003.2918800302</v>
      </c>
      <c r="AF23" s="22">
        <f>(SUMIF(Table14[Party],R23,Table14[Credit]))+_xlfn.IFNA(P102,0)</f>
        <v>4417830</v>
      </c>
      <c r="AG23" s="33">
        <f t="shared" si="2"/>
        <v>-183826.70811996982</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122386</v>
      </c>
      <c r="T27" s="22" cm="1">
        <f t="array" ref="T27">_xlfn.BYROW(B71, _xlfn.LAMBDA(_xlpm.party, SUMIFS(ledger!G:G, ledger!B:B, _xlpm.party, ledger!E:E, "&lt;&gt;*RD*") / 1.0936 ))+_xlfn.IFNA(D106,0)</f>
        <v>111911.11923920995</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111911.11923920995</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1454844.5501097296</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1454844.5501097296</v>
      </c>
      <c r="AF27" s="22">
        <f>(SUMIF(Table14[Party],R27,Table14[Credit]))+_xlfn.IFNA(P106,0)</f>
        <v>1445500</v>
      </c>
      <c r="AG27" s="33">
        <f t="shared" si="2"/>
        <v>9344.5501097296365</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280037</v>
      </c>
      <c r="T31" s="22" cm="1">
        <f t="array" ref="T31">_xlfn.BYROW(B75, _xlfn.LAMBDA(_xlpm.party, SUMIFS(ledger!G:G, ledger!B:B, _xlpm.party, ledger!E:E, "&lt;&gt;*RD*") / 1.0936 ))+_xlfn.IFNA(D110,0)</f>
        <v>256068.94659839067</v>
      </c>
      <c r="U31" s="22" cm="1">
        <f t="array" ref="U31">(_xlfn.BYROW(B75,_xlfn.LAMBDA(_xlpm.party,SUMIFS(ledger!G:G,ledger!B:B,_xlpm.party,ledger!E:E,"&lt;&gt;*RD*",ledger!D:D,"Chamki")+SUMIFS(ledger!G:G, ledger!B:B, _xlpm.party, ledger!E:E, "&lt;&gt;*RD*", ledger!D:D, "Crinkle")))/1.0936)+_xlfn.IFNA(E110,0)</f>
        <v>169341.62399414778</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1693416.2399414778</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2820871.4337966349</v>
      </c>
      <c r="AF31" s="22">
        <f>(SUMIF(Table14[Party],R31,Table14[Credit]))+_xlfn.IFNA(P110,0)</f>
        <v>1990000</v>
      </c>
      <c r="AG31" s="33">
        <f t="shared" si="2"/>
        <v>830871.4337966349</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3905</v>
      </c>
      <c r="T35" s="22" cm="1">
        <f t="array" ref="T35">_xlfn.BYROW(B79, _xlfn.LAMBDA(_xlpm.party, SUMIFS(ledger!G:G, ledger!B:B, _xlpm.party, ledger!E:E, "&lt;&gt;*RD*") / 1.0936 ))+_xlfn.IFNA(D114,0)</f>
        <v>3570.7754206291152</v>
      </c>
      <c r="U35" s="22" cm="1">
        <f t="array" ref="U35">(_xlfn.BYROW(B79,_xlfn.LAMBDA(_xlpm.party,SUMIFS(ledger!G:G,ledger!B:B,_xlpm.party,ledger!E:E,"&lt;&gt;*RD*",ledger!D:D,"Chamki")+SUMIFS(ledger!G:G, ledger!B:B, _xlpm.party, ledger!E:E, "&lt;&gt;*RD*", ledger!D:D, "Crinkle")))/1.0936)+_xlfn.IFNA(E114,0)</f>
        <v>3570.7754206291152</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39278.529626920266</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39278.529626920266</v>
      </c>
      <c r="AF35" s="22">
        <f>(SUMIF(Table14[Party],R35,Table14[Credit]))+_xlfn.IFNA(P114,0)</f>
        <v>39278</v>
      </c>
      <c r="AG35" s="33">
        <f t="shared" si="2"/>
        <v>0.52962692026630975</v>
      </c>
      <c r="AH35" s="21">
        <v>10</v>
      </c>
      <c r="AI35" s="21">
        <v>13</v>
      </c>
    </row>
    <row r="36" spans="2:35" x14ac:dyDescent="0.3">
      <c r="R36" t="str">
        <v>Faizan Kamoki</v>
      </c>
      <c r="S36" s="22" cm="1">
        <f t="array" ref="S36">_xlfn.BYROW(B80,_xlfn.LAMBDA(_xlpm.party,SUMIFS(ledger!G:G,ledger!B:B,_xlpm.party,ledger!E:E,"&lt;&gt;*RD*")))+_xlfn.IFNA(C115,0)</f>
        <v>181859</v>
      </c>
      <c r="T36" s="22" cm="1">
        <f t="array" ref="T36">_xlfn.BYROW(B80, _xlfn.LAMBDA(_xlpm.party, SUMIFS(ledger!G:G, ledger!B:B, _xlpm.party, ledger!E:E, "&lt;&gt;*RD*") / 1.0936 ))+_xlfn.IFNA(D115,0)</f>
        <v>166293.89173372349</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97477.139722019027</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2144097.4762253109</v>
      </c>
      <c r="AF36" s="22">
        <f>(SUMIF(Table14[Party],R36,Table14[Credit]))+_xlfn.IFNA(P115,0)</f>
        <v>2021681.4930504756</v>
      </c>
      <c r="AG36" s="33">
        <f t="shared" si="2"/>
        <v>122415.98317483533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386</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294543</v>
      </c>
      <c r="D49" s="22" cm="1">
        <f t="array" ref="D49:D81">_xlfn.BYROW(_xlfn.ANCHORARRAY(B49), _xlfn.LAMBDA(_xlpm.party, SUMIFS(ledger!G:G, ledger!B:B, _xlpm.party, ledger!E:E, "&lt;&gt;*RD*") / 1.0936 ))</f>
        <v>269333.39429407462</v>
      </c>
      <c r="E49" s="63" cm="1">
        <f t="array" ref="E49:E81">(_xlfn.BYROW(_xlfn.ANCHORARRAY(B49),_xlfn.LAMBDA(_xlpm.party,SUMIFS(ledger!G:G,ledger!B:B,_xlpm.party,ledger!E:E,"&lt;&gt;*RD*",ledger!D:D,"Chamki")+SUMIFS(ledger!G:G, ledger!B:B, _xlpm.party, ledger!E:E, "&lt;&gt;*RD*", ledger!D:D, "Crinkle")))/1.0936)</f>
        <v>165285.29626920263</v>
      </c>
      <c r="F49" s="63" cm="1">
        <f t="array" ref="F49:F81">(_xlfn.BYROW(_xlfn.ANCHORARRAY(B49),_xlfn.LAMBDA(_xlpm.party,SUMIFS(ledger!G:G,ledger!B:B,_xlpm.party,ledger!E:E,"&lt;&gt;*RD*",ledger!D:D,"Silky")))/1.0936)</f>
        <v>41382.589612289688</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537973.66495976597</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2880147.2201901972</v>
      </c>
      <c r="P49" s="22">
        <f>(SUMIF(Table14[Party],B49,Table14[Credit]))</f>
        <v>0</v>
      </c>
      <c r="Q49" s="37">
        <f t="shared" ref="Q49:Q80" si="6">O49-P49</f>
        <v>2880147.2201901972</v>
      </c>
      <c r="R49" s="21">
        <v>10</v>
      </c>
      <c r="S49" s="21">
        <v>12</v>
      </c>
    </row>
    <row r="50" spans="1:24"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357214.7037307974</v>
      </c>
      <c r="P50" s="22">
        <f>(SUMIF(Table14[Party],B50,Table14[Credit]))</f>
        <v>534454</v>
      </c>
      <c r="Q50" s="37">
        <f t="shared" si="6"/>
        <v>-177239.2962692026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460000</v>
      </c>
      <c r="Q51" s="37">
        <f t="shared" si="6"/>
        <v>262220.19019751286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0</v>
      </c>
      <c r="P54" s="22">
        <f>(SUMIF(Table14[Party],B54,Table14[Credit]))</f>
        <v>0</v>
      </c>
      <c r="Q54" s="37">
        <f t="shared" si="6"/>
        <v>0</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0</v>
      </c>
      <c r="Q55" s="37">
        <f t="shared" si="6"/>
        <v>232644.47695683985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269333.39429407462</v>
      </c>
      <c r="X58" s="18">
        <v>2086230.7973664962</v>
      </c>
    </row>
    <row r="59" spans="1:24"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686311.26554498915</v>
      </c>
      <c r="P59" s="22">
        <f>(SUMIF(Table14[Party],B59,Table14[Credit]))</f>
        <v>684180</v>
      </c>
      <c r="Q59" s="37">
        <f t="shared" si="6"/>
        <v>2131.2655449891463</v>
      </c>
      <c r="R59" s="21">
        <v>10</v>
      </c>
      <c r="S59" s="21">
        <v>12</v>
      </c>
      <c r="V59" s="4" t="s">
        <v>22</v>
      </c>
      <c r="W59" s="5">
        <v>27478.054133138263</v>
      </c>
      <c r="X59" s="18">
        <v>329736.64959765912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0</v>
      </c>
      <c r="X63" s="18">
        <v>0</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20226.773957571328</v>
      </c>
      <c r="P67" s="22">
        <f>(SUMIF(Table14[Party],B67,Table14[Credit]))</f>
        <v>0</v>
      </c>
      <c r="Q67" s="37">
        <f t="shared" si="6"/>
        <v>20226.773957571328</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68631.126554498915</v>
      </c>
      <c r="X68" s="18">
        <v>686311.26554498915</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170</v>
      </c>
      <c r="W70" s="5">
        <v>0</v>
      </c>
      <c r="X70" s="18">
        <v>0</v>
      </c>
    </row>
    <row r="71" spans="2:24"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0</v>
      </c>
      <c r="P71" s="22">
        <f>(SUMIF(Table14[Party],B71,Table14[Credit]))</f>
        <v>30000</v>
      </c>
      <c r="Q71" s="37">
        <f t="shared" si="6"/>
        <v>-30000</v>
      </c>
      <c r="V71" s="4" t="s">
        <v>171</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173</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175</v>
      </c>
      <c r="W73" s="5">
        <v>50968.361375274326</v>
      </c>
      <c r="X73" s="18">
        <v>611620.33650329197</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219</v>
      </c>
      <c r="W74" s="5">
        <v>0</v>
      </c>
      <c r="X74" s="18">
        <v>0</v>
      </c>
    </row>
    <row r="75" spans="2:24" x14ac:dyDescent="0.3">
      <c r="B75" s="81" t="str">
        <v>Shani Badshah</v>
      </c>
      <c r="C75">
        <v>80004</v>
      </c>
      <c r="D75">
        <v>73156.547183613759</v>
      </c>
      <c r="E75">
        <v>73156.547183613759</v>
      </c>
      <c r="F75">
        <v>0</v>
      </c>
      <c r="G75" s="22" cm="1">
        <f t="array" ref="G75">(_xlfn.BYROW(B75,_xlfn.LAMBDA(_xlpm.party,
(SUMIFS(ledger!J:J,ledger!B:B,_xlpm.party,ledger!E:E,"&lt;&gt;*RD*",ledger!D:D,"Chamki",ledger!C:C,"&lt;&gt;January Closing CF")+
SUMIFS(ledger!J:J,ledger!B:B,_xlpm.party,ledger!E:E,"&lt;&gt;*RD*",ledger!D:D,"Crinkle",ledger!C:C,"&lt;&gt;January Closing CF")
))))</f>
        <v>731565.47183613759</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731565.47183613759</v>
      </c>
      <c r="P75" s="22">
        <f>(SUMIF(Table14[Party],B75,Table14[Credit]))</f>
        <v>690000</v>
      </c>
      <c r="Q75" s="37">
        <f t="shared" si="6"/>
        <v>41565.471836137585</v>
      </c>
      <c r="V75" s="4" t="s">
        <v>28</v>
      </c>
      <c r="W75" s="14">
        <v>506092.72128749086</v>
      </c>
      <c r="X75" s="14">
        <v>4649414.7768836878</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39278.529626920266</v>
      </c>
      <c r="P79" s="22">
        <f>SUMIF(Table14[Party], B79, Table14[Credit])</f>
        <v>39278</v>
      </c>
      <c r="Q79" s="37">
        <f t="shared" si="6"/>
        <v>0.52962692026630975</v>
      </c>
    </row>
    <row r="80" spans="2:24" x14ac:dyDescent="0.3">
      <c r="B80" t="str">
        <v>Faizan Kamoki</v>
      </c>
      <c r="C80">
        <v>181859</v>
      </c>
      <c r="D80">
        <v>166293.89173372349</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97477.139722019027</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2144097.4762253109</v>
      </c>
      <c r="P80" s="22">
        <f>SUMIF(Table14[Party], B80, Table14[Credit])</f>
        <v>2021681.4930504756</v>
      </c>
      <c r="Q80" s="37">
        <f t="shared" si="6"/>
        <v>122415.98317483533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386</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1990000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830871.4337966349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3249910</v>
      </c>
      <c r="D4" t="s">
        <v>189</v>
      </c>
      <c r="E4" s="43">
        <f ca="1">Table12[[#This Row],[Amount]]/Table1[[#Totals],[tiyar/meters]]</f>
        <v>4.1692933120768787</v>
      </c>
    </row>
    <row r="5" spans="1:5" x14ac:dyDescent="0.3">
      <c r="B5" t="s">
        <v>48</v>
      </c>
      <c r="C5" s="11">
        <f>SUM(Table8[Price])+(301660)</f>
        <v>436660</v>
      </c>
      <c r="E5" s="43">
        <f ca="1">Table12[[#This Row],[Amount]]/Table1[[#Totals],[tiyar/meters]]</f>
        <v>0.56018893374016199</v>
      </c>
    </row>
    <row r="6" spans="1:5" x14ac:dyDescent="0.3">
      <c r="B6" t="s">
        <v>49</v>
      </c>
      <c r="C6" s="11">
        <f>SUM(Table2[Price])</f>
        <v>198000</v>
      </c>
      <c r="D6" t="s">
        <v>188</v>
      </c>
      <c r="E6" s="43">
        <f ca="1">Table12[[#This Row],[Amount]]/Table1[[#Totals],[tiyar/meters]]</f>
        <v>0.25401321137853722</v>
      </c>
    </row>
    <row r="7" spans="1:5" x14ac:dyDescent="0.3">
      <c r="B7" t="s">
        <v>50</v>
      </c>
      <c r="C7" s="11">
        <f>SUMIFS(Table14[Debit], Table14[Party],Table12[[#This Row],[Type]])</f>
        <v>3940</v>
      </c>
      <c r="E7" s="43">
        <f ca="1">Table12[[#This Row],[Amount]]/Table1[[#Totals],[tiyar/meters]]</f>
        <v>5.0546063274314983E-3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27000</v>
      </c>
      <c r="E9" s="43">
        <f ca="1">Table12[[#This Row],[Amount]]/Table1[[#Totals],[tiyar/meters]]</f>
        <v>3.463816518798235E-2</v>
      </c>
    </row>
    <row r="10" spans="1:5" x14ac:dyDescent="0.3">
      <c r="B10" t="s">
        <v>53</v>
      </c>
      <c r="C10" s="11">
        <f>Table5[[#Totals],[Amount]]</f>
        <v>70415</v>
      </c>
      <c r="E10" s="43">
        <f ca="1">Table12[[#This Row],[Amount]]/Table1[[#Totals],[tiyar/meters]]</f>
        <v>9.0335051915251E-2</v>
      </c>
    </row>
    <row r="11" spans="1:5" x14ac:dyDescent="0.3">
      <c r="B11" t="s">
        <v>54</v>
      </c>
      <c r="C11" s="11">
        <f>Table13[[#Totals],[Debit]]</f>
        <v>67729</v>
      </c>
      <c r="E11" s="43">
        <f ca="1">Table12[[#This Row],[Amount]]/Table1[[#Totals],[tiyar/meters]]</f>
        <v>8.6889195926550242E-2</v>
      </c>
    </row>
    <row r="12" spans="1:5" x14ac:dyDescent="0.3">
      <c r="B12" t="s">
        <v>55</v>
      </c>
      <c r="C12" s="11">
        <f>Table15[[#Totals],[Amount]]</f>
        <v>441785</v>
      </c>
      <c r="E12" s="43">
        <f ca="1">Table12[[#This Row],[Amount]]/Table1[[#Totals],[tiyar/meters]]</f>
        <v>0.56676377065084382</v>
      </c>
    </row>
    <row r="13" spans="1:5" x14ac:dyDescent="0.3">
      <c r="C13" s="11"/>
      <c r="E13" s="43">
        <f ca="1">Table12[[#This Row],[Amount]]/Table1[[#Totals],[tiyar/meters]]</f>
        <v>0</v>
      </c>
    </row>
    <row r="14" spans="1:5" x14ac:dyDescent="0.3">
      <c r="C14" s="14">
        <f>SUM(Table12[Amount])</f>
        <v>4495439</v>
      </c>
      <c r="E14" s="43">
        <f ca="1">SUM(Table12[cost per meter])</f>
        <v>5.7671762472036363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8733847.8419897575</v>
      </c>
    </row>
    <row r="4" spans="1:3" x14ac:dyDescent="0.3">
      <c r="B4" s="11" t="s">
        <v>44</v>
      </c>
      <c r="C4" s="11">
        <f>Table12[[#Totals],[Amount]]</f>
        <v>4495439</v>
      </c>
    </row>
    <row r="5" spans="1:3" x14ac:dyDescent="0.3">
      <c r="A5" s="6"/>
      <c r="B5" s="15" t="s">
        <v>68</v>
      </c>
      <c r="C5" s="15">
        <f>C3-C4</f>
        <v>4238408.8419897575</v>
      </c>
    </row>
    <row r="10" spans="1:3" ht="15" thickBot="1" x14ac:dyDescent="0.35">
      <c r="B10" t="s">
        <v>66</v>
      </c>
      <c r="C10" s="14" t="s">
        <v>67</v>
      </c>
    </row>
    <row r="11" spans="1:3" x14ac:dyDescent="0.3">
      <c r="B11" s="56" t="s">
        <v>0</v>
      </c>
      <c r="C11" s="57">
        <f>C3</f>
        <v>8733847.8419897575</v>
      </c>
    </row>
    <row r="12" spans="1:3" x14ac:dyDescent="0.3">
      <c r="B12" s="58" t="s">
        <v>69</v>
      </c>
      <c r="C12" s="59">
        <f>SUM(Table14[Credit])</f>
        <v>15110552.493050475</v>
      </c>
    </row>
    <row r="13" spans="1:3" ht="15" thickBot="1" x14ac:dyDescent="0.35">
      <c r="B13" s="74" t="s">
        <v>93</v>
      </c>
      <c r="C13" s="73">
        <f>(C11-C12)</f>
        <v>-6376704.6510607172</v>
      </c>
    </row>
    <row r="14" spans="1:3" ht="15" thickBot="1" x14ac:dyDescent="0.35">
      <c r="B14" s="58"/>
      <c r="C14" s="59"/>
    </row>
    <row r="15" spans="1:3" x14ac:dyDescent="0.3">
      <c r="B15" s="56" t="s">
        <v>44</v>
      </c>
      <c r="C15" s="57">
        <f>C4</f>
        <v>4495439</v>
      </c>
    </row>
    <row r="16" spans="1:3" x14ac:dyDescent="0.3">
      <c r="B16" s="58" t="s">
        <v>70</v>
      </c>
      <c r="C16" s="59">
        <f>SUM(Table14[Debit])</f>
        <v>14524590</v>
      </c>
    </row>
    <row r="17" spans="2:6" ht="15" thickBot="1" x14ac:dyDescent="0.35">
      <c r="B17" s="74" t="s">
        <v>71</v>
      </c>
      <c r="C17" s="73">
        <f>C15-C16</f>
        <v>-10029151</v>
      </c>
    </row>
    <row r="18" spans="2:6" ht="15" thickBot="1" x14ac:dyDescent="0.35">
      <c r="B18" s="58"/>
      <c r="C18" s="59"/>
    </row>
    <row r="19" spans="2:6" ht="15" thickBot="1" x14ac:dyDescent="0.35">
      <c r="B19" s="75" t="s">
        <v>72</v>
      </c>
      <c r="C19" s="76">
        <f>Table18[[#Totals],[amount]]</f>
        <v>585962.49305047467</v>
      </c>
    </row>
    <row r="20" spans="2:6" ht="15" thickBot="1" x14ac:dyDescent="0.35">
      <c r="B20" s="71"/>
      <c r="C20" s="72"/>
    </row>
    <row r="21" spans="2:6" ht="15" thickBot="1" x14ac:dyDescent="0.35">
      <c r="B21" s="60" t="s">
        <v>73</v>
      </c>
      <c r="C21" s="61">
        <f>(C13-C17)+C19</f>
        <v>4238408.8419897575</v>
      </c>
      <c r="E21" s="79" t="s">
        <v>74</v>
      </c>
      <c r="F21" s="80">
        <f>C5*0.05</f>
        <v>211920.44209948787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67729</v>
      </c>
      <c r="E44">
        <f>SUBTOTAL(109,Table13[Credit])</f>
        <v>0</v>
      </c>
      <c r="F44">
        <f>Table13[[#Totals],[Debit]]-Table13[[#Totals],[Credit]]</f>
        <v>67729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3" zoomScale="107" zoomScaleNormal="107" workbookViewId="0">
      <selection activeCell="D113" sqref="D11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227</v>
      </c>
      <c r="C49" s="108" t="s">
        <v>289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228</v>
      </c>
      <c r="C50" s="108" t="s">
        <v>289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244</v>
      </c>
      <c r="C51" s="108" t="s">
        <v>289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248</v>
      </c>
      <c r="C52" s="108" t="s">
        <v>289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233</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314</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314</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314</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314</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4">
        <v>46080</v>
      </c>
      <c r="B102" s="121" t="s">
        <v>21</v>
      </c>
      <c r="C102" s="118">
        <v>1541</v>
      </c>
      <c r="D102" s="118" t="s">
        <v>86</v>
      </c>
      <c r="E102" s="11">
        <v>2113</v>
      </c>
      <c r="F102" s="11">
        <v>46469</v>
      </c>
      <c r="G102" s="11">
        <v>9555</v>
      </c>
      <c r="H102" s="119">
        <f>_xlfn.XLOOKUP(Table1[[#This Row],[Shipment Number]], 'pivot '!A:A,'pivot '!G:G, "NF")</f>
        <v>67.639736478321453</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4">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4">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46083</v>
      </c>
      <c r="B106" s="121" t="s">
        <v>314</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4">
        <v>46083</v>
      </c>
      <c r="B107" s="121" t="s">
        <v>314</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4">
        <v>46083</v>
      </c>
      <c r="B108" s="121" t="s">
        <v>21</v>
      </c>
      <c r="C108" s="118">
        <v>1547</v>
      </c>
      <c r="D108" s="118" t="s">
        <v>86</v>
      </c>
      <c r="E108" s="11">
        <v>2113</v>
      </c>
      <c r="F108" s="11">
        <v>46469</v>
      </c>
      <c r="G108" s="11">
        <v>6890</v>
      </c>
      <c r="H108" s="119">
        <f>_xlfn.XLOOKUP(Table1[[#This Row],[Shipment Number]], 'pivot '!A:A,'pivot '!G:G, "NF")</f>
        <v>67.639736478321453</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4">
        <v>46083</v>
      </c>
      <c r="B109" s="121" t="s">
        <v>21</v>
      </c>
      <c r="C109" s="118">
        <v>1548</v>
      </c>
      <c r="D109" s="118" t="s">
        <v>86</v>
      </c>
      <c r="E109" s="11">
        <v>2114</v>
      </c>
      <c r="F109" s="11">
        <v>22835</v>
      </c>
      <c r="G109" s="11">
        <v>3207</v>
      </c>
      <c r="H109" s="119">
        <f>_xlfn.XLOOKUP(Table1[[#This Row],[Shipment Number]], 'pivot '!A:A,'pivot '!G:G, "NF")</f>
        <v>77.130712056163219</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4">
        <v>46083</v>
      </c>
      <c r="B110" s="121" t="s">
        <v>314</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4">
        <v>46083</v>
      </c>
      <c r="B111" s="121" t="s">
        <v>379</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4">
        <v>46083</v>
      </c>
      <c r="B112" s="121" t="s">
        <v>248</v>
      </c>
      <c r="C112" s="118" t="s">
        <v>383</v>
      </c>
      <c r="D112" s="118" t="s">
        <v>382</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4">
        <v>46083</v>
      </c>
      <c r="B113" s="121" t="s">
        <v>248</v>
      </c>
      <c r="C113" s="118" t="s">
        <v>384</v>
      </c>
      <c r="D113" s="118" t="s">
        <v>382</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4">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4">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4">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4">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4">
        <v>46083</v>
      </c>
      <c r="B118" s="121" t="s">
        <v>21</v>
      </c>
      <c r="C118" s="118">
        <v>1556</v>
      </c>
      <c r="D118" s="118" t="s">
        <v>86</v>
      </c>
      <c r="E118" s="11">
        <v>2114</v>
      </c>
      <c r="F118" s="11">
        <v>22835</v>
      </c>
      <c r="G118" s="11">
        <v>2504</v>
      </c>
      <c r="H118" s="119">
        <f>_xlfn.XLOOKUP(Table1[[#This Row],[Shipment Number]], 'pivot '!A:A,'pivot '!G:G, "NF")</f>
        <v>77.130712056163219</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4">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c r="B120"/>
      <c r="C120"/>
      <c r="D120"/>
      <c r="E120" s="14"/>
      <c r="F120" s="14"/>
      <c r="G120" s="14"/>
      <c r="H120" s="43"/>
      <c r="I120" s="94" cm="1">
        <f t="array" aca="1" ref="I120" ca="1">SUMPRODUCT( SUBTOTAL(109, OFFSET(Table1[tiyar/meters], ROW(Table1[tiyar/meters])-MIN(ROW(Table1[tiyar/meters])), 0, 1)), --(Table1[Bill Number]&lt;&gt;"January Closing CF") )</f>
        <v>779487.01536210708</v>
      </c>
      <c r="J120" s="43" cm="1">
        <f t="array" aca="1" ref="J120" ca="1">SUMPRODUCT( SUBTOTAL(109, OFFSET(Table1[billing], ROW(Table1[billing])-MIN(ROW(Table1[billing])), 0, 1)), --(Table1[Bill Number]&lt;&gt;"January Closing CF") )</f>
        <v>8785484.6378931981</v>
      </c>
      <c r="K120" s="14">
        <f>SUMIFS(Table1[billing], Table1[Bill Number], "&lt;&gt;January Closing CF")</f>
        <v>8785484.6378931981</v>
      </c>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20">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4" zoomScale="145" zoomScaleNormal="90" workbookViewId="0">
      <selection activeCell="G27" sqref="G2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2439910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278640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278640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79460</v>
      </c>
      <c r="O26" s="14"/>
      <c r="P26" s="14">
        <v>79460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79460</v>
      </c>
      <c r="O27" s="14"/>
      <c r="P27" s="14">
        <v>79460</v>
      </c>
    </row>
    <row r="28" spans="1:16" x14ac:dyDescent="0.3">
      <c r="A28" s="1">
        <v>46080</v>
      </c>
      <c r="B28" t="s">
        <v>198</v>
      </c>
      <c r="D28" s="11">
        <v>137</v>
      </c>
      <c r="E28" s="11">
        <v>580</v>
      </c>
      <c r="F28" s="11"/>
      <c r="G28" s="11">
        <f t="shared" si="2"/>
        <v>79460</v>
      </c>
      <c r="H28" s="11"/>
      <c r="I28" s="11">
        <f>(D28*E28)-Table3[[#This Row],[Paid]]</f>
        <v>79460</v>
      </c>
      <c r="L28" s="26" t="s">
        <v>28</v>
      </c>
      <c r="M28" s="14">
        <v>3239</v>
      </c>
      <c r="N28" s="14">
        <v>2446410</v>
      </c>
      <c r="O28" s="14">
        <v>0</v>
      </c>
      <c r="P28" s="14">
        <v>6493936</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2439910</v>
      </c>
      <c r="H123" s="14">
        <f>SUBTOTAL(109,Table3[Paid])</f>
        <v>0</v>
      </c>
      <c r="I123" s="14">
        <f>SUBTOTAL(109,Table3[balance])</f>
        <v>6493936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abSelected="1" topLeftCell="A192" zoomScale="121" zoomScaleNormal="85" workbookViewId="0">
      <selection activeCell="I199" sqref="I19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6212772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14524590</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15110552.493050475</v>
      </c>
      <c r="M5" s="45" t="s">
        <v>108</v>
      </c>
      <c r="N5" s="46">
        <f>(SUMIFS(Table14[Credit],Table14[Mode],"Bank")-SUMIFS(Table14[Debit],Table14[Mode],"Bank")-SUMIFS(Table14[Withdrawal],Table14[Mode],"Transfer"))</f>
        <v>1196878.4930504747</v>
      </c>
      <c r="O5">
        <v>360000</v>
      </c>
    </row>
    <row r="6" spans="1:16" x14ac:dyDescent="0.3">
      <c r="A6" s="115">
        <v>46014</v>
      </c>
      <c r="B6" s="81" t="s">
        <v>212</v>
      </c>
      <c r="C6" s="11"/>
      <c r="D6" s="11">
        <v>658663</v>
      </c>
      <c r="E6" s="81" t="s">
        <v>223</v>
      </c>
      <c r="F6" s="88" t="s">
        <v>108</v>
      </c>
      <c r="J6" s="52" t="s">
        <v>43</v>
      </c>
      <c r="K6" s="53">
        <f>(K5-K4)</f>
        <v>585962.49305047467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585962.49305047467</v>
      </c>
      <c r="O7" s="90">
        <f>SUM(O5,O6)</f>
        <v>410000</v>
      </c>
      <c r="P7" s="14">
        <f>Table18[[#Totals],[amount]]-Table18[[#Totals],[Actual]]</f>
        <v>175962.49305047467</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292</v>
      </c>
      <c r="F61" s="111" t="s">
        <v>108</v>
      </c>
    </row>
    <row r="62" spans="1:6" x14ac:dyDescent="0.3">
      <c r="A62" s="38">
        <v>46076</v>
      </c>
      <c r="B62" t="s">
        <v>220</v>
      </c>
      <c r="C62" s="11"/>
      <c r="D62" s="11"/>
      <c r="E62" t="s">
        <v>294</v>
      </c>
      <c r="F62" s="111" t="s">
        <v>108</v>
      </c>
    </row>
    <row r="63" spans="1:6" x14ac:dyDescent="0.3">
      <c r="A63" s="38">
        <v>46076</v>
      </c>
      <c r="B63" t="s">
        <v>55</v>
      </c>
      <c r="C63" s="11">
        <v>1470</v>
      </c>
      <c r="D63" s="11"/>
      <c r="E63" t="s">
        <v>293</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295</v>
      </c>
      <c r="F65" s="111" t="s">
        <v>108</v>
      </c>
    </row>
    <row r="66" spans="1:6" x14ac:dyDescent="0.3">
      <c r="A66" s="38">
        <v>46076</v>
      </c>
      <c r="B66" t="s">
        <v>296</v>
      </c>
      <c r="C66" s="11">
        <v>10000</v>
      </c>
      <c r="D66" s="11"/>
      <c r="E66" t="s">
        <v>297</v>
      </c>
      <c r="F66" s="111" t="s">
        <v>108</v>
      </c>
    </row>
    <row r="67" spans="1:6" x14ac:dyDescent="0.3">
      <c r="A67" s="38">
        <v>46076</v>
      </c>
      <c r="B67" t="s">
        <v>55</v>
      </c>
      <c r="C67" s="11">
        <v>27000</v>
      </c>
      <c r="D67" s="11"/>
      <c r="E67" t="s">
        <v>298</v>
      </c>
      <c r="F67" s="111" t="s">
        <v>108</v>
      </c>
    </row>
    <row r="68" spans="1:6" x14ac:dyDescent="0.3">
      <c r="A68" s="38">
        <v>46076</v>
      </c>
      <c r="B68" t="s">
        <v>176</v>
      </c>
      <c r="C68" s="11">
        <v>7800</v>
      </c>
      <c r="D68" s="11"/>
      <c r="E68" t="s">
        <v>299</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300</v>
      </c>
      <c r="C71" s="11">
        <v>101000</v>
      </c>
      <c r="D71" s="11"/>
      <c r="E71" t="s">
        <v>301</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302</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303</v>
      </c>
      <c r="F76" s="111" t="s">
        <v>108</v>
      </c>
    </row>
    <row r="77" spans="1:6" x14ac:dyDescent="0.3">
      <c r="A77" s="38">
        <v>46077</v>
      </c>
      <c r="B77" t="s">
        <v>176</v>
      </c>
      <c r="C77" s="11">
        <v>27200</v>
      </c>
      <c r="D77" s="11"/>
      <c r="E77" t="s">
        <v>304</v>
      </c>
      <c r="F77" s="111" t="s">
        <v>108</v>
      </c>
    </row>
    <row r="78" spans="1:6" x14ac:dyDescent="0.3">
      <c r="A78" s="38">
        <v>46077</v>
      </c>
      <c r="B78" t="s">
        <v>314</v>
      </c>
      <c r="C78" s="11"/>
      <c r="D78" s="11">
        <v>500000</v>
      </c>
      <c r="E78" t="s">
        <v>305</v>
      </c>
      <c r="F78" s="111" t="s">
        <v>108</v>
      </c>
    </row>
    <row r="79" spans="1:6" x14ac:dyDescent="0.3">
      <c r="A79" s="38">
        <v>46077</v>
      </c>
      <c r="B79" t="s">
        <v>54</v>
      </c>
      <c r="C79" s="11">
        <v>300</v>
      </c>
      <c r="D79" s="11"/>
      <c r="E79" t="s">
        <v>306</v>
      </c>
      <c r="F79" s="111" t="s">
        <v>108</v>
      </c>
    </row>
    <row r="80" spans="1:6" x14ac:dyDescent="0.3">
      <c r="A80" s="38">
        <v>46077</v>
      </c>
      <c r="B80" t="s">
        <v>55</v>
      </c>
      <c r="C80" s="11">
        <v>900</v>
      </c>
      <c r="D80" s="11"/>
      <c r="E80" t="s">
        <v>307</v>
      </c>
      <c r="F80" s="111" t="s">
        <v>108</v>
      </c>
    </row>
    <row r="81" spans="1:6" x14ac:dyDescent="0.3">
      <c r="A81" s="38">
        <v>46077</v>
      </c>
      <c r="B81" t="s">
        <v>222</v>
      </c>
      <c r="C81" s="11">
        <v>150000</v>
      </c>
      <c r="D81" s="11"/>
      <c r="E81" t="s">
        <v>308</v>
      </c>
      <c r="F81" s="111" t="s">
        <v>108</v>
      </c>
    </row>
    <row r="82" spans="1:6" x14ac:dyDescent="0.3">
      <c r="A82" s="38">
        <v>46077</v>
      </c>
      <c r="B82" t="s">
        <v>94</v>
      </c>
      <c r="C82" s="11">
        <v>150000</v>
      </c>
      <c r="D82" s="11"/>
      <c r="E82" t="s">
        <v>309</v>
      </c>
      <c r="F82" s="111" t="s">
        <v>108</v>
      </c>
    </row>
    <row r="83" spans="1:6" x14ac:dyDescent="0.3">
      <c r="A83" s="38">
        <v>46077</v>
      </c>
      <c r="B83" t="s">
        <v>169</v>
      </c>
      <c r="C83" s="11">
        <v>201500</v>
      </c>
      <c r="D83" s="11"/>
      <c r="E83" t="s">
        <v>310</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311</v>
      </c>
      <c r="F86" s="111" t="s">
        <v>108</v>
      </c>
    </row>
    <row r="87" spans="1:6" x14ac:dyDescent="0.3">
      <c r="A87" s="38">
        <v>46077</v>
      </c>
      <c r="B87" t="s">
        <v>220</v>
      </c>
      <c r="C87" s="11"/>
      <c r="D87" s="11">
        <v>45000</v>
      </c>
      <c r="E87" t="s">
        <v>312</v>
      </c>
      <c r="F87" s="111" t="s">
        <v>108</v>
      </c>
    </row>
    <row r="88" spans="1:6" x14ac:dyDescent="0.3">
      <c r="A88" s="38">
        <v>46077</v>
      </c>
      <c r="B88" t="s">
        <v>220</v>
      </c>
      <c r="C88" s="11"/>
      <c r="D88" s="11">
        <v>19700</v>
      </c>
      <c r="E88" t="s">
        <v>313</v>
      </c>
      <c r="F88" s="111" t="s">
        <v>108</v>
      </c>
    </row>
    <row r="89" spans="1:6" x14ac:dyDescent="0.3">
      <c r="A89" s="38">
        <v>46077</v>
      </c>
      <c r="B89" t="s">
        <v>314</v>
      </c>
      <c r="C89" s="11"/>
      <c r="D89" s="11">
        <f>SUM(ledger!I90,ledger!I92:I94)*0.1</f>
        <v>7928.4930504754948</v>
      </c>
      <c r="E89" t="s">
        <v>315</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317</v>
      </c>
      <c r="F91" s="111" t="s">
        <v>108</v>
      </c>
    </row>
    <row r="92" spans="1:6" x14ac:dyDescent="0.3">
      <c r="A92" s="38">
        <v>46078</v>
      </c>
      <c r="B92" t="s">
        <v>257</v>
      </c>
      <c r="C92" s="11">
        <v>34000</v>
      </c>
      <c r="D92" s="11"/>
      <c r="E92" t="s">
        <v>109</v>
      </c>
      <c r="F92" s="111" t="s">
        <v>108</v>
      </c>
    </row>
    <row r="93" spans="1:6" x14ac:dyDescent="0.3">
      <c r="A93" s="38">
        <v>46078</v>
      </c>
      <c r="B93" t="s">
        <v>314</v>
      </c>
      <c r="C93" s="11"/>
      <c r="D93" s="11">
        <v>505052</v>
      </c>
      <c r="E93" t="s">
        <v>318</v>
      </c>
      <c r="F93" s="111" t="s">
        <v>108</v>
      </c>
    </row>
    <row r="94" spans="1:6" x14ac:dyDescent="0.3">
      <c r="A94" s="38">
        <v>46078</v>
      </c>
      <c r="B94" t="s">
        <v>300</v>
      </c>
      <c r="C94" s="11">
        <v>100000</v>
      </c>
      <c r="D94" s="11"/>
      <c r="E94" t="s">
        <v>319</v>
      </c>
      <c r="F94" s="111" t="s">
        <v>108</v>
      </c>
    </row>
    <row r="95" spans="1:6" x14ac:dyDescent="0.3">
      <c r="A95" s="38">
        <v>46078</v>
      </c>
      <c r="B95" t="s">
        <v>282</v>
      </c>
      <c r="C95" s="11"/>
      <c r="D95" s="11"/>
      <c r="E95" t="s">
        <v>320</v>
      </c>
      <c r="F95" s="111" t="s">
        <v>108</v>
      </c>
    </row>
    <row r="96" spans="1:6" x14ac:dyDescent="0.3">
      <c r="A96" s="38">
        <v>46078</v>
      </c>
      <c r="B96" t="s">
        <v>55</v>
      </c>
      <c r="C96" s="11">
        <v>2810</v>
      </c>
      <c r="D96" s="11"/>
      <c r="E96" t="s">
        <v>321</v>
      </c>
      <c r="F96" s="111" t="s">
        <v>108</v>
      </c>
    </row>
    <row r="97" spans="1:13" x14ac:dyDescent="0.3">
      <c r="A97" s="38">
        <v>46078</v>
      </c>
      <c r="B97" t="s">
        <v>277</v>
      </c>
      <c r="C97" s="11">
        <v>50000</v>
      </c>
      <c r="D97" s="11"/>
      <c r="E97" t="s">
        <v>322</v>
      </c>
      <c r="F97" s="111" t="s">
        <v>108</v>
      </c>
    </row>
    <row r="98" spans="1:13" x14ac:dyDescent="0.3">
      <c r="A98" s="38">
        <v>46078</v>
      </c>
      <c r="B98" t="s">
        <v>55</v>
      </c>
      <c r="C98" s="96">
        <v>51500</v>
      </c>
      <c r="D98" s="96"/>
      <c r="E98" t="s">
        <v>323</v>
      </c>
      <c r="F98" s="111" t="s">
        <v>108</v>
      </c>
    </row>
    <row r="99" spans="1:13" x14ac:dyDescent="0.3">
      <c r="A99" s="38">
        <v>46078</v>
      </c>
      <c r="B99" t="s">
        <v>192</v>
      </c>
      <c r="C99" s="11"/>
      <c r="D99" s="11">
        <v>30000</v>
      </c>
      <c r="E99" t="s">
        <v>324</v>
      </c>
      <c r="F99" s="111" t="s">
        <v>108</v>
      </c>
    </row>
    <row r="100" spans="1:13" x14ac:dyDescent="0.3">
      <c r="A100" s="38">
        <v>46078</v>
      </c>
      <c r="B100" t="s">
        <v>54</v>
      </c>
      <c r="C100" s="11">
        <v>1500</v>
      </c>
      <c r="D100" s="11"/>
      <c r="E100" t="s">
        <v>325</v>
      </c>
      <c r="F100" s="111" t="s">
        <v>108</v>
      </c>
    </row>
    <row r="101" spans="1:13" x14ac:dyDescent="0.3">
      <c r="A101" s="38">
        <v>46078</v>
      </c>
      <c r="B101" t="s">
        <v>54</v>
      </c>
      <c r="C101" s="11">
        <v>5000</v>
      </c>
      <c r="D101" s="11"/>
      <c r="E101" t="s">
        <v>292</v>
      </c>
      <c r="F101" s="111" t="s">
        <v>108</v>
      </c>
    </row>
    <row r="102" spans="1:13" x14ac:dyDescent="0.3">
      <c r="A102" s="38">
        <v>46078</v>
      </c>
      <c r="B102" t="s">
        <v>221</v>
      </c>
      <c r="C102" s="11">
        <v>2000</v>
      </c>
      <c r="D102" s="11"/>
      <c r="E102" t="s">
        <v>326</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327</v>
      </c>
      <c r="F105" s="111" t="s">
        <v>108</v>
      </c>
      <c r="I105">
        <v>15400</v>
      </c>
      <c r="K105">
        <v>4300</v>
      </c>
      <c r="L105">
        <v>4300</v>
      </c>
      <c r="M105">
        <v>4300</v>
      </c>
    </row>
    <row r="106" spans="1:13" x14ac:dyDescent="0.3">
      <c r="A106" s="38">
        <v>46079</v>
      </c>
      <c r="B106" t="s">
        <v>249</v>
      </c>
      <c r="C106" s="11">
        <v>10000</v>
      </c>
      <c r="D106" s="11"/>
      <c r="E106" t="s">
        <v>328</v>
      </c>
      <c r="F106" s="111" t="s">
        <v>108</v>
      </c>
      <c r="I106">
        <v>4300</v>
      </c>
      <c r="K106">
        <v>1200</v>
      </c>
      <c r="L106">
        <v>1200</v>
      </c>
      <c r="M106">
        <v>1200</v>
      </c>
    </row>
    <row r="107" spans="1:13" x14ac:dyDescent="0.3">
      <c r="A107" s="38">
        <v>46079</v>
      </c>
      <c r="B107" t="s">
        <v>282</v>
      </c>
      <c r="C107" s="11"/>
      <c r="D107" s="11"/>
      <c r="E107" t="s">
        <v>329</v>
      </c>
      <c r="F107" s="111" t="s">
        <v>108</v>
      </c>
      <c r="I107">
        <v>13400</v>
      </c>
      <c r="K107">
        <v>22700</v>
      </c>
      <c r="L107">
        <v>22700</v>
      </c>
      <c r="M107">
        <v>22700</v>
      </c>
    </row>
    <row r="108" spans="1:13" x14ac:dyDescent="0.3">
      <c r="A108" s="38">
        <v>46079</v>
      </c>
      <c r="B108" t="s">
        <v>9</v>
      </c>
      <c r="C108" s="11"/>
      <c r="D108" s="11">
        <v>200000</v>
      </c>
      <c r="E108" t="s">
        <v>330</v>
      </c>
      <c r="F108" s="111" t="s">
        <v>108</v>
      </c>
      <c r="I108">
        <v>14900</v>
      </c>
      <c r="K108">
        <v>15000</v>
      </c>
      <c r="L108">
        <v>15000</v>
      </c>
      <c r="M108">
        <v>15000</v>
      </c>
    </row>
    <row r="109" spans="1:13" x14ac:dyDescent="0.3">
      <c r="A109" s="38">
        <v>46079</v>
      </c>
      <c r="B109" t="s">
        <v>115</v>
      </c>
      <c r="C109" s="11">
        <v>150000</v>
      </c>
      <c r="D109" s="11"/>
      <c r="E109" t="s">
        <v>367</v>
      </c>
      <c r="F109" s="111" t="s">
        <v>108</v>
      </c>
      <c r="I109">
        <v>15000</v>
      </c>
      <c r="K109">
        <v>15150</v>
      </c>
      <c r="L109">
        <v>15150</v>
      </c>
      <c r="M109">
        <v>15150</v>
      </c>
    </row>
    <row r="110" spans="1:13" x14ac:dyDescent="0.3">
      <c r="A110" s="38">
        <v>46079</v>
      </c>
      <c r="B110" t="s">
        <v>282</v>
      </c>
      <c r="C110" s="11"/>
      <c r="D110" s="11"/>
      <c r="E110" t="s">
        <v>331</v>
      </c>
      <c r="F110" s="111" t="s">
        <v>108</v>
      </c>
      <c r="I110">
        <v>11650</v>
      </c>
      <c r="K110">
        <v>22400</v>
      </c>
      <c r="L110">
        <v>22400</v>
      </c>
      <c r="M110">
        <v>22400</v>
      </c>
    </row>
    <row r="111" spans="1:13" x14ac:dyDescent="0.3">
      <c r="A111" s="38">
        <v>46079</v>
      </c>
      <c r="B111" t="s">
        <v>277</v>
      </c>
      <c r="C111" s="11">
        <v>50000</v>
      </c>
      <c r="D111" s="11"/>
      <c r="E111" t="s">
        <v>332</v>
      </c>
      <c r="F111" s="111" t="s">
        <v>108</v>
      </c>
      <c r="I111">
        <v>22700</v>
      </c>
      <c r="K111">
        <v>25000</v>
      </c>
      <c r="L111">
        <v>25000</v>
      </c>
      <c r="M111">
        <v>25000</v>
      </c>
    </row>
    <row r="112" spans="1:13" x14ac:dyDescent="0.3">
      <c r="A112" s="38">
        <v>46079</v>
      </c>
      <c r="B112" t="s">
        <v>222</v>
      </c>
      <c r="C112" s="11">
        <v>100295</v>
      </c>
      <c r="D112" s="11"/>
      <c r="E112" t="s">
        <v>333</v>
      </c>
      <c r="F112" s="111" t="s">
        <v>108</v>
      </c>
      <c r="I112">
        <v>17000</v>
      </c>
      <c r="K112">
        <v>20880</v>
      </c>
      <c r="L112">
        <v>20880</v>
      </c>
      <c r="M112">
        <v>20880</v>
      </c>
    </row>
    <row r="113" spans="1:13" x14ac:dyDescent="0.3">
      <c r="A113" s="38">
        <v>46079</v>
      </c>
      <c r="B113" t="s">
        <v>55</v>
      </c>
      <c r="C113" s="11">
        <v>15000</v>
      </c>
      <c r="D113" s="11"/>
      <c r="E113" t="s">
        <v>334</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335</v>
      </c>
      <c r="F115" s="111" t="s">
        <v>108</v>
      </c>
      <c r="I115">
        <v>25600</v>
      </c>
      <c r="K115">
        <v>45200</v>
      </c>
      <c r="L115">
        <v>45200</v>
      </c>
      <c r="M115">
        <v>45200</v>
      </c>
    </row>
    <row r="116" spans="1:13" x14ac:dyDescent="0.3">
      <c r="A116" s="38">
        <v>46078</v>
      </c>
      <c r="B116" t="s">
        <v>115</v>
      </c>
      <c r="C116" s="11">
        <v>150000</v>
      </c>
      <c r="D116" s="11"/>
      <c r="E116" t="s">
        <v>336</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298</v>
      </c>
      <c r="F119" s="111" t="s">
        <v>108</v>
      </c>
      <c r="I119">
        <v>5200</v>
      </c>
      <c r="K119">
        <v>21600</v>
      </c>
      <c r="L119">
        <v>21600</v>
      </c>
      <c r="M119">
        <v>21600</v>
      </c>
    </row>
    <row r="120" spans="1:13" x14ac:dyDescent="0.3">
      <c r="A120" s="115">
        <v>46078</v>
      </c>
      <c r="B120" t="s">
        <v>220</v>
      </c>
      <c r="C120" s="11"/>
      <c r="D120" s="11">
        <f>25000+19500</f>
        <v>44500</v>
      </c>
      <c r="E120" t="s">
        <v>337</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338</v>
      </c>
      <c r="F122" s="111" t="s">
        <v>108</v>
      </c>
      <c r="I122">
        <v>21700</v>
      </c>
      <c r="K122">
        <v>35000</v>
      </c>
      <c r="L122">
        <v>35000</v>
      </c>
      <c r="M122">
        <v>35000</v>
      </c>
    </row>
    <row r="123" spans="1:13" x14ac:dyDescent="0.3">
      <c r="A123" s="115">
        <v>46078</v>
      </c>
      <c r="B123" t="s">
        <v>220</v>
      </c>
      <c r="C123" s="11">
        <v>20340</v>
      </c>
      <c r="D123" s="11"/>
      <c r="E123" t="s">
        <v>339</v>
      </c>
      <c r="F123" s="111" t="s">
        <v>108</v>
      </c>
      <c r="I123">
        <v>6000</v>
      </c>
      <c r="K123">
        <v>80000</v>
      </c>
      <c r="L123">
        <v>80000</v>
      </c>
      <c r="M123">
        <v>80000</v>
      </c>
    </row>
    <row r="124" spans="1:13" x14ac:dyDescent="0.3">
      <c r="A124" s="115">
        <v>46078</v>
      </c>
      <c r="B124" t="s">
        <v>228</v>
      </c>
      <c r="C124" s="11"/>
      <c r="D124" s="11">
        <v>75000</v>
      </c>
      <c r="E124" t="s">
        <v>340</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341</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343</v>
      </c>
      <c r="F129" s="111" t="s">
        <v>108</v>
      </c>
      <c r="I129">
        <v>34000</v>
      </c>
      <c r="K129">
        <v>14900</v>
      </c>
      <c r="L129">
        <v>14900</v>
      </c>
      <c r="M129">
        <v>14900</v>
      </c>
    </row>
    <row r="130" spans="1:13" x14ac:dyDescent="0.3">
      <c r="A130" s="115">
        <v>46080</v>
      </c>
      <c r="B130" t="s">
        <v>169</v>
      </c>
      <c r="C130" s="96">
        <v>4000</v>
      </c>
      <c r="D130" s="96"/>
      <c r="E130" t="s">
        <v>343</v>
      </c>
      <c r="F130" s="111" t="s">
        <v>108</v>
      </c>
      <c r="I130">
        <v>22400</v>
      </c>
      <c r="K130">
        <v>11650</v>
      </c>
      <c r="L130">
        <v>11650</v>
      </c>
      <c r="M130">
        <v>11650</v>
      </c>
    </row>
    <row r="131" spans="1:13" x14ac:dyDescent="0.3">
      <c r="A131" s="115">
        <v>46080</v>
      </c>
      <c r="B131" t="s">
        <v>257</v>
      </c>
      <c r="C131" s="11">
        <v>2000</v>
      </c>
      <c r="D131" s="11"/>
      <c r="E131" t="s">
        <v>343</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343</v>
      </c>
      <c r="F133" s="111" t="s">
        <v>108</v>
      </c>
      <c r="I133">
        <v>2500</v>
      </c>
      <c r="K133">
        <v>6000</v>
      </c>
      <c r="L133">
        <v>15300</v>
      </c>
      <c r="M133">
        <v>15300</v>
      </c>
    </row>
    <row r="134" spans="1:13" x14ac:dyDescent="0.3">
      <c r="A134" s="115">
        <v>46080</v>
      </c>
      <c r="B134" t="s">
        <v>222</v>
      </c>
      <c r="C134" s="11">
        <v>4000</v>
      </c>
      <c r="D134" s="11"/>
      <c r="E134" t="s">
        <v>343</v>
      </c>
      <c r="F134" s="111" t="s">
        <v>108</v>
      </c>
      <c r="I134">
        <v>9500</v>
      </c>
      <c r="K134">
        <v>16550</v>
      </c>
      <c r="L134">
        <v>15000</v>
      </c>
      <c r="M134">
        <v>15000</v>
      </c>
    </row>
    <row r="135" spans="1:13" x14ac:dyDescent="0.3">
      <c r="A135" s="115">
        <v>46080</v>
      </c>
      <c r="B135" t="s">
        <v>225</v>
      </c>
      <c r="C135" s="11"/>
      <c r="D135" s="11">
        <v>105000</v>
      </c>
      <c r="E135" t="s">
        <v>344</v>
      </c>
      <c r="F135" s="111" t="s">
        <v>108</v>
      </c>
      <c r="I135">
        <v>20880</v>
      </c>
      <c r="K135">
        <v>13400</v>
      </c>
      <c r="L135">
        <v>6000</v>
      </c>
      <c r="M135">
        <v>6000</v>
      </c>
    </row>
    <row r="136" spans="1:13" x14ac:dyDescent="0.3">
      <c r="A136" s="115">
        <v>46080</v>
      </c>
      <c r="B136" t="s">
        <v>55</v>
      </c>
      <c r="C136" s="11">
        <v>8315</v>
      </c>
      <c r="D136" s="11"/>
      <c r="E136" t="s">
        <v>345</v>
      </c>
      <c r="F136" s="111" t="s">
        <v>108</v>
      </c>
      <c r="I136">
        <v>150000</v>
      </c>
      <c r="K136">
        <v>11650</v>
      </c>
      <c r="L136">
        <v>16550</v>
      </c>
      <c r="M136">
        <v>16550</v>
      </c>
    </row>
    <row r="137" spans="1:13" x14ac:dyDescent="0.3">
      <c r="A137" s="115">
        <v>46080</v>
      </c>
      <c r="B137" t="s">
        <v>165</v>
      </c>
      <c r="C137" s="11">
        <v>60000</v>
      </c>
      <c r="D137" s="11"/>
      <c r="E137" t="s">
        <v>346</v>
      </c>
      <c r="F137" s="111" t="s">
        <v>108</v>
      </c>
      <c r="K137">
        <v>2500</v>
      </c>
      <c r="L137">
        <v>13400</v>
      </c>
      <c r="M137">
        <v>13400</v>
      </c>
    </row>
    <row r="138" spans="1:13" x14ac:dyDescent="0.3">
      <c r="A138" s="115">
        <v>46080</v>
      </c>
      <c r="B138" t="s">
        <v>55</v>
      </c>
      <c r="C138" s="11">
        <v>3000</v>
      </c>
      <c r="D138" s="11"/>
      <c r="E138" t="s">
        <v>347</v>
      </c>
      <c r="F138" s="111" t="s">
        <v>108</v>
      </c>
      <c r="K138">
        <v>5700</v>
      </c>
      <c r="L138">
        <v>11650</v>
      </c>
      <c r="M138">
        <v>11650</v>
      </c>
    </row>
    <row r="139" spans="1:13" x14ac:dyDescent="0.3">
      <c r="A139" s="115">
        <v>46080</v>
      </c>
      <c r="B139" t="s">
        <v>55</v>
      </c>
      <c r="C139" s="11">
        <v>2800</v>
      </c>
      <c r="D139" s="11"/>
      <c r="E139" t="s">
        <v>348</v>
      </c>
      <c r="F139" s="111" t="s">
        <v>108</v>
      </c>
      <c r="L139">
        <v>2500</v>
      </c>
      <c r="M139">
        <v>2500</v>
      </c>
    </row>
    <row r="140" spans="1:13" x14ac:dyDescent="0.3">
      <c r="A140" s="115">
        <v>46080</v>
      </c>
      <c r="B140" t="s">
        <v>55</v>
      </c>
      <c r="C140" s="11">
        <v>400</v>
      </c>
      <c r="D140" s="11"/>
      <c r="E140" t="s">
        <v>349</v>
      </c>
      <c r="F140" s="111" t="s">
        <v>108</v>
      </c>
      <c r="L140">
        <v>5700</v>
      </c>
      <c r="M140">
        <v>5700</v>
      </c>
    </row>
    <row r="141" spans="1:13" x14ac:dyDescent="0.3">
      <c r="A141" s="115">
        <v>46080</v>
      </c>
      <c r="B141" t="s">
        <v>246</v>
      </c>
      <c r="C141" s="96">
        <v>190</v>
      </c>
      <c r="D141" s="96"/>
      <c r="E141" t="s">
        <v>350</v>
      </c>
      <c r="F141" s="111" t="s">
        <v>108</v>
      </c>
      <c r="L141">
        <v>5000</v>
      </c>
      <c r="M141">
        <v>5000</v>
      </c>
    </row>
    <row r="142" spans="1:13" x14ac:dyDescent="0.3">
      <c r="A142" s="115">
        <v>46080</v>
      </c>
      <c r="B142" t="s">
        <v>221</v>
      </c>
      <c r="C142" s="11">
        <v>4100</v>
      </c>
      <c r="D142" s="11"/>
      <c r="E142" t="s">
        <v>351</v>
      </c>
      <c r="F142" s="111" t="s">
        <v>108</v>
      </c>
    </row>
    <row r="143" spans="1:13" x14ac:dyDescent="0.3">
      <c r="A143" s="38">
        <v>46080</v>
      </c>
      <c r="B143" t="s">
        <v>221</v>
      </c>
      <c r="C143" s="96">
        <v>500</v>
      </c>
      <c r="D143" s="96"/>
      <c r="E143" t="s">
        <v>352</v>
      </c>
      <c r="F143" s="111" t="s">
        <v>108</v>
      </c>
    </row>
    <row r="144" spans="1:13" x14ac:dyDescent="0.3">
      <c r="A144" s="38">
        <v>46080</v>
      </c>
      <c r="B144" t="s">
        <v>212</v>
      </c>
      <c r="C144" s="96">
        <v>500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366</v>
      </c>
      <c r="F150" s="111" t="s">
        <v>108</v>
      </c>
    </row>
    <row r="151" spans="1:6" x14ac:dyDescent="0.3">
      <c r="A151" s="115">
        <v>46081</v>
      </c>
      <c r="B151" t="s">
        <v>220</v>
      </c>
      <c r="C151" s="11"/>
      <c r="D151" s="11">
        <v>18000</v>
      </c>
      <c r="E151" t="s">
        <v>366</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354</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355</v>
      </c>
      <c r="F155" s="111" t="s">
        <v>108</v>
      </c>
    </row>
    <row r="156" spans="1:6" x14ac:dyDescent="0.3">
      <c r="A156" s="38">
        <v>46081</v>
      </c>
      <c r="B156" t="s">
        <v>220</v>
      </c>
      <c r="C156" s="11"/>
      <c r="D156" s="11">
        <v>150000</v>
      </c>
      <c r="E156" t="s">
        <v>356</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357</v>
      </c>
      <c r="F159" s="111" t="s">
        <v>108</v>
      </c>
    </row>
    <row r="160" spans="1:6" x14ac:dyDescent="0.3">
      <c r="A160" s="38">
        <v>46081</v>
      </c>
      <c r="B160" t="s">
        <v>54</v>
      </c>
      <c r="C160" s="11">
        <v>1500</v>
      </c>
      <c r="D160" s="11"/>
      <c r="E160" t="s">
        <v>325</v>
      </c>
      <c r="F160" s="111" t="s">
        <v>108</v>
      </c>
    </row>
    <row r="161" spans="1:15" x14ac:dyDescent="0.3">
      <c r="A161" s="38">
        <v>46081</v>
      </c>
      <c r="B161" t="s">
        <v>54</v>
      </c>
      <c r="C161" s="11">
        <v>5000</v>
      </c>
      <c r="D161" s="11"/>
      <c r="E161" t="s">
        <v>292</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358</v>
      </c>
      <c r="F163" s="111" t="s">
        <v>108</v>
      </c>
      <c r="J163" s="3" t="s">
        <v>6</v>
      </c>
      <c r="K163" t="s">
        <v>118</v>
      </c>
      <c r="L163" t="s">
        <v>119</v>
      </c>
      <c r="N163">
        <v>32600</v>
      </c>
      <c r="O163">
        <v>32600</v>
      </c>
    </row>
    <row r="164" spans="1:15" x14ac:dyDescent="0.3">
      <c r="A164" s="38">
        <v>46082</v>
      </c>
      <c r="B164" t="s">
        <v>221</v>
      </c>
      <c r="C164" s="96">
        <v>1000</v>
      </c>
      <c r="D164" s="96"/>
      <c r="E164" t="s">
        <v>352</v>
      </c>
      <c r="F164" s="111" t="s">
        <v>108</v>
      </c>
      <c r="J164" s="4" t="s">
        <v>359</v>
      </c>
      <c r="K164" s="14"/>
      <c r="L164" s="14">
        <v>27000</v>
      </c>
      <c r="N164">
        <v>45600</v>
      </c>
      <c r="O164">
        <v>9200</v>
      </c>
    </row>
    <row r="165" spans="1:15" x14ac:dyDescent="0.3">
      <c r="A165" s="38">
        <v>46083</v>
      </c>
      <c r="B165" t="s">
        <v>282</v>
      </c>
      <c r="C165" s="11"/>
      <c r="D165" s="11"/>
      <c r="E165" t="s">
        <v>360</v>
      </c>
      <c r="F165" s="111" t="s">
        <v>108</v>
      </c>
      <c r="J165" s="4" t="s">
        <v>9</v>
      </c>
      <c r="K165" s="14">
        <v>400000</v>
      </c>
      <c r="L165" s="14"/>
      <c r="N165">
        <v>49400</v>
      </c>
      <c r="O165">
        <v>45600</v>
      </c>
    </row>
    <row r="166" spans="1:15" x14ac:dyDescent="0.3">
      <c r="A166" s="38">
        <v>46083</v>
      </c>
      <c r="B166" t="s">
        <v>220</v>
      </c>
      <c r="C166" s="11"/>
      <c r="D166" s="11">
        <v>200000</v>
      </c>
      <c r="E166" t="s">
        <v>361</v>
      </c>
      <c r="F166" s="111" t="s">
        <v>108</v>
      </c>
      <c r="J166" s="4" t="s">
        <v>117</v>
      </c>
      <c r="K166" s="14"/>
      <c r="L166" s="14">
        <v>78000</v>
      </c>
      <c r="N166">
        <v>37200</v>
      </c>
      <c r="O166">
        <v>30000</v>
      </c>
    </row>
    <row r="167" spans="1:15" x14ac:dyDescent="0.3">
      <c r="A167" s="38">
        <v>46083</v>
      </c>
      <c r="B167" t="s">
        <v>282</v>
      </c>
      <c r="C167" s="11"/>
      <c r="D167" s="11"/>
      <c r="E167" t="s">
        <v>362</v>
      </c>
      <c r="F167" s="111" t="s">
        <v>108</v>
      </c>
      <c r="J167" s="4" t="s">
        <v>94</v>
      </c>
      <c r="K167" s="14"/>
      <c r="L167" s="14">
        <v>331500</v>
      </c>
      <c r="N167">
        <v>9200</v>
      </c>
      <c r="O167">
        <v>37200</v>
      </c>
    </row>
    <row r="168" spans="1:15" x14ac:dyDescent="0.3">
      <c r="A168" s="38">
        <v>46083</v>
      </c>
      <c r="B168" t="s">
        <v>282</v>
      </c>
      <c r="C168" s="11"/>
      <c r="D168" s="11"/>
      <c r="E168" t="s">
        <v>363</v>
      </c>
      <c r="F168" s="111" t="s">
        <v>108</v>
      </c>
      <c r="J168" s="4" t="s">
        <v>246</v>
      </c>
      <c r="K168" s="14"/>
      <c r="L168" s="14">
        <v>3940</v>
      </c>
      <c r="N168">
        <v>50000</v>
      </c>
      <c r="O168">
        <v>49400</v>
      </c>
    </row>
    <row r="169" spans="1:15" x14ac:dyDescent="0.3">
      <c r="A169" s="38">
        <v>46083</v>
      </c>
      <c r="B169" t="s">
        <v>249</v>
      </c>
      <c r="C169" s="11">
        <v>7200</v>
      </c>
      <c r="D169" s="11"/>
      <c r="E169" t="s">
        <v>247</v>
      </c>
      <c r="F169" s="111" t="s">
        <v>108</v>
      </c>
      <c r="J169" s="4" t="s">
        <v>55</v>
      </c>
      <c r="K169" s="14"/>
      <c r="L169" s="14">
        <v>431285</v>
      </c>
      <c r="N169">
        <v>60400</v>
      </c>
      <c r="O169">
        <v>60400</v>
      </c>
    </row>
    <row r="170" spans="1:15" x14ac:dyDescent="0.3">
      <c r="A170" s="38">
        <v>46083</v>
      </c>
      <c r="B170" t="s">
        <v>169</v>
      </c>
      <c r="C170" s="11">
        <v>1000</v>
      </c>
      <c r="D170" s="11"/>
      <c r="E170" t="s">
        <v>343</v>
      </c>
      <c r="F170" s="111" t="s">
        <v>108</v>
      </c>
      <c r="J170" s="4" t="s">
        <v>282</v>
      </c>
      <c r="K170" s="14"/>
      <c r="L170" s="14"/>
      <c r="N170">
        <v>30000</v>
      </c>
      <c r="O170">
        <v>50000</v>
      </c>
    </row>
    <row r="171" spans="1:15" x14ac:dyDescent="0.3">
      <c r="A171" s="38">
        <v>46083</v>
      </c>
      <c r="B171" t="s">
        <v>282</v>
      </c>
      <c r="C171" s="11"/>
      <c r="D171" s="11"/>
      <c r="F171" s="111" t="s">
        <v>108</v>
      </c>
      <c r="J171" s="4" t="s">
        <v>54</v>
      </c>
      <c r="K171" s="14"/>
      <c r="L171" s="14">
        <v>54028</v>
      </c>
      <c r="N171">
        <v>13670</v>
      </c>
      <c r="O171">
        <v>1000</v>
      </c>
    </row>
    <row r="172" spans="1:15" x14ac:dyDescent="0.3">
      <c r="A172" s="38">
        <v>46083</v>
      </c>
      <c r="B172" t="s">
        <v>282</v>
      </c>
      <c r="C172" s="11"/>
      <c r="D172" s="11"/>
      <c r="E172" t="s">
        <v>364</v>
      </c>
      <c r="F172" s="111" t="s">
        <v>108</v>
      </c>
      <c r="J172" s="4" t="s">
        <v>221</v>
      </c>
      <c r="K172" s="14"/>
      <c r="L172" s="14">
        <v>791672</v>
      </c>
      <c r="N172">
        <v>18120</v>
      </c>
      <c r="O172">
        <v>35000</v>
      </c>
    </row>
    <row r="173" spans="1:15" x14ac:dyDescent="0.3">
      <c r="A173" s="38">
        <v>46082</v>
      </c>
      <c r="B173" t="s">
        <v>282</v>
      </c>
      <c r="C173" s="11"/>
      <c r="D173" s="11"/>
      <c r="E173" t="s">
        <v>365</v>
      </c>
      <c r="F173" s="111" t="s">
        <v>108</v>
      </c>
      <c r="J173" s="4" t="s">
        <v>212</v>
      </c>
      <c r="K173" s="14">
        <v>668663</v>
      </c>
      <c r="L173" s="14">
        <v>10190</v>
      </c>
      <c r="N173">
        <v>7650</v>
      </c>
      <c r="O173">
        <v>29600</v>
      </c>
    </row>
    <row r="174" spans="1:15" x14ac:dyDescent="0.3">
      <c r="A174" s="38">
        <v>46083</v>
      </c>
      <c r="B174" t="s">
        <v>282</v>
      </c>
      <c r="C174" s="11"/>
      <c r="D174" s="11"/>
      <c r="E174" t="s">
        <v>365</v>
      </c>
      <c r="F174" s="111" t="s">
        <v>108</v>
      </c>
      <c r="J174" s="4" t="s">
        <v>225</v>
      </c>
      <c r="K174" s="14">
        <v>534454</v>
      </c>
      <c r="L174" s="14"/>
      <c r="N174">
        <v>25000</v>
      </c>
      <c r="O174">
        <v>20000</v>
      </c>
    </row>
    <row r="175" spans="1:15" x14ac:dyDescent="0.3">
      <c r="A175" s="38">
        <v>46083</v>
      </c>
      <c r="B175" t="s">
        <v>359</v>
      </c>
      <c r="C175" s="11">
        <v>12000</v>
      </c>
      <c r="D175" s="11"/>
      <c r="E175" t="s">
        <v>362</v>
      </c>
      <c r="F175" s="111" t="s">
        <v>108</v>
      </c>
      <c r="J175" s="4" t="s">
        <v>103</v>
      </c>
      <c r="K175" s="14"/>
      <c r="L175" s="14"/>
      <c r="N175">
        <v>12000</v>
      </c>
      <c r="O175">
        <v>20800</v>
      </c>
    </row>
    <row r="176" spans="1:15" x14ac:dyDescent="0.3">
      <c r="A176" s="38">
        <v>46082</v>
      </c>
      <c r="B176" t="s">
        <v>220</v>
      </c>
      <c r="C176" s="11"/>
      <c r="D176" s="11">
        <f>9700+11200</f>
        <v>20900</v>
      </c>
      <c r="E176" t="s">
        <v>368</v>
      </c>
      <c r="F176" s="111" t="s">
        <v>108</v>
      </c>
      <c r="J176" s="4" t="s">
        <v>245</v>
      </c>
      <c r="K176" s="14">
        <v>684180</v>
      </c>
      <c r="L176" s="14"/>
      <c r="N176">
        <v>22650</v>
      </c>
      <c r="O176">
        <v>19200</v>
      </c>
    </row>
    <row r="177" spans="1:15" x14ac:dyDescent="0.3">
      <c r="A177" s="38">
        <v>46083</v>
      </c>
      <c r="B177" t="s">
        <v>55</v>
      </c>
      <c r="C177" s="11">
        <v>20900</v>
      </c>
      <c r="D177" s="11"/>
      <c r="E177" t="s">
        <v>368</v>
      </c>
      <c r="F177" s="111" t="s">
        <v>108</v>
      </c>
      <c r="J177" s="4" t="s">
        <v>115</v>
      </c>
      <c r="K177" s="14"/>
      <c r="L177" s="14">
        <v>400000</v>
      </c>
      <c r="N177">
        <v>22650</v>
      </c>
    </row>
    <row r="178" spans="1:15" x14ac:dyDescent="0.3">
      <c r="A178" s="38">
        <v>46083</v>
      </c>
      <c r="B178" t="s">
        <v>299</v>
      </c>
      <c r="C178" s="11">
        <v>23000</v>
      </c>
      <c r="D178" s="11"/>
      <c r="E178" t="s">
        <v>369</v>
      </c>
      <c r="F178" s="111" t="s">
        <v>108</v>
      </c>
      <c r="J178" s="4" t="s">
        <v>299</v>
      </c>
      <c r="K178" s="14"/>
      <c r="L178" s="14">
        <v>23000</v>
      </c>
      <c r="N178">
        <v>24400</v>
      </c>
    </row>
    <row r="179" spans="1:15" x14ac:dyDescent="0.3">
      <c r="A179" s="38">
        <v>46083</v>
      </c>
      <c r="B179" t="s">
        <v>220</v>
      </c>
      <c r="C179" s="11"/>
      <c r="D179" s="11">
        <v>23000</v>
      </c>
      <c r="E179" t="s">
        <v>369</v>
      </c>
      <c r="F179" s="111" t="s">
        <v>108</v>
      </c>
      <c r="J179" s="4" t="s">
        <v>169</v>
      </c>
      <c r="K179" s="14"/>
      <c r="L179" s="14">
        <v>557900</v>
      </c>
      <c r="N179">
        <v>15000</v>
      </c>
      <c r="O179">
        <v>20850</v>
      </c>
    </row>
    <row r="180" spans="1:15" x14ac:dyDescent="0.3">
      <c r="A180" s="38">
        <v>46083</v>
      </c>
      <c r="B180" t="s">
        <v>54</v>
      </c>
      <c r="C180" s="11">
        <v>2000</v>
      </c>
      <c r="D180" s="11"/>
      <c r="E180" t="s">
        <v>370</v>
      </c>
      <c r="F180" s="111" t="s">
        <v>108</v>
      </c>
      <c r="J180" s="4" t="s">
        <v>273</v>
      </c>
      <c r="K180" s="14"/>
      <c r="L180" s="14">
        <v>101000</v>
      </c>
      <c r="N180">
        <v>22650</v>
      </c>
      <c r="O180">
        <v>16630</v>
      </c>
    </row>
    <row r="181" spans="1:15" x14ac:dyDescent="0.3">
      <c r="A181" s="38">
        <v>46083</v>
      </c>
      <c r="B181" t="s">
        <v>225</v>
      </c>
      <c r="C181" s="11"/>
      <c r="D181" s="11">
        <v>100000</v>
      </c>
      <c r="E181" t="s">
        <v>371</v>
      </c>
      <c r="F181" s="111" t="s">
        <v>108</v>
      </c>
      <c r="J181" s="4" t="s">
        <v>220</v>
      </c>
      <c r="K181" s="14">
        <v>3399100</v>
      </c>
      <c r="L181" s="14">
        <v>7312648</v>
      </c>
      <c r="N181">
        <v>25000</v>
      </c>
      <c r="O181">
        <v>16630</v>
      </c>
    </row>
    <row r="182" spans="1:15" x14ac:dyDescent="0.3">
      <c r="A182" s="38">
        <v>46083</v>
      </c>
      <c r="B182" t="s">
        <v>55</v>
      </c>
      <c r="C182" s="11">
        <v>1600</v>
      </c>
      <c r="D182" s="11"/>
      <c r="E182" t="s">
        <v>372</v>
      </c>
      <c r="F182" s="111" t="s">
        <v>108</v>
      </c>
      <c r="J182" s="4" t="s">
        <v>165</v>
      </c>
      <c r="K182" s="14"/>
      <c r="L182" s="14">
        <v>62500</v>
      </c>
      <c r="N182">
        <v>20000</v>
      </c>
      <c r="O182">
        <v>7650</v>
      </c>
    </row>
    <row r="183" spans="1:15" x14ac:dyDescent="0.3">
      <c r="A183" s="38">
        <v>46083</v>
      </c>
      <c r="B183" t="s">
        <v>282</v>
      </c>
      <c r="C183" s="11"/>
      <c r="D183" s="11"/>
      <c r="E183" t="s">
        <v>373</v>
      </c>
      <c r="F183" s="111" t="s">
        <v>108</v>
      </c>
      <c r="J183" s="4" t="s">
        <v>175</v>
      </c>
      <c r="K183" s="14">
        <v>704000</v>
      </c>
      <c r="L183" s="14"/>
      <c r="N183">
        <v>16650</v>
      </c>
      <c r="O183">
        <v>17000</v>
      </c>
    </row>
    <row r="184" spans="1:15" x14ac:dyDescent="0.3">
      <c r="A184" s="38">
        <v>46083</v>
      </c>
      <c r="B184" t="s">
        <v>55</v>
      </c>
      <c r="C184" s="11">
        <v>2120</v>
      </c>
      <c r="D184" s="11"/>
      <c r="E184" t="s">
        <v>374</v>
      </c>
      <c r="F184" s="111" t="s">
        <v>108</v>
      </c>
      <c r="J184" s="4" t="s">
        <v>176</v>
      </c>
      <c r="K184" s="14"/>
      <c r="L184" s="14">
        <v>35000</v>
      </c>
      <c r="N184">
        <v>29600</v>
      </c>
      <c r="O184">
        <v>16650</v>
      </c>
    </row>
    <row r="185" spans="1:15" x14ac:dyDescent="0.3">
      <c r="A185" s="38">
        <v>46083</v>
      </c>
      <c r="B185" t="s">
        <v>359</v>
      </c>
      <c r="C185" s="11">
        <v>5000</v>
      </c>
      <c r="D185" s="11"/>
      <c r="E185" t="s">
        <v>375</v>
      </c>
      <c r="F185" s="111" t="s">
        <v>108</v>
      </c>
      <c r="J185" s="4" t="s">
        <v>51</v>
      </c>
      <c r="K185" s="14"/>
      <c r="L185" s="14">
        <v>2222081</v>
      </c>
      <c r="N185">
        <v>16630</v>
      </c>
      <c r="O185">
        <v>24400</v>
      </c>
    </row>
    <row r="186" spans="1:15" x14ac:dyDescent="0.3">
      <c r="A186" s="38">
        <v>46083</v>
      </c>
      <c r="B186" t="s">
        <v>359</v>
      </c>
      <c r="C186" s="11">
        <v>10000</v>
      </c>
      <c r="D186" s="11"/>
      <c r="E186" t="s">
        <v>275</v>
      </c>
      <c r="F186" s="111" t="s">
        <v>108</v>
      </c>
      <c r="J186" s="4" t="s">
        <v>296</v>
      </c>
      <c r="K186" s="14"/>
      <c r="L186" s="14">
        <v>10000</v>
      </c>
      <c r="N186">
        <v>16650</v>
      </c>
      <c r="O186">
        <v>15000</v>
      </c>
    </row>
    <row r="187" spans="1:15" x14ac:dyDescent="0.3">
      <c r="A187" s="38">
        <v>46083</v>
      </c>
      <c r="B187" t="s">
        <v>220</v>
      </c>
      <c r="C187" s="11"/>
      <c r="D187" s="11">
        <v>175000</v>
      </c>
      <c r="E187" t="s">
        <v>376</v>
      </c>
      <c r="F187" s="111" t="s">
        <v>108</v>
      </c>
      <c r="J187" s="4" t="s">
        <v>192</v>
      </c>
      <c r="K187" s="14">
        <v>30000</v>
      </c>
      <c r="L187" s="14"/>
      <c r="N187">
        <v>160000</v>
      </c>
      <c r="O187">
        <v>16650</v>
      </c>
    </row>
    <row r="188" spans="1:15" x14ac:dyDescent="0.3">
      <c r="A188" s="38">
        <v>46083</v>
      </c>
      <c r="B188" t="s">
        <v>222</v>
      </c>
      <c r="C188" s="96">
        <v>125000</v>
      </c>
      <c r="D188" s="96"/>
      <c r="E188" t="s">
        <v>377</v>
      </c>
      <c r="F188" s="111" t="s">
        <v>108</v>
      </c>
      <c r="J188" s="4" t="s">
        <v>190</v>
      </c>
      <c r="K188" s="14">
        <v>20340</v>
      </c>
      <c r="L188" s="14"/>
      <c r="N188">
        <v>17000</v>
      </c>
      <c r="O188">
        <v>13650</v>
      </c>
    </row>
    <row r="189" spans="1:15" x14ac:dyDescent="0.3">
      <c r="A189" s="115">
        <v>46083</v>
      </c>
      <c r="B189" t="s">
        <v>246</v>
      </c>
      <c r="C189" s="11">
        <v>430</v>
      </c>
      <c r="D189" s="11"/>
      <c r="E189" t="s">
        <v>378</v>
      </c>
      <c r="F189" s="111" t="s">
        <v>108</v>
      </c>
      <c r="J189" s="4" t="s">
        <v>300</v>
      </c>
      <c r="K189" s="14"/>
      <c r="L189" s="14">
        <v>201000</v>
      </c>
      <c r="N189">
        <v>19200</v>
      </c>
      <c r="O189">
        <v>12000</v>
      </c>
    </row>
    <row r="190" spans="1:15" x14ac:dyDescent="0.3">
      <c r="A190" s="38">
        <v>46083</v>
      </c>
      <c r="B190" t="s">
        <v>221</v>
      </c>
      <c r="C190" s="96">
        <v>1000</v>
      </c>
      <c r="D190" s="96"/>
      <c r="E190" t="s">
        <v>352</v>
      </c>
      <c r="F190" s="111" t="s">
        <v>108</v>
      </c>
      <c r="J190" s="4" t="s">
        <v>277</v>
      </c>
      <c r="K190" s="14"/>
      <c r="L190" s="14">
        <v>140000</v>
      </c>
      <c r="N190">
        <v>20000</v>
      </c>
      <c r="O190">
        <v>14000</v>
      </c>
    </row>
    <row r="191" spans="1:15" x14ac:dyDescent="0.3">
      <c r="A191" s="115">
        <v>46083</v>
      </c>
      <c r="B191" t="s">
        <v>314</v>
      </c>
      <c r="C191" s="11"/>
      <c r="D191" s="11">
        <v>8701</v>
      </c>
      <c r="E191" t="s">
        <v>380</v>
      </c>
      <c r="F191" s="111" t="s">
        <v>108</v>
      </c>
      <c r="J191" s="4" t="s">
        <v>211</v>
      </c>
      <c r="K191" s="14">
        <v>5601856</v>
      </c>
      <c r="L191" s="14"/>
      <c r="N191">
        <v>20850</v>
      </c>
      <c r="O191">
        <v>25000</v>
      </c>
    </row>
    <row r="192" spans="1:15" x14ac:dyDescent="0.3">
      <c r="A192" s="115">
        <v>46083</v>
      </c>
      <c r="B192" t="s">
        <v>54</v>
      </c>
      <c r="C192" s="11">
        <v>8701</v>
      </c>
      <c r="D192" s="11"/>
      <c r="E192" t="s">
        <v>267</v>
      </c>
      <c r="F192" s="111" t="s">
        <v>108</v>
      </c>
      <c r="J192" s="4" t="s">
        <v>222</v>
      </c>
      <c r="K192" s="14"/>
      <c r="L192" s="14">
        <v>479345</v>
      </c>
      <c r="N192">
        <v>16650</v>
      </c>
      <c r="O192">
        <v>20000</v>
      </c>
    </row>
    <row r="193" spans="1:15" x14ac:dyDescent="0.3">
      <c r="A193" s="115">
        <v>46083</v>
      </c>
      <c r="B193" t="s">
        <v>228</v>
      </c>
      <c r="C193" s="11"/>
      <c r="D193" s="11">
        <v>90000</v>
      </c>
      <c r="E193" t="s">
        <v>381</v>
      </c>
      <c r="F193" s="111" t="s">
        <v>108</v>
      </c>
      <c r="J193" s="4" t="s">
        <v>228</v>
      </c>
      <c r="K193" s="14">
        <v>600000</v>
      </c>
      <c r="L193" s="14"/>
      <c r="N193">
        <v>14000</v>
      </c>
      <c r="O193">
        <v>25000</v>
      </c>
    </row>
    <row r="194" spans="1:15" x14ac:dyDescent="0.3">
      <c r="A194" s="38">
        <v>46083</v>
      </c>
      <c r="B194" t="s">
        <v>220</v>
      </c>
      <c r="C194" s="96">
        <v>90000</v>
      </c>
      <c r="D194" s="96"/>
      <c r="E194" t="s">
        <v>264</v>
      </c>
      <c r="F194" s="111" t="s">
        <v>108</v>
      </c>
      <c r="J194" s="4" t="s">
        <v>249</v>
      </c>
      <c r="K194" s="14"/>
      <c r="L194" s="14">
        <v>39175</v>
      </c>
      <c r="N194">
        <v>3900</v>
      </c>
      <c r="O194">
        <v>3900</v>
      </c>
    </row>
    <row r="195" spans="1:15" x14ac:dyDescent="0.3">
      <c r="A195" s="127">
        <v>46084</v>
      </c>
      <c r="B195" t="s">
        <v>9</v>
      </c>
      <c r="C195" s="11"/>
      <c r="D195" s="11">
        <v>60000</v>
      </c>
      <c r="E195" t="s">
        <v>387</v>
      </c>
      <c r="F195" s="111" t="s">
        <v>108</v>
      </c>
      <c r="J195" s="4" t="s">
        <v>252</v>
      </c>
      <c r="K195" s="14"/>
      <c r="L195" s="14">
        <v>100000</v>
      </c>
      <c r="N195">
        <v>35000</v>
      </c>
      <c r="O195">
        <v>18120</v>
      </c>
    </row>
    <row r="196" spans="1:15" x14ac:dyDescent="0.3">
      <c r="A196" s="127">
        <v>46084</v>
      </c>
      <c r="B196" t="s">
        <v>165</v>
      </c>
      <c r="C196" s="11">
        <v>2500</v>
      </c>
      <c r="D196" s="11"/>
      <c r="E196" t="s">
        <v>388</v>
      </c>
      <c r="F196" s="111" t="s">
        <v>108</v>
      </c>
      <c r="J196" s="4" t="s">
        <v>257</v>
      </c>
      <c r="K196" s="14"/>
      <c r="L196" s="14">
        <v>121490</v>
      </c>
      <c r="O196">
        <v>22650</v>
      </c>
    </row>
    <row r="197" spans="1:15" x14ac:dyDescent="0.3">
      <c r="A197" s="127">
        <v>46084</v>
      </c>
      <c r="B197" t="s">
        <v>257</v>
      </c>
      <c r="C197" s="11">
        <v>100000</v>
      </c>
      <c r="D197" s="11"/>
      <c r="E197" t="s">
        <v>389</v>
      </c>
      <c r="F197" s="111" t="s">
        <v>108</v>
      </c>
      <c r="J197" s="4" t="s">
        <v>232</v>
      </c>
      <c r="K197" s="14">
        <v>39278</v>
      </c>
      <c r="L197" s="14"/>
      <c r="O197">
        <v>22650</v>
      </c>
    </row>
    <row r="198" spans="1:15" x14ac:dyDescent="0.3">
      <c r="A198" s="127">
        <v>46084</v>
      </c>
      <c r="B198" t="s">
        <v>314</v>
      </c>
      <c r="C198" s="11"/>
      <c r="D198" s="11">
        <v>500000</v>
      </c>
      <c r="E198" t="s">
        <v>390</v>
      </c>
      <c r="F198" s="111" t="s">
        <v>108</v>
      </c>
      <c r="J198" s="4" t="s">
        <v>314</v>
      </c>
      <c r="K198" s="14">
        <v>1012980.4930504755</v>
      </c>
      <c r="L198" s="14"/>
      <c r="O198">
        <v>160000</v>
      </c>
    </row>
    <row r="199" spans="1:15" x14ac:dyDescent="0.3">
      <c r="A199" s="127">
        <v>46084</v>
      </c>
      <c r="B199" t="s">
        <v>55</v>
      </c>
      <c r="C199" s="11">
        <v>10500</v>
      </c>
      <c r="D199" s="11"/>
      <c r="E199" t="s">
        <v>391</v>
      </c>
      <c r="F199" s="111" t="s">
        <v>108</v>
      </c>
      <c r="J199" s="4" t="s">
        <v>28</v>
      </c>
      <c r="K199" s="14">
        <v>13694851.493050475</v>
      </c>
      <c r="L199" s="14">
        <v>13532754</v>
      </c>
    </row>
    <row r="200" spans="1:15" x14ac:dyDescent="0.3">
      <c r="A200" s="127">
        <v>46084</v>
      </c>
      <c r="B200" t="s">
        <v>273</v>
      </c>
      <c r="C200" s="11">
        <v>150000</v>
      </c>
      <c r="D200" s="11"/>
      <c r="E200" t="s">
        <v>392</v>
      </c>
      <c r="F200" s="111" t="s">
        <v>108</v>
      </c>
    </row>
    <row r="201" spans="1:15" x14ac:dyDescent="0.3">
      <c r="A201" s="127">
        <v>46084</v>
      </c>
      <c r="B201" t="s">
        <v>222</v>
      </c>
      <c r="C201" s="11">
        <v>100210</v>
      </c>
      <c r="D201" s="11"/>
      <c r="E201" t="s">
        <v>393</v>
      </c>
      <c r="F201" s="111" t="s">
        <v>108</v>
      </c>
    </row>
    <row r="202" spans="1:15" x14ac:dyDescent="0.3">
      <c r="A202" s="127">
        <v>46084</v>
      </c>
      <c r="B202" t="s">
        <v>314</v>
      </c>
      <c r="C202" s="11"/>
      <c r="D202" s="11">
        <v>500000</v>
      </c>
      <c r="E202" t="s">
        <v>394</v>
      </c>
      <c r="F202" s="111" t="s">
        <v>108</v>
      </c>
    </row>
    <row r="203" spans="1:15" x14ac:dyDescent="0.3">
      <c r="A203" s="127">
        <v>46084</v>
      </c>
      <c r="B203" t="s">
        <v>113</v>
      </c>
      <c r="C203" s="11">
        <v>70415</v>
      </c>
      <c r="D203" s="11"/>
      <c r="E203" t="s">
        <v>216</v>
      </c>
      <c r="F203" s="111" t="s">
        <v>108</v>
      </c>
    </row>
    <row r="204" spans="1:15" x14ac:dyDescent="0.3">
      <c r="A204" s="127">
        <v>46084</v>
      </c>
      <c r="B204" t="s">
        <v>169</v>
      </c>
      <c r="C204" s="11">
        <v>250000</v>
      </c>
      <c r="D204" s="11"/>
      <c r="E204" t="s">
        <v>395</v>
      </c>
      <c r="F204" s="111" t="s">
        <v>108</v>
      </c>
    </row>
    <row r="205" spans="1:15" x14ac:dyDescent="0.3">
      <c r="A205" s="127">
        <v>46084</v>
      </c>
      <c r="B205" t="s">
        <v>300</v>
      </c>
      <c r="C205" s="11">
        <v>150000</v>
      </c>
      <c r="D205" s="11"/>
      <c r="E205" t="s">
        <v>396</v>
      </c>
      <c r="F205" s="111" t="s">
        <v>108</v>
      </c>
    </row>
    <row r="206" spans="1:15" x14ac:dyDescent="0.3">
      <c r="A206" s="127">
        <v>46084</v>
      </c>
      <c r="B206" t="s">
        <v>222</v>
      </c>
      <c r="C206" s="11">
        <v>31000</v>
      </c>
      <c r="D206" s="11"/>
      <c r="E206" t="s">
        <v>242</v>
      </c>
      <c r="F206" s="111" t="s">
        <v>108</v>
      </c>
    </row>
    <row r="207" spans="1:15" x14ac:dyDescent="0.3">
      <c r="A207" s="127">
        <v>46084</v>
      </c>
      <c r="B207" t="s">
        <v>379</v>
      </c>
      <c r="C207" s="11"/>
      <c r="D207" s="11">
        <v>257000</v>
      </c>
      <c r="E207" t="s">
        <v>397</v>
      </c>
      <c r="F207" s="111" t="s">
        <v>108</v>
      </c>
    </row>
    <row r="208" spans="1:15" x14ac:dyDescent="0.3">
      <c r="A208" s="127">
        <v>46084</v>
      </c>
      <c r="B208" t="s">
        <v>212</v>
      </c>
      <c r="C208" s="11">
        <f>650+760</f>
        <v>1410</v>
      </c>
      <c r="D208" s="11"/>
      <c r="F208" s="111" t="s">
        <v>108</v>
      </c>
    </row>
    <row r="209" spans="1:6" x14ac:dyDescent="0.3">
      <c r="A209" s="127">
        <v>46084</v>
      </c>
      <c r="B209" t="s">
        <v>222</v>
      </c>
      <c r="C209" s="11">
        <v>18500</v>
      </c>
      <c r="D209" s="11"/>
      <c r="E209" t="s">
        <v>242</v>
      </c>
      <c r="F209" s="111" t="s">
        <v>108</v>
      </c>
    </row>
    <row r="210" spans="1:6" x14ac:dyDescent="0.3">
      <c r="A210" s="127">
        <v>46084</v>
      </c>
      <c r="B210" t="s">
        <v>249</v>
      </c>
      <c r="C210" s="11">
        <v>3600</v>
      </c>
      <c r="D210" s="11"/>
      <c r="E210" t="s">
        <v>247</v>
      </c>
      <c r="F210" s="111" t="s">
        <v>108</v>
      </c>
    </row>
    <row r="211" spans="1:6" x14ac:dyDescent="0.3">
      <c r="A211" s="127">
        <v>46084</v>
      </c>
      <c r="B211" t="s">
        <v>54</v>
      </c>
      <c r="C211" s="11">
        <v>5000</v>
      </c>
      <c r="D211" s="11"/>
      <c r="E211" t="s">
        <v>292</v>
      </c>
      <c r="F211" s="111" t="s">
        <v>108</v>
      </c>
    </row>
    <row r="212" spans="1:6" x14ac:dyDescent="0.3">
      <c r="A212" s="38"/>
      <c r="C212" s="14">
        <f>SUBTOTAL(109,Table14[Debit])</f>
        <v>14524590</v>
      </c>
      <c r="D212" s="14">
        <f>SUBTOTAL(109,Table14[Credit])</f>
        <v>15110552.493050475</v>
      </c>
      <c r="F212" s="54">
        <f>(Table14[[#Totals],[Credit]]-Table14[[#Totals],[Debit]])</f>
        <v>585962.49305047467</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7" zoomScale="107" zoomScaleNormal="210" workbookViewId="0">
      <selection activeCell="C12" sqref="C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t="s">
        <v>290</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M10">
        <v>0</v>
      </c>
    </row>
    <row r="11" spans="1:14" x14ac:dyDescent="0.3">
      <c r="A11" s="1"/>
      <c r="K11" s="26">
        <v>46072</v>
      </c>
      <c r="M11">
        <v>764250</v>
      </c>
    </row>
    <row r="12" spans="1:14" x14ac:dyDescent="0.3">
      <c r="A12" s="1"/>
      <c r="K12" s="26">
        <v>46073</v>
      </c>
      <c r="L12">
        <v>100000</v>
      </c>
      <c r="M12">
        <v>0</v>
      </c>
    </row>
    <row r="13" spans="1:14" x14ac:dyDescent="0.3">
      <c r="A13" s="1"/>
      <c r="K13" s="26">
        <v>46075</v>
      </c>
      <c r="M13">
        <v>0</v>
      </c>
    </row>
    <row r="14" spans="1:14" x14ac:dyDescent="0.3">
      <c r="A14" s="123"/>
      <c r="K14" s="26">
        <v>46076</v>
      </c>
      <c r="L14">
        <v>7800</v>
      </c>
      <c r="M14">
        <v>0</v>
      </c>
    </row>
    <row r="15" spans="1:14" x14ac:dyDescent="0.3">
      <c r="A15" s="123"/>
      <c r="K15" s="26">
        <v>46077</v>
      </c>
      <c r="L15">
        <v>27200</v>
      </c>
      <c r="M15">
        <v>-100000</v>
      </c>
    </row>
    <row r="16" spans="1:14" x14ac:dyDescent="0.3">
      <c r="A16" s="123"/>
      <c r="K16" s="26">
        <v>46078</v>
      </c>
      <c r="M16">
        <v>-150000</v>
      </c>
    </row>
    <row r="17" spans="1:13" x14ac:dyDescent="0.3">
      <c r="A17" s="123"/>
      <c r="K17" s="26">
        <v>46079</v>
      </c>
      <c r="M17">
        <v>-150000</v>
      </c>
    </row>
    <row r="18" spans="1:13" x14ac:dyDescent="0.3">
      <c r="A18" s="123"/>
      <c r="K18" s="4" t="s">
        <v>28</v>
      </c>
      <c r="L18">
        <v>135000</v>
      </c>
      <c r="M18">
        <v>364250</v>
      </c>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3">
        <v>46075</v>
      </c>
      <c r="B22" t="s">
        <v>64</v>
      </c>
      <c r="F22" t="s">
        <v>229</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316</v>
      </c>
      <c r="E24">
        <v>27200</v>
      </c>
      <c r="F24" t="s">
        <v>176</v>
      </c>
      <c r="G24">
        <f>SUMIFS(Table14[Debit], Table14[Date], Table8[[#This Row],[Date]], Table14[Party], Table8[[#This Row],[Party]])</f>
        <v>27200</v>
      </c>
      <c r="H24">
        <f>Table8[[#This Row],[Price]]-Table8[[#This Row],[Paid]]</f>
        <v>0</v>
      </c>
    </row>
    <row r="25" spans="1:13" x14ac:dyDescent="0.3">
      <c r="A25" s="123">
        <v>46077</v>
      </c>
      <c r="B25" t="s">
        <v>342</v>
      </c>
      <c r="F25" t="s">
        <v>115</v>
      </c>
      <c r="G25">
        <f>SUMIFS(Table14[Debit], Table14[Date], Table8[[#This Row],[Date]], Table14[Party], Table8[[#This Row],[Party]])</f>
        <v>100000</v>
      </c>
      <c r="H25">
        <f>Table8[[#This Row],[Price]]-Table8[[#This Row],[Paid]]</f>
        <v>-100000</v>
      </c>
    </row>
    <row r="26" spans="1:13" x14ac:dyDescent="0.3">
      <c r="A26" s="123">
        <v>46078</v>
      </c>
      <c r="B26" t="s">
        <v>342</v>
      </c>
      <c r="F26" t="s">
        <v>115</v>
      </c>
      <c r="G26">
        <f>SUMIFS(Table14[Debit], Table14[Date], Table8[[#This Row],[Date]], Table14[Party], Table8[[#This Row],[Party]])</f>
        <v>150000</v>
      </c>
      <c r="H26">
        <f>Table8[[#This Row],[Price]]-Table8[[#This Row],[Paid]]</f>
        <v>-150000</v>
      </c>
    </row>
    <row r="27" spans="1:13" x14ac:dyDescent="0.3">
      <c r="A27" s="123">
        <v>46079</v>
      </c>
      <c r="B27" t="s">
        <v>342</v>
      </c>
      <c r="F27" t="s">
        <v>115</v>
      </c>
      <c r="G27">
        <f>SUMIFS(Table14[Debit], Table14[Date], Table8[[#This Row],[Date]], Table14[Party], Table8[[#This Row],[Party]])</f>
        <v>150000</v>
      </c>
      <c r="H27">
        <f>Table8[[#This Row],[Price]]-Table8[[#This Row],[Paid]]</f>
        <v>-150000</v>
      </c>
    </row>
    <row r="28" spans="1:13" x14ac:dyDescent="0.3">
      <c r="G28">
        <f>SUMIFS(Table14[Debit], Table14[Date], Table8[[#This Row],[Date]], Table14[Party], Table8[[#This Row],[Party]])</f>
        <v>0</v>
      </c>
      <c r="H28">
        <f>Table8[[#This Row],[Price]]-Table8[[#This Row],[Paid]]</f>
        <v>0</v>
      </c>
    </row>
    <row r="29" spans="1:13" x14ac:dyDescent="0.3">
      <c r="E29">
        <f>SUBTOTAL(109,Table8[Price])</f>
        <v>135000</v>
      </c>
      <c r="H29">
        <f>SUBTOTAL(109,Table8[Balance])</f>
        <v>364250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A26" sqref="A2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78000</v>
      </c>
      <c r="L7">
        <v>78000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60000</v>
      </c>
      <c r="L8">
        <v>62500</v>
      </c>
      <c r="M8">
        <v>117500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0</v>
      </c>
      <c r="L9">
        <v>0</v>
      </c>
      <c r="M9">
        <v>0</v>
      </c>
    </row>
    <row r="10" spans="1:13" x14ac:dyDescent="0.3">
      <c r="A10" s="85">
        <v>46073</v>
      </c>
      <c r="B10" s="1" t="s">
        <v>226</v>
      </c>
      <c r="C10" t="s">
        <v>211</v>
      </c>
      <c r="H10" t="s">
        <v>291</v>
      </c>
      <c r="J10" s="4" t="s">
        <v>195</v>
      </c>
      <c r="K10">
        <v>0</v>
      </c>
      <c r="L10">
        <v>0</v>
      </c>
      <c r="M10">
        <v>0</v>
      </c>
    </row>
    <row r="11" spans="1:13" x14ac:dyDescent="0.3">
      <c r="A11" s="1"/>
      <c r="B11" s="1"/>
      <c r="J11" s="4" t="s">
        <v>226</v>
      </c>
      <c r="M11">
        <v>0</v>
      </c>
    </row>
    <row r="12" spans="1:13" x14ac:dyDescent="0.3">
      <c r="A12" s="1"/>
      <c r="B12" s="1"/>
      <c r="J12" s="4" t="s">
        <v>28</v>
      </c>
      <c r="K12">
        <v>138000</v>
      </c>
      <c r="L12">
        <v>140500</v>
      </c>
      <c r="M12">
        <v>117500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353</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c r="B26" s="1"/>
      <c r="F26" s="128">
        <f>Table2[[#This Row],[Quantity]]*200*Table2[[#This Row],[Boxes]]</f>
        <v>0</v>
      </c>
      <c r="G26" s="128">
        <f>SUMIFS(Table14[Debit], Table14[Date], Table2[[#This Row],[Date]], Table14[Party], Table2[[#This Row],[Party Name]])</f>
        <v>0</v>
      </c>
      <c r="H26" s="128">
        <f>Table2[[#This Row],[Price]]-Table2[[#This Row],[Paid]]</f>
        <v>0</v>
      </c>
      <c r="I26" t="s">
        <v>61</v>
      </c>
      <c r="K26">
        <f>13*4000</f>
        <v>52000</v>
      </c>
    </row>
    <row r="27" spans="1:11" x14ac:dyDescent="0.3">
      <c r="A27" s="1"/>
      <c r="F27">
        <f>SUBTOTAL(109,Table2[Price])</f>
        <v>198000</v>
      </c>
      <c r="G27">
        <f>SUBTOTAL(109,Table2[Paid])</f>
        <v>143000</v>
      </c>
      <c r="H27">
        <f>SUBTOTAL(109,Table2[Balance])</f>
        <v>175000</v>
      </c>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1074619</v>
      </c>
      <c r="C2" s="32">
        <f>GETPIVOTDATA("Sum of Tiyaar/gaz",$A$3)</f>
        <v>852447</v>
      </c>
      <c r="D2" s="31">
        <f>((B2*48)+((C2/1.0936)*10))/C2</f>
        <v>69.654280153043032</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16445</v>
      </c>
      <c r="D28" s="28">
        <f t="shared" si="1"/>
        <v>144.77877218357483</v>
      </c>
      <c r="E28" s="11">
        <f t="shared" si="2"/>
        <v>50818.498399999997</v>
      </c>
      <c r="F28" s="11">
        <f t="shared" si="0"/>
        <v>16445</v>
      </c>
      <c r="G28" s="78">
        <f t="shared" si="6"/>
        <v>67.639736478321453</v>
      </c>
      <c r="H28" s="28">
        <f t="shared" si="3"/>
        <v>15037.490855888809</v>
      </c>
      <c r="I28" s="28">
        <f t="shared" si="5"/>
        <v>144.77877218357483</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5711</v>
      </c>
      <c r="D31" s="28">
        <f t="shared" si="1"/>
        <v>201.06846769738249</v>
      </c>
      <c r="E31" s="11">
        <f t="shared" si="2"/>
        <v>24972.355999999996</v>
      </c>
      <c r="F31" s="11">
        <f t="shared" si="0"/>
        <v>5711</v>
      </c>
      <c r="G31" s="78">
        <f t="shared" si="6"/>
        <v>77.130712056163219</v>
      </c>
      <c r="H31" s="28">
        <f t="shared" si="3"/>
        <v>5222.2019019751287</v>
      </c>
      <c r="I31" s="28">
        <f t="shared" si="5"/>
        <v>201.06846769738249</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t="s">
        <v>28</v>
      </c>
      <c r="B39" s="30">
        <v>101030</v>
      </c>
      <c r="C39" s="30">
        <v>852447</v>
      </c>
      <c r="D39" s="28">
        <f t="shared" ref="D39:D44" si="13">I39</f>
        <v>14.832957537091536</v>
      </c>
      <c r="E39" s="11">
        <f t="shared" ref="E39:E44" si="14">B39 * 1.0936</f>
        <v>110486.408</v>
      </c>
      <c r="F39" s="11">
        <f t="shared" ref="F39:F44" si="15">C39</f>
        <v>852447</v>
      </c>
      <c r="G39" s="78">
        <f t="shared" ref="G39:G44" si="16">100- (F39/E39 *100)</f>
        <v>-671.54015179858141</v>
      </c>
      <c r="H39" s="28">
        <f t="shared" ref="H39:H44" si="17">F39/1.0936</f>
        <v>779487.01536210685</v>
      </c>
      <c r="I39" s="28">
        <f t="shared" ref="I39:I44" si="18">((B39*48)+(H39*10))/C39</f>
        <v>14.832957537091536</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441785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18136973.410387717</v>
      </c>
    </row>
    <row r="3" spans="1:3" ht="21" x14ac:dyDescent="0.4">
      <c r="A3" s="102" t="str">
        <f>Billing!R6</f>
        <v>Ejaz Sahab</v>
      </c>
      <c r="B3" s="105">
        <f>Billing!AF6</f>
        <v>6601773</v>
      </c>
      <c r="C3" s="103">
        <f>Billing!AG6</f>
        <v>152214.7468910031</v>
      </c>
    </row>
    <row r="4" spans="1:3" ht="21" x14ac:dyDescent="0.4">
      <c r="A4" s="102" t="str">
        <f>Billing!R7</f>
        <v>Arshad</v>
      </c>
      <c r="B4" s="105">
        <f>Billing!AF7</f>
        <v>8952501</v>
      </c>
      <c r="C4" s="104">
        <f>Billing!AG7</f>
        <v>373713.33796634898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9609871</v>
      </c>
      <c r="C7" s="103">
        <f>Billing!AG10</f>
        <v>206737.44915874302</v>
      </c>
    </row>
    <row r="8" spans="1:3" ht="21" x14ac:dyDescent="0.4">
      <c r="A8" s="102" t="str">
        <f>Billing!R11</f>
        <v>Raaz Fabrics</v>
      </c>
      <c r="B8" s="105">
        <f>Billing!AF11</f>
        <v>1526321</v>
      </c>
      <c r="C8" s="104">
        <f>Billing!AG11</f>
        <v>332704.23774689133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4830359</v>
      </c>
      <c r="C12" s="103">
        <f>Billing!AG15</f>
        <v>13112.104608632624</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-183826.70811996982</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1445500</v>
      </c>
      <c r="C24" s="103">
        <f>Billing!AG27</f>
        <v>9344.5501097296365</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1990000</v>
      </c>
      <c r="C28" s="103">
        <f>Billing!AG31</f>
        <v>830871.4337966349</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39278</v>
      </c>
      <c r="C32" s="103">
        <f>Billing!AG35</f>
        <v>0.52962692026630975</v>
      </c>
    </row>
    <row r="33" spans="1:3" ht="21" x14ac:dyDescent="0.4">
      <c r="A33" s="102" t="str">
        <f>Billing!R36</f>
        <v>Faizan Kamoki</v>
      </c>
      <c r="B33" s="105">
        <f>Billing!AF36</f>
        <v>2021681.4930504756</v>
      </c>
      <c r="C33" s="103">
        <f>Billing!AG36</f>
        <v>122415.98317483533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2026-03-03T23:08:43Z</dcterms:modified>
  <cp:category/>
  <cp:contentStatus/>
</cp:coreProperties>
</file>