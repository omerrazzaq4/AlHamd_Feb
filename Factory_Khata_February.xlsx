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901" documentId="8_{5FA7CF9A-3CD5-4319-9FC5-E34696581AAD}" xr6:coauthVersionLast="47" xr6:coauthVersionMax="47" xr10:uidLastSave="{21274BD7-C6F0-47E9-8E3E-645FA81BB6F7}"/>
  <bookViews>
    <workbookView xWindow="-108" yWindow="-108" windowWidth="23256" windowHeight="12456" tabRatio="597" firstSheet="3"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5" r:id="rId21"/>
    <pivotCache cacheId="69" r:id="rId22"/>
    <pivotCache cacheId="74" r:id="rId23"/>
    <pivotCache cacheId="80" r:id="rId24"/>
    <pivotCache cacheId="84" r:id="rId25"/>
    <pivotCache cacheId="8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7" i="1" l="1"/>
  <c r="I242" i="1"/>
  <c r="J242" i="1" a="1"/>
  <c r="J242" i="1" s="1"/>
  <c r="I243" i="1"/>
  <c r="J243" i="1" a="1"/>
  <c r="J243" i="1" s="1"/>
  <c r="I244" i="1"/>
  <c r="J244" i="1" a="1"/>
  <c r="J244" i="1"/>
  <c r="I245" i="1"/>
  <c r="J245" i="1" s="1" a="1"/>
  <c r="J245" i="1" s="1"/>
  <c r="I246" i="1"/>
  <c r="J246" i="1" a="1"/>
  <c r="J246" i="1" s="1"/>
  <c r="I247" i="1"/>
  <c r="J247" i="1" a="1"/>
  <c r="J247" i="1" s="1"/>
  <c r="I248" i="1"/>
  <c r="J248" i="1" a="1"/>
  <c r="J248" i="1" s="1"/>
  <c r="I249" i="1"/>
  <c r="J249" i="1" s="1" a="1"/>
  <c r="J249" i="1" s="1"/>
  <c r="I250" i="1"/>
  <c r="J250" i="1" a="1"/>
  <c r="J250" i="1" s="1"/>
  <c r="I251" i="1"/>
  <c r="J251" i="1" a="1"/>
  <c r="J251" i="1" s="1"/>
  <c r="I252" i="1"/>
  <c r="J252" i="1" a="1"/>
  <c r="J252" i="1"/>
  <c r="G52" i="15"/>
  <c r="H52" i="15" s="1"/>
  <c r="C794" i="17"/>
  <c r="C99" i="23"/>
  <c r="C101" i="23"/>
  <c r="C102" i="23"/>
  <c r="C103" i="23"/>
  <c r="C104" i="23"/>
  <c r="C105" i="23"/>
  <c r="C106" i="23"/>
  <c r="C107" i="23"/>
  <c r="C108" i="23"/>
  <c r="C100" i="23"/>
  <c r="C109" i="23"/>
  <c r="C110" i="23"/>
  <c r="C111" i="23"/>
  <c r="C112" i="23"/>
  <c r="B114" i="23"/>
  <c r="I236" i="1"/>
  <c r="J236" i="1" a="1"/>
  <c r="J236" i="1" s="1"/>
  <c r="I237" i="1"/>
  <c r="J237" i="1" a="1"/>
  <c r="J237" i="1" s="1"/>
  <c r="I238" i="1"/>
  <c r="J238" i="1" a="1"/>
  <c r="J238" i="1" s="1"/>
  <c r="I239" i="1"/>
  <c r="J239" i="1" a="1"/>
  <c r="J239" i="1" s="1"/>
  <c r="I240" i="1"/>
  <c r="J240" i="1" a="1"/>
  <c r="J240" i="1" s="1"/>
  <c r="I241" i="1"/>
  <c r="J241" i="1" a="1"/>
  <c r="J241" i="1" s="1"/>
  <c r="F51" i="15"/>
  <c r="G51" i="15"/>
  <c r="H51" i="15" s="1"/>
  <c r="G50" i="15"/>
  <c r="H50" i="15" s="1"/>
  <c r="F49" i="15"/>
  <c r="G49" i="15"/>
  <c r="H49" i="15" s="1"/>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J232" i="1" a="1"/>
  <c r="J232" i="1" s="1"/>
  <c r="J235" i="1" a="1"/>
  <c r="J235" i="1" s="1"/>
  <c r="I231" i="1"/>
  <c r="J231" i="1" s="1" a="1"/>
  <c r="J231" i="1" s="1"/>
  <c r="I232" i="1"/>
  <c r="I233" i="1"/>
  <c r="J233" i="1" s="1" a="1"/>
  <c r="J233" i="1" s="1"/>
  <c r="I234" i="1"/>
  <c r="J234" i="1" s="1" a="1"/>
  <c r="J234" i="1" s="1"/>
  <c r="I235" i="1"/>
  <c r="G48" i="15"/>
  <c r="C751"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G81" i="6"/>
  <c r="I70" i="6"/>
  <c r="I71" i="6"/>
  <c r="I72" i="6"/>
  <c r="I73" i="6"/>
  <c r="I74" i="6"/>
  <c r="I75" i="6"/>
  <c r="I76" i="6"/>
  <c r="I77" i="6"/>
  <c r="I78" i="6"/>
  <c r="I79" i="6"/>
  <c r="I80" i="6"/>
  <c r="G74" i="6"/>
  <c r="G75" i="6"/>
  <c r="G76" i="6"/>
  <c r="G77" i="6"/>
  <c r="G78" i="6"/>
  <c r="G70" i="6"/>
  <c r="G71" i="6"/>
  <c r="G72" i="6"/>
  <c r="G73" i="6"/>
  <c r="C750" i="17"/>
  <c r="K714" i="17"/>
  <c r="C733" i="17"/>
  <c r="G46" i="15" s="1"/>
  <c r="H46" i="15" s="1"/>
  <c r="I214" i="1"/>
  <c r="J214" i="1" s="1" a="1"/>
  <c r="J214" i="1" s="1"/>
  <c r="I215" i="1"/>
  <c r="J215" i="1" s="1" a="1"/>
  <c r="J215" i="1" s="1"/>
  <c r="I216" i="1"/>
  <c r="J216" i="1" s="1" a="1"/>
  <c r="J216" i="1" s="1"/>
  <c r="I217" i="1"/>
  <c r="J217" i="1" s="1" a="1"/>
  <c r="J217" i="1" s="1"/>
  <c r="B49" i="9" a="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G33" i="15"/>
  <c r="H33" i="15" s="1"/>
  <c r="G34" i="15"/>
  <c r="G35" i="15"/>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H10" i="15" s="1"/>
  <c r="F23" i="15"/>
  <c r="F25" i="15"/>
  <c r="F29" i="15"/>
  <c r="G28" i="15"/>
  <c r="G29" i="15"/>
  <c r="C204" i="17"/>
  <c r="G27" i="15"/>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G89" i="2" s="1"/>
  <c r="H209" i="1" s="1"/>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E96" i="2"/>
  <c r="F96" i="2"/>
  <c r="H96" i="2" s="1"/>
  <c r="I96" i="2" s="1"/>
  <c r="D96" i="2" s="1"/>
  <c r="E97" i="2"/>
  <c r="F97" i="2"/>
  <c r="H97" i="2" s="1"/>
  <c r="I97" i="2" s="1"/>
  <c r="D97" i="2" s="1"/>
  <c r="E98" i="2"/>
  <c r="F98" i="2"/>
  <c r="H98" i="2" s="1"/>
  <c r="I98" i="2" s="1"/>
  <c r="D98" i="2" s="1"/>
  <c r="E99" i="2"/>
  <c r="F99" i="2"/>
  <c r="E100" i="2"/>
  <c r="F100" i="2"/>
  <c r="E101" i="2"/>
  <c r="F101" i="2"/>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G111" i="2" s="1"/>
  <c r="H241" i="1" s="1"/>
  <c r="E112" i="2"/>
  <c r="F112" i="2"/>
  <c r="G112" i="2" s="1"/>
  <c r="H242" i="1" s="1"/>
  <c r="E113" i="2"/>
  <c r="F113" i="2"/>
  <c r="G113" i="2"/>
  <c r="H113" i="2"/>
  <c r="I113" i="2" s="1"/>
  <c r="D113" i="2" s="1"/>
  <c r="E114" i="2"/>
  <c r="F114" i="2"/>
  <c r="H114" i="2" s="1"/>
  <c r="I114" i="2" s="1"/>
  <c r="D114" i="2" s="1"/>
  <c r="E115" i="2"/>
  <c r="F115" i="2"/>
  <c r="H115" i="2" s="1"/>
  <c r="I115" i="2" s="1"/>
  <c r="D115" i="2" s="1"/>
  <c r="G115" i="2"/>
  <c r="H68" i="1" s="1"/>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G57" i="2" s="1"/>
  <c r="F57" i="2"/>
  <c r="H57" i="2" s="1"/>
  <c r="I57" i="2" s="1"/>
  <c r="D57" i="2" s="1"/>
  <c r="E58" i="2"/>
  <c r="F58" i="2"/>
  <c r="H58" i="2" s="1"/>
  <c r="I58" i="2" s="1"/>
  <c r="D58" i="2" s="1"/>
  <c r="F27" i="2"/>
  <c r="E27" i="2"/>
  <c r="E59" i="2"/>
  <c r="F59" i="2"/>
  <c r="H59" i="2" s="1"/>
  <c r="I59" i="2" s="1"/>
  <c r="D59" i="2" s="1"/>
  <c r="F28" i="2"/>
  <c r="H28" i="2"/>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c r="I47" i="2" s="1"/>
  <c r="D47" i="2" s="1"/>
  <c r="E48" i="2"/>
  <c r="F48" i="2"/>
  <c r="G48" i="2" s="1"/>
  <c r="H132" i="1" s="1"/>
  <c r="F20" i="2"/>
  <c r="H20" i="2" s="1"/>
  <c r="I20" i="2" s="1"/>
  <c r="D20" i="2" s="1"/>
  <c r="E20" i="2"/>
  <c r="E49" i="2"/>
  <c r="F49" i="2"/>
  <c r="H49" i="2" s="1"/>
  <c r="I49" i="2" s="1"/>
  <c r="D49" i="2" s="1"/>
  <c r="F21" i="2"/>
  <c r="H21" i="2" s="1"/>
  <c r="I21" i="2" s="1"/>
  <c r="D21" i="2" s="1"/>
  <c r="E21" i="2"/>
  <c r="E50" i="2"/>
  <c r="F50" i="2"/>
  <c r="G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G6" i="2" s="1"/>
  <c r="H88" i="1" s="1"/>
  <c r="F5" i="2"/>
  <c r="H5" i="2" s="1"/>
  <c r="I5" i="2" s="1"/>
  <c r="D5" i="2" s="1"/>
  <c r="E5" i="2"/>
  <c r="E34" i="2"/>
  <c r="F34" i="2"/>
  <c r="F18" i="2"/>
  <c r="H18" i="2" s="1"/>
  <c r="I18" i="2" s="1"/>
  <c r="D18" i="2" s="1"/>
  <c r="E18" i="2"/>
  <c r="E35" i="2"/>
  <c r="G35" i="2" s="1"/>
  <c r="H111" i="1" s="1"/>
  <c r="F35" i="2"/>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G43" i="2" s="1"/>
  <c r="H125" i="1"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G17" i="2" s="1"/>
  <c r="H76" i="1" s="1"/>
  <c r="F29" i="2"/>
  <c r="H29" i="2" s="1"/>
  <c r="I29" i="2" s="1"/>
  <c r="D29" i="2" s="1"/>
  <c r="E29" i="2"/>
  <c r="F30" i="2"/>
  <c r="H30" i="2" s="1"/>
  <c r="I30" i="2" s="1"/>
  <c r="D30" i="2" s="1"/>
  <c r="F31" i="2"/>
  <c r="H31" i="2" s="1"/>
  <c r="I31" i="2" s="1"/>
  <c r="D31" i="2" s="1"/>
  <c r="E31" i="2"/>
  <c r="F32" i="2"/>
  <c r="H32" i="2" s="1"/>
  <c r="I32" i="2" s="1"/>
  <c r="D32" i="2" s="1"/>
  <c r="F14" i="2"/>
  <c r="E14" i="2"/>
  <c r="E30" i="2"/>
  <c r="E32" i="2"/>
  <c r="N4" i="17"/>
  <c r="F12" i="2"/>
  <c r="E12" i="2"/>
  <c r="F11" i="2"/>
  <c r="H11" i="2" s="1"/>
  <c r="I11" i="2" s="1"/>
  <c r="E11" i="2"/>
  <c r="F9" i="2"/>
  <c r="H9" i="2" s="1"/>
  <c r="I9" i="2" s="1"/>
  <c r="D9" i="2" s="1"/>
  <c r="E9" i="2"/>
  <c r="E8" i="2"/>
  <c r="G8" i="2" s="1"/>
  <c r="F8" i="2"/>
  <c r="H8" i="2" s="1"/>
  <c r="I8" i="2" s="1"/>
  <c r="D8" i="2" s="1"/>
  <c r="E10" i="2"/>
  <c r="F10" i="2"/>
  <c r="H10" i="2" s="1"/>
  <c r="I10" i="2" s="1"/>
  <c r="D10" i="2" s="1"/>
  <c r="E4" i="2"/>
  <c r="F4" i="2"/>
  <c r="H4" i="2"/>
  <c r="I4" i="2" s="1"/>
  <c r="D4" i="2" s="1"/>
  <c r="N3" i="7"/>
  <c r="N5" i="7"/>
  <c r="E6" i="11"/>
  <c r="D6" i="11"/>
  <c r="F3" i="2"/>
  <c r="J15" i="14"/>
  <c r="H95" i="2"/>
  <c r="I95" i="2" s="1"/>
  <c r="D95" i="2" s="1"/>
  <c r="B2" i="2"/>
  <c r="H127" i="6"/>
  <c r="H49" i="1"/>
  <c r="H65" i="1"/>
  <c r="H50" i="1"/>
  <c r="H28" i="1"/>
  <c r="H59" i="1"/>
  <c r="H4" i="1"/>
  <c r="H27" i="1"/>
  <c r="H66" i="1"/>
  <c r="H46" i="1"/>
  <c r="H63" i="1"/>
  <c r="H9" i="1"/>
  <c r="H30" i="1"/>
  <c r="H58" i="1"/>
  <c r="H42" i="1"/>
  <c r="H44" i="1"/>
  <c r="H37" i="1"/>
  <c r="H35" i="1"/>
  <c r="H62" i="1"/>
  <c r="H33" i="1"/>
  <c r="H69" i="1"/>
  <c r="H25" i="1"/>
  <c r="H57" i="1"/>
  <c r="H45" i="1"/>
  <c r="H7" i="1"/>
  <c r="H14" i="1"/>
  <c r="H6" i="1"/>
  <c r="H55" i="1"/>
  <c r="H43" i="1"/>
  <c r="H13" i="1"/>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G4" i="2"/>
  <c r="P56" i="7"/>
  <c r="E76" i="7"/>
  <c r="G46" i="2"/>
  <c r="H128" i="1" s="1"/>
  <c r="H12" i="2"/>
  <c r="I12" i="2" s="1"/>
  <c r="D12" i="2" s="1"/>
  <c r="H35" i="2"/>
  <c r="I35" i="2" s="1"/>
  <c r="D35" i="2" s="1"/>
  <c r="H14" i="2"/>
  <c r="I14" i="2" s="1"/>
  <c r="D14" i="2" s="1"/>
  <c r="G59" i="2"/>
  <c r="H157" i="1" s="1"/>
  <c r="G94" i="2"/>
  <c r="H214" i="1" s="1"/>
  <c r="G80" i="2"/>
  <c r="H197" i="1" s="1"/>
  <c r="H52" i="2"/>
  <c r="I52" i="2" s="1"/>
  <c r="D52" i="2" s="1"/>
  <c r="H101" i="2"/>
  <c r="I101" i="2" s="1"/>
  <c r="D101" i="2" s="1"/>
  <c r="H99" i="2"/>
  <c r="I99" i="2" s="1"/>
  <c r="D99" i="2" s="1"/>
  <c r="C2" i="2"/>
  <c r="G98" i="2" l="1"/>
  <c r="H219" i="1" s="1"/>
  <c r="G34" i="2"/>
  <c r="H110" i="1" s="1"/>
  <c r="G85" i="2"/>
  <c r="H204" i="1" s="1"/>
  <c r="G71" i="2"/>
  <c r="H183" i="1" s="1"/>
  <c r="G28" i="2"/>
  <c r="H100" i="1" s="1"/>
  <c r="G75" i="2"/>
  <c r="H190" i="1" s="1"/>
  <c r="H88" i="2"/>
  <c r="I88" i="2" s="1"/>
  <c r="D88" i="2" s="1"/>
  <c r="G24" i="2"/>
  <c r="G69" i="2"/>
  <c r="H187" i="1"/>
  <c r="H179" i="1"/>
  <c r="H193" i="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G83" i="2"/>
  <c r="H202" i="1" s="1"/>
  <c r="H64" i="1"/>
  <c r="G55" i="2"/>
  <c r="H147" i="1" s="1"/>
  <c r="H21" i="1"/>
  <c r="H41" i="1"/>
  <c r="H23" i="1"/>
  <c r="H22" i="1"/>
  <c r="H39" i="1"/>
  <c r="G66" i="2"/>
  <c r="H176" i="1" s="1"/>
  <c r="H72" i="1"/>
  <c r="H86" i="1"/>
  <c r="H251" i="1"/>
  <c r="H249" i="1"/>
  <c r="H245" i="1"/>
  <c r="H152" i="1"/>
  <c r="H156" i="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H123" i="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170" i="1"/>
  <c r="H146" i="1"/>
  <c r="H50" i="2"/>
  <c r="I50" i="2" s="1"/>
  <c r="D50" i="2" s="1"/>
  <c r="H48" i="2"/>
  <c r="I48" i="2" s="1"/>
  <c r="D48" i="2" s="1"/>
  <c r="H109" i="2"/>
  <c r="I109" i="2" s="1"/>
  <c r="D109" i="2" s="1"/>
  <c r="G105" i="2"/>
  <c r="G100" i="2"/>
  <c r="H221" i="1" s="1"/>
  <c r="G95" i="2"/>
  <c r="G39" i="2"/>
  <c r="H161" i="1" s="1"/>
  <c r="G62" i="2"/>
  <c r="H166" i="1" s="1"/>
  <c r="C93" i="23"/>
  <c r="H159" i="1"/>
  <c r="G63" i="2"/>
  <c r="H169" i="1" s="1"/>
  <c r="C22" i="23"/>
  <c r="H172" i="1"/>
  <c r="G38" i="2"/>
  <c r="H116" i="1" s="1"/>
  <c r="G47" i="2"/>
  <c r="H131" i="1" s="1"/>
  <c r="G60" i="2"/>
  <c r="H164" i="1" s="1"/>
  <c r="G103" i="2"/>
  <c r="H225" i="1" s="1"/>
  <c r="G93" i="2"/>
  <c r="H213" i="1" s="1"/>
  <c r="H85" i="1"/>
  <c r="H129" i="1"/>
  <c r="G41" i="2"/>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32"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32" i="20" s="1"/>
  <c r="V40" i="9" a="1"/>
  <c r="V40" i="9" s="1"/>
  <c r="AD40" i="9" a="1"/>
  <c r="AD40" i="9" s="1"/>
  <c r="U40" i="9" a="1"/>
  <c r="U40" i="9" s="1"/>
  <c r="H40" i="15"/>
  <c r="H23" i="15"/>
  <c r="H29" i="15"/>
  <c r="H35" i="15"/>
  <c r="H25" i="15"/>
  <c r="H27" i="15"/>
  <c r="F53" i="15"/>
  <c r="H30" i="15"/>
  <c r="H47" i="15"/>
  <c r="C6" i="8"/>
  <c r="H34" i="15"/>
  <c r="I127" i="6"/>
  <c r="C92" i="23"/>
  <c r="C69" i="23"/>
  <c r="C46" i="23"/>
  <c r="C48" i="23" s="1"/>
  <c r="C21" i="23"/>
  <c r="H140" i="1"/>
  <c r="H137" i="1"/>
  <c r="H105" i="1"/>
  <c r="G12" i="2"/>
  <c r="H168" i="1" s="1"/>
  <c r="G7" i="2"/>
  <c r="H81" i="1" s="1"/>
  <c r="G58" i="2"/>
  <c r="H154" i="1" s="1"/>
  <c r="G74" i="2"/>
  <c r="H191" i="1" s="1"/>
  <c r="G102" i="2"/>
  <c r="H223" i="1" s="1"/>
  <c r="G14" i="2"/>
  <c r="H97" i="1" s="1"/>
  <c r="G73" i="2"/>
  <c r="H188" i="1" s="1"/>
  <c r="G77" i="2"/>
  <c r="H27" i="2"/>
  <c r="I27" i="2" s="1"/>
  <c r="D27" i="2" s="1"/>
  <c r="H109" i="1"/>
  <c r="G84" i="2"/>
  <c r="H227" i="1"/>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4" i="17"/>
  <c r="D821" i="17" s="1"/>
  <c r="H120" i="1"/>
  <c r="H122" i="1"/>
  <c r="H104" i="1"/>
  <c r="H143" i="1"/>
  <c r="H118" i="1"/>
  <c r="G30" i="2"/>
  <c r="G51" i="2"/>
  <c r="H138" i="1" s="1"/>
  <c r="G15" i="2"/>
  <c r="G67" i="2"/>
  <c r="H167" i="1"/>
  <c r="G36" i="2"/>
  <c r="H127" i="1"/>
  <c r="H61" i="2"/>
  <c r="I61" i="2" s="1"/>
  <c r="D61" i="2" s="1"/>
  <c r="H160" i="1"/>
  <c r="H100" i="2"/>
  <c r="I100" i="2" s="1"/>
  <c r="D100" i="2" s="1"/>
  <c r="G20" i="2"/>
  <c r="H68" i="2"/>
  <c r="I68" i="2" s="1"/>
  <c r="D68" i="2" s="1"/>
  <c r="G16" i="2"/>
  <c r="H104" i="2"/>
  <c r="H102" i="2"/>
  <c r="I102" i="2" s="1"/>
  <c r="D102" i="2" s="1"/>
  <c r="H86" i="2"/>
  <c r="I86" i="2" s="1"/>
  <c r="D86" i="2" s="1"/>
  <c r="H198" i="1"/>
  <c r="G79" i="2"/>
  <c r="H196" i="1" s="1"/>
  <c r="H75" i="1"/>
  <c r="H153" i="1"/>
  <c r="H107" i="1"/>
  <c r="G5" i="2"/>
  <c r="H139" i="1" s="1"/>
  <c r="I253" i="1" a="1"/>
  <c r="I253"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7" i="20" s="1"/>
  <c r="A38" i="20"/>
  <c r="A15"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8" i="20" s="1"/>
  <c r="A23" i="20"/>
  <c r="A21" i="20"/>
  <c r="M103" i="9"/>
  <c r="AC10" i="9" s="1" a="1"/>
  <c r="AC10" i="9" s="1"/>
  <c r="P103" i="9"/>
  <c r="AF10" i="9" s="1"/>
  <c r="B25"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9" i="20" s="1"/>
  <c r="L79" i="9" a="1"/>
  <c r="L79" i="9" s="1"/>
  <c r="P72" i="9"/>
  <c r="J118" i="9"/>
  <c r="Z25" i="9" s="1" a="1"/>
  <c r="Z25" i="9" s="1"/>
  <c r="AD6" i="9" a="1"/>
  <c r="AD6" i="9" s="1"/>
  <c r="H121" i="9"/>
  <c r="X28" i="9" s="1" a="1"/>
  <c r="X28" i="9" s="1"/>
  <c r="P100" i="9"/>
  <c r="AF7" i="9" s="1"/>
  <c r="B12"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1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4"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3"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29"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29"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4"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0" i="20" s="1"/>
  <c r="J104" i="9"/>
  <c r="Z11" i="9" s="1" a="1"/>
  <c r="Z11" i="9" s="1"/>
  <c r="AD31" i="9" a="1"/>
  <c r="AD31" i="9" s="1"/>
  <c r="K121" i="9"/>
  <c r="AA28" i="9" s="1" a="1"/>
  <c r="AA28" i="9" s="1"/>
  <c r="B3" i="9"/>
  <c r="B10" i="9"/>
  <c r="P62" i="9"/>
  <c r="C101" i="9"/>
  <c r="S8" i="9" s="1" a="1"/>
  <c r="S8" i="9" s="1"/>
  <c r="C103" i="9"/>
  <c r="S10" i="9" s="1" a="1"/>
  <c r="S10" i="9" s="1"/>
  <c r="P104" i="9"/>
  <c r="AF11" i="9" s="1"/>
  <c r="B13" i="20" s="1"/>
  <c r="P109" i="9"/>
  <c r="AF16" i="9" s="1"/>
  <c r="B15"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4" i="20" s="1"/>
  <c r="H115" i="9"/>
  <c r="X22" i="9" s="1" a="1"/>
  <c r="X22" i="9" s="1"/>
  <c r="AD14" i="9" a="1"/>
  <c r="AD14" i="9" s="1"/>
  <c r="P126" i="9"/>
  <c r="AF33" i="9" s="1"/>
  <c r="B23"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31"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0" i="20" s="1"/>
  <c r="L114" i="9"/>
  <c r="AB21" i="9" s="1" a="1"/>
  <c r="AB21" i="9" s="1"/>
  <c r="K115" i="9"/>
  <c r="AA22" i="9" s="1" a="1"/>
  <c r="AA22" i="9" s="1"/>
  <c r="P122" i="9"/>
  <c r="AF29" i="9" s="1"/>
  <c r="B26"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7"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11"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1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1"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28"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4"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2"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9" i="20"/>
  <c r="A11" i="20"/>
  <c r="A8" i="20"/>
  <c r="A25" i="20"/>
  <c r="A31" i="20"/>
  <c r="A19" i="20"/>
  <c r="A18" i="20"/>
  <c r="A7" i="20"/>
  <c r="A17" i="20"/>
  <c r="A20" i="20"/>
  <c r="R5" i="9"/>
  <c r="A22" i="20"/>
  <c r="A27"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6" i="20"/>
  <c r="M120" i="9"/>
  <c r="AC27" i="9" s="1" a="1"/>
  <c r="AC27" i="9" s="1"/>
  <c r="F126" i="9"/>
  <c r="V33" i="9" s="1" a="1"/>
  <c r="V33" i="9" s="1"/>
  <c r="G120" i="9"/>
  <c r="W27" i="9" s="1" a="1"/>
  <c r="W27" i="9" s="1"/>
  <c r="A28"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12" i="20"/>
  <c r="A3" i="20"/>
  <c r="G108" i="9"/>
  <c r="W15" i="9" s="1" a="1"/>
  <c r="W15" i="9" s="1"/>
  <c r="K51" i="9" a="1"/>
  <c r="K51" i="9" s="1"/>
  <c r="H50" i="9" a="1"/>
  <c r="H50" i="9" s="1"/>
  <c r="N54" i="9" a="1"/>
  <c r="N54" i="9" s="1"/>
  <c r="I51" i="9" a="1"/>
  <c r="I51" i="9" s="1"/>
  <c r="A16" i="20"/>
  <c r="A5" i="20"/>
  <c r="A37" i="20"/>
  <c r="N64" i="9" a="1"/>
  <c r="N64" i="9" s="1"/>
  <c r="P113" i="9"/>
  <c r="AF20" i="9" s="1"/>
  <c r="B37" i="20" s="1"/>
  <c r="L54" i="9" a="1"/>
  <c r="L54" i="9" s="1"/>
  <c r="G75" i="9" a="1"/>
  <c r="G75" i="9" s="1"/>
  <c r="A30" i="20"/>
  <c r="J54" i="9" a="1"/>
  <c r="J54" i="9" s="1"/>
  <c r="A14" i="20"/>
  <c r="A36" i="20"/>
  <c r="I54" i="9" a="1"/>
  <c r="I54" i="9" s="1"/>
  <c r="A40" i="20"/>
  <c r="A26" i="20"/>
  <c r="A4"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X13" i="9" a="1"/>
  <c r="X13" i="9" s="1"/>
  <c r="G51" i="9" a="1"/>
  <c r="G51" i="9" s="1"/>
  <c r="J253" i="1" a="1"/>
  <c r="J253" i="1" s="1"/>
  <c r="N78" i="9" a="1"/>
  <c r="N78" i="9" s="1"/>
  <c r="K253" i="1"/>
  <c r="G54" i="9" a="1"/>
  <c r="G54" i="9" s="1"/>
  <c r="L59" i="9" a="1"/>
  <c r="L59" i="9" s="1"/>
  <c r="H99" i="9"/>
  <c r="G131" i="9"/>
  <c r="K6" i="6"/>
  <c r="C4" i="8" s="1"/>
  <c r="G127" i="6"/>
  <c r="C7" i="8"/>
  <c r="C16" i="10"/>
  <c r="C821" i="17"/>
  <c r="K4" i="17" s="1"/>
  <c r="E42" i="7"/>
  <c r="H10" i="7"/>
  <c r="H42" i="7" s="1"/>
  <c r="E44" i="18"/>
  <c r="I37" i="12"/>
  <c r="G42" i="7"/>
  <c r="J77" i="14"/>
  <c r="C12" i="8" s="1"/>
  <c r="C43" i="12"/>
  <c r="D44" i="18"/>
  <c r="D76" i="14"/>
  <c r="C10" i="8" s="1"/>
  <c r="G53" i="15"/>
  <c r="D2" i="2"/>
  <c r="H180" i="1" l="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32" i="20" s="1"/>
  <c r="D14" i="19" a="1"/>
  <c r="D14" i="19" s="1"/>
  <c r="E14" i="19" s="1"/>
  <c r="AE39" i="9"/>
  <c r="AG39" i="9" s="1"/>
  <c r="C31" i="20" s="1"/>
  <c r="P80" i="9"/>
  <c r="H53" i="15"/>
  <c r="AF36" i="9"/>
  <c r="B8"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4" i="20" s="1"/>
  <c r="O132" i="9"/>
  <c r="Q132" i="9" s="1"/>
  <c r="O53" i="9"/>
  <c r="Q53" i="9" s="1"/>
  <c r="O116" i="9"/>
  <c r="Q116" i="9" s="1"/>
  <c r="A2" i="20"/>
  <c r="O110" i="9"/>
  <c r="Q110" i="9" s="1"/>
  <c r="E14" i="9"/>
  <c r="O102" i="9"/>
  <c r="AE9" i="9"/>
  <c r="AG9" i="9" s="1"/>
  <c r="C30" i="20" s="1"/>
  <c r="O109" i="9"/>
  <c r="Q109" i="9" s="1"/>
  <c r="O124" i="9"/>
  <c r="Q124" i="9" s="1"/>
  <c r="AE14" i="9"/>
  <c r="AG14" i="9" s="1"/>
  <c r="C14" i="20" s="1"/>
  <c r="AE17" i="9"/>
  <c r="AG17" i="9" s="1"/>
  <c r="C28" i="20" s="1"/>
  <c r="O82" i="9"/>
  <c r="Q82" i="9" s="1"/>
  <c r="O63" i="9"/>
  <c r="Q63" i="9" s="1"/>
  <c r="O52" i="9"/>
  <c r="Q52" i="9" s="1"/>
  <c r="O68" i="9"/>
  <c r="Q68" i="9" s="1"/>
  <c r="O77" i="9"/>
  <c r="Q77" i="9" s="1"/>
  <c r="AE28" i="9"/>
  <c r="AG28" i="9" s="1"/>
  <c r="C27" i="20" s="1"/>
  <c r="O58" i="9"/>
  <c r="Q58" i="9" s="1"/>
  <c r="O56" i="9"/>
  <c r="Q56" i="9" s="1"/>
  <c r="O76" i="9"/>
  <c r="Q76" i="9" s="1"/>
  <c r="O71" i="9"/>
  <c r="Q71" i="9" s="1"/>
  <c r="AE11" i="9"/>
  <c r="AG11" i="9" s="1"/>
  <c r="C13" i="20" s="1"/>
  <c r="O75" i="9"/>
  <c r="Q75" i="9" s="1"/>
  <c r="O66" i="9"/>
  <c r="Q66" i="9" s="1"/>
  <c r="AE8" i="9"/>
  <c r="AG8" i="9" s="1"/>
  <c r="C21"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5" i="20" s="1"/>
  <c r="O83" i="9"/>
  <c r="Q83" i="9" s="1"/>
  <c r="O69" i="9"/>
  <c r="Q69" i="9" s="1"/>
  <c r="O62" i="9"/>
  <c r="Q62" i="9" s="1"/>
  <c r="AE12" i="9"/>
  <c r="AG12" i="9" s="1"/>
  <c r="C22" i="20" s="1"/>
  <c r="O60" i="9"/>
  <c r="Q60" i="9" s="1"/>
  <c r="Q102" i="9"/>
  <c r="O55" i="9"/>
  <c r="Q55" i="9" s="1"/>
  <c r="AE37" i="9"/>
  <c r="AG37" i="9" s="1"/>
  <c r="C20" i="20" s="1"/>
  <c r="O119" i="9"/>
  <c r="Q119" i="9" s="1"/>
  <c r="O121" i="9"/>
  <c r="Q121" i="9" s="1"/>
  <c r="O73" i="9"/>
  <c r="Q73" i="9" s="1"/>
  <c r="O113" i="9"/>
  <c r="O104" i="9"/>
  <c r="Q104" i="9" s="1"/>
  <c r="O61" i="9"/>
  <c r="Q61" i="9" s="1"/>
  <c r="O81" i="9"/>
  <c r="Q81" i="9" s="1"/>
  <c r="O117" i="9"/>
  <c r="Q117" i="9" s="1"/>
  <c r="O67" i="9"/>
  <c r="Q67" i="9" s="1"/>
  <c r="AE22" i="9"/>
  <c r="AG22" i="9" s="1"/>
  <c r="C24"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3" i="20" s="1"/>
  <c r="O106" i="9"/>
  <c r="Q106" i="9" s="1"/>
  <c r="C10" i="9"/>
  <c r="E10" i="9"/>
  <c r="AE31" i="9"/>
  <c r="AG31" i="9" s="1"/>
  <c r="C36" i="20" s="1"/>
  <c r="O120" i="9"/>
  <c r="Q120" i="9" s="1"/>
  <c r="O115" i="9"/>
  <c r="Q115" i="9" s="1"/>
  <c r="AE29" i="9"/>
  <c r="AG29" i="9" s="1"/>
  <c r="C26" i="20" s="1"/>
  <c r="AB20" i="9" a="1"/>
  <c r="AB20" i="9" s="1"/>
  <c r="AE20" i="9" s="1"/>
  <c r="AG20" i="9" s="1"/>
  <c r="C37" i="20" s="1"/>
  <c r="E3" i="9"/>
  <c r="C3" i="9"/>
  <c r="D8" i="19" a="1"/>
  <c r="D8" i="19" s="1"/>
  <c r="O65" i="9"/>
  <c r="Q65" i="9" s="1"/>
  <c r="O128" i="9"/>
  <c r="Q128" i="9" s="1"/>
  <c r="AE7" i="9"/>
  <c r="AG7" i="9" s="1"/>
  <c r="C12"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29" i="20" s="1"/>
  <c r="E17" i="9"/>
  <c r="C17" i="9"/>
  <c r="E7" i="9" a="1"/>
  <c r="E7" i="9" s="1"/>
  <c r="C7" i="9"/>
  <c r="E9" i="9"/>
  <c r="C9" i="9"/>
  <c r="O123" i="9"/>
  <c r="Q123" i="9" s="1"/>
  <c r="AE13" i="9"/>
  <c r="AG13" i="9" s="1"/>
  <c r="C10" i="20" s="1"/>
  <c r="C15" i="9"/>
  <c r="E15" i="9"/>
  <c r="AE30" i="9"/>
  <c r="AG30" i="9" s="1"/>
  <c r="C18" i="20" s="1"/>
  <c r="AE10" i="9"/>
  <c r="AG10" i="9" s="1"/>
  <c r="C25" i="20" s="1"/>
  <c r="AE27" i="9"/>
  <c r="AG27" i="9" s="1"/>
  <c r="C9" i="20" s="1"/>
  <c r="AE21" i="9"/>
  <c r="AG21" i="9" s="1"/>
  <c r="C17" i="20" s="1"/>
  <c r="O51" i="9"/>
  <c r="Q51" i="9" s="1"/>
  <c r="AE36" i="9"/>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11" i="20" s="1"/>
  <c r="Q113" i="9"/>
  <c r="AE15" i="9"/>
  <c r="AG15" i="9" s="1"/>
  <c r="C6" i="20" s="1"/>
  <c r="O80" i="9"/>
  <c r="W38" i="9" a="1"/>
  <c r="W38" i="9" s="1"/>
  <c r="AE38" i="9" s="1"/>
  <c r="AG38" i="9" s="1"/>
  <c r="C3" i="20" s="1"/>
  <c r="F44" i="18"/>
  <c r="C11" i="8"/>
  <c r="C14" i="8" s="1"/>
  <c r="C4" i="10" s="1"/>
  <c r="K5" i="17"/>
  <c r="K6" i="17" s="1"/>
  <c r="F821" i="17"/>
  <c r="Q80" i="9" l="1"/>
  <c r="AG36" i="9"/>
  <c r="C8"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<sst xmlns="http://schemas.openxmlformats.org/spreadsheetml/2006/main" count="3840" uniqueCount="756">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</sst>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cellXfs>
  <cellStyles count="2">
    <cellStyle name="Comma" xfId="1" builtinId="3"/>
    <cellStyle name="Normal" xfId="0" builtinId="0"/>
  </cellStyles>
  <dxfs count="194">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325193</xdr:colOff>
      <xdr:row>253</xdr:row>
      <xdr:rowOff>130056</xdr:rowOff>
    </xdr:from>
    <xdr:to>
      <xdr:col>1</xdr:col>
      <xdr:colOff>1064242</xdr:colOff>
      <xdr:row>262</xdr:row>
      <xdr:rowOff>3296</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325193" y="46975252"/>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0763892" createdVersion="8" refreshedVersion="8" minRefreshableVersion="3" recordCount="819" xr:uid="{B5BDFB73-D93A-4A7A-8149-666BC190B09B}">
  <cacheSource type="worksheet">
    <worksheetSource name="Table14"/>
  </cacheSource>
  <cacheFields count="7">
    <cacheField name="Date" numFmtId="14">
      <sharedItems containsNonDate="0" containsDate="1" containsString="0" containsBlank="1" minDate="2025-12-23T00:00:00" maxDate="2026-05-09T00:00:00"/>
    </cacheField>
    <cacheField name="Party" numFmtId="0">
      <sharedItems containsBlank="1" count="106">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180555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83286.3935625458"/>
    </cacheField>
    <cacheField name="Rate" numFmtId="0">
      <sharedItems containsString="0" containsBlank="1" containsNumber="1" minValue="10" maxValue="12"/>
    </cacheField>
    <cacheField name="Total" numFmtId="164">
      <sharedItems containsSemiMixedTypes="0" containsString="0" containsNumber="1" minValue="0" maxValue="8513663.130943672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037039"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07T00:00:00" count="94">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384262"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3">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8">
        <s v="Aqib"/>
        <s v="Malik zaheer"/>
        <s v="aslam Multani"/>
        <s v="Rafaqat"/>
        <s v="Kaleem ullah"/>
        <s v="Ishaq"/>
        <s v="Aurangzeb"/>
        <s v="Irfan Punjabi"/>
        <s v="Amjad wood"/>
        <s v="Rana Babar"/>
        <m/>
        <s v="Zaheer shah wood"/>
        <s v="babar wood"/>
        <s v="Haroon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2731478" createdVersion="8" refreshedVersion="8" minRefreshableVersion="3" recordCount="48" xr:uid="{376A650C-1F79-4049-BC45-E34989F046B2}">
  <cacheSource type="worksheet">
    <worksheetSource name="Table2"/>
  </cacheSource>
  <cacheFields count="8">
    <cacheField name="Date" numFmtId="14">
      <sharedItems containsNonDate="0" containsDate="1" containsString="0" containsBlank="1" minDate="2026-02-20T00:00:00" maxDate="2026-05-09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1.031113078701" createdVersion="8" refreshedVersion="8" minRefreshableVersion="3" recordCount="251" xr:uid="{46CBB50D-3613-4E5B-8212-DD0313DCD05A}">
  <cacheSource type="worksheet">
    <worksheetSource name="Table1"/>
  </cacheSource>
  <cacheFields count="14">
    <cacheField name="Date" numFmtId="0">
      <sharedItems containsSemiMixedTypes="0" containsNonDate="0" containsDate="1" containsString="0" minDate="2026-02-02T00:00:00" maxDate="2026-05-09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u="1"/>
        <s v="zaid ejaz" u="1"/>
        <s v="Reject" u="1"/>
        <s v="YING" u="1"/>
        <s v="Meow" u="1"/>
        <s v="Umer Sb" u="1"/>
        <s v="-" u="1"/>
        <s v="Sajjad" u="1"/>
        <s v="Haji Ejaz" u="1"/>
      </sharedItems>
    </cacheField>
    <cacheField name="Bill Number" numFmtId="0">
      <sharedItems containsMixedTypes="1" containsNumber="1" containsInteger="1" minValue="1509" maxValue="1690"/>
    </cacheField>
    <cacheField name="Quality" numFmtId="0">
      <sharedItems/>
    </cacheField>
    <cacheField name="Shipment Number" numFmtId="164">
      <sharedItems containsBlank="1" containsMixedTypes="1" containsNumber="1" containsInteger="1" minValue="1558" maxValue="17000" count="541">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4"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9">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m/>
    <x v="53"/>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83286.3935625458"/>
    <n v="10"/>
    <n v="8513663.1309436727"/>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6"/>
    <x v="1"/>
    <n v="245"/>
    <n v="920"/>
    <m/>
    <n v="225400"/>
    <m/>
    <n v="225400"/>
  </r>
  <r>
    <x v="28"/>
    <x v="1"/>
    <x v="1"/>
    <n v="239"/>
    <n v="1060"/>
    <n v="60900"/>
    <n v="253340"/>
    <m/>
    <n v="253340"/>
  </r>
  <r>
    <x v="28"/>
    <x v="1"/>
    <x v="1"/>
    <n v="46"/>
    <n v="580"/>
    <m/>
    <n v="26680"/>
    <m/>
    <n v="26680"/>
  </r>
  <r>
    <x v="29"/>
    <x v="7"/>
    <x v="1"/>
    <n v="276"/>
    <n v="1030"/>
    <m/>
    <n v="284280"/>
    <m/>
    <n v="284280"/>
  </r>
  <r>
    <x v="29"/>
    <x v="1"/>
    <x v="1"/>
    <n v="290"/>
    <n v="1060"/>
    <m/>
    <n v="307400"/>
    <m/>
    <n v="307400"/>
  </r>
  <r>
    <x v="29"/>
    <x v="14"/>
    <x v="1"/>
    <n v="262"/>
    <n v="1050"/>
    <n v="24000"/>
    <n v="275100"/>
    <m/>
    <n v="275100"/>
  </r>
  <r>
    <x v="29"/>
    <x v="14"/>
    <x v="1"/>
    <n v="237"/>
    <n v="600"/>
    <n v="25000"/>
    <n v="142200"/>
    <m/>
    <n v="142200"/>
  </r>
  <r>
    <x v="29"/>
    <x v="1"/>
    <x v="1"/>
    <n v="182"/>
    <n v="1060"/>
    <m/>
    <n v="192920"/>
    <m/>
    <n v="192920"/>
  </r>
  <r>
    <x v="29"/>
    <x v="1"/>
    <x v="1"/>
    <n v="35"/>
    <n v="600"/>
    <m/>
    <n v="21000"/>
    <m/>
    <n v="21000"/>
  </r>
  <r>
    <x v="30"/>
    <x v="14"/>
    <x v="1"/>
    <n v="261"/>
    <n v="1050"/>
    <m/>
    <n v="274050"/>
    <m/>
    <n v="274050"/>
  </r>
  <r>
    <x v="30"/>
    <x v="6"/>
    <x v="1"/>
    <n v="276"/>
    <n v="980"/>
    <m/>
    <n v="270480"/>
    <m/>
    <n v="270480"/>
  </r>
  <r>
    <x v="30"/>
    <x v="14"/>
    <x v="1"/>
    <n v="269"/>
    <n v="1050"/>
    <n v="24500"/>
    <n v="282450"/>
    <m/>
    <n v="282450"/>
  </r>
  <r>
    <x v="31"/>
    <x v="14"/>
    <x v="1"/>
    <n v="284"/>
    <n v="600"/>
    <n v="25000"/>
    <n v="170400"/>
    <m/>
    <n v="170400"/>
  </r>
  <r>
    <x v="31"/>
    <x v="7"/>
    <x v="1"/>
    <n v="188"/>
    <n v="1030"/>
    <m/>
    <n v="193640"/>
    <m/>
    <n v="1936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635149966841624"/>
    <n v="6027.7980980248722"/>
    <n v="60277.980980248722"/>
    <m/>
  </r>
  <r>
    <d v="2026-05-06T00:00:00"/>
    <x v="35"/>
    <n v="1679"/>
    <s v="Chamki"/>
    <x v="107"/>
    <n v="19276"/>
    <n v="20731"/>
    <n v="1.6566875236145364"/>
    <n v="18956.656912948063"/>
    <n v="189566.56912948063"/>
    <m/>
  </r>
  <r>
    <d v="2026-05-07T00:00:00"/>
    <x v="0"/>
    <n v="1680"/>
    <s v="Chamki"/>
    <x v="108"/>
    <n v="61241"/>
    <n v="21509"/>
    <n v="1.2664142327970467"/>
    <m/>
    <m/>
    <m/>
  </r>
  <r>
    <d v="2026-05-07T00:00:00"/>
    <x v="0"/>
    <n v="1681"/>
    <s v="Chamki"/>
    <x v="106"/>
    <n v="107006"/>
    <n v="6364"/>
    <n v="2.0635149966841624"/>
    <m/>
    <m/>
    <m/>
  </r>
  <r>
    <d v="2026-05-07T00:00:00"/>
    <x v="0"/>
    <n v="1682"/>
    <s v="Chamki"/>
    <x v="108"/>
    <n v="61241"/>
    <n v="44616"/>
    <n v="1.2664142327970467"/>
    <m/>
    <m/>
    <m/>
  </r>
  <r>
    <d v="2026-05-07T00:00:00"/>
    <x v="0"/>
    <n v="1683"/>
    <s v="Chamki"/>
    <x v="109"/>
    <n v="9943"/>
    <n v="2330"/>
    <n v="1.4131831615776633"/>
    <m/>
    <m/>
    <m/>
  </r>
  <r>
    <d v="2026-05-07T00:00:00"/>
    <x v="0"/>
    <n v="1684"/>
    <s v="Chamki"/>
    <x v="106"/>
    <n v="107006"/>
    <n v="2290"/>
    <n v="2.0635149966841624"/>
    <m/>
    <m/>
    <m/>
  </r>
  <r>
    <d v="2026-05-08T00:00:00"/>
    <x v="0"/>
    <n v="1685"/>
    <s v="Chamki"/>
    <x v="106"/>
    <n v="107006"/>
    <n v="45049"/>
    <n v="2.0635149966841624"/>
    <m/>
    <m/>
    <m/>
  </r>
  <r>
    <d v="2026-05-08T00:00:00"/>
    <x v="0"/>
    <n v="1686"/>
    <s v="Chamki"/>
    <x v="106"/>
    <n v="107006"/>
    <n v="17678"/>
    <n v="2.0635149966841624"/>
    <m/>
    <m/>
    <m/>
  </r>
  <r>
    <d v="2026-05-08T00:00:00"/>
    <x v="0"/>
    <n v="1687"/>
    <s v="Chamki"/>
    <x v="109"/>
    <n v="9943"/>
    <n v="2530"/>
    <n v="1.4131831615776633"/>
    <m/>
    <m/>
    <m/>
  </r>
  <r>
    <d v="2026-05-08T00:00:00"/>
    <x v="0"/>
    <n v="1688"/>
    <s v="Chamki"/>
    <x v="106"/>
    <n v="107006"/>
    <n v="25378"/>
    <n v="2.0635149966841624"/>
    <m/>
    <m/>
    <m/>
  </r>
  <r>
    <d v="2026-05-08T00:00:00"/>
    <x v="0"/>
    <n v="1690"/>
    <s v="Chamki"/>
    <x v="109"/>
    <n v="9943"/>
    <n v="5860"/>
    <n v="1.4131831615776633"/>
    <m/>
    <m/>
    <m/>
  </r>
  <r>
    <d v="2026-05-08T00:00:00"/>
    <x v="0"/>
    <n v="1689"/>
    <s v="Chamki"/>
    <x v="106"/>
    <n v="107006"/>
    <n v="11306"/>
    <n v="2.06351499668416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74">
      <pivotArea field="0" grandRow="1" outline="0" collapsedLevelsAreSubtotals="1" axis="axisRow" fieldPosition="0">
        <references count="1">
          <reference field="4294967294" count="1" selected="0">
            <x v="1"/>
          </reference>
        </references>
      </pivotArea>
    </format>
    <format dxfId="173">
      <pivotArea field="0" grandRow="1" outline="0" collapsedLevelsAreSubtotals="1" axis="axisRow" fieldPosition="0">
        <references count="1">
          <reference field="4294967294" count="1" selected="0">
            <x v="0"/>
          </reference>
        </references>
      </pivotArea>
    </format>
    <format dxfId="172">
      <pivotArea collapsedLevelsAreSubtotals="1" fieldPosition="0">
        <references count="2">
          <reference field="4294967294" count="1" selected="0">
            <x v="1"/>
          </reference>
          <reference field="0" count="0"/>
        </references>
      </pivotArea>
    </format>
    <format dxfId="17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4" firstHeaderRow="0" firstDataRow="1" firstDataCol="1" rowPageCount="1" colPageCount="1"/>
  <pivotFields count="9">
    <pivotField axis="axisRow" numFmtId="14" showAll="0">
      <items count="224">
        <item m="1" x="207"/>
        <item m="1" x="208"/>
        <item m="1" x="209"/>
        <item m="1" x="210"/>
        <item m="1" x="211"/>
        <item m="1" x="212"/>
        <item m="1" x="213"/>
        <item m="1" x="222"/>
        <item m="1" x="203"/>
        <item m="1" x="214"/>
        <item m="1" x="215"/>
        <item m="1" x="216"/>
        <item m="1" x="217"/>
        <item m="1" x="218"/>
        <item m="1" x="219"/>
        <item m="1" x="220"/>
        <item m="1" x="174"/>
        <item m="1" x="175"/>
        <item m="1" x="221"/>
        <item m="1" x="176"/>
        <item m="1" x="173"/>
        <item m="1" x="177"/>
        <item m="1" x="179"/>
        <item m="1" x="180"/>
        <item m="1" x="181"/>
        <item m="1" x="183"/>
        <item m="1" x="184"/>
        <item m="1" x="185"/>
        <item m="1" x="178"/>
        <item m="1" x="182"/>
        <item m="1" x="186"/>
        <item m="1" x="187"/>
        <item m="1" x="188"/>
        <item m="1" x="189"/>
        <item m="1" x="172"/>
        <item m="1" x="190"/>
        <item m="1" x="204"/>
        <item m="1" x="205"/>
        <item m="1" x="206"/>
        <item m="1" x="191"/>
        <item m="1" x="192"/>
        <item m="1" x="193"/>
        <item m="1" x="194"/>
        <item m="1" x="195"/>
        <item m="1" x="196"/>
        <item m="1" x="197"/>
        <item m="1" x="198"/>
        <item m="1" x="199"/>
        <item m="1" x="200"/>
        <item m="1" x="201"/>
        <item m="1" x="202"/>
        <item m="1" x="143"/>
        <item m="1" x="144"/>
        <item m="1" x="145"/>
        <item m="1" x="146"/>
        <item m="1" x="147"/>
        <item m="1" x="148"/>
        <item m="1" x="149"/>
        <item m="1" x="150"/>
        <item m="1" x="152"/>
        <item m="1" x="153"/>
        <item m="1" x="154"/>
        <item m="1" x="151"/>
        <item m="1" x="155"/>
        <item m="1" x="156"/>
        <item m="1" x="157"/>
        <item m="1" x="158"/>
        <item m="1" x="159"/>
        <item m="1" x="160"/>
        <item m="1" x="161"/>
        <item m="1" x="162"/>
        <item m="1" x="163"/>
        <item m="1" x="164"/>
        <item m="1" x="165"/>
        <item m="1" x="166"/>
        <item m="1" x="167"/>
        <item m="1" x="168"/>
        <item m="1" x="169"/>
        <item m="1" x="170"/>
        <item m="1" x="171"/>
        <item m="1" x="89"/>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90"/>
        <item m="1" x="93"/>
        <item m="1" x="91"/>
        <item m="1" x="92"/>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57"/>
        <item m="1" x="58"/>
        <item m="1" x="59"/>
        <item m="1" x="60"/>
        <item m="1" x="61"/>
        <item m="1" x="62"/>
        <item m="1" x="63"/>
        <item m="1" x="64"/>
        <item x="1"/>
        <item m="1" x="65"/>
        <item m="1" x="66"/>
        <item m="1" x="67"/>
        <item m="1" x="68"/>
        <item m="1" x="69"/>
        <item m="1" x="70"/>
        <item m="1" x="88"/>
        <item m="1" x="71"/>
        <item m="1" x="72"/>
        <item m="1" x="56"/>
        <item m="1" x="55"/>
        <item m="1" x="73"/>
        <item m="1" x="74"/>
        <item m="1" x="75"/>
        <item m="1" x="76"/>
        <item m="1" x="77"/>
        <item m="1" x="78"/>
        <item m="1" x="79"/>
        <item m="1" x="80"/>
        <item m="1" x="81"/>
        <item m="1" x="82"/>
        <item m="1" x="83"/>
        <item m="1" x="84"/>
        <item m="1" x="85"/>
        <item m="1" x="86"/>
        <item m="1" x="87"/>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4"/>
        <item x="0"/>
        <item x="2"/>
        <item x="3"/>
        <item x="5"/>
        <item x="6"/>
        <item x="7"/>
        <item x="8"/>
        <item x="9"/>
        <item x="10"/>
        <item x="11"/>
        <item x="12"/>
        <item x="13"/>
        <item x="14"/>
        <item x="15"/>
        <item x="16"/>
        <item x="17"/>
        <item x="18"/>
        <item x="19"/>
        <item x="21"/>
        <item x="22"/>
        <item x="20"/>
        <item x="23"/>
        <item x="24"/>
        <item x="25"/>
        <item x="26"/>
        <item x="27"/>
        <item x="28"/>
        <item x="29"/>
        <item x="30"/>
        <item x="31"/>
        <item t="default"/>
      </items>
    </pivotField>
    <pivotField axis="axisPage" showAll="0">
      <items count="19">
        <item x="0"/>
        <item x="1"/>
        <item x="10"/>
        <item m="1" x="17"/>
        <item x="3"/>
        <item x="4"/>
        <item x="5"/>
        <item m="1" x="16"/>
        <item x="6"/>
        <item x="7"/>
        <item x="8"/>
        <item x="9"/>
        <item x="2"/>
        <item x="11"/>
        <item x="12"/>
        <item m="1" x="15"/>
        <item x="13"/>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93">
      <pivotArea dataOnly="0" labelOnly="1" outline="0" fieldPosition="0">
        <references count="1">
          <reference field="1" count="1">
            <x v="1"/>
          </reference>
        </references>
      </pivotArea>
    </format>
    <format dxfId="19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8" firstHeaderRow="0" firstDataRow="1" firstDataCol="1"/>
  <pivotFields count="7">
    <pivotField numFmtId="14" showAll="0"/>
    <pivotField axis="axisRow" showAll="0">
      <items count="107">
        <item x="33"/>
        <item x="18"/>
        <item m="1" x="76"/>
        <item m="1" x="93"/>
        <item m="1" x="96"/>
        <item x="13"/>
        <item x="20"/>
        <item x="14"/>
        <item x="5"/>
        <item x="35"/>
        <item x="24"/>
        <item m="1" x="104"/>
        <item m="1" x="72"/>
        <item x="10"/>
        <item m="1" x="59"/>
        <item m="1" x="102"/>
        <item x="3"/>
        <item m="1" x="57"/>
        <item x="0"/>
        <item x="4"/>
        <item x="53"/>
        <item x="39"/>
        <item m="1" x="105"/>
        <item m="1" x="73"/>
        <item x="15"/>
        <item m="1" x="103"/>
        <item m="1" x="95"/>
        <item x="29"/>
        <item m="1" x="97"/>
        <item m="1" x="98"/>
        <item m="1" x="99"/>
        <item m="1" x="100"/>
        <item x="48"/>
        <item m="1" x="101"/>
        <item x="40"/>
        <item m="1" x="67"/>
        <item x="34"/>
        <item m="1" x="65"/>
        <item m="1" x="92"/>
        <item m="1" x="88"/>
        <item m="1" x="70"/>
        <item x="21"/>
        <item x="17"/>
        <item m="1" x="94"/>
        <item x="2"/>
        <item x="22"/>
        <item m="1" x="83"/>
        <item x="7"/>
        <item x="26"/>
        <item m="1" x="84"/>
        <item m="1" x="85"/>
        <item m="1" x="86"/>
        <item m="1" x="87"/>
        <item m="1" x="89"/>
        <item m="1" x="64"/>
        <item m="1" x="77"/>
        <item m="1" x="90"/>
        <item m="1" x="91"/>
        <item m="1" x="75"/>
        <item m="1" x="66"/>
        <item m="1" x="74"/>
        <item x="8"/>
        <item m="1" x="78"/>
        <item x="46"/>
        <item m="1" x="82"/>
        <item x="25"/>
        <item x="30"/>
        <item m="1" x="80"/>
        <item x="31"/>
        <item m="1" x="79"/>
        <item x="27"/>
        <item m="1" x="81"/>
        <item x="19"/>
        <item x="44"/>
        <item x="1"/>
        <item m="1" x="68"/>
        <item m="1" x="56"/>
        <item m="1" x="71"/>
        <item x="12"/>
        <item m="1" x="63"/>
        <item m="1" x="69"/>
        <item m="1" x="58"/>
        <item x="9"/>
        <item x="32"/>
        <item m="1" x="60"/>
        <item m="1" x="61"/>
        <item m="1" x="62"/>
        <item x="43"/>
        <item x="23"/>
        <item x="11"/>
        <item x="6"/>
        <item x="16"/>
        <item x="28"/>
        <item x="36"/>
        <item x="37"/>
        <item x="38"/>
        <item x="41"/>
        <item x="42"/>
        <item x="45"/>
        <item x="47"/>
        <item m="1" x="55"/>
        <item x="49"/>
        <item x="50"/>
        <item x="51"/>
        <item m="1" x="54"/>
        <item x="52"/>
        <item t="default"/>
      </items>
    </pivotField>
    <pivotField dataField="1" showAll="0"/>
    <pivotField dataField="1" showAll="0"/>
    <pivotField showAll="0"/>
    <pivotField showAll="0"/>
    <pivotField showAll="0"/>
  </pivotFields>
  <rowFields count="1">
    <field x="1"/>
  </rowFields>
  <rowItems count="55">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t="grand">
      <x/>
    </i>
  </rowItems>
  <colFields count="1">
    <field x="-2"/>
  </colFields>
  <colItems count="2">
    <i>
      <x/>
    </i>
    <i i="1">
      <x v="1"/>
    </i>
  </colItems>
  <dataFields count="2">
    <dataField name="Sum of Credit" fld="3" baseField="0" baseItem="0"/>
    <dataField name="Sum of Debit" fld="2"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5">
        <item m="1" x="89"/>
        <item m="1" x="90"/>
        <item m="1" x="91"/>
        <item m="1" x="92"/>
        <item m="1" x="93"/>
        <item m="1" x="88"/>
        <item m="1" x="76"/>
        <item m="1" x="77"/>
        <item m="1" x="81"/>
        <item m="1" x="82"/>
        <item m="1" x="78"/>
        <item m="1" x="83"/>
        <item m="1" x="84"/>
        <item m="1" x="85"/>
        <item m="1" x="86"/>
        <item m="1" x="87"/>
        <item m="1" x="75"/>
        <item m="1" x="79"/>
        <item m="1" x="80"/>
        <item m="1" x="68"/>
        <item m="1" x="69"/>
        <item m="1" x="70"/>
        <item m="1" x="71"/>
        <item m="1" x="72"/>
        <item m="1" x="73"/>
        <item m="1" x="74"/>
        <item m="1" x="44"/>
        <item m="1" x="60"/>
        <item m="1" x="61"/>
        <item m="1" x="62"/>
        <item m="1" x="63"/>
        <item m="1" x="64"/>
        <item m="1" x="65"/>
        <item m="1" x="66"/>
        <item m="1" x="67"/>
        <item m="1" x="45"/>
        <item m="1" x="46"/>
        <item m="1" x="47"/>
        <item m="1" x="48"/>
        <item m="1" x="49"/>
        <item m="1" x="50"/>
        <item m="1" x="51"/>
        <item m="1" x="53"/>
        <item m="1" x="54"/>
        <item m="1" x="52"/>
        <item m="1" x="55"/>
        <item m="1" x="56"/>
        <item m="1" x="57"/>
        <item m="1" x="58"/>
        <item m="1" x="59"/>
        <item m="1" x="20"/>
        <item m="1" x="31"/>
        <item m="1" x="32"/>
        <item m="1" x="33"/>
        <item m="1" x="34"/>
        <item m="1" x="35"/>
        <item m="1" x="36"/>
        <item m="1" x="37"/>
        <item m="1" x="38"/>
        <item m="1" x="39"/>
        <item m="1" x="40"/>
        <item m="1" x="41"/>
        <item m="1" x="42"/>
        <item m="1" x="43"/>
        <item m="1" x="21"/>
        <item m="1" x="22"/>
        <item m="1" x="23"/>
        <item m="1" x="24"/>
        <item m="1" x="25"/>
        <item x="16"/>
        <item m="1" x="26"/>
        <item m="1" x="27"/>
        <item m="1" x="28"/>
        <item m="1" x="29"/>
        <item m="1" x="30"/>
        <item x="0"/>
        <item x="1"/>
        <item x="2"/>
        <item x="3"/>
        <item x="4"/>
        <item x="5"/>
        <item x="6"/>
        <item x="7"/>
        <item x="8"/>
        <item x="9"/>
        <item x="10"/>
        <item x="11"/>
        <item x="12"/>
        <item x="13"/>
        <item x="14"/>
        <item x="15"/>
        <item x="17"/>
        <item x="18"/>
        <item x="19"/>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4"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m="1"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2">
        <item m="1" x="524"/>
        <item m="1" x="525"/>
        <item m="1" x="523"/>
        <item m="1" x="522"/>
        <item m="1" x="526"/>
        <item m="1" x="528"/>
        <item m="1" x="527"/>
        <item m="1" x="529"/>
        <item m="1" x="530"/>
        <item m="1" x="531"/>
        <item m="1" x="532"/>
        <item m="1" x="533"/>
        <item m="1" x="534"/>
        <item m="1" x="535"/>
        <item m="1" x="460"/>
        <item m="1" x="482"/>
        <item m="1" x="536"/>
        <item m="1" x="537"/>
        <item m="1" x="538"/>
        <item m="1" x="490"/>
        <item m="1" x="489"/>
        <item m="1" x="539"/>
        <item m="1" x="540"/>
        <item m="1" x="499"/>
        <item m="1" x="491"/>
        <item m="1" x="492"/>
        <item m="1" x="493"/>
        <item m="1" x="494"/>
        <item m="1" x="495"/>
        <item m="1" x="496"/>
        <item m="1" x="497"/>
        <item m="1" x="498"/>
        <item m="1" x="500"/>
        <item m="1" x="520"/>
        <item m="1" x="501"/>
        <item m="1" x="521"/>
        <item m="1" x="502"/>
        <item m="1" x="503"/>
        <item m="1" x="504"/>
        <item m="1" x="505"/>
        <item m="1" x="506"/>
        <item m="1" x="437"/>
        <item m="1" x="507"/>
        <item m="1" x="508"/>
        <item m="1" x="509"/>
        <item m="1" x="510"/>
        <item m="1" x="511"/>
        <item m="1" x="512"/>
        <item m="1" x="513"/>
        <item m="1" x="514"/>
        <item m="1" x="515"/>
        <item m="1" x="516"/>
        <item m="1" x="517"/>
        <item m="1" x="518"/>
        <item m="1" x="519"/>
        <item x="0"/>
        <item m="1" x="436"/>
        <item m="1" x="438"/>
        <item m="1" x="439"/>
        <item m="1" x="440"/>
        <item m="1" x="441"/>
        <item m="1" x="442"/>
        <item m="1" x="443"/>
        <item m="1" x="444"/>
        <item m="1" x="445"/>
        <item m="1" x="446"/>
        <item m="1" x="447"/>
        <item m="1" x="448"/>
        <item m="1" x="449"/>
        <item m="1" x="450"/>
        <item m="1" x="175"/>
        <item m="1" x="451"/>
        <item m="1" x="452"/>
        <item m="1" x="453"/>
        <item m="1" x="454"/>
        <item m="1" x="455"/>
        <item m="1" x="456"/>
        <item m="1" x="457"/>
        <item m="1" x="458"/>
        <item m="1" x="459"/>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3"/>
        <item m="1" x="484"/>
        <item m="1" x="485"/>
        <item m="1" x="486"/>
        <item m="1" x="487"/>
        <item m="1" x="488"/>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191"/>
        <item m="1" x="405"/>
        <item m="1" x="406"/>
        <item m="1" x="407"/>
        <item m="1" x="408"/>
        <item m="1" x="409"/>
        <item m="1" x="410"/>
        <item m="1" x="411"/>
        <item m="1" x="412"/>
        <item m="1" x="413"/>
        <item m="1" x="414"/>
        <item m="1" x="415"/>
        <item m="1" x="435"/>
        <item m="1" x="416"/>
        <item m="1" x="417"/>
        <item m="1" x="418"/>
        <item m="1" x="419"/>
        <item m="1" x="420"/>
        <item m="1" x="421"/>
        <item m="1" x="422"/>
        <item m="1" x="423"/>
        <item m="1" x="424"/>
        <item m="1" x="425"/>
        <item m="1" x="426"/>
        <item m="1" x="427"/>
        <item m="1" x="428"/>
        <item m="1" x="429"/>
        <item m="1" x="430"/>
        <item m="1" x="431"/>
        <item m="1" x="432"/>
        <item m="1" x="433"/>
        <item m="1" x="434"/>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231"/>
        <item m="1" x="354"/>
        <item m="1" x="222"/>
        <item m="1" x="223"/>
        <item m="1" x="224"/>
        <item m="1" x="225"/>
        <item m="1" x="226"/>
        <item m="1" x="227"/>
        <item m="1" x="228"/>
        <item m="1" x="229"/>
        <item m="1" x="230"/>
        <item m="1" x="232"/>
        <item m="1" x="233"/>
        <item m="1" x="234"/>
        <item m="1" x="235"/>
        <item m="1" x="236"/>
        <item m="1" x="237"/>
        <item m="1" x="238"/>
        <item m="1" x="239"/>
        <item m="1" x="240"/>
        <item m="1" x="241"/>
        <item m="1" x="242"/>
        <item m="1" x="243"/>
        <item m="1" x="244"/>
        <item m="1" x="245"/>
        <item m="1" x="172"/>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176"/>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173"/>
        <item m="1" x="297"/>
        <item m="1" x="298"/>
        <item m="1" x="170"/>
        <item m="1" x="179"/>
        <item m="1" x="171"/>
        <item m="1" x="174"/>
        <item m="1" x="177"/>
        <item m="1" x="178"/>
        <item m="1" x="180"/>
        <item m="1" x="181"/>
        <item m="1" x="182"/>
        <item m="1" x="183"/>
        <item m="1" x="184"/>
        <item m="1" x="185"/>
        <item m="1" x="186"/>
        <item m="1" x="187"/>
        <item m="1" x="188"/>
        <item m="1" x="189"/>
        <item x="46"/>
        <item m="1" x="190"/>
        <item m="1" x="192"/>
        <item m="1" x="193"/>
        <item m="1" x="194"/>
        <item m="1" x="151"/>
        <item m="1" x="127"/>
        <item m="1" x="195"/>
        <item m="1" x="196"/>
        <item m="1" x="197"/>
        <item m="1" x="119"/>
        <item m="1" x="198"/>
        <item m="1" x="199"/>
        <item m="1" x="200"/>
        <item m="1" x="201"/>
        <item m="1" x="166"/>
        <item m="1" x="202"/>
        <item m="1" x="203"/>
        <item m="1" x="204"/>
        <item m="1" x="205"/>
        <item m="1" x="206"/>
        <item m="1" x="207"/>
        <item m="1" x="208"/>
        <item m="1" x="209"/>
        <item m="1" x="210"/>
        <item m="1" x="211"/>
        <item m="1" x="212"/>
        <item m="1" x="213"/>
        <item m="1" x="221"/>
        <item m="1" x="214"/>
        <item m="1" x="215"/>
        <item m="1" x="116"/>
        <item m="1" x="117"/>
        <item m="1" x="216"/>
        <item m="1" x="128"/>
        <item m="1" x="217"/>
        <item m="1" x="218"/>
        <item m="1" x="219"/>
        <item m="1" x="220"/>
        <item m="1" x="115"/>
        <item m="1" x="113"/>
        <item m="1" x="112"/>
        <item m="1" x="114"/>
        <item m="1" x="118"/>
        <item x="13"/>
        <item x="9"/>
        <item m="1" x="120"/>
        <item m="1" x="121"/>
        <item m="1" x="122"/>
        <item m="1" x="123"/>
        <item m="1" x="124"/>
        <item m="1" x="125"/>
        <item m="1" x="126"/>
        <item m="1" x="129"/>
        <item m="1" x="130"/>
        <item m="1" x="131"/>
        <item m="1" x="132"/>
        <item m="1" x="133"/>
        <item m="1" x="134"/>
        <item m="1" x="135"/>
        <item m="1" x="136"/>
        <item m="1" x="137"/>
        <item m="1" x="138"/>
        <item m="1" x="139"/>
        <item m="1" x="140"/>
        <item m="1" x="141"/>
        <item m="1" x="142"/>
        <item x="2"/>
        <item m="1" x="143"/>
        <item m="1" x="144"/>
        <item m="1" x="145"/>
        <item x="10"/>
        <item m="1" x="146"/>
        <item m="1" x="147"/>
        <item m="1" x="148"/>
        <item m="1" x="149"/>
        <item m="1" x="150"/>
        <item m="1" x="152"/>
        <item m="1" x="153"/>
        <item m="1" x="154"/>
        <item m="1" x="155"/>
        <item x="8"/>
        <item m="1" x="156"/>
        <item m="1" x="157"/>
        <item m="1" x="158"/>
        <item m="1" x="159"/>
        <item m="1" x="160"/>
        <item m="1" x="161"/>
        <item x="15"/>
        <item m="1" x="162"/>
        <item x="58"/>
        <item m="1" x="163"/>
        <item x="7"/>
        <item m="1" x="164"/>
        <item m="1" x="165"/>
        <item x="19"/>
        <item m="1" x="167"/>
        <item m="1" x="168"/>
        <item m="1" x="169"/>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1"/>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m="1" x="110"/>
        <item x="10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1">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4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3">
      <pivotArea type="all" dataOnly="0" outline="0" fieldPosition="0"/>
    </format>
    <format dxfId="82">
      <pivotArea outline="0" collapsedLevelsAreSubtotals="1" fieldPosition="0"/>
    </format>
    <format dxfId="81">
      <pivotArea field="4" type="button" dataOnly="0" labelOnly="1" outline="0" axis="axisRow" fieldPosition="0"/>
    </format>
    <format dxfId="80">
      <pivotArea dataOnly="0" labelOnly="1" fieldPosition="0">
        <references count="1">
          <reference field="4" count="0"/>
        </references>
      </pivotArea>
    </format>
    <format dxfId="79">
      <pivotArea dataOnly="0" labelOnly="1" grandRow="1" outline="0" fieldPosition="0"/>
    </format>
    <format dxfId="78">
      <pivotArea dataOnly="0" labelOnly="1" outline="0" fieldPosition="0">
        <references count="1">
          <reference field="4294967294" count="2">
            <x v="0"/>
            <x v="1"/>
          </reference>
        </references>
      </pivotArea>
    </format>
    <format dxfId="77">
      <pivotArea grandRow="1" outline="0" collapsedLevelsAreSubtotals="1" fieldPosition="0"/>
    </format>
    <format dxfId="76">
      <pivotArea field="4" type="button" dataOnly="0" labelOnly="1" outline="0" axis="axisRow" fieldPosition="0"/>
    </format>
    <format dxfId="7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1">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95" s="1"/>
        <i x="90" s="1"/>
        <i x="96" s="1"/>
        <i x="109" s="1"/>
        <i x="101" s="1"/>
        <i x="102" s="1"/>
        <i x="104" s="1"/>
        <i x="107" s="1"/>
        <i x="103" s="1"/>
        <i x="106" s="1"/>
        <i x="108" s="1"/>
        <i x="39" s="1"/>
        <i x="62" s="1"/>
        <i x="82" s="1"/>
        <i x="87" s="1"/>
        <i x="79" s="1"/>
        <i x="495" s="1" nd="1"/>
        <i x="524" s="1" nd="1"/>
        <i x="525" s="1" nd="1"/>
        <i x="533" s="1" nd="1"/>
        <i x="523" s="1" nd="1"/>
        <i x="522" s="1" nd="1"/>
        <i x="526" s="1" nd="1"/>
        <i x="537" s="1" nd="1"/>
        <i x="529" s="1" nd="1"/>
        <i x="530" s="1" nd="1"/>
        <i x="527" s="1" nd="1"/>
        <i x="528" s="1" nd="1"/>
        <i x="538" s="1" nd="1"/>
        <i x="531" s="1" nd="1"/>
        <i x="532" s="1" nd="1"/>
        <i x="535" s="1" nd="1"/>
        <i x="536" s="1" nd="1"/>
        <i x="534" s="1" nd="1"/>
        <i x="490" s="1" nd="1"/>
        <i x="540" s="1" nd="1"/>
        <i x="489" s="1" nd="1"/>
        <i x="539" s="1" nd="1"/>
        <i x="492" s="1" nd="1"/>
        <i x="453" s="1" nd="1"/>
        <i x="491" s="1" nd="1"/>
        <i x="493" s="1" nd="1"/>
        <i x="499" s="1" nd="1"/>
        <i x="494" s="1" nd="1"/>
        <i x="496" s="1" nd="1"/>
        <i x="512" s="1" nd="1"/>
        <i x="436" s="1" nd="1"/>
        <i x="500" s="1" nd="1"/>
        <i x="441" s="1" nd="1"/>
        <i x="506" s="1" nd="1"/>
        <i x="501" s="1" nd="1"/>
        <i x="504" s="1" nd="1"/>
        <i x="509" s="1" nd="1"/>
        <i x="520" s="1" nd="1"/>
        <i x="502" s="1" nd="1"/>
        <i x="514" s="1" nd="1"/>
        <i x="517" s="1" nd="1"/>
        <i x="508" s="1" nd="1"/>
        <i x="497" s="1" nd="1"/>
        <i x="505" s="1" nd="1"/>
        <i x="498" s="1" nd="1"/>
        <i x="503" s="1" nd="1"/>
        <i x="437" s="1" nd="1"/>
        <i x="507" s="1" nd="1"/>
        <i x="513" s="1" nd="1"/>
        <i x="175" s="1" nd="1"/>
        <i x="510" s="1" nd="1"/>
        <i x="515" s="1" nd="1"/>
        <i x="511" s="1" nd="1"/>
        <i x="477" s="1" nd="1"/>
        <i x="516" s="1" nd="1"/>
        <i x="518" s="1" nd="1"/>
        <i x="439" s="1" nd="1"/>
        <i x="446" s="1" nd="1"/>
        <i x="519" s="1" nd="1"/>
        <i x="443" s="1" nd="1"/>
        <i x="444" s="1" nd="1"/>
        <i x="438" s="1" nd="1"/>
        <i x="442" s="1" nd="1"/>
        <i x="330" s="1" nd="1"/>
        <i x="440" s="1" nd="1"/>
        <i x="449" s="1" nd="1"/>
        <i x="445" s="1" nd="1"/>
        <i x="447" s="1" nd="1"/>
        <i x="450" s="1" nd="1"/>
        <i x="457" s="1" nd="1"/>
        <i x="448" s="1" nd="1"/>
        <i x="456" s="1" nd="1"/>
        <i x="461" s="1" nd="1"/>
        <i x="455" s="1" nd="1"/>
        <i x="458" s="1" nd="1"/>
        <i x="468" s="1" nd="1"/>
        <i x="454" s="1" nd="1"/>
        <i x="451" s="1" nd="1"/>
        <i x="452" s="1" nd="1"/>
        <i x="467" s="1" nd="1"/>
        <i x="326" s="1" nd="1"/>
        <i x="460" s="1" nd="1"/>
        <i x="471" s="1" nd="1"/>
        <i x="466" s="1" nd="1"/>
        <i x="459" s="1" nd="1"/>
        <i x="483" s="1" nd="1"/>
        <i x="464" s="1" nd="1"/>
        <i x="474" s="1" nd="1"/>
        <i x="472" s="1" nd="1"/>
        <i x="462" s="1" nd="1"/>
        <i x="470" s="1" nd="1"/>
        <i x="469" s="1" nd="1"/>
        <i x="465" s="1" nd="1"/>
        <i x="475" s="1" nd="1"/>
        <i x="473" s="1" nd="1"/>
        <i x="476" s="1" nd="1"/>
        <i x="463" s="1" nd="1"/>
        <i x="405" s="1" nd="1"/>
        <i x="478" s="1" nd="1"/>
        <i x="479" s="1" nd="1"/>
        <i x="364" s="1" nd="1"/>
        <i x="366" s="1" nd="1"/>
        <i x="486" s="1" nd="1"/>
        <i x="360" s="1" nd="1"/>
        <i x="406" s="1" nd="1"/>
        <i x="480" s="1" nd="1"/>
        <i x="481" s="1" nd="1"/>
        <i x="363" s="1" nd="1"/>
        <i x="488" s="1" nd="1"/>
        <i x="362" s="1" nd="1"/>
        <i x="377" s="1" nd="1"/>
        <i x="487" s="1" nd="1"/>
        <i x="482" s="1" nd="1"/>
        <i x="381" s="1" nd="1"/>
        <i x="485" s="1" nd="1"/>
        <i x="484" s="1" nd="1"/>
        <i x="402" s="1" nd="1"/>
        <i x="355" s="1" nd="1"/>
        <i x="367" s="1" nd="1"/>
        <i x="403" s="1" nd="1"/>
        <i x="401" s="1" nd="1"/>
        <i x="359" s="1" nd="1"/>
        <i x="361" s="1" nd="1"/>
        <i x="194" s="1" nd="1"/>
        <i x="365" s="1" nd="1"/>
        <i x="356" s="1" nd="1"/>
        <i x="391" s="1" nd="1"/>
        <i x="396" s="1" nd="1"/>
        <i x="357" s="1" nd="1"/>
        <i x="358" s="1" nd="1"/>
        <i x="368" s="1" nd="1"/>
        <i x="371" s="1" nd="1"/>
        <i x="378" s="1" nd="1"/>
        <i x="370" s="1" nd="1"/>
        <i x="373" s="1" nd="1"/>
        <i x="372" s="1" nd="1"/>
        <i x="414" s="1" nd="1"/>
        <i x="369" s="1" nd="1"/>
        <i x="394" s="1" nd="1"/>
        <i x="409" s="1" nd="1"/>
        <i x="374" s="1" nd="1"/>
        <i x="399" s="1" nd="1"/>
        <i x="411" s="1" nd="1"/>
        <i x="383" s="1" nd="1"/>
        <i x="423" s="1" nd="1"/>
        <i x="382" s="1" nd="1"/>
        <i x="379" s="1" nd="1"/>
        <i x="375" s="1" nd="1"/>
        <i x="376" s="1" nd="1"/>
        <i x="395" s="1" nd="1"/>
        <i x="384" s="1" nd="1"/>
        <i x="307" s="1" nd="1"/>
        <i x="385" s="1" nd="1"/>
        <i x="380" s="1" nd="1"/>
        <i x="387" s="1" nd="1"/>
        <i x="388" s="1" nd="1"/>
        <i x="416" s="1" nd="1"/>
        <i x="386" s="1" nd="1"/>
        <i x="404" s="1" nd="1"/>
        <i x="392" s="1" nd="1"/>
        <i x="389" s="1" nd="1"/>
        <i x="393" s="1" nd="1"/>
        <i x="390" s="1" nd="1"/>
        <i x="397" s="1" nd="1"/>
        <i x="415" s="1" nd="1"/>
        <i x="410" s="1" nd="1"/>
        <i x="429" s="1" nd="1"/>
        <i x="398" s="1" nd="1"/>
        <i x="300" s="1" nd="1"/>
        <i x="408" s="1" nd="1"/>
        <i x="400" s="1" nd="1"/>
        <i x="424" s="1" nd="1"/>
        <i x="407" s="1" nd="1"/>
        <i x="422" s="1" nd="1"/>
        <i x="308" s="1" nd="1"/>
        <i x="413" s="1" nd="1"/>
        <i x="412" s="1" nd="1"/>
        <i x="428" s="1" nd="1"/>
        <i x="425" s="1" nd="1"/>
        <i x="319" s="1" nd="1"/>
        <i x="433" s="1" nd="1"/>
        <i x="417" s="1" nd="1"/>
        <i x="426" s="1" nd="1"/>
        <i x="431" s="1" nd="1"/>
        <i x="310" s="1" nd="1"/>
        <i x="336" s="1" nd="1"/>
        <i x="435" s="1" nd="1"/>
        <i x="432" s="1" nd="1"/>
        <i x="301" s="1" nd="1"/>
        <i x="321" s="1" nd="1"/>
        <i x="427" s="1" nd="1"/>
        <i x="303" s="1" nd="1"/>
        <i x="418" s="1" nd="1"/>
        <i x="421" s="1" nd="1"/>
        <i x="318" s="1" nd="1"/>
        <i x="430" s="1" nd="1"/>
        <i x="419" s="1" nd="1"/>
        <i x="420" s="1" nd="1"/>
        <i x="305" s="1" nd="1"/>
        <i x="323" s="1" nd="1"/>
        <i x="324" s="1" nd="1"/>
        <i x="337" s="1" nd="1"/>
        <i x="434" s="1" nd="1"/>
        <i x="299" s="1" nd="1"/>
        <i x="322" s="1" nd="1"/>
        <i x="315" s="1" nd="1"/>
        <i x="302" s="1" nd="1"/>
        <i x="306" s="1" nd="1"/>
        <i x="312" s="1" nd="1"/>
        <i x="304" s="1" nd="1"/>
        <i x="328" s="1" nd="1"/>
        <i x="332" s="1" nd="1"/>
        <i x="333" s="1" nd="1"/>
        <i x="325" s="1" nd="1"/>
        <i x="309" s="1" nd="1"/>
        <i x="174" s="1" nd="1"/>
        <i x="311" s="1" nd="1"/>
        <i x="313" s="1" nd="1"/>
        <i x="316" s="1" nd="1"/>
        <i x="329" s="1" nd="1"/>
        <i x="314" s="1" nd="1"/>
        <i x="335" s="1" nd="1"/>
        <i x="267" s="1" nd="1"/>
        <i x="246" s="1" nd="1"/>
        <i x="350" s="1" nd="1"/>
        <i x="317" s="1" nd="1"/>
        <i x="338" s="1" nd="1"/>
        <i x="334" s="1" nd="1"/>
        <i x="320" s="1" nd="1"/>
        <i x="342" s="1" nd="1"/>
        <i x="278" s="1" nd="1"/>
        <i x="241" s="1" nd="1"/>
        <i x="327" s="1" nd="1"/>
        <i x="351" s="1" nd="1"/>
        <i x="331" s="1" nd="1"/>
        <i x="354" s="1" nd="1"/>
        <i x="341" s="1" nd="1"/>
        <i x="346" s="1" nd="1"/>
        <i x="223" s="1" nd="1"/>
        <i x="343" s="1" nd="1"/>
        <i x="345" s="1" nd="1"/>
        <i x="263" s="1" nd="1"/>
        <i x="231" s="1" nd="1"/>
        <i x="340" s="1" nd="1"/>
        <i x="228" s="1" nd="1"/>
        <i x="339" s="1" nd="1"/>
        <i x="240" s="1" nd="1"/>
        <i x="224" s="1" nd="1"/>
        <i x="222" s="1" nd="1"/>
        <i x="344" s="1" nd="1"/>
        <i x="238" s="1" nd="1"/>
        <i x="232" s="1" nd="1"/>
        <i x="243" s="1" nd="1"/>
        <i x="260" s="1" nd="1"/>
        <i x="237" s="1" nd="1"/>
        <i x="248" s="1" nd="1"/>
        <i x="242" s="1" nd="1"/>
        <i x="239" s="1" nd="1"/>
        <i x="352" s="1" nd="1"/>
        <i x="296" s="1" nd="1"/>
        <i x="250" s="1" nd="1"/>
        <i x="251" s="1" nd="1"/>
        <i x="348" s="1" nd="1"/>
        <i x="347" s="1" nd="1"/>
        <i x="225" s="1" nd="1"/>
        <i x="227" s="1" nd="1"/>
        <i x="258" s="1" nd="1"/>
        <i x="234" s="1" nd="1"/>
        <i x="353" s="1" nd="1"/>
        <i x="292" s="1" nd="1"/>
        <i x="283" s="1" nd="1"/>
        <i x="271" s="1" nd="1"/>
        <i x="245" s="1" nd="1"/>
        <i x="230" s="1" nd="1"/>
        <i x="261" s="1" nd="1"/>
        <i x="280" s="1" nd="1"/>
        <i x="272" s="1" nd="1"/>
        <i x="268" s="1" nd="1"/>
        <i x="236" s="1" nd="1"/>
        <i x="256" s="1" nd="1"/>
        <i x="255" s="1" nd="1"/>
        <i x="270" s="1" nd="1"/>
        <i x="257" s="1" nd="1"/>
        <i x="349" s="1" nd="1"/>
        <i x="233" s="1" nd="1"/>
        <i x="229" s="1" nd="1"/>
        <i x="259" s="1" nd="1"/>
        <i x="226" s="1" nd="1"/>
        <i x="264" s="1" nd="1"/>
        <i x="265" s="1" nd="1"/>
        <i x="269" s="1" nd="1"/>
        <i x="173" s="1" nd="1"/>
        <i x="249" s="1" nd="1"/>
        <i x="244" s="1" nd="1"/>
        <i x="277" s="1" nd="1"/>
        <i x="276" s="1" nd="1"/>
        <i x="281" s="1" nd="1"/>
        <i x="235" s="1" nd="1"/>
        <i x="279" s="1" nd="1"/>
        <i x="266" s="1" nd="1"/>
        <i x="172" s="1" nd="1"/>
        <i x="247" s="1" nd="1"/>
        <i x="252" s="1" nd="1"/>
        <i x="253" s="1" nd="1"/>
        <i x="262" s="1" nd="1"/>
        <i x="254" s="1" nd="1"/>
        <i x="273" s="1" nd="1"/>
        <i x="190" s="1" nd="1"/>
        <i x="284" s="1" nd="1"/>
        <i x="274" s="1" nd="1"/>
        <i x="290" s="1" nd="1"/>
        <i x="287" s="1" nd="1"/>
        <i x="285" s="1" nd="1"/>
        <i x="185" s="1" nd="1"/>
        <i x="184" s="1" nd="1"/>
        <i x="297" s="1" nd="1"/>
        <i x="171" s="1" nd="1"/>
        <i x="183" s="1" nd="1"/>
        <i x="291" s="1" nd="1"/>
        <i x="298" s="1" nd="1"/>
        <i x="176" s="1" nd="1"/>
        <i x="293" s="1" nd="1"/>
        <i x="294" s="1" nd="1"/>
        <i x="275" s="1" nd="1"/>
        <i x="288" s="1" nd="1"/>
        <i x="295" s="1" nd="1"/>
        <i x="286" s="1" nd="1"/>
        <i x="206" s="1" nd="1"/>
        <i x="289" s="1" nd="1"/>
        <i x="170" s="1" nd="1"/>
        <i x="179" s="1" nd="1"/>
        <i x="178" s="1" nd="1"/>
        <i x="282" s="1" nd="1"/>
        <i x="166" s="1" nd="1"/>
        <i x="160" s="1" nd="1"/>
        <i x="131" s="1" nd="1"/>
        <i x="165" s="1" nd="1"/>
        <i x="182" s="1" nd="1"/>
        <i x="180" s="1" nd="1"/>
        <i x="187" s="1" nd="1"/>
        <i x="188" s="1" nd="1"/>
        <i x="186" s="1" nd="1"/>
        <i x="181" s="1" nd="1"/>
        <i x="177" s="1" nd="1"/>
        <i x="127" s="1" nd="1"/>
        <i x="151" s="1" nd="1"/>
        <i x="203" s="1" nd="1"/>
        <i x="193" s="1" nd="1"/>
        <i x="189" s="1" nd="1"/>
        <i x="207" s="1" nd="1"/>
        <i x="192" s="1" nd="1"/>
        <i x="202" s="1" nd="1"/>
        <i x="204" s="1" nd="1"/>
        <i x="191" s="1" nd="1"/>
        <i x="195" s="1" nd="1"/>
        <i x="205" s="1" nd="1"/>
        <i x="198" s="1" nd="1"/>
        <i x="196" s="1" nd="1"/>
        <i x="197" s="1" nd="1"/>
        <i x="119" s="1" nd="1"/>
        <i x="201" s="1" nd="1"/>
        <i x="199" s="1" nd="1"/>
        <i x="200" s="1" nd="1"/>
        <i x="209" s="1" nd="1"/>
        <i x="208" s="1" nd="1"/>
        <i x="128" s="1" nd="1"/>
        <i x="218" s="1" nd="1"/>
        <i x="217" s="1" nd="1"/>
        <i x="129" s="1" nd="1"/>
        <i x="216" s="1" nd="1"/>
        <i x="221" s="1" nd="1"/>
        <i x="214" s="1" nd="1"/>
        <i x="220" s="1" nd="1"/>
        <i x="120" s="1" nd="1"/>
        <i x="125" s="1" nd="1"/>
        <i x="210" s="1" nd="1"/>
        <i x="113" s="1" nd="1"/>
        <i x="112" s="1" nd="1"/>
        <i x="114" s="1" nd="1"/>
        <i x="117" s="1" nd="1"/>
        <i x="211" s="1" nd="1"/>
        <i x="212" s="1" nd="1"/>
        <i x="213" s="1" nd="1"/>
        <i x="215" s="1" nd="1"/>
        <i x="219" s="1" nd="1"/>
        <i x="124" s="1" nd="1"/>
        <i x="123" s="1" nd="1"/>
        <i x="121" s="1" nd="1"/>
        <i x="138" s="1" nd="1"/>
        <i x="116" s="1" nd="1"/>
        <i x="115" s="1" nd="1"/>
        <i x="118" s="1" nd="1"/>
        <i x="137" s="1" nd="1"/>
        <i x="132" s="1" nd="1"/>
        <i x="133" s="1" nd="1"/>
        <i x="122" s="1" nd="1"/>
        <i x="145" s="1" nd="1"/>
        <i x="167" s="1" nd="1"/>
        <i x="134" s="1" nd="1"/>
        <i x="136" s="1" nd="1"/>
        <i x="126" s="1" nd="1"/>
        <i x="142" s="1" nd="1"/>
        <i x="146" s="1" nd="1"/>
        <i x="140" s="1" nd="1"/>
        <i x="139" s="1" nd="1"/>
        <i x="135" s="1" nd="1"/>
        <i x="130" s="1" nd="1"/>
        <i x="153" s="1" nd="1"/>
        <i x="154" s="1" nd="1"/>
        <i x="152" s="1" nd="1"/>
        <i x="141" s="1" nd="1"/>
        <i x="163" s="1" nd="1"/>
        <i x="144" s="1" nd="1"/>
        <i x="143" s="1" nd="1"/>
        <i x="150" s="1" nd="1"/>
        <i x="155" s="1" nd="1"/>
        <i x="159" s="1" nd="1"/>
        <i x="169" s="1" nd="1"/>
        <i x="168" s="1" nd="1"/>
        <i x="149" s="1" nd="1"/>
        <i x="148" s="1" nd="1"/>
        <i x="162" s="1" nd="1"/>
        <i x="158" s="1" nd="1"/>
        <i x="147" s="1" nd="1"/>
        <i x="157" s="1" nd="1"/>
        <i x="156" s="1" nd="1"/>
        <i x="161" s="1" nd="1"/>
        <i x="164" s="1" nd="1"/>
        <i x="111" s="1" nd="1"/>
        <i x="110" s="1" nd="1"/>
        <i x="52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70">
      <calculatedColumnFormula>B49</calculatedColumnFormula>
    </tableColumn>
    <tableColumn id="2" xr3:uid="{7EDCC2ED-0339-42B3-9633-FFEA7A3DD9F3}" name="Tiyaar" dataDxfId="169">
      <calculatedColumnFormula>SUMIFS(ledger!G:G, ledger!B:B, B2, ledger!E:E, "&lt;&gt;*RD*") / 1.0936</calculatedColumnFormula>
    </tableColumn>
    <tableColumn id="3" xr3:uid="{CC1535DD-3FE7-4F55-8040-E7643388A78E}" name="Rate"/>
    <tableColumn id="4" xr3:uid="{059CB70B-ADAD-4985-84AA-0D530BAC5567}" name="Total" dataDxfId="16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67" dataDxfId="166">
  <autoFilter ref="B7:E20" xr:uid="{449E5D32-DF9C-4018-96AB-CA98E118D910}"/>
  <tableColumns count="4">
    <tableColumn id="1" xr3:uid="{F663704C-91DD-4BB9-B7EB-EEB0C5EDED6C}" name="Description" dataDxfId="165"/>
    <tableColumn id="2" xr3:uid="{6D94D495-CD0B-4FD3-9771-81D731982A97}" name="Rate" dataDxfId="164" dataCellStyle="Comma"/>
    <tableColumn id="3" xr3:uid="{2D14CEAD-3602-40E7-A488-3584EBC9141E}" name="gazana" dataDxfId="163" dataCellStyle="Comma"/>
    <tableColumn id="4" xr3:uid="{06FEE63C-6480-4079-8426-51BC26B38B34}" name="sum" dataDxfId="16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61" totalsRowDxfId="160" dataCellStyle="Comma">
      <totalsRowFormula>SUM(Table12[Amount])</totalsRowFormula>
    </tableColumn>
    <tableColumn id="3" xr3:uid="{12F975D1-A51D-47BD-82DF-F0C35A709016}" name="Description"/>
    <tableColumn id="4" xr3:uid="{96712812-B120-49C2-B905-59FC86A743E8}" name="cost per meter" totalsRowFunction="custom" dataDxfId="159" totalsRowDxfId="15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7" dataDxfId="156" headerRowCellStyle="Comma" dataCellStyle="Comma">
  <autoFilter ref="B2:C5" xr:uid="{136E8F7F-D03F-4198-8335-91A003EA9E45}"/>
  <tableColumns count="2">
    <tableColumn id="1" xr3:uid="{279FA697-9952-479A-AC05-0D4992B41374}" name="Column1" dataDxfId="155" dataCellStyle="Comma"/>
    <tableColumn id="2" xr3:uid="{8A64998B-65EF-41CD-BCB0-3DDB7B359C54}" name="Column2" dataDxfId="15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53"/>
    <tableColumn id="2" xr3:uid="{51D27FA2-8DDF-4369-BAF7-7D1FE90E16A0}" name="Column2" dataDxfId="15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51" totalsRowDxfId="15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53" totalsRowCount="1" headerRowDxfId="148" dataDxfId="147" headerRowCellStyle="Comma" dataCellStyle="Comma">
  <autoFilter ref="A1:K252" xr:uid="{11DACEC6-751B-4B1D-817F-5C5BCD38EF6D}"/>
  <tableColumns count="11">
    <tableColumn id="1" xr3:uid="{2FCE3FA8-A48C-4685-8919-AE44C6C71FD9}" name="Date" dataDxfId="146" dataCellStyle="Comma"/>
    <tableColumn id="2" xr3:uid="{5780FD5F-0890-44E6-B59C-8E37A559FE36}" name="Party Name" dataDxfId="145" dataCellStyle="Comma"/>
    <tableColumn id="3" xr3:uid="{5B3ECD85-9174-40AC-BFBD-49CAC97A83D3}" name="Bill Number" dataDxfId="144" dataCellStyle="Comma"/>
    <tableColumn id="4" xr3:uid="{11B50761-04B6-4262-AD4D-7182450037D1}" name="Quality" dataDxfId="143" dataCellStyle="Comma"/>
    <tableColumn id="5" xr3:uid="{2C556969-B713-4967-BD24-466AACCBE5F5}" name="Shipment Number" dataDxfId="142" totalsRowDxfId="6" dataCellStyle="Comma"/>
    <tableColumn id="6" xr3:uid="{F4E1FD2B-9017-4DEB-B772-BF447ECE56F7}" name="Kora/metre" dataDxfId="141" totalsRowDxfId="5" dataCellStyle="Comma"/>
    <tableColumn id="7" xr3:uid="{52ACC1DA-7A76-4A90-B809-3A1AE728E7EA}" name="Tiyaar/gaz" dataDxfId="140" totalsRowDxfId="4" dataCellStyle="Comma"/>
    <tableColumn id="8" xr3:uid="{31A0FF5E-56F0-44D1-9865-73256B964660}" name="shortage %" dataDxfId="139" totalsRowDxfId="3" dataCellStyle="Comma">
      <calculatedColumnFormula>_xlfn.XLOOKUP(Table1[[#This Row],[Shipment Number]], 'pivot '!A:A,'pivot '!G:G, "NF")</calculatedColumnFormula>
    </tableColumn>
    <tableColumn id="9" xr3:uid="{F99075E0-AC8E-094D-BB85-272AD2C6C568}" name="tiyar/meters" totalsRowFunction="custom" dataDxfId="138" totalsRowDxfId="2"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37" totalsRowDxfId="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36"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91" headerRowBorderDxfId="190" tableBorderDxfId="189">
  <autoFilter ref="A1:I126" xr:uid="{F8E8C957-ABE7-4E4F-8D4E-7D44E26B334F}"/>
  <tableColumns count="9">
    <tableColumn id="1" xr3:uid="{C2E817D6-AB98-4DDD-8890-736B27F261CD}" name="Date" dataDxfId="188" totalsRowDxfId="187"/>
    <tableColumn id="2" xr3:uid="{CFB51890-CCDC-463C-81C9-3F8BD7469CB9}" name="Party Name"/>
    <tableColumn id="3" xr3:uid="{A113D971-1C9D-4733-99C4-BD0CC4333209}" name="Vehicle Number"/>
    <tableColumn id="4" xr3:uid="{49780304-3DD1-4AE9-98EE-2BC7EB8F3B57}" name="Weight" dataDxfId="186" totalsRowDxfId="185" dataCellStyle="Comma"/>
    <tableColumn id="5" xr3:uid="{FCAF1BC6-1D8C-42AD-8BBC-F924BF2DC7FE}" name="Rate" dataDxfId="184" totalsRowDxfId="183" dataCellStyle="Comma"/>
    <tableColumn id="6" xr3:uid="{8C70A624-4134-410C-9C45-9FDEB51D51BF}" name="Rent" dataDxfId="182" totalsRowDxfId="181" dataCellStyle="Comma"/>
    <tableColumn id="7" xr3:uid="{EBCE10AE-9634-4982-9C95-37ABC8A7078C}" name="Total" totalsRowFunction="sum" dataDxfId="180" totalsRowDxfId="179" dataCellStyle="Comma">
      <calculatedColumnFormula>D2*E2</calculatedColumnFormula>
    </tableColumn>
    <tableColumn id="9" xr3:uid="{D4788559-C94A-44D9-B9AE-E72B214355AC}" name="Paid" totalsRowFunction="sum" dataDxfId="178" totalsRowDxfId="177" dataCellStyle="Comma"/>
    <tableColumn id="8" xr3:uid="{E26F5BF0-1875-4FC6-994D-49F202ED562B}" name="balance" totalsRowFunction="sum" dataDxfId="176" totalsRowDxfId="17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21" totalsRowCount="1">
  <autoFilter ref="A1:G820" xr:uid="{CB032221-B416-47A8-9A76-693DE76CFD04}"/>
  <sortState xmlns:xlrd2="http://schemas.microsoft.com/office/spreadsheetml/2017/richdata2" ref="A2:G647">
    <sortCondition ref="A1:A647"/>
  </sortState>
  <tableColumns count="7">
    <tableColumn id="1" xr3:uid="{554B1EED-65B6-4E9A-B646-82727FAC40DE}" name="Date" dataDxfId="134" totalsRowDxfId="65"/>
    <tableColumn id="2" xr3:uid="{32259059-42CF-4947-83DE-115AA430BE2B}" name="Party"/>
    <tableColumn id="3" xr3:uid="{A1320223-D55D-483C-91C3-AB19B95CC9D8}" name="Debit" totalsRowFunction="sum" dataDxfId="133" totalsRowDxfId="64" dataCellStyle="Comma"/>
    <tableColumn id="4" xr3:uid="{E9745767-9FF0-4B1C-9052-FF335D1D7588}" name="Credit" totalsRowFunction="sum" dataDxfId="132" totalsRowDxfId="63" dataCellStyle="Comma"/>
    <tableColumn id="5" xr3:uid="{5C88A48E-2467-4E6D-B626-2442B7FD0BE4}" name="Description"/>
    <tableColumn id="6" xr3:uid="{63CA4666-144E-4BE6-8B7C-7CB992BD3041}" name="Mode" totalsRowFunction="custom" dataDxfId="131" totalsRowDxfId="6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0" tableBorderDxfId="129" totalsRowBorderDxfId="128">
  <autoFilter ref="J3:K6" xr:uid="{DCE01694-23ED-48BF-8B92-4186B9ED10A8}"/>
  <tableColumns count="2">
    <tableColumn id="1" xr3:uid="{C8484DAF-2989-4C2F-9AEC-A6917E1C57F6}" name="Type" dataDxfId="127"/>
    <tableColumn id="2" xr3:uid="{B07B7A2A-4D4E-4654-BED6-FE2F0A7BEC34}" name="Amount" dataDxfId="12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5" headerRowBorderDxfId="124" tableBorderDxfId="123" totalsRowBorderDxfId="122">
  <autoFilter ref="M3:O6" xr:uid="{D166BDD1-ACD7-45D7-8AE9-7350373F8CEB}"/>
  <tableColumns count="3">
    <tableColumn id="1" xr3:uid="{64F0205E-DEA7-4571-BA86-E4374A5FEE28}" name="Type" totalsRowLabel="Total" dataDxfId="121" totalsRowDxfId="120"/>
    <tableColumn id="2" xr3:uid="{15FA05F9-789C-4459-9BE0-5C1EC84D3365}" name="amount" totalsRowFunction="custom" dataDxfId="119" totalsRowDxfId="118">
      <totalsRowFormula>SUM(N5:N6)</totalsRowFormula>
    </tableColumn>
    <tableColumn id="3" xr3:uid="{3681D409-90C6-44D0-BDE2-4B5943A516F0}" name="Actual" totalsRowFunction="custom" totalsRowDxfId="11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6" totalsRowDxfId="115"/>
    <tableColumn id="2" xr3:uid="{5B9D0FEE-4304-4C5C-A05C-5B27CF7841D3}" name="Type"/>
    <tableColumn id="3" xr3:uid="{6A91CA0D-C802-4C6F-9F39-CA53687E8EDE}" name="Description"/>
    <tableColumn id="4" xr3:uid="{A251D40C-AB87-4BB4-85F8-444B20E32FDF}" name="Total" totalsRowFunction="custom" dataDxfId="114" totalsRowDxfId="11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12" headerRowBorderDxfId="111">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10"/>
    <tableColumn id="4" xr3:uid="{1889A312-9B41-4EC4-BD8F-05252F27084A}" name="Price" totalsRowFunction="sum"/>
    <tableColumn id="6" xr3:uid="{8B974B20-F003-4E67-8660-024FA4F324A9}" name="Party"/>
    <tableColumn id="7" xr3:uid="{0A5A5C21-FD61-47DA-9F54-66A6479FA557}" name="Paid" totalsRowFunction="sum" dataDxfId="109">
      <calculatedColumnFormula>SUMIFS(Table14[Debit], Table14[Date], Table8[[#This Row],[Date]], Table14[Party], Table8[[#This Row],[Party]])</calculatedColumnFormula>
    </tableColumn>
    <tableColumn id="8" xr3:uid="{8DCB3B43-2161-4081-82EC-CDB0F4DE4E6F}" name="Balance" totalsRowFunction="sum" dataDxfId="10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3" totalsRowCount="1" headerRowDxfId="107" headerRowBorderDxfId="106">
  <autoFilter ref="A4:H52" xr:uid="{A4C80688-A8BA-4BA7-90B4-791CD99446B4}"/>
  <sortState xmlns:xlrd2="http://schemas.microsoft.com/office/spreadsheetml/2017/richdata2" ref="A5:H6">
    <sortCondition ref="A4:A6"/>
  </sortState>
  <tableColumns count="8">
    <tableColumn id="1" xr3:uid="{4A818912-918E-4111-ACFC-BC93FEF7C1AD}" name="Date" dataDxfId="105" totalsRowDxfId="66"/>
    <tableColumn id="8" xr3:uid="{477ACFD5-62AF-4F69-974B-E9B974C11D7D}" name="Party Name" dataDxfId="10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03">
      <calculatedColumnFormula>Table2[[#This Row],[Quantity]]*200*Table2[[#This Row],[Boxes]]</calculatedColumnFormula>
    </tableColumn>
    <tableColumn id="6" xr3:uid="{30432929-CBD4-4BA8-B63F-CD0F6CF6405F}" name="Paid" totalsRowFunction="sum" dataDxfId="102">
      <calculatedColumnFormula>SUMIFS(Table14[Debit], Table14[Date], Table2[[#This Row],[Date]], Table14[Party], Table2[[#This Row],[Party Name]])</calculatedColumnFormula>
    </tableColumn>
    <tableColumn id="7" xr3:uid="{BB689DF2-5D1E-436D-84C4-9745D88E8F3D}" name="Balance" totalsRowFunction="sum" dataDxfId="10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00" totalsRowDxfId="9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8" totalsRowDxfId="97"/>
    <tableColumn id="2" xr3:uid="{053BFC14-4828-417C-9F9F-95B6E232A945}" name="Amount" totalsRowFunction="custom" dataDxfId="96" totalsRowDxfId="9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94" totalsRowDxfId="9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92" totalsRowDxfId="91">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90" totalsRowDxfId="89">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88" totalsRowDxfId="87">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86" totalsRowDxfId="85">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84">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6" totalsRowCount="1">
  <autoFilter ref="B2:E75" xr:uid="{4694C645-BA0B-477E-AE5E-02046C12E841}"/>
  <tableColumns count="4">
    <tableColumn id="1" xr3:uid="{1D391A77-9D14-4B37-AD91-EEEDC97B6A4E}" name="Date" dataDxfId="74" totalsRowDxfId="7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7" totalsRowCount="1">
  <autoFilter ref="H2:J76" xr:uid="{A7265B0E-A50D-4BC5-9C1C-E62AF5B48CAF}"/>
  <tableColumns count="3">
    <tableColumn id="1" xr3:uid="{AB5830E5-ECCF-4406-AB96-EB98EE86F300}" name="Date" dataDxfId="72" totalsRowDxfId="7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70">
      <calculatedColumnFormula>Billing!R5</calculatedColumnFormula>
    </tableColumn>
    <tableColumn id="2" xr3:uid="{7093A59E-B58F-487D-888A-9AA8156B5F9A}" name="Amount Paid" dataDxfId="69">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68">
      <calculatedColumnFormula>G2</calculatedColumnFormula>
    </tableColumn>
    <tableColumn id="2" xr3:uid="{F72CFEEB-BA11-4A49-BD19-88592EB6A27C}" name="Credit" dataDxfId="6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topLeftCell="A2" zoomScaleNormal="100" workbookViewId="0">
      <selection activeCell="X39" sqref="X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1083286.3935625458</v>
      </c>
      <c r="D2">
        <v>10</v>
      </c>
      <c r="E2" s="14">
        <f>(SUMIFS(ledger!G:G, ledger!B:B, B2, ledger!E:E, "&lt;&gt;*RD*",ledger!D:D, "Silky") / 1.0936)*12 + (SUMIFS(ledger!G:G, ledger!B:B, B2, ledger!E:E, "&lt;&gt;*RD*",ledger!D:D, "Chamki") / 1.0936)*10</f>
        <v>8513663.1309436727</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4837448.8824000005</v>
      </c>
      <c r="T5" s="22" cm="1">
        <f t="array" ref="T5">_xlfn.BYROW(B49, _xlfn.LAMBDA(_xlpm.party, SUMIFS(ledger!G:G, ledger!B:B, _xlpm.party, ledger!E:E, "&lt;&gt;*RD*") / 1.0936 ))+_xlfn.IFNA(D98,0)</f>
        <v>4423417.0468178494</v>
      </c>
      <c r="U5" s="22" cm="1">
        <f t="array" ref="U5">(_xlfn.BYROW(B49,_xlfn.LAMBDA(_xlpm.party,SUMIFS(ledger!G:G,ledger!B:B,_xlpm.party,ledger!E:E,"&lt;&gt;*RD*",ledger!D:D,"Chamki")+SUMIFS(ledger!G:G, ledger!B:B, _xlpm.party, ledger!E:E, "&lt;&gt;*RD*", ledger!D:D, "Crinkle")))/1.0936)+_xlfn.IFNA(E98,0)</f>
        <v>3473163.7549378201</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34731637.549378209</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46609829.758595474</v>
      </c>
      <c r="AF5" s="22">
        <f>(SUMIF(Table14[Party],#REF!,Table14[Credit]))+_xlfn.IFNA(P98,0)</f>
        <v>19750734</v>
      </c>
      <c r="AG5" s="33">
        <f>AE5-AF5</f>
        <v>26859095.758595474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9775501</v>
      </c>
      <c r="AG7" s="33">
        <f t="shared" si="2"/>
        <v>37106.900512069464</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31562087.600585222</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31562087.600585222</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4110477</v>
      </c>
      <c r="AG25" s="33">
        <f t="shared" si="2"/>
        <v>311552.9926847117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1773500</v>
      </c>
      <c r="AG27" s="33">
        <f t="shared" si="2"/>
        <v>132279.07827359205</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490216</v>
      </c>
      <c r="T36" s="22" cm="1">
        <f t="array" ref="T36">_xlfn.BYROW(B80, _xlfn.LAMBDA(_xlpm.party, SUMIFS(ledger!G:G, ledger!B:B, _xlpm.party, ledger!E:E, "&lt;&gt;*RD*") / 1.0936 ))+_xlfn.IFNA(D129,0)</f>
        <v>448258.96122896858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306760.24140453548</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3987883.1382589615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5625906.1814191667</v>
      </c>
      <c r="AF36" s="22">
        <f>(SUMIF(Table14[Party],R36,Table14[Credit]))+_xlfn.IFNA(P129,0)</f>
        <v>5245323.4930504756</v>
      </c>
      <c r="AG36" s="33">
        <f t="shared" si="2"/>
        <v>380582.68836869113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t="str">
        <v>Farhaan ali</v>
      </c>
      <c r="S39" s="22" cm="1">
        <f t="array" ref="S39">_xlfn.BYROW(B83,_xlfn.LAMBDA(_xlpm.party,SUMIFS(ledger!G:G,ledger!B:B,_xlpm.party,ledger!E:E,"&lt;&gt;*RD*")))+_xlfn.IFNA(C132,0)</f>
        <v>163883</v>
      </c>
      <c r="T39" s="22" cm="1">
        <f t="array" ref="T39">_xlfn.BYROW(B83, _xlfn.LAMBDA(_xlpm.party, SUMIFS(ledger!G:G, ledger!B:B, _xlpm.party, ledger!E:E, "&lt;&gt;*RD*") / 1.0936 ))+_xlfn.IFNA(D132,0)</f>
        <v>149856.43745427945</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149856.43745427945</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1798277.2494513534</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1798277.2494513534</v>
      </c>
      <c r="AF39" s="22">
        <f>(SUMIF(Table14[Party],R39,Table14[Credit]))+_xlfn.IFNA(P132,0)</f>
        <v>0</v>
      </c>
      <c r="AG39" s="33">
        <f t="shared" ref="AG39:AG40" si="6">AE39-AF39</f>
        <v>1798277.2494513534</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1184682</v>
      </c>
      <c r="D49" s="22" cm="1">
        <f t="array" ref="D49:D84">_xlfn.BYROW(_xlfn.ANCHORARRAY(B49), _xlfn.LAMBDA(_xlpm.party, SUMIFS(ledger!G:G, ledger!B:B, _xlpm.party, ledger!E:E, "&lt;&gt;*RD*") / 1.0936 ))</f>
        <v>1083286.3935625458</v>
      </c>
      <c r="E49" s="63" cm="1">
        <f t="array" ref="E49:E84">(_xlfn.BYROW(_xlfn.ANCHORARRAY(B49),_xlfn.LAMBDA(_xlpm.party,SUMIFS(ledger!G:G,ledger!B:B,_xlpm.party,ledger!E:E,"&lt;&gt;*RD*",ledger!D:D,"Chamki")+SUMIFS(ledger!G:G, ledger!B:B, _xlpm.party, ledger!E:E, "&lt;&gt;*RD*", ledger!D:D, "Crinkle")))/1.0936)</f>
        <v>705579.73664959776</v>
      </c>
      <c r="F49" s="63" cm="1">
        <f t="array" ref="F49:F84">(_xlfn.BYROW(_xlfn.ANCHORARRAY(B49),_xlfn.LAMBDA(_xlpm.party,SUMIFS(ledger!G:G,ledger!B:B,_xlpm.party,ledger!E:E,"&lt;&gt;*RD*",ledger!D:D,"Silky")))/1.0936)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7055797.3664959781</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11602269.568397952</v>
      </c>
      <c r="P49" s="22">
        <f>(SUMIF(Table14[Party],B49,Table14[Credit]))</f>
        <v>0</v>
      </c>
      <c r="Q49" s="37">
        <f t="shared" ref="Q49:Q80" si="9">O49-P49</f>
        <v>11602269.568397952</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1283000</v>
      </c>
      <c r="Q51" s="37">
        <f t="shared" si="9"/>
        <v>-74386.247256766539</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1083286.3935625458</v>
      </c>
      <c r="X58" s="18">
        <v>8513663.1309436727</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485340</v>
      </c>
      <c r="Q69" s="37">
        <f t="shared" si="9"/>
        <v>279793.50402340898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358000</v>
      </c>
      <c r="Q71" s="37">
        <f t="shared" si="9"/>
        <v>92934.528163862531</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1735274.3233357717</v>
      </c>
      <c r="X75" s="14">
        <v>15068483.906364303</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490216</v>
      </c>
      <c r="D80">
        <v>448258.96122896858</v>
      </c>
      <c r="E80">
        <v>0</v>
      </c>
      <c r="F80">
        <v>306760.24140453548</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3987883.1382589615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5625906.1814191667</v>
      </c>
      <c r="P80" s="22">
        <f>SUMIF(Table14[Party], B80, Table14[Credit])</f>
        <v>5245323.4930504756</v>
      </c>
      <c r="Q80" s="37">
        <f t="shared" si="9"/>
        <v>380582.68836869113</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1117008.0468178494</v>
      </c>
      <c r="P82" s="22">
        <f>SUMIF(Table14[Party], B82, Table14[Credit])</f>
        <v>0</v>
      </c>
      <c r="Q82" s="37">
        <f t="shared" ref="Q82:Q83" si="12">O82-P82</f>
        <v>1117008.0468178494</v>
      </c>
    </row>
    <row r="83" spans="1:17" x14ac:dyDescent="0.3">
      <c r="B83" t="str">
        <v>Farhaan ali</v>
      </c>
      <c r="C83">
        <v>163883</v>
      </c>
      <c r="D83">
        <v>149856.43745427945</v>
      </c>
      <c r="E83">
        <v>0</v>
      </c>
      <c r="F83">
        <v>149856.43745427945</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1798277.2494513534</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1798277.2494513534</v>
      </c>
      <c r="P83" s="22">
        <f>SUMIF(Table14[Party], B83, Table14[Credit])</f>
        <v>0</v>
      </c>
      <c r="Q83" s="37">
        <f t="shared" si="12"/>
        <v>1798277.2494513534</v>
      </c>
    </row>
    <row r="84" spans="1:17" x14ac:dyDescent="0.3">
      <c r="B84" t="str">
        <v>ACM salman zaffar</v>
      </c>
      <c r="C84">
        <v>20731</v>
      </c>
      <c r="D84">
        <v>18956.656912948063</v>
      </c>
      <c r="E84">
        <v>18956.656912948063</v>
      </c>
      <c r="F84">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3">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4">G100+H100+I100+J100+K100+L100+M100</f>
        <v>8603994.1477688365</v>
      </c>
      <c r="P100" s="22">
        <f>_xlfn.XLOOKUP($B51,[1]Billing!$Q$5:$Q$40,[1]Billing!$AD$5:$AD$40)</f>
        <v>8492501</v>
      </c>
      <c r="Q100" s="37">
        <f t="shared" si="13"/>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4"/>
        <v>1354241.9972933433</v>
      </c>
      <c r="P101" s="22">
        <f>_xlfn.XLOOKUP($B52,[1]Billing!$Q$5:$Q$40,[1]Billing!$AD$5:$AD$40)</f>
        <v>1353710</v>
      </c>
      <c r="Q101" s="37">
        <f t="shared" si="13"/>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4"/>
        <v>11478764.23847842</v>
      </c>
      <c r="P102" s="22">
        <f>_xlfn.XLOOKUP($B53,[1]Billing!$Q$5:$Q$40,[1]Billing!$AD$5:$AD$40)</f>
        <v>11478764</v>
      </c>
      <c r="Q102" s="37">
        <f t="shared" si="13"/>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4"/>
        <v>9816608.449158743</v>
      </c>
      <c r="P103" s="22">
        <f>_xlfn.XLOOKUP($B54,[1]Billing!$Q$5:$Q$40,[1]Billing!$AD$5:$AD$40)</f>
        <v>9609871</v>
      </c>
      <c r="Q103" s="37">
        <f t="shared" si="13"/>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4"/>
        <v>1626380.7607900514</v>
      </c>
      <c r="P104" s="22">
        <f>_xlfn.XLOOKUP($B55,[1]Billing!$Q$5:$Q$40,[1]Billing!$AD$5:$AD$40)</f>
        <v>1526321</v>
      </c>
      <c r="Q104" s="37">
        <f t="shared" si="13"/>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4"/>
        <v>7403071.5069495253</v>
      </c>
      <c r="P105" s="22">
        <f>_xlfn.XLOOKUP($B56,[1]Billing!$Q$5:$Q$40,[1]Billing!$AD$5:$AD$40)</f>
        <v>7402540</v>
      </c>
      <c r="Q105" s="37">
        <f t="shared" si="13"/>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4"/>
        <v>1909464.1550841257</v>
      </c>
      <c r="P106" s="22">
        <f>_xlfn.XLOOKUP($B57,[1]Billing!$Q$5:$Q$40,[1]Billing!$AD$5:$AD$40)</f>
        <v>1908190</v>
      </c>
      <c r="Q106" s="37">
        <f t="shared" si="13"/>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4"/>
        <v>255724.21360643749</v>
      </c>
      <c r="P107" s="22">
        <f>_xlfn.XLOOKUP($B58,[1]Billing!$Q$5:$Q$40,[1]Billing!$AD$5:$AD$40)</f>
        <v>130000</v>
      </c>
      <c r="Q107" s="37">
        <f t="shared" si="13"/>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4"/>
        <v>4157159.8390636435</v>
      </c>
      <c r="P108" s="22">
        <f>_xlfn.XLOOKUP($B59,[1]Billing!$Q$5:$Q$40,[1]Billing!$AD$5:$AD$40)</f>
        <v>4146179</v>
      </c>
      <c r="Q108" s="37">
        <f t="shared" si="13"/>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4"/>
        <v>6637699.3416239955</v>
      </c>
      <c r="P109" s="22">
        <f>_xlfn.XLOOKUP($B60,[1]Billing!$Q$5:$Q$40,[1]Billing!$AD$5:$AD$40)</f>
        <v>6545761</v>
      </c>
      <c r="Q109" s="37">
        <f t="shared" si="13"/>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4"/>
        <v>1214045.3547915143</v>
      </c>
      <c r="P110" s="22">
        <f>_xlfn.XLOOKUP($B61,[1]Billing!$Q$5:$Q$40,[1]Billing!$AD$5:$AD$40)</f>
        <v>1214045</v>
      </c>
      <c r="Q110" s="37">
        <f t="shared" si="13"/>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4"/>
        <v>483851.49963423557</v>
      </c>
      <c r="P111" s="22">
        <f>_xlfn.XLOOKUP($B62,[1]Billing!$Q$5:$Q$40,[1]Billing!$AD$5:$AD$40)</f>
        <v>480000</v>
      </c>
      <c r="Q111" s="37">
        <f t="shared" si="13"/>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4"/>
        <v>89155.084125822978</v>
      </c>
      <c r="P112" s="22">
        <f>_xlfn.XLOOKUP($B63,[1]Billing!$Q$5:$Q$40,[1]Billing!$AD$5:$AD$40)</f>
        <v>95000</v>
      </c>
      <c r="Q112" s="37">
        <f t="shared" si="13"/>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4"/>
        <v>594404.71836137539</v>
      </c>
      <c r="P113" s="22">
        <f>_xlfn.XLOOKUP($B64,[1]Billing!$Q$5:$Q$40,[1]Billing!$AD$5:$AD$40)</f>
        <v>594405</v>
      </c>
      <c r="Q113" s="37">
        <f t="shared" si="13"/>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4"/>
        <v>6091484.0892465264</v>
      </c>
      <c r="P114" s="22">
        <f>_xlfn.XLOOKUP($B65,[1]Billing!$Q$5:$Q$40,[1]Billing!$AD$5:$AD$40)</f>
        <v>6024187</v>
      </c>
      <c r="Q114" s="37">
        <f t="shared" si="13"/>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4"/>
        <v>836016.82516459411</v>
      </c>
      <c r="P115" s="22">
        <f>_xlfn.XLOOKUP($B66,[1]Billing!$Q$5:$Q$40,[1]Billing!$AD$5:$AD$40)</f>
        <v>835660</v>
      </c>
      <c r="Q115" s="37">
        <f t="shared" si="13"/>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4"/>
        <v>4213776.5179224582</v>
      </c>
      <c r="P116" s="22">
        <f>_xlfn.XLOOKUP($B67,[1]Billing!$Q$5:$Q$40,[1]Billing!$AD$5:$AD$40)</f>
        <v>4417830</v>
      </c>
      <c r="Q116" s="37">
        <f t="shared" si="13"/>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4"/>
        <v>3269779.6269202633</v>
      </c>
      <c r="P117" s="22">
        <f>_xlfn.XLOOKUP($B68,[1]Billing!$Q$5:$Q$40,[1]Billing!$AD$5:$AD$40)</f>
        <v>3296025</v>
      </c>
      <c r="Q117" s="37">
        <f t="shared" si="13"/>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4"/>
        <v>3656896.4886613023</v>
      </c>
      <c r="P118" s="22">
        <f>_xlfn.XLOOKUP($B69,[1]Billing!$Q$5:$Q$40,[1]Billing!$AD$5:$AD$40)</f>
        <v>3625137</v>
      </c>
      <c r="Q118" s="37">
        <f t="shared" si="13"/>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4"/>
        <v>424323.335771763</v>
      </c>
      <c r="P119" s="22">
        <f>_xlfn.XLOOKUP($B70,[1]Billing!$Q$5:$Q$40,[1]Billing!$AD$5:$AD$40)</f>
        <v>424323</v>
      </c>
      <c r="Q119" s="37">
        <f t="shared" si="13"/>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4"/>
        <v>1454844.5501097296</v>
      </c>
      <c r="P120" s="22">
        <f>_xlfn.XLOOKUP($B71,[1]Billing!$Q$5:$Q$40,[1]Billing!$AD$5:$AD$40)</f>
        <v>1415500</v>
      </c>
      <c r="Q120" s="37">
        <f t="shared" si="13"/>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4"/>
        <v>124561.08266276518</v>
      </c>
      <c r="P121" s="22">
        <f>_xlfn.XLOOKUP($B72,[1]Billing!$Q$5:$Q$40,[1]Billing!$AD$5:$AD$40)</f>
        <v>124560</v>
      </c>
      <c r="Q121" s="37">
        <f t="shared" si="13"/>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4"/>
        <v>385138.07607900514</v>
      </c>
      <c r="P122" s="22">
        <f>_xlfn.XLOOKUP($B73,[1]Billing!$Q$5:$Q$40,[1]Billing!$AD$5:$AD$40)</f>
        <v>250000</v>
      </c>
      <c r="Q122" s="37">
        <f t="shared" si="13"/>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4"/>
        <v>151504.2062911485</v>
      </c>
      <c r="P123" s="22">
        <f>_xlfn.XLOOKUP($B74,[1]Billing!$Q$5:$Q$40,[1]Billing!$AD$5:$AD$40)</f>
        <v>0</v>
      </c>
      <c r="Q123" s="37">
        <f t="shared" si="13"/>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4"/>
        <v>2089305.9619604978</v>
      </c>
      <c r="P124" s="22">
        <f>_xlfn.XLOOKUP($B75,[1]Billing!$Q$5:$Q$40,[1]Billing!$AD$5:$AD$40)</f>
        <v>1300000</v>
      </c>
      <c r="Q124" s="37">
        <f t="shared" si="13"/>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4"/>
        <v>595924.46964155091</v>
      </c>
      <c r="P125" s="22">
        <f>_xlfn.XLOOKUP($B76,[1]Billing!$Q$5:$Q$40,[1]Billing!$AD$5:$AD$40)</f>
        <v>550000</v>
      </c>
      <c r="Q125" s="37">
        <f t="shared" si="13"/>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4"/>
        <v>636460.3145574251</v>
      </c>
      <c r="P126" s="22">
        <f>_xlfn.XLOOKUP($B77,[1]Billing!$Q$5:$Q$40,[1]Billing!$AD$5:$AD$40)</f>
        <v>636000</v>
      </c>
      <c r="Q126" s="37">
        <f t="shared" si="13"/>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4"/>
        <v>15855.888807607902</v>
      </c>
      <c r="P127" s="22">
        <f>_xlfn.XLOOKUP($B78,[1]Billing!$Q$5:$Q$40,[1]Billing!$AD$5:$AD$40)</f>
        <v>15855</v>
      </c>
      <c r="Q127" s="37">
        <f t="shared" si="13"/>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4"/>
        <v>#N/A</v>
      </c>
      <c r="P128" s="22" t="e">
        <f>_xlfn.XLOOKUP($B79,[1]Billing!$Q$5:$Q$40,[1]Billing!$AD$5:$AD$40)</f>
        <v>#N/A</v>
      </c>
      <c r="Q128" s="37" t="e">
        <f t="shared" si="13"/>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5">G129+H129+I129+J129+K129+L129+M129</f>
        <v>#N/A</v>
      </c>
      <c r="P129" s="22" t="e">
        <f>_xlfn.XLOOKUP($B80,[1]Billing!$Q$5:$Q$40,[1]Billing!$AD$5:$AD$40)</f>
        <v>#N/A</v>
      </c>
      <c r="Q129" s="37" t="e">
        <f t="shared" ref="Q129:Q132" si="16">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5"/>
        <v>#N/A</v>
      </c>
      <c r="P130" s="22" t="e">
        <f>_xlfn.XLOOKUP($B81,[1]Billing!$Q$5:$Q$40,[1]Billing!$AD$5:$AD$40)</f>
        <v>#N/A</v>
      </c>
      <c r="Q130" s="37" t="e">
        <f t="shared" si="16"/>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5"/>
        <v>#N/A</v>
      </c>
      <c r="P131" s="22" t="e">
        <f>_xlfn.XLOOKUP($B82,[1]Billing!$Q$5:$Q$40,[1]Billing!$AD$5:$AD$40)</f>
        <v>#N/A</v>
      </c>
      <c r="Q131" s="37" t="e">
        <f t="shared" si="16"/>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5"/>
        <v>#N/A</v>
      </c>
      <c r="P132" s="22" t="e">
        <f>_xlfn.XLOOKUP($B83,[1]Billing!$Q$5:$Q$40,[1]Billing!$AD$5:$AD$40)</f>
        <v>#N/A</v>
      </c>
      <c r="Q132" s="37" t="e">
        <f t="shared" si="16"/>
        <v>#N/A</v>
      </c>
    </row>
    <row r="133" spans="2:17" x14ac:dyDescent="0.3">
      <c r="B133" t="str">
        <v>ACM 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4110477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311552.9926847117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sheetData>
  <conditionalFormatting sqref="E20">
    <cfRule type="cellIs" dxfId="60" priority="1" operator="lessThan">
      <formula>20000</formula>
    </cfRule>
    <cfRule type="cellIs" dxfId="5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13435715</v>
      </c>
      <c r="D4" t="s">
        <v>189</v>
      </c>
      <c r="E4" s="43">
        <f ca="1">Table12[[#This Row],[Amount]]/Table1[[#Totals],[tiyar/meters]]</f>
        <v>4.7695029125091635</v>
      </c>
    </row>
    <row r="5" spans="1:5" x14ac:dyDescent="0.3">
      <c r="B5" t="s">
        <v>48</v>
      </c>
      <c r="C5" s="11">
        <f>SUM(Table8[Price])+(301660)</f>
        <v>3180915</v>
      </c>
      <c r="E5" s="43">
        <f ca="1">Table12[[#This Row],[Amount]]/Table1[[#Totals],[tiyar/meters]]</f>
        <v>1.1291831775937555</v>
      </c>
    </row>
    <row r="6" spans="1:5" x14ac:dyDescent="0.3">
      <c r="B6" t="s">
        <v>49</v>
      </c>
      <c r="C6" s="11">
        <f>SUM(Table2[Price])</f>
        <v>1260550</v>
      </c>
      <c r="D6" t="s">
        <v>188</v>
      </c>
      <c r="E6" s="43">
        <f ca="1">Table12[[#This Row],[Amount]]/Table1[[#Totals],[tiyar/meters]]</f>
        <v>0.44747874574322438</v>
      </c>
    </row>
    <row r="7" spans="1:5" x14ac:dyDescent="0.3">
      <c r="B7" t="s">
        <v>50</v>
      </c>
      <c r="C7" s="11">
        <f>SUMIFS(Table14[Debit], Table14[Party],Table12[[#This Row],[Type]])</f>
        <v>130030</v>
      </c>
      <c r="E7" s="43">
        <f ca="1">Table12[[#This Row],[Amount]]/Table1[[#Totals],[tiyar/meters]]</f>
        <v>4.6158947530039636E-2</v>
      </c>
    </row>
    <row r="8" spans="1:5" x14ac:dyDescent="0.3">
      <c r="B8" t="s">
        <v>51</v>
      </c>
      <c r="C8" s="11">
        <f>Electricity!E5</f>
        <v>3500011</v>
      </c>
      <c r="E8" s="43">
        <f ca="1">Table12[[#This Row],[Amount]]/Table1[[#Totals],[tiyar/meters]]</f>
        <v>1.2424580797013116</v>
      </c>
    </row>
    <row r="9" spans="1:5" x14ac:dyDescent="0.3">
      <c r="B9" t="s">
        <v>52</v>
      </c>
      <c r="C9" s="11">
        <f>SUMIFS(Table14[Debit], Table14[Party],Table12[[#This Row],[Type]])+SUMIFS(Table14[Debit], Table14[Party],"Advance Salary")</f>
        <v>5102653</v>
      </c>
      <c r="E9" s="43">
        <f ca="1">Table12[[#This Row],[Amount]]/Table1[[#Totals],[tiyar/meters]]</f>
        <v>1.8113750064677332</v>
      </c>
    </row>
    <row r="10" spans="1:5" x14ac:dyDescent="0.3">
      <c r="B10" t="s">
        <v>53</v>
      </c>
      <c r="C10" s="11">
        <f>Table5[[#Totals],[Amount]]</f>
        <v>245140</v>
      </c>
      <c r="E10" s="43">
        <f ca="1">Table12[[#This Row],[Amount]]/Table1[[#Totals],[tiyar/meters]]</f>
        <v>8.7021490406167162E-2</v>
      </c>
    </row>
    <row r="11" spans="1:5" x14ac:dyDescent="0.3">
      <c r="B11" t="s">
        <v>54</v>
      </c>
      <c r="C11" s="11">
        <f>Table13[[#Totals],[Debit]]</f>
        <v>126926</v>
      </c>
      <c r="E11" s="43">
        <f ca="1">Table12[[#This Row],[Amount]]/Table1[[#Totals],[tiyar/meters]]</f>
        <v>4.5057068170405376E-2</v>
      </c>
    </row>
    <row r="12" spans="1:5" x14ac:dyDescent="0.3">
      <c r="B12" t="s">
        <v>55</v>
      </c>
      <c r="C12" s="11">
        <f>Table15[[#Totals],[Amount]]</f>
        <v>1279522</v>
      </c>
      <c r="E12" s="43">
        <f ca="1">Table12[[#This Row],[Amount]]/Table1[[#Totals],[tiyar/meters]]</f>
        <v>0.45421355734470026</v>
      </c>
    </row>
    <row r="13" spans="1:5" x14ac:dyDescent="0.3">
      <c r="C13" s="11"/>
      <c r="E13" s="43">
        <f ca="1">Table12[[#This Row],[Amount]]/Table1[[#Totals],[tiyar/meters]]</f>
        <v>0</v>
      </c>
    </row>
    <row r="14" spans="1:5" x14ac:dyDescent="0.3">
      <c r="C14" s="14">
        <f>SUM(Table12[Amount])</f>
        <v>28261462</v>
      </c>
      <c r="E14" s="43">
        <f ca="1">SUM(Table12[cost per meter])</f>
        <v>10.0324489854665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31562087.600585222</v>
      </c>
    </row>
    <row r="4" spans="1:3" x14ac:dyDescent="0.3">
      <c r="B4" s="11" t="s">
        <v>44</v>
      </c>
      <c r="C4" s="11">
        <f>Table12[[#Totals],[Amount]]</f>
        <v>28261462</v>
      </c>
    </row>
    <row r="5" spans="1:3" x14ac:dyDescent="0.3">
      <c r="A5" s="6"/>
      <c r="B5" s="15" t="s">
        <v>68</v>
      </c>
      <c r="C5" s="15">
        <f>C3-C4</f>
        <v>3300625.6005852222</v>
      </c>
    </row>
    <row r="10" spans="1:3" ht="15" thickBot="1" x14ac:dyDescent="0.35">
      <c r="B10" t="s">
        <v>66</v>
      </c>
      <c r="C10" s="14" t="s">
        <v>67</v>
      </c>
    </row>
    <row r="11" spans="1:3" x14ac:dyDescent="0.3">
      <c r="B11" s="56" t="s">
        <v>0</v>
      </c>
      <c r="C11" s="57">
        <f>C3</f>
        <v>31562087.600585222</v>
      </c>
    </row>
    <row r="12" spans="1:3" x14ac:dyDescent="0.3">
      <c r="B12" s="58" t="s">
        <v>69</v>
      </c>
      <c r="C12" s="59">
        <f>SUM(Table14[Credit])</f>
        <v>38233168.229517192</v>
      </c>
    </row>
    <row r="13" spans="1:3" ht="15" thickBot="1" x14ac:dyDescent="0.35">
      <c r="B13" s="74" t="s">
        <v>93</v>
      </c>
      <c r="C13" s="73">
        <f>(C11-C12)</f>
        <v>-6671080.6289319694</v>
      </c>
    </row>
    <row r="14" spans="1:3" ht="15" thickBot="1" x14ac:dyDescent="0.35">
      <c r="B14" s="58"/>
      <c r="C14" s="59"/>
    </row>
    <row r="15" spans="1:3" x14ac:dyDescent="0.3">
      <c r="B15" s="56" t="s">
        <v>44</v>
      </c>
      <c r="C15" s="57">
        <f>C4</f>
        <v>28261462</v>
      </c>
    </row>
    <row r="16" spans="1:3" x14ac:dyDescent="0.3">
      <c r="B16" s="58" t="s">
        <v>70</v>
      </c>
      <c r="C16" s="59">
        <f>SUM(Table14[Debit])</f>
        <v>38214209.399999999</v>
      </c>
    </row>
    <row r="17" spans="2:6" ht="15" thickBot="1" x14ac:dyDescent="0.35">
      <c r="B17" s="74" t="s">
        <v>71</v>
      </c>
      <c r="C17" s="73">
        <f>C15-C16</f>
        <v>-9952747.3999999985</v>
      </c>
    </row>
    <row r="18" spans="2:6" ht="15" thickBot="1" x14ac:dyDescent="0.35">
      <c r="B18" s="58"/>
      <c r="C18" s="59"/>
    </row>
    <row r="19" spans="2:6" ht="15" thickBot="1" x14ac:dyDescent="0.35">
      <c r="B19" s="75" t="s">
        <v>72</v>
      </c>
      <c r="C19" s="76">
        <f>Table18[[#Totals],[amount]]</f>
        <v>26472.829517193139</v>
      </c>
    </row>
    <row r="20" spans="2:6" ht="15" thickBot="1" x14ac:dyDescent="0.35">
      <c r="B20" s="71"/>
      <c r="C20" s="72"/>
    </row>
    <row r="21" spans="2:6" ht="15" thickBot="1" x14ac:dyDescent="0.35">
      <c r="B21" s="60" t="s">
        <v>73</v>
      </c>
      <c r="C21" s="61">
        <f>(C13-C17)+C19</f>
        <v>3308139.6005852222</v>
      </c>
      <c r="E21" s="79" t="s">
        <v>74</v>
      </c>
      <c r="F21" s="125">
        <f>C5*0.05</f>
        <v>165031.28002926114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3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abSelected="1" topLeftCell="A214" zoomScale="107" zoomScaleNormal="107" workbookViewId="0">
      <selection activeCell="L230" sqref="L23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44">
        <v>46130</v>
      </c>
      <c r="B196" s="145" t="s">
        <v>377</v>
      </c>
      <c r="C196" s="146">
        <v>1634</v>
      </c>
      <c r="D196" s="146" t="s">
        <v>85</v>
      </c>
      <c r="E196" s="147">
        <v>2158</v>
      </c>
      <c r="F196" s="147">
        <v>29532</v>
      </c>
      <c r="G196" s="147">
        <v>31473</v>
      </c>
      <c r="H196" s="148">
        <f>_xlfn.XLOOKUP(Table1[[#This Row],[Shipment Number]], 'pivot '!A:A,'pivot '!G:G, "NF")</f>
        <v>2.5488921989175992</v>
      </c>
      <c r="I196" s="149">
        <f>Table1[[#This Row],[Tiyaar/gaz]]/1.0936</f>
        <v>28779.261155815657</v>
      </c>
      <c r="J196" s="14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6"/>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c r="B253"/>
      <c r="C253"/>
      <c r="D253"/>
      <c r="E253" s="14"/>
      <c r="F253" s="14"/>
      <c r="G253" s="14"/>
      <c r="H253" s="43"/>
      <c r="I253" s="93" cm="1">
        <f t="array" aca="1" ref="I253" ca="1">SUMPRODUCT( SUBTOTAL(109, OFFSET(Table1[tiyar/meters], ROW(Table1[tiyar/meters])-MIN(ROW(Table1[tiyar/meters])), 0, 1)), --(Table1[Bill Number]&lt;&gt;"January Closing CF") )</f>
        <v>2817005.3035844932</v>
      </c>
      <c r="J253" s="43" cm="1">
        <f t="array" aca="1" ref="J253" ca="1">SUMPRODUCT( SUBTOTAL(109, OFFSET(Table1[billing], ROW(Table1[billing])-MIN(ROW(Table1[billing])), 0, 1)), --(Table1[Bill Number]&lt;&gt;"January Closing CF") )</f>
        <v>31751654.169714723</v>
      </c>
      <c r="K253" s="14">
        <f>SUMIFS(Table1[billing], Table1[Bill Number], "&lt;&gt;January Closing CF")</f>
        <v>31751654.169714723</v>
      </c>
    </row>
  </sheetData>
  <phoneticPr fontId="7" alignment="center"/>
  <conditionalFormatting sqref="H2:H253">
    <cfRule type="cellIs" dxfId="5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68" zoomScale="145" zoomScaleNormal="90" workbookViewId="0">
      <selection activeCell="C83" sqref="C8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12625715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1100</v>
      </c>
      <c r="F67" s="11">
        <v>82600</v>
      </c>
      <c r="G67" s="11">
        <f t="shared" si="2"/>
        <v>457600</v>
      </c>
      <c r="H67" s="11"/>
      <c r="I67" s="11">
        <f>(D67*E67)-Table3[[#This Row],[Paid]]</f>
        <v>457600</v>
      </c>
      <c r="L67" s="42" t="s">
        <v>103</v>
      </c>
      <c r="M67" s="14">
        <v>285</v>
      </c>
      <c r="N67" s="14">
        <v>280020</v>
      </c>
      <c r="O67" s="14"/>
      <c r="P67" s="14">
        <v>280020</v>
      </c>
    </row>
    <row r="68" spans="1:16" x14ac:dyDescent="0.3">
      <c r="A68" s="1">
        <v>46142</v>
      </c>
      <c r="B68" t="s">
        <v>181</v>
      </c>
      <c r="D68" s="11">
        <v>245</v>
      </c>
      <c r="E68" s="11">
        <v>920</v>
      </c>
      <c r="F68" s="11"/>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t="s">
        <v>28</v>
      </c>
      <c r="M74" s="14">
        <v>14754</v>
      </c>
      <c r="N74" s="14">
        <v>12625715</v>
      </c>
      <c r="O74" s="14">
        <v>0</v>
      </c>
      <c r="P74" s="14">
        <v>16679741</v>
      </c>
    </row>
    <row r="75" spans="1:16" x14ac:dyDescent="0.3">
      <c r="A75" s="1">
        <v>46147</v>
      </c>
      <c r="B75" t="s">
        <v>224</v>
      </c>
      <c r="D75" s="11">
        <f>217-35</f>
        <v>182</v>
      </c>
      <c r="E75" s="11">
        <v>1060</v>
      </c>
      <c r="F75" s="11"/>
      <c r="G75" s="11">
        <f t="shared" si="2"/>
        <v>192920</v>
      </c>
      <c r="H75" s="11"/>
      <c r="I75" s="11">
        <f>(D75*E75)-Table3[[#This Row],[Paid]]</f>
        <v>192920</v>
      </c>
    </row>
    <row r="76" spans="1:16" x14ac:dyDescent="0.3">
      <c r="A76" s="1">
        <v>46147</v>
      </c>
      <c r="B76" t="s">
        <v>224</v>
      </c>
      <c r="D76" s="11">
        <v>35</v>
      </c>
      <c r="E76" s="11">
        <v>600</v>
      </c>
      <c r="F76" s="11"/>
      <c r="G76" s="11">
        <f t="shared" si="2"/>
        <v>21000</v>
      </c>
      <c r="H76" s="11"/>
      <c r="I76" s="11">
        <f>(D76*E76)-Table3[[#This Row],[Paid]]</f>
        <v>21000</v>
      </c>
    </row>
    <row r="77" spans="1:16" x14ac:dyDescent="0.3">
      <c r="A77" s="1">
        <v>46148</v>
      </c>
      <c r="B77" t="s">
        <v>733</v>
      </c>
      <c r="D77" s="11">
        <v>261</v>
      </c>
      <c r="E77" s="11">
        <v>1050</v>
      </c>
      <c r="F77" s="11"/>
      <c r="G77" s="11">
        <f t="shared" si="2"/>
        <v>274050</v>
      </c>
      <c r="H77" s="11"/>
      <c r="I77" s="11">
        <f>(D77*E77)-Table3[[#This Row],[Paid]]</f>
        <v>274050</v>
      </c>
    </row>
    <row r="78" spans="1:16" x14ac:dyDescent="0.3">
      <c r="A78" s="1">
        <v>46148</v>
      </c>
      <c r="B78" t="s">
        <v>181</v>
      </c>
      <c r="D78" s="11">
        <v>276</v>
      </c>
      <c r="E78" s="11">
        <v>980</v>
      </c>
      <c r="F78" s="11"/>
      <c r="G78" s="11">
        <f t="shared" si="2"/>
        <v>270480</v>
      </c>
      <c r="H78" s="11"/>
      <c r="I78" s="11">
        <f>(D78*E78)-Table3[[#This Row],[Paid]]</f>
        <v>270480</v>
      </c>
    </row>
    <row r="79" spans="1:16" x14ac:dyDescent="0.3">
      <c r="A79" s="1">
        <v>46148</v>
      </c>
      <c r="B79" t="s">
        <v>733</v>
      </c>
      <c r="D79" s="11">
        <v>269</v>
      </c>
      <c r="E79" s="11">
        <v>1050</v>
      </c>
      <c r="F79" s="11">
        <v>24500</v>
      </c>
      <c r="G79" s="11">
        <f t="shared" si="2"/>
        <v>282450</v>
      </c>
      <c r="H79" s="11"/>
      <c r="I79" s="11">
        <f>(D79*E79)-Table3[[#This Row],[Paid]]</f>
        <v>282450</v>
      </c>
    </row>
    <row r="80" spans="1:16" x14ac:dyDescent="0.3">
      <c r="A80" s="1">
        <v>46149</v>
      </c>
      <c r="B80" t="s">
        <v>733</v>
      </c>
      <c r="D80" s="11">
        <v>284</v>
      </c>
      <c r="E80" s="11">
        <v>600</v>
      </c>
      <c r="F80" s="11">
        <v>25000</v>
      </c>
      <c r="G80" s="11">
        <f t="shared" ref="G80:G81" si="4">D80*E80</f>
        <v>170400</v>
      </c>
      <c r="H80" s="11"/>
      <c r="I80" s="11">
        <f>(D80*E80)-Table3[[#This Row],[Paid]]</f>
        <v>170400</v>
      </c>
    </row>
    <row r="81" spans="1:9" x14ac:dyDescent="0.3">
      <c r="A81" s="1">
        <v>46149</v>
      </c>
      <c r="B81" t="s">
        <v>196</v>
      </c>
      <c r="D81" s="11">
        <v>188</v>
      </c>
      <c r="E81" s="11">
        <v>1030</v>
      </c>
      <c r="F81" s="11"/>
      <c r="G81" s="11">
        <f t="shared" si="4"/>
        <v>193640</v>
      </c>
      <c r="H81" s="11"/>
      <c r="I81" s="11">
        <f>(D81*E81)-Table3[[#This Row],[Paid]]</f>
        <v>193640</v>
      </c>
    </row>
    <row r="82" spans="1:9" x14ac:dyDescent="0.3">
      <c r="A82" s="1"/>
      <c r="D82" s="11"/>
      <c r="E82" s="11"/>
      <c r="F82" s="11"/>
      <c r="G82" s="11">
        <f t="shared" ref="G82:G86" si="5">D82*E82</f>
        <v>0</v>
      </c>
      <c r="H82" s="11"/>
      <c r="I82" s="11">
        <f>(D82*E82)-Table3[[#This Row],[Paid]]</f>
        <v>0</v>
      </c>
    </row>
    <row r="83" spans="1:9" x14ac:dyDescent="0.3">
      <c r="A83" s="1"/>
      <c r="D83" s="11"/>
      <c r="E83" s="11"/>
      <c r="F83" s="11"/>
      <c r="G83" s="11">
        <f t="shared" si="5"/>
        <v>0</v>
      </c>
      <c r="H83" s="11"/>
      <c r="I83" s="11">
        <f>(D83*E83)-Table3[[#This Row],[Paid]]</f>
        <v>0</v>
      </c>
    </row>
    <row r="84" spans="1:9" x14ac:dyDescent="0.3">
      <c r="A84" s="1"/>
      <c r="D84" s="11"/>
      <c r="E84" s="11"/>
      <c r="F84" s="11"/>
      <c r="G84" s="11">
        <f t="shared" si="5"/>
        <v>0</v>
      </c>
      <c r="H84" s="11"/>
      <c r="I84" s="11">
        <f>(D84*E84)-Table3[[#This Row],[Paid]]</f>
        <v>0</v>
      </c>
    </row>
    <row r="85" spans="1:9" x14ac:dyDescent="0.3">
      <c r="A85" s="1"/>
      <c r="D85" s="11"/>
      <c r="E85" s="11"/>
      <c r="F85" s="11"/>
      <c r="G85" s="11">
        <f t="shared" si="5"/>
        <v>0</v>
      </c>
      <c r="H85" s="11"/>
      <c r="I85" s="11">
        <f>(D85*E85)-Table3[[#This Row],[Paid]]</f>
        <v>0</v>
      </c>
    </row>
    <row r="86" spans="1:9" x14ac:dyDescent="0.3">
      <c r="A86" s="1"/>
      <c r="D86" s="11"/>
      <c r="E86" s="11"/>
      <c r="F86" s="11"/>
      <c r="G86" s="11">
        <f t="shared" si="5"/>
        <v>0</v>
      </c>
      <c r="H86" s="11"/>
      <c r="I86" s="11">
        <f>(D86*E86)-Table3[[#This Row],[Paid]]</f>
        <v>0</v>
      </c>
    </row>
    <row r="87" spans="1:9" x14ac:dyDescent="0.3">
      <c r="A87" s="1"/>
      <c r="D87" s="11"/>
      <c r="E87" s="11"/>
      <c r="F87" s="11"/>
      <c r="G87" s="11">
        <f t="shared" ref="G87:G125" si="6">D87*E87</f>
        <v>0</v>
      </c>
      <c r="H87" s="11"/>
      <c r="I87" s="11">
        <f>(D87*E87)-Table3[[#This Row],[Paid]]</f>
        <v>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12625715</v>
      </c>
      <c r="H127" s="14">
        <f>SUBTOTAL(109,Table3[Paid])</f>
        <v>0</v>
      </c>
      <c r="I127" s="14">
        <f>SUBTOTAL(109,Table3[balance])</f>
        <v>16679741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821"/>
  <sheetViews>
    <sheetView topLeftCell="A799" zoomScale="106" zoomScaleNormal="70" workbookViewId="0">
      <selection activeCell="A820" sqref="A82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38214209.399999999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38233168.229517192</v>
      </c>
      <c r="M5" s="45" t="s">
        <v>108</v>
      </c>
      <c r="N5" s="46">
        <f>(SUMIFS(Table14[Credit],Table14[Mode],"Bank")-SUMIFS(Table14[Debit],Table14[Mode],"Bank")-SUMIFS(Table14[Withdrawal],Table14[Mode],"Transfer"))</f>
        <v>637388.82951719314</v>
      </c>
      <c r="O5">
        <v>360000</v>
      </c>
    </row>
    <row r="6" spans="1:16" x14ac:dyDescent="0.3">
      <c r="A6" s="114">
        <v>46042</v>
      </c>
      <c r="B6" s="80" t="s">
        <v>221</v>
      </c>
      <c r="C6" s="11">
        <v>783072</v>
      </c>
      <c r="D6" s="86"/>
      <c r="E6" s="80" t="s">
        <v>223</v>
      </c>
      <c r="F6" s="87" t="s">
        <v>108</v>
      </c>
      <c r="J6" s="52" t="s">
        <v>43</v>
      </c>
      <c r="K6" s="53">
        <f>(K5-K4)</f>
        <v>18958.829517193139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26472.829517193139</v>
      </c>
      <c r="O7" s="89">
        <f>SUM(O5,O6)</f>
        <v>410000</v>
      </c>
      <c r="P7" s="14">
        <f>Table18[[#Totals],[amount]]-Table18[[#Totals],[Actual]]</f>
        <v>-383527.17048280686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513000</v>
      </c>
      <c r="N164">
        <v>45600</v>
      </c>
      <c r="O164">
        <v>9200</v>
      </c>
    </row>
    <row r="165" spans="1:15" x14ac:dyDescent="0.3">
      <c r="A165" s="38">
        <v>46083</v>
      </c>
      <c r="B165" t="s">
        <v>282</v>
      </c>
      <c r="C165" s="11"/>
      <c r="D165" s="11"/>
      <c r="E165" t="s">
        <v>360</v>
      </c>
      <c r="F165" s="110" t="s">
        <v>108</v>
      </c>
      <c r="J165" s="4" t="s">
        <v>9</v>
      </c>
      <c r="K165" s="14">
        <v>1283000</v>
      </c>
      <c r="L165" s="14"/>
      <c r="N165">
        <v>49400</v>
      </c>
      <c r="O165">
        <v>45600</v>
      </c>
    </row>
    <row r="166" spans="1:15" x14ac:dyDescent="0.3">
      <c r="A166" s="38">
        <v>46083</v>
      </c>
      <c r="B166" t="s">
        <v>282</v>
      </c>
      <c r="C166" s="11"/>
      <c r="D166" s="11"/>
      <c r="E166" t="s">
        <v>361</v>
      </c>
      <c r="F166" s="110" t="s">
        <v>108</v>
      </c>
      <c r="J166" s="4" t="s">
        <v>117</v>
      </c>
      <c r="K166" s="14"/>
      <c r="L166" s="14">
        <v>556100</v>
      </c>
      <c r="N166">
        <v>37200</v>
      </c>
      <c r="O166">
        <v>30000</v>
      </c>
    </row>
    <row r="167" spans="1:15" x14ac:dyDescent="0.3">
      <c r="A167" s="38">
        <v>46083</v>
      </c>
      <c r="B167" t="s">
        <v>249</v>
      </c>
      <c r="C167" s="11">
        <v>7200</v>
      </c>
      <c r="D167" s="11"/>
      <c r="E167" t="s">
        <v>247</v>
      </c>
      <c r="F167" s="110" t="s">
        <v>108</v>
      </c>
      <c r="J167" s="4" t="s">
        <v>94</v>
      </c>
      <c r="K167" s="14"/>
      <c r="L167" s="14">
        <v>1679577</v>
      </c>
      <c r="N167">
        <v>9200</v>
      </c>
      <c r="O167">
        <v>37200</v>
      </c>
    </row>
    <row r="168" spans="1:15" x14ac:dyDescent="0.3">
      <c r="A168" s="38">
        <v>46083</v>
      </c>
      <c r="B168" t="s">
        <v>169</v>
      </c>
      <c r="C168" s="11">
        <v>1000</v>
      </c>
      <c r="D168" s="11"/>
      <c r="E168" t="s">
        <v>341</v>
      </c>
      <c r="F168" s="110" t="s">
        <v>108</v>
      </c>
      <c r="J168" s="4" t="s">
        <v>246</v>
      </c>
      <c r="K168" s="14"/>
      <c r="L168" s="14">
        <v>130030</v>
      </c>
      <c r="N168">
        <v>50000</v>
      </c>
      <c r="O168">
        <v>49400</v>
      </c>
    </row>
    <row r="169" spans="1:15" x14ac:dyDescent="0.3">
      <c r="A169" s="38">
        <v>46083</v>
      </c>
      <c r="B169" t="s">
        <v>282</v>
      </c>
      <c r="C169" s="11"/>
      <c r="D169" s="11"/>
      <c r="F169" s="110" t="s">
        <v>108</v>
      </c>
      <c r="J169" s="4" t="s">
        <v>55</v>
      </c>
      <c r="K169" s="14"/>
      <c r="L169" s="14">
        <v>1293152</v>
      </c>
      <c r="N169">
        <v>60400</v>
      </c>
      <c r="O169">
        <v>60400</v>
      </c>
    </row>
    <row r="170" spans="1:15" x14ac:dyDescent="0.3">
      <c r="A170" s="38">
        <v>46083</v>
      </c>
      <c r="B170" t="s">
        <v>282</v>
      </c>
      <c r="C170" s="11"/>
      <c r="D170" s="11"/>
      <c r="E170" t="s">
        <v>362</v>
      </c>
      <c r="F170" s="110" t="s">
        <v>108</v>
      </c>
      <c r="J170" s="4" t="s">
        <v>113</v>
      </c>
      <c r="K170" s="14"/>
      <c r="L170" s="14">
        <v>267540</v>
      </c>
      <c r="N170">
        <v>30000</v>
      </c>
      <c r="O170">
        <v>50000</v>
      </c>
    </row>
    <row r="171" spans="1:15" x14ac:dyDescent="0.3">
      <c r="A171" s="38">
        <v>46083</v>
      </c>
      <c r="B171" t="s">
        <v>282</v>
      </c>
      <c r="C171" s="11"/>
      <c r="D171" s="11"/>
      <c r="E171" t="s">
        <v>363</v>
      </c>
      <c r="F171" s="110" t="s">
        <v>108</v>
      </c>
      <c r="J171" s="4" t="s">
        <v>282</v>
      </c>
      <c r="K171" s="14"/>
      <c r="L171" s="14">
        <v>4589653</v>
      </c>
      <c r="N171">
        <v>13670</v>
      </c>
      <c r="O171">
        <v>1000</v>
      </c>
    </row>
    <row r="172" spans="1:15" x14ac:dyDescent="0.3">
      <c r="A172" s="38">
        <v>46083</v>
      </c>
      <c r="B172" t="s">
        <v>357</v>
      </c>
      <c r="C172" s="11">
        <v>12000</v>
      </c>
      <c r="D172" s="11"/>
      <c r="E172" t="s">
        <v>360</v>
      </c>
      <c r="F172" s="110" t="s">
        <v>108</v>
      </c>
      <c r="J172" s="4" t="s">
        <v>54</v>
      </c>
      <c r="K172" s="14"/>
      <c r="L172" s="14">
        <v>285179.40000000002</v>
      </c>
      <c r="N172">
        <v>18120</v>
      </c>
      <c r="O172">
        <v>35000</v>
      </c>
    </row>
    <row r="173" spans="1:15" x14ac:dyDescent="0.3">
      <c r="A173" s="38">
        <v>46083</v>
      </c>
      <c r="B173" t="s">
        <v>55</v>
      </c>
      <c r="C173" s="11">
        <v>20900</v>
      </c>
      <c r="D173" s="11"/>
      <c r="E173" t="s">
        <v>366</v>
      </c>
      <c r="F173" s="110" t="s">
        <v>108</v>
      </c>
      <c r="J173" s="4" t="s">
        <v>221</v>
      </c>
      <c r="K173" s="14">
        <v>0</v>
      </c>
      <c r="L173" s="14">
        <v>1090464</v>
      </c>
      <c r="N173">
        <v>7650</v>
      </c>
      <c r="O173">
        <v>29600</v>
      </c>
    </row>
    <row r="174" spans="1:15" x14ac:dyDescent="0.3">
      <c r="A174" s="38">
        <v>46083</v>
      </c>
      <c r="B174" t="s">
        <v>297</v>
      </c>
      <c r="C174" s="11">
        <v>23000</v>
      </c>
      <c r="D174" s="11"/>
      <c r="E174" t="s">
        <v>367</v>
      </c>
      <c r="F174" s="110" t="s">
        <v>108</v>
      </c>
      <c r="J174" s="4" t="s">
        <v>212</v>
      </c>
      <c r="K174" s="14">
        <v>1025490.7364667157</v>
      </c>
      <c r="L174" s="14">
        <v>422552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1201800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2530860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15484882</v>
      </c>
      <c r="L185" s="14">
        <v>10425173</v>
      </c>
      <c r="N185">
        <v>16630</v>
      </c>
      <c r="O185">
        <v>24400</v>
      </c>
    </row>
    <row r="186" spans="1:15" x14ac:dyDescent="0.3">
      <c r="A186" s="38">
        <v>46083</v>
      </c>
      <c r="B186" t="s">
        <v>221</v>
      </c>
      <c r="C186" s="95">
        <v>1000</v>
      </c>
      <c r="D186" s="95"/>
      <c r="E186" t="s">
        <v>350</v>
      </c>
      <c r="F186" s="110" t="s">
        <v>108</v>
      </c>
      <c r="J186" s="4" t="s">
        <v>165</v>
      </c>
      <c r="K186" s="14"/>
      <c r="L186" s="14">
        <v>240000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457705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26000</v>
      </c>
      <c r="N191">
        <v>20850</v>
      </c>
      <c r="O191">
        <v>25000</v>
      </c>
    </row>
    <row r="192" spans="1:15" x14ac:dyDescent="0.3">
      <c r="A192" s="38">
        <v>46084</v>
      </c>
      <c r="B192" t="s">
        <v>165</v>
      </c>
      <c r="C192" s="11">
        <v>2500</v>
      </c>
      <c r="D192" s="11"/>
      <c r="E192" t="s">
        <v>386</v>
      </c>
      <c r="F192" s="110" t="s">
        <v>108</v>
      </c>
      <c r="J192" s="4" t="s">
        <v>192</v>
      </c>
      <c r="K192" s="14">
        <v>358000</v>
      </c>
      <c r="L192" s="14"/>
      <c r="N192">
        <v>16650</v>
      </c>
      <c r="O192">
        <v>20000</v>
      </c>
    </row>
    <row r="193" spans="1:15" x14ac:dyDescent="0.3">
      <c r="A193" s="114">
        <v>46084</v>
      </c>
      <c r="B193" t="s">
        <v>257</v>
      </c>
      <c r="C193" s="11">
        <v>100000</v>
      </c>
      <c r="D193" s="11"/>
      <c r="E193" t="s">
        <v>387</v>
      </c>
      <c r="F193" s="110" t="s">
        <v>108</v>
      </c>
      <c r="J193" s="4" t="s">
        <v>190</v>
      </c>
      <c r="K193" s="14">
        <v>485340</v>
      </c>
      <c r="L193" s="14"/>
      <c r="N193">
        <v>14000</v>
      </c>
      <c r="O193">
        <v>25000</v>
      </c>
    </row>
    <row r="194" spans="1:15" x14ac:dyDescent="0.3">
      <c r="A194" s="114">
        <v>46084</v>
      </c>
      <c r="B194" t="s">
        <v>312</v>
      </c>
      <c r="C194" s="11"/>
      <c r="D194" s="11">
        <v>500000</v>
      </c>
      <c r="E194" t="s">
        <v>388</v>
      </c>
      <c r="F194" s="110" t="s">
        <v>108</v>
      </c>
      <c r="J194" s="4" t="s">
        <v>298</v>
      </c>
      <c r="K194" s="14"/>
      <c r="L194" s="14">
        <v>1415684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2270650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223295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5245323.4930504756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640</v>
      </c>
      <c r="K214" s="14"/>
      <c r="L214" s="14">
        <v>57000</v>
      </c>
    </row>
    <row r="215" spans="1:12" x14ac:dyDescent="0.3">
      <c r="A215" s="114">
        <v>46085</v>
      </c>
      <c r="B215" t="s">
        <v>55</v>
      </c>
      <c r="C215" s="11">
        <v>3900</v>
      </c>
      <c r="D215" s="11"/>
      <c r="F215" s="110" t="s">
        <v>108</v>
      </c>
      <c r="J215" s="4" t="s">
        <v>671</v>
      </c>
      <c r="K215" s="14"/>
      <c r="L215" s="14">
        <v>35000</v>
      </c>
    </row>
    <row r="216" spans="1:12" x14ac:dyDescent="0.3">
      <c r="A216" s="114">
        <v>46085</v>
      </c>
      <c r="B216" t="s">
        <v>212</v>
      </c>
      <c r="C216" s="11">
        <v>3720</v>
      </c>
      <c r="D216" s="11"/>
      <c r="E216" t="s">
        <v>254</v>
      </c>
      <c r="F216" s="110" t="s">
        <v>108</v>
      </c>
      <c r="J216" s="4" t="s">
        <v>692</v>
      </c>
      <c r="K216" s="14"/>
      <c r="L216" s="14">
        <v>56500</v>
      </c>
    </row>
    <row r="217" spans="1:12" x14ac:dyDescent="0.3">
      <c r="A217" s="114">
        <v>46085</v>
      </c>
      <c r="B217" t="s">
        <v>55</v>
      </c>
      <c r="C217" s="95">
        <v>3500</v>
      </c>
      <c r="D217" s="95"/>
      <c r="E217" t="s">
        <v>400</v>
      </c>
      <c r="F217" s="110" t="s">
        <v>108</v>
      </c>
      <c r="J217" s="4" t="s">
        <v>733</v>
      </c>
      <c r="K217" s="14"/>
      <c r="L217" s="14">
        <v>276500</v>
      </c>
    </row>
    <row r="218" spans="1:12" x14ac:dyDescent="0.3">
      <c r="A218" s="114">
        <v>46085</v>
      </c>
      <c r="B218" t="s">
        <v>55</v>
      </c>
      <c r="C218" s="11">
        <v>1860</v>
      </c>
      <c r="D218" s="11"/>
      <c r="E218" t="s">
        <v>399</v>
      </c>
      <c r="F218" s="110" t="s">
        <v>108</v>
      </c>
      <c r="J218" s="4" t="s">
        <v>28</v>
      </c>
      <c r="K218" s="14">
        <v>38233168.229517192</v>
      </c>
      <c r="L218" s="14">
        <v>38214209.399999999</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660</v>
      </c>
      <c r="F525" s="110" t="s">
        <v>108</v>
      </c>
      <c r="I525">
        <v>32800</v>
      </c>
      <c r="J525">
        <v>4000</v>
      </c>
    </row>
    <row r="526" spans="1:10" x14ac:dyDescent="0.3">
      <c r="A526" s="38">
        <v>46127</v>
      </c>
      <c r="B526" t="s">
        <v>220</v>
      </c>
      <c r="C526" s="95">
        <v>676071</v>
      </c>
      <c r="D526" s="95"/>
      <c r="E526" t="s">
        <v>661</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640</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628</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629</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630</v>
      </c>
      <c r="F602" s="110" t="s">
        <v>108</v>
      </c>
    </row>
    <row r="603" spans="1:6" x14ac:dyDescent="0.3">
      <c r="A603" s="114">
        <v>46133</v>
      </c>
      <c r="B603" t="s">
        <v>587</v>
      </c>
      <c r="C603" s="11">
        <v>50000</v>
      </c>
      <c r="D603" s="11"/>
      <c r="E603" t="s">
        <v>631</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646</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632</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634</v>
      </c>
      <c r="F614" s="110" t="s">
        <v>108</v>
      </c>
    </row>
    <row r="615" spans="1:6" x14ac:dyDescent="0.3">
      <c r="A615" s="38">
        <v>46134</v>
      </c>
      <c r="B615" t="s">
        <v>224</v>
      </c>
      <c r="C615" s="11">
        <v>200000</v>
      </c>
      <c r="D615" s="11"/>
      <c r="E615" t="s">
        <v>635</v>
      </c>
      <c r="F615" s="110" t="s">
        <v>108</v>
      </c>
    </row>
    <row r="616" spans="1:6" x14ac:dyDescent="0.3">
      <c r="A616" s="38">
        <v>46134</v>
      </c>
      <c r="B616" t="s">
        <v>298</v>
      </c>
      <c r="C616" s="11">
        <v>100000</v>
      </c>
      <c r="D616" s="11"/>
      <c r="E616" t="s">
        <v>636</v>
      </c>
      <c r="F616" s="110" t="s">
        <v>108</v>
      </c>
    </row>
    <row r="617" spans="1:6" x14ac:dyDescent="0.3">
      <c r="A617" s="38">
        <v>46134</v>
      </c>
      <c r="B617" t="s">
        <v>220</v>
      </c>
      <c r="C617" s="95"/>
      <c r="D617" s="95">
        <v>17000</v>
      </c>
      <c r="E617" t="s">
        <v>637</v>
      </c>
      <c r="F617" s="110" t="s">
        <v>108</v>
      </c>
    </row>
    <row r="618" spans="1:6" x14ac:dyDescent="0.3">
      <c r="A618" s="38">
        <v>46134</v>
      </c>
      <c r="B618" t="s">
        <v>282</v>
      </c>
      <c r="C618" s="95">
        <v>16000</v>
      </c>
      <c r="D618" s="95"/>
      <c r="E618" t="s">
        <v>638</v>
      </c>
      <c r="F618" s="110" t="s">
        <v>108</v>
      </c>
    </row>
    <row r="619" spans="1:6" x14ac:dyDescent="0.3">
      <c r="A619" s="38">
        <v>46134</v>
      </c>
      <c r="B619" t="s">
        <v>64</v>
      </c>
      <c r="C619" s="95">
        <v>60000</v>
      </c>
      <c r="D619" s="95"/>
      <c r="E619" t="s">
        <v>639</v>
      </c>
      <c r="F619" s="110" t="s">
        <v>108</v>
      </c>
    </row>
    <row r="620" spans="1:6" x14ac:dyDescent="0.3">
      <c r="A620" s="38">
        <v>46134</v>
      </c>
      <c r="B620" t="s">
        <v>220</v>
      </c>
      <c r="C620" s="95"/>
      <c r="D620" s="95">
        <v>60000</v>
      </c>
      <c r="E620" t="s">
        <v>639</v>
      </c>
      <c r="F620" s="110" t="s">
        <v>108</v>
      </c>
    </row>
    <row r="621" spans="1:6" x14ac:dyDescent="0.3">
      <c r="A621" s="38">
        <v>46134</v>
      </c>
      <c r="B621" t="s">
        <v>55</v>
      </c>
      <c r="C621" s="95">
        <v>2400</v>
      </c>
      <c r="D621" s="95"/>
      <c r="E621" t="s">
        <v>647</v>
      </c>
      <c r="F621" s="110" t="s">
        <v>108</v>
      </c>
    </row>
    <row r="622" spans="1:6" x14ac:dyDescent="0.3">
      <c r="A622" s="38">
        <v>46134</v>
      </c>
      <c r="B622" t="s">
        <v>54</v>
      </c>
      <c r="C622" s="11">
        <v>10000</v>
      </c>
      <c r="D622" s="11"/>
      <c r="E622" t="s">
        <v>648</v>
      </c>
      <c r="F622" s="110" t="s">
        <v>108</v>
      </c>
    </row>
    <row r="623" spans="1:6" x14ac:dyDescent="0.3">
      <c r="A623" s="38">
        <v>46134</v>
      </c>
      <c r="B623" t="s">
        <v>246</v>
      </c>
      <c r="C623" s="11">
        <v>400</v>
      </c>
      <c r="D623" s="11"/>
      <c r="E623" t="s">
        <v>649</v>
      </c>
      <c r="F623" s="110" t="s">
        <v>108</v>
      </c>
    </row>
    <row r="624" spans="1:6" x14ac:dyDescent="0.3">
      <c r="A624" s="38">
        <v>46134</v>
      </c>
      <c r="B624" t="s">
        <v>246</v>
      </c>
      <c r="C624" s="11">
        <v>1050</v>
      </c>
      <c r="D624" s="11"/>
      <c r="E624" t="s">
        <v>650</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640</v>
      </c>
      <c r="C629" s="95">
        <v>1000</v>
      </c>
      <c r="D629" s="95"/>
      <c r="E629" t="s">
        <v>341</v>
      </c>
      <c r="F629" s="110" t="s">
        <v>108</v>
      </c>
    </row>
    <row r="630" spans="1:6" x14ac:dyDescent="0.3">
      <c r="A630" s="114">
        <v>46135</v>
      </c>
      <c r="B630" t="s">
        <v>220</v>
      </c>
      <c r="C630" s="95"/>
      <c r="D630" s="95">
        <v>30000</v>
      </c>
      <c r="E630" t="s">
        <v>640</v>
      </c>
      <c r="F630" s="110" t="s">
        <v>108</v>
      </c>
    </row>
    <row r="631" spans="1:6" x14ac:dyDescent="0.3">
      <c r="A631" s="114">
        <v>46135</v>
      </c>
      <c r="B631" t="s">
        <v>640</v>
      </c>
      <c r="C631" s="95">
        <v>30000</v>
      </c>
      <c r="D631" s="95"/>
      <c r="E631" t="s">
        <v>242</v>
      </c>
      <c r="F631" s="110" t="s">
        <v>108</v>
      </c>
    </row>
    <row r="632" spans="1:6" x14ac:dyDescent="0.3">
      <c r="A632" s="114">
        <v>46135</v>
      </c>
      <c r="B632" t="s">
        <v>55</v>
      </c>
      <c r="C632" s="95">
        <v>2100</v>
      </c>
      <c r="D632" s="95"/>
      <c r="E632" t="s">
        <v>641</v>
      </c>
      <c r="F632" s="110" t="s">
        <v>108</v>
      </c>
    </row>
    <row r="633" spans="1:6" x14ac:dyDescent="0.3">
      <c r="A633" s="114">
        <v>46135</v>
      </c>
      <c r="B633" t="s">
        <v>55</v>
      </c>
      <c r="C633" s="95">
        <v>2600</v>
      </c>
      <c r="D633" s="95"/>
      <c r="E633" t="s">
        <v>642</v>
      </c>
      <c r="F633" s="110" t="s">
        <v>108</v>
      </c>
    </row>
    <row r="634" spans="1:6" x14ac:dyDescent="0.3">
      <c r="A634" s="114">
        <v>46135</v>
      </c>
      <c r="B634" t="s">
        <v>55</v>
      </c>
      <c r="C634" s="95">
        <v>550</v>
      </c>
      <c r="D634" s="95"/>
      <c r="E634" t="s">
        <v>643</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644</v>
      </c>
      <c r="F636" s="110" t="s">
        <v>108</v>
      </c>
    </row>
    <row r="637" spans="1:6" x14ac:dyDescent="0.3">
      <c r="A637" s="38">
        <v>46135</v>
      </c>
      <c r="B637" t="s">
        <v>298</v>
      </c>
      <c r="C637" s="95">
        <v>100000</v>
      </c>
      <c r="D637" s="95"/>
      <c r="E637" t="s">
        <v>645</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651</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37" t="s">
        <v>652</v>
      </c>
      <c r="F642" s="110" t="s">
        <v>108</v>
      </c>
    </row>
    <row r="643" spans="1:6" x14ac:dyDescent="0.3">
      <c r="A643" s="38">
        <v>46135</v>
      </c>
      <c r="B643" t="s">
        <v>357</v>
      </c>
      <c r="C643" s="95">
        <v>20000</v>
      </c>
      <c r="D643" s="95"/>
      <c r="E643" s="137" t="s">
        <v>469</v>
      </c>
      <c r="F643" s="110" t="s">
        <v>108</v>
      </c>
    </row>
    <row r="644" spans="1:6" x14ac:dyDescent="0.3">
      <c r="A644" s="38">
        <v>46135</v>
      </c>
      <c r="B644" t="s">
        <v>54</v>
      </c>
      <c r="C644" s="95">
        <v>5000</v>
      </c>
      <c r="D644" s="95"/>
      <c r="E644" t="s">
        <v>653</v>
      </c>
      <c r="F644" s="110" t="s">
        <v>108</v>
      </c>
    </row>
    <row r="645" spans="1:6" x14ac:dyDescent="0.3">
      <c r="A645" s="38">
        <v>46135</v>
      </c>
      <c r="B645" t="s">
        <v>55</v>
      </c>
      <c r="C645" s="95">
        <v>5500</v>
      </c>
      <c r="D645" s="95"/>
      <c r="E645" t="s">
        <v>654</v>
      </c>
      <c r="F645" s="110" t="s">
        <v>108</v>
      </c>
    </row>
    <row r="646" spans="1:6" x14ac:dyDescent="0.3">
      <c r="A646" s="38">
        <v>46135</v>
      </c>
      <c r="B646" t="s">
        <v>601</v>
      </c>
      <c r="C646" s="95">
        <f>280+365</f>
        <v>645</v>
      </c>
      <c r="D646" s="95"/>
      <c r="E646" t="s">
        <v>655</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664</v>
      </c>
      <c r="F656" s="110" t="s">
        <v>108</v>
      </c>
    </row>
    <row r="657" spans="1:6" x14ac:dyDescent="0.3">
      <c r="A657" s="114">
        <v>46137</v>
      </c>
      <c r="B657" t="s">
        <v>55</v>
      </c>
      <c r="C657" s="11">
        <v>690</v>
      </c>
      <c r="D657" s="11"/>
      <c r="E657" t="s">
        <v>663</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7"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665</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666</v>
      </c>
      <c r="F663" s="110" t="s">
        <v>108</v>
      </c>
    </row>
    <row r="664" spans="1:6" x14ac:dyDescent="0.3">
      <c r="A664" s="114">
        <v>46137</v>
      </c>
      <c r="B664" t="s">
        <v>601</v>
      </c>
      <c r="C664" s="11">
        <v>8000</v>
      </c>
      <c r="D664" s="11"/>
      <c r="E664" t="s">
        <v>667</v>
      </c>
      <c r="F664" s="110" t="s">
        <v>108</v>
      </c>
    </row>
    <row r="665" spans="1:6" x14ac:dyDescent="0.3">
      <c r="A665" s="114">
        <v>46137</v>
      </c>
      <c r="B665" t="s">
        <v>220</v>
      </c>
      <c r="C665" s="11"/>
      <c r="D665" s="11">
        <v>10000</v>
      </c>
      <c r="E665" t="s">
        <v>668</v>
      </c>
      <c r="F665" s="110" t="s">
        <v>108</v>
      </c>
    </row>
    <row r="666" spans="1:6" x14ac:dyDescent="0.3">
      <c r="A666" s="114">
        <v>46137</v>
      </c>
      <c r="B666" t="s">
        <v>9</v>
      </c>
      <c r="C666" s="11"/>
      <c r="D666" s="11">
        <v>98000</v>
      </c>
      <c r="E666" t="s">
        <v>669</v>
      </c>
      <c r="F666" s="110" t="s">
        <v>108</v>
      </c>
    </row>
    <row r="667" spans="1:6" x14ac:dyDescent="0.3">
      <c r="A667" s="114">
        <v>46137</v>
      </c>
      <c r="B667" t="s">
        <v>357</v>
      </c>
      <c r="C667" s="11">
        <v>10000</v>
      </c>
      <c r="D667" s="11"/>
      <c r="E667" s="13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670</v>
      </c>
      <c r="F669" s="110" t="s">
        <v>108</v>
      </c>
    </row>
    <row r="670" spans="1:6" x14ac:dyDescent="0.3">
      <c r="A670" s="114">
        <v>46138</v>
      </c>
      <c r="B670" t="s">
        <v>55</v>
      </c>
      <c r="C670" s="11">
        <v>11456</v>
      </c>
      <c r="D670" s="11"/>
      <c r="E670" t="s">
        <v>672</v>
      </c>
      <c r="F670" s="110" t="s">
        <v>108</v>
      </c>
    </row>
    <row r="671" spans="1:6" x14ac:dyDescent="0.3">
      <c r="A671" s="114">
        <v>46139</v>
      </c>
      <c r="B671" t="s">
        <v>115</v>
      </c>
      <c r="C671" s="11">
        <v>200000</v>
      </c>
      <c r="D671" s="11"/>
      <c r="E671" t="s">
        <v>673</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674</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675</v>
      </c>
      <c r="F675" s="110" t="s">
        <v>108</v>
      </c>
    </row>
    <row r="676" spans="1:6" x14ac:dyDescent="0.3">
      <c r="A676" s="114">
        <v>46139</v>
      </c>
      <c r="B676" t="s">
        <v>220</v>
      </c>
      <c r="C676" s="95"/>
      <c r="D676" s="95">
        <v>6200</v>
      </c>
      <c r="E676" t="s">
        <v>675</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676</v>
      </c>
      <c r="F678" s="110" t="s">
        <v>108</v>
      </c>
    </row>
    <row r="679" spans="1:6" x14ac:dyDescent="0.3">
      <c r="A679" s="114">
        <v>46139</v>
      </c>
      <c r="B679" t="s">
        <v>220</v>
      </c>
      <c r="C679" s="95"/>
      <c r="D679" s="95">
        <v>7000</v>
      </c>
      <c r="E679" t="s">
        <v>637</v>
      </c>
      <c r="F679" s="110" t="s">
        <v>108</v>
      </c>
    </row>
    <row r="680" spans="1:6" x14ac:dyDescent="0.3">
      <c r="A680" s="114">
        <v>46139</v>
      </c>
      <c r="B680" t="s">
        <v>54</v>
      </c>
      <c r="C680" s="95">
        <v>2500</v>
      </c>
      <c r="D680" s="95"/>
      <c r="E680" t="s">
        <v>678</v>
      </c>
      <c r="F680" s="110" t="s">
        <v>108</v>
      </c>
    </row>
    <row r="681" spans="1:6" x14ac:dyDescent="0.3">
      <c r="A681" s="114">
        <v>46139</v>
      </c>
      <c r="B681" t="s">
        <v>54</v>
      </c>
      <c r="C681" s="95">
        <v>4500</v>
      </c>
      <c r="D681" s="95"/>
      <c r="E681" t="s">
        <v>679</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680</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681</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682</v>
      </c>
      <c r="F690" s="110" t="s">
        <v>108</v>
      </c>
    </row>
    <row r="691" spans="1:6" x14ac:dyDescent="0.3">
      <c r="A691" s="114">
        <v>46140</v>
      </c>
      <c r="B691" t="s">
        <v>220</v>
      </c>
      <c r="C691" s="11"/>
      <c r="D691" s="11">
        <v>60000</v>
      </c>
      <c r="E691" t="s">
        <v>683</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37"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684</v>
      </c>
      <c r="F696" s="110" t="s">
        <v>108</v>
      </c>
    </row>
    <row r="697" spans="1:6" x14ac:dyDescent="0.3">
      <c r="A697" s="38">
        <v>46141</v>
      </c>
      <c r="B697" t="s">
        <v>220</v>
      </c>
      <c r="C697" s="11"/>
      <c r="D697" s="11">
        <v>40000</v>
      </c>
      <c r="E697" t="s">
        <v>685</v>
      </c>
      <c r="F697" s="110" t="s">
        <v>108</v>
      </c>
    </row>
    <row r="698" spans="1:6" x14ac:dyDescent="0.3">
      <c r="A698" s="114">
        <v>46141</v>
      </c>
      <c r="B698" t="s">
        <v>220</v>
      </c>
      <c r="C698" s="11"/>
      <c r="D698" s="11">
        <v>200000</v>
      </c>
      <c r="E698" t="s">
        <v>686</v>
      </c>
      <c r="F698" s="110" t="s">
        <v>108</v>
      </c>
    </row>
    <row r="699" spans="1:6" x14ac:dyDescent="0.3">
      <c r="A699" s="38">
        <v>46141</v>
      </c>
      <c r="B699" t="s">
        <v>224</v>
      </c>
      <c r="C699" s="11">
        <v>200500</v>
      </c>
      <c r="D699" s="11"/>
      <c r="E699" t="s">
        <v>687</v>
      </c>
      <c r="F699" s="110" t="s">
        <v>108</v>
      </c>
    </row>
    <row r="700" spans="1:6" x14ac:dyDescent="0.3">
      <c r="A700" s="114">
        <v>46141</v>
      </c>
      <c r="B700" t="s">
        <v>220</v>
      </c>
      <c r="C700" s="11"/>
      <c r="D700" s="11">
        <v>300000</v>
      </c>
      <c r="E700" t="s">
        <v>688</v>
      </c>
      <c r="F700" s="110" t="s">
        <v>108</v>
      </c>
    </row>
    <row r="701" spans="1:6" x14ac:dyDescent="0.3">
      <c r="A701" s="38">
        <v>46141</v>
      </c>
      <c r="B701" t="s">
        <v>298</v>
      </c>
      <c r="C701" s="11">
        <v>150000</v>
      </c>
      <c r="D701" s="11"/>
      <c r="E701" t="s">
        <v>689</v>
      </c>
      <c r="F701" s="110" t="s">
        <v>108</v>
      </c>
    </row>
    <row r="702" spans="1:6" x14ac:dyDescent="0.3">
      <c r="A702" s="114">
        <v>46141</v>
      </c>
      <c r="B702" t="s">
        <v>222</v>
      </c>
      <c r="C702" s="11">
        <v>150000</v>
      </c>
      <c r="D702" s="11"/>
      <c r="E702" t="s">
        <v>690</v>
      </c>
      <c r="F702" s="110" t="s">
        <v>108</v>
      </c>
    </row>
    <row r="703" spans="1:6" x14ac:dyDescent="0.3">
      <c r="A703" s="38">
        <v>46141</v>
      </c>
      <c r="B703" t="s">
        <v>671</v>
      </c>
      <c r="C703" s="11">
        <v>3000</v>
      </c>
      <c r="D703" s="11"/>
      <c r="E703" t="s">
        <v>704</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691</v>
      </c>
      <c r="F706" s="110" t="s">
        <v>108</v>
      </c>
    </row>
    <row r="707" spans="1:11" x14ac:dyDescent="0.3">
      <c r="A707" s="38">
        <v>46141</v>
      </c>
      <c r="B707" t="s">
        <v>692</v>
      </c>
      <c r="C707" s="11">
        <v>26000</v>
      </c>
      <c r="D707" s="11"/>
      <c r="E707" t="s">
        <v>242</v>
      </c>
      <c r="F707" s="110" t="s">
        <v>108</v>
      </c>
    </row>
    <row r="708" spans="1:11" x14ac:dyDescent="0.3">
      <c r="A708" s="114">
        <v>46141</v>
      </c>
      <c r="B708" t="s">
        <v>169</v>
      </c>
      <c r="C708" s="11">
        <v>150000</v>
      </c>
      <c r="D708" s="11"/>
      <c r="E708" t="s">
        <v>693</v>
      </c>
      <c r="F708" s="110" t="s">
        <v>108</v>
      </c>
    </row>
    <row r="709" spans="1:11" x14ac:dyDescent="0.3">
      <c r="A709" s="38">
        <v>46141</v>
      </c>
      <c r="B709" t="s">
        <v>220</v>
      </c>
      <c r="C709" s="11"/>
      <c r="D709" s="11">
        <v>20000</v>
      </c>
      <c r="E709" t="s">
        <v>695</v>
      </c>
      <c r="F709" s="110" t="s">
        <v>108</v>
      </c>
      <c r="I709">
        <v>30550</v>
      </c>
      <c r="K709">
        <v>30550</v>
      </c>
    </row>
    <row r="710" spans="1:11" x14ac:dyDescent="0.3">
      <c r="A710" s="114">
        <v>46141</v>
      </c>
      <c r="B710" t="s">
        <v>282</v>
      </c>
      <c r="C710" s="11">
        <v>10000</v>
      </c>
      <c r="D710" s="11"/>
      <c r="E710" t="s">
        <v>694</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696</v>
      </c>
      <c r="F714" s="110" t="s">
        <v>108</v>
      </c>
      <c r="I714">
        <v>9650</v>
      </c>
      <c r="K714">
        <f>25650-16000</f>
        <v>9650</v>
      </c>
    </row>
    <row r="715" spans="1:11" x14ac:dyDescent="0.3">
      <c r="A715" s="38">
        <v>46142</v>
      </c>
      <c r="B715" t="s">
        <v>709</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638</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697</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698</v>
      </c>
      <c r="F723" s="110" t="s">
        <v>108</v>
      </c>
      <c r="I723">
        <v>80000</v>
      </c>
      <c r="K723">
        <v>10600</v>
      </c>
    </row>
    <row r="724" spans="1:11" x14ac:dyDescent="0.3">
      <c r="A724" s="38">
        <v>46143</v>
      </c>
      <c r="B724" t="s">
        <v>282</v>
      </c>
      <c r="C724" s="95">
        <v>15000</v>
      </c>
      <c r="D724" s="95"/>
      <c r="E724" t="s">
        <v>699</v>
      </c>
      <c r="F724" s="110" t="s">
        <v>108</v>
      </c>
      <c r="I724">
        <v>60000</v>
      </c>
      <c r="K724">
        <v>11150</v>
      </c>
    </row>
    <row r="725" spans="1:11" x14ac:dyDescent="0.3">
      <c r="A725" s="38">
        <v>46143</v>
      </c>
      <c r="B725" t="s">
        <v>220</v>
      </c>
      <c r="C725" s="95"/>
      <c r="D725" s="95">
        <v>30000</v>
      </c>
      <c r="E725" t="s">
        <v>700</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709</v>
      </c>
      <c r="C728" s="11"/>
      <c r="D728" s="11">
        <v>100000</v>
      </c>
      <c r="E728" t="s">
        <v>710</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701</v>
      </c>
      <c r="F730" s="110" t="s">
        <v>108</v>
      </c>
      <c r="I730">
        <v>7250</v>
      </c>
      <c r="K730">
        <v>35000</v>
      </c>
    </row>
    <row r="731" spans="1:11" x14ac:dyDescent="0.3">
      <c r="A731" s="114">
        <v>46144</v>
      </c>
      <c r="B731" t="s">
        <v>55</v>
      </c>
      <c r="C731" s="11">
        <v>4500</v>
      </c>
      <c r="D731" s="11"/>
      <c r="E731" t="s">
        <v>641</v>
      </c>
      <c r="F731" s="110" t="s">
        <v>108</v>
      </c>
      <c r="I731">
        <v>11150</v>
      </c>
      <c r="K731">
        <v>60000</v>
      </c>
    </row>
    <row r="732" spans="1:11" x14ac:dyDescent="0.3">
      <c r="A732" s="114">
        <v>46144</v>
      </c>
      <c r="B732" t="s">
        <v>176</v>
      </c>
      <c r="C732" s="11">
        <v>56000</v>
      </c>
      <c r="D732" s="11"/>
      <c r="E732" t="s">
        <v>702</v>
      </c>
      <c r="F732" s="110" t="s">
        <v>108</v>
      </c>
      <c r="I732">
        <v>10600</v>
      </c>
      <c r="K732">
        <v>80000</v>
      </c>
    </row>
    <row r="733" spans="1:11" x14ac:dyDescent="0.3">
      <c r="A733" s="114">
        <v>46144</v>
      </c>
      <c r="B733" t="s">
        <v>117</v>
      </c>
      <c r="C733" s="11">
        <f>104000-56000</f>
        <v>48000</v>
      </c>
      <c r="D733" s="11"/>
      <c r="E733" t="s">
        <v>703</v>
      </c>
      <c r="F733" s="110" t="s">
        <v>108</v>
      </c>
      <c r="I733">
        <v>1000</v>
      </c>
      <c r="K733">
        <v>18000</v>
      </c>
    </row>
    <row r="734" spans="1:11" x14ac:dyDescent="0.3">
      <c r="A734" s="38">
        <v>46144</v>
      </c>
      <c r="B734" t="s">
        <v>117</v>
      </c>
      <c r="C734" s="95">
        <v>4400</v>
      </c>
      <c r="D734" s="95"/>
      <c r="E734" t="s">
        <v>705</v>
      </c>
      <c r="F734" s="110" t="s">
        <v>108</v>
      </c>
      <c r="I734">
        <v>62000</v>
      </c>
      <c r="K734">
        <v>18400</v>
      </c>
    </row>
    <row r="735" spans="1:11" x14ac:dyDescent="0.3">
      <c r="A735" s="38">
        <v>46144</v>
      </c>
      <c r="B735" t="s">
        <v>55</v>
      </c>
      <c r="C735" s="95">
        <v>10620</v>
      </c>
      <c r="D735" s="95"/>
      <c r="E735" t="s">
        <v>706</v>
      </c>
      <c r="F735" s="110" t="s">
        <v>108</v>
      </c>
      <c r="I735">
        <v>26660</v>
      </c>
      <c r="K735">
        <v>17200</v>
      </c>
    </row>
    <row r="736" spans="1:11" x14ac:dyDescent="0.3">
      <c r="A736" s="38">
        <v>46144</v>
      </c>
      <c r="B736" t="s">
        <v>224</v>
      </c>
      <c r="C736" s="95">
        <v>200500</v>
      </c>
      <c r="D736" s="95"/>
      <c r="E736" t="s">
        <v>707</v>
      </c>
      <c r="F736" s="110" t="s">
        <v>108</v>
      </c>
      <c r="I736">
        <v>30000</v>
      </c>
      <c r="K736">
        <v>20000</v>
      </c>
    </row>
    <row r="737" spans="1:11" x14ac:dyDescent="0.3">
      <c r="A737" s="114">
        <v>46144</v>
      </c>
      <c r="B737" t="s">
        <v>224</v>
      </c>
      <c r="C737" s="95">
        <v>4000</v>
      </c>
      <c r="D737" s="95"/>
      <c r="E737" t="s">
        <v>341</v>
      </c>
      <c r="F737" s="110" t="s">
        <v>108</v>
      </c>
      <c r="I737">
        <v>9900</v>
      </c>
      <c r="K737">
        <v>24000</v>
      </c>
    </row>
    <row r="738" spans="1:11" x14ac:dyDescent="0.3">
      <c r="A738" s="114">
        <v>46144</v>
      </c>
      <c r="B738" t="s">
        <v>692</v>
      </c>
      <c r="C738" s="95">
        <v>1000</v>
      </c>
      <c r="D738" s="95"/>
      <c r="E738" t="s">
        <v>341</v>
      </c>
      <c r="F738" s="110" t="s">
        <v>108</v>
      </c>
      <c r="I738">
        <v>20000</v>
      </c>
      <c r="K738">
        <v>24000</v>
      </c>
    </row>
    <row r="739" spans="1:11" x14ac:dyDescent="0.3">
      <c r="A739" s="114">
        <v>46144</v>
      </c>
      <c r="B739" t="s">
        <v>640</v>
      </c>
      <c r="C739" s="95">
        <v>1000</v>
      </c>
      <c r="D739" s="95"/>
      <c r="E739" t="s">
        <v>341</v>
      </c>
      <c r="F739" s="110" t="s">
        <v>108</v>
      </c>
      <c r="K739">
        <v>9900</v>
      </c>
    </row>
    <row r="740" spans="1:1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x14ac:dyDescent="0.3">
      <c r="A743" s="38">
        <v>46144</v>
      </c>
      <c r="B743" t="s">
        <v>220</v>
      </c>
      <c r="C743" s="95">
        <v>500000</v>
      </c>
      <c r="D743" s="95"/>
      <c r="E743" t="s">
        <v>708</v>
      </c>
      <c r="F743" s="110" t="s">
        <v>108</v>
      </c>
    </row>
    <row r="744" spans="1:11" x14ac:dyDescent="0.3">
      <c r="A744" s="38">
        <v>46144</v>
      </c>
      <c r="B744" t="s">
        <v>220</v>
      </c>
      <c r="C744" s="95"/>
      <c r="D744" s="95">
        <v>400000</v>
      </c>
      <c r="E744" t="s">
        <v>109</v>
      </c>
      <c r="F744" s="110" t="s">
        <v>108</v>
      </c>
    </row>
    <row r="745" spans="1:11" x14ac:dyDescent="0.3">
      <c r="A745" s="38">
        <v>46145</v>
      </c>
      <c r="B745" t="s">
        <v>55</v>
      </c>
      <c r="C745" s="95">
        <v>1160</v>
      </c>
      <c r="D745" s="95"/>
      <c r="E745" t="s">
        <v>372</v>
      </c>
      <c r="F745" s="110" t="s">
        <v>108</v>
      </c>
    </row>
    <row r="746" spans="1:11" x14ac:dyDescent="0.3">
      <c r="A746" s="38">
        <v>46145</v>
      </c>
      <c r="B746" t="s">
        <v>55</v>
      </c>
      <c r="C746" s="95">
        <v>10200</v>
      </c>
      <c r="D746" s="95"/>
      <c r="E746" t="s">
        <v>641</v>
      </c>
      <c r="F746" s="110" t="s">
        <v>108</v>
      </c>
    </row>
    <row r="747" spans="1:11" x14ac:dyDescent="0.3">
      <c r="A747" s="38">
        <v>46145</v>
      </c>
      <c r="B747" t="s">
        <v>220</v>
      </c>
      <c r="C747" s="95"/>
      <c r="D747" s="95">
        <v>10200</v>
      </c>
      <c r="E747" t="s">
        <v>641</v>
      </c>
      <c r="F747" s="110" t="s">
        <v>108</v>
      </c>
    </row>
    <row r="748" spans="1:11" x14ac:dyDescent="0.3">
      <c r="A748" s="38">
        <v>46145</v>
      </c>
      <c r="B748" t="s">
        <v>55</v>
      </c>
      <c r="C748" s="95">
        <v>10000</v>
      </c>
      <c r="D748" s="95"/>
      <c r="E748" t="s">
        <v>315</v>
      </c>
      <c r="F748" s="110" t="s">
        <v>108</v>
      </c>
    </row>
    <row r="749" spans="1:11" x14ac:dyDescent="0.3">
      <c r="A749" s="38">
        <v>46145</v>
      </c>
      <c r="B749" t="s">
        <v>220</v>
      </c>
      <c r="C749" s="95"/>
      <c r="D749" s="95">
        <v>10000</v>
      </c>
      <c r="E749" t="s">
        <v>315</v>
      </c>
      <c r="F749" s="110" t="s">
        <v>108</v>
      </c>
    </row>
    <row r="750" spans="1:11" x14ac:dyDescent="0.3">
      <c r="A750" s="38">
        <v>46145</v>
      </c>
      <c r="B750" t="s">
        <v>212</v>
      </c>
      <c r="C750" s="95">
        <f>1970+780+780+1300+780</f>
        <v>5610</v>
      </c>
      <c r="D750" s="95"/>
      <c r="F750" s="110" t="s">
        <v>108</v>
      </c>
    </row>
    <row r="751" spans="1:11" x14ac:dyDescent="0.3">
      <c r="A751" s="38">
        <v>46146</v>
      </c>
      <c r="B751" t="s">
        <v>212</v>
      </c>
      <c r="C751" s="95">
        <f>750+1860+760</f>
        <v>3370</v>
      </c>
      <c r="D751" s="95"/>
      <c r="F751" s="110" t="s">
        <v>108</v>
      </c>
    </row>
    <row r="752" spans="1:11" x14ac:dyDescent="0.3">
      <c r="A752" s="114">
        <v>46146</v>
      </c>
      <c r="B752" t="s">
        <v>508</v>
      </c>
      <c r="C752" s="11">
        <v>5000</v>
      </c>
      <c r="D752" s="11"/>
      <c r="E752" t="s">
        <v>562</v>
      </c>
      <c r="F752" s="110" t="s">
        <v>108</v>
      </c>
    </row>
    <row r="753" spans="1:6" x14ac:dyDescent="0.3">
      <c r="A753" s="38">
        <v>46146</v>
      </c>
      <c r="B753" t="s">
        <v>55</v>
      </c>
      <c r="C753" s="11">
        <v>52160</v>
      </c>
      <c r="D753" s="11"/>
      <c r="E753" t="s">
        <v>315</v>
      </c>
      <c r="F753" s="110" t="s">
        <v>108</v>
      </c>
    </row>
    <row r="754" spans="1:6" x14ac:dyDescent="0.3">
      <c r="A754" s="114">
        <v>46146</v>
      </c>
      <c r="B754" t="s">
        <v>54</v>
      </c>
      <c r="C754" s="11">
        <v>2000</v>
      </c>
      <c r="D754" s="11"/>
      <c r="E754" t="s">
        <v>711</v>
      </c>
      <c r="F754" s="110" t="s">
        <v>108</v>
      </c>
    </row>
    <row r="755" spans="1:6" x14ac:dyDescent="0.3">
      <c r="A755" s="38">
        <v>46146</v>
      </c>
      <c r="B755" t="s">
        <v>54</v>
      </c>
      <c r="C755" s="11">
        <v>3000</v>
      </c>
      <c r="D755" s="11"/>
      <c r="E755" t="s">
        <v>712</v>
      </c>
      <c r="F755" s="110" t="s">
        <v>108</v>
      </c>
    </row>
    <row r="756" spans="1:6" x14ac:dyDescent="0.3">
      <c r="A756" s="114">
        <v>46146</v>
      </c>
      <c r="B756" t="s">
        <v>54</v>
      </c>
      <c r="C756" s="11">
        <v>5000</v>
      </c>
      <c r="D756" s="11"/>
      <c r="E756" t="s">
        <v>679</v>
      </c>
      <c r="F756" s="110" t="s">
        <v>108</v>
      </c>
    </row>
    <row r="757" spans="1:6" x14ac:dyDescent="0.3">
      <c r="A757" s="38">
        <v>46146</v>
      </c>
      <c r="B757" t="s">
        <v>55</v>
      </c>
      <c r="C757" s="11">
        <v>10000</v>
      </c>
      <c r="D757" s="11"/>
      <c r="E757" t="s">
        <v>713</v>
      </c>
      <c r="F757" s="110" t="s">
        <v>108</v>
      </c>
    </row>
    <row r="758" spans="1:6" x14ac:dyDescent="0.3">
      <c r="A758" s="114">
        <v>46146</v>
      </c>
      <c r="B758" t="s">
        <v>35</v>
      </c>
      <c r="C758" s="11"/>
      <c r="D758" s="11">
        <v>178000</v>
      </c>
      <c r="E758" t="s">
        <v>109</v>
      </c>
      <c r="F758" s="110" t="s">
        <v>108</v>
      </c>
    </row>
    <row r="759" spans="1:6" x14ac:dyDescent="0.3">
      <c r="A759" s="38">
        <v>46146</v>
      </c>
      <c r="B759" t="s">
        <v>9</v>
      </c>
      <c r="C759" s="11"/>
      <c r="D759" s="11">
        <v>100000</v>
      </c>
      <c r="E759" t="s">
        <v>714</v>
      </c>
      <c r="F759" s="110" t="s">
        <v>108</v>
      </c>
    </row>
    <row r="760" spans="1:6" x14ac:dyDescent="0.3">
      <c r="A760" s="114">
        <v>46146</v>
      </c>
      <c r="B760" t="s">
        <v>601</v>
      </c>
      <c r="C760" s="11">
        <v>9000</v>
      </c>
      <c r="D760" s="11"/>
      <c r="E760" t="s">
        <v>696</v>
      </c>
      <c r="F760" s="110" t="s">
        <v>108</v>
      </c>
    </row>
    <row r="761" spans="1:6" x14ac:dyDescent="0.3">
      <c r="A761" s="38">
        <v>46146</v>
      </c>
      <c r="B761" t="s">
        <v>298</v>
      </c>
      <c r="C761" s="11">
        <v>150000</v>
      </c>
      <c r="D761" s="11"/>
      <c r="E761" t="s">
        <v>715</v>
      </c>
      <c r="F761" s="110" t="s">
        <v>108</v>
      </c>
    </row>
    <row r="762" spans="1:6" x14ac:dyDescent="0.3">
      <c r="A762" s="114">
        <v>46146</v>
      </c>
      <c r="B762" t="s">
        <v>572</v>
      </c>
      <c r="C762" s="11">
        <v>18000</v>
      </c>
      <c r="D762" s="11"/>
      <c r="E762" t="s">
        <v>113</v>
      </c>
      <c r="F762" s="110" t="s">
        <v>108</v>
      </c>
    </row>
    <row r="763" spans="1:6" x14ac:dyDescent="0.3">
      <c r="A763" s="38">
        <v>46146</v>
      </c>
      <c r="B763" t="s">
        <v>117</v>
      </c>
      <c r="C763" s="11">
        <v>39000</v>
      </c>
      <c r="D763" s="11"/>
      <c r="E763" t="s">
        <v>531</v>
      </c>
      <c r="F763" s="110" t="s">
        <v>108</v>
      </c>
    </row>
    <row r="764" spans="1:6" x14ac:dyDescent="0.3">
      <c r="A764" s="114">
        <v>46146</v>
      </c>
      <c r="B764" t="s">
        <v>54</v>
      </c>
      <c r="C764" s="95">
        <v>700</v>
      </c>
      <c r="D764" s="95"/>
      <c r="E764" t="s">
        <v>470</v>
      </c>
      <c r="F764" s="110" t="s">
        <v>108</v>
      </c>
    </row>
    <row r="765" spans="1:6" x14ac:dyDescent="0.3">
      <c r="A765" s="38">
        <v>46146</v>
      </c>
      <c r="B765" t="s">
        <v>192</v>
      </c>
      <c r="C765" s="11"/>
      <c r="D765" s="11">
        <v>100000</v>
      </c>
      <c r="E765" t="s">
        <v>365</v>
      </c>
      <c r="F765" s="110" t="s">
        <v>108</v>
      </c>
    </row>
    <row r="766" spans="1:6" x14ac:dyDescent="0.3">
      <c r="A766" s="114">
        <v>46146</v>
      </c>
      <c r="B766" t="s">
        <v>55</v>
      </c>
      <c r="C766" s="11">
        <v>24080</v>
      </c>
      <c r="D766" s="11"/>
      <c r="E766" t="s">
        <v>315</v>
      </c>
      <c r="F766" s="110" t="s">
        <v>108</v>
      </c>
    </row>
    <row r="767" spans="1:6" x14ac:dyDescent="0.3">
      <c r="A767" s="114">
        <v>46146</v>
      </c>
      <c r="B767" t="s">
        <v>733</v>
      </c>
      <c r="C767" s="11">
        <v>25000</v>
      </c>
      <c r="D767" s="11"/>
      <c r="E767" t="s">
        <v>242</v>
      </c>
      <c r="F767" s="110" t="s">
        <v>108</v>
      </c>
    </row>
    <row r="768" spans="1:6" x14ac:dyDescent="0.3">
      <c r="A768" s="38">
        <v>46146</v>
      </c>
      <c r="B768" t="s">
        <v>733</v>
      </c>
      <c r="C768" s="11">
        <v>24000</v>
      </c>
      <c r="D768" s="11"/>
      <c r="E768" t="s">
        <v>242</v>
      </c>
      <c r="F768" s="110" t="s">
        <v>108</v>
      </c>
    </row>
    <row r="769" spans="1:6" x14ac:dyDescent="0.3">
      <c r="A769" s="114">
        <v>46147</v>
      </c>
      <c r="B769" t="s">
        <v>224</v>
      </c>
      <c r="C769" s="11">
        <v>105000</v>
      </c>
      <c r="D769" s="11"/>
      <c r="E769" t="s">
        <v>242</v>
      </c>
      <c r="F769" s="110" t="s">
        <v>108</v>
      </c>
    </row>
    <row r="770" spans="1:6" x14ac:dyDescent="0.3">
      <c r="A770" s="114">
        <v>46147</v>
      </c>
      <c r="B770" t="s">
        <v>671</v>
      </c>
      <c r="C770" s="11">
        <v>32000</v>
      </c>
      <c r="D770" s="11"/>
      <c r="F770" s="110" t="s">
        <v>108</v>
      </c>
    </row>
    <row r="771" spans="1:6" x14ac:dyDescent="0.3">
      <c r="A771" s="114">
        <v>46147</v>
      </c>
      <c r="B771" t="s">
        <v>192</v>
      </c>
      <c r="C771" s="11"/>
      <c r="D771" s="11">
        <v>50000</v>
      </c>
      <c r="F771" s="110" t="s">
        <v>108</v>
      </c>
    </row>
    <row r="772" spans="1:6" x14ac:dyDescent="0.3">
      <c r="A772" s="114">
        <v>46147</v>
      </c>
      <c r="B772" t="s">
        <v>246</v>
      </c>
      <c r="C772" s="11">
        <v>3000</v>
      </c>
      <c r="D772" s="11"/>
      <c r="F772" s="110" t="s">
        <v>108</v>
      </c>
    </row>
    <row r="773" spans="1:6" x14ac:dyDescent="0.3">
      <c r="A773" s="38">
        <v>46147</v>
      </c>
      <c r="B773" t="s">
        <v>55</v>
      </c>
      <c r="C773" s="95">
        <v>300</v>
      </c>
      <c r="D773" s="95"/>
      <c r="E773" t="s">
        <v>734</v>
      </c>
      <c r="F773" s="110" t="s">
        <v>108</v>
      </c>
    </row>
    <row r="774" spans="1:6" x14ac:dyDescent="0.3">
      <c r="A774" s="38">
        <v>46147</v>
      </c>
      <c r="B774" t="s">
        <v>54</v>
      </c>
      <c r="C774" s="95">
        <v>1606</v>
      </c>
      <c r="D774" s="95"/>
      <c r="F774" s="110" t="s">
        <v>108</v>
      </c>
    </row>
    <row r="775" spans="1:6" x14ac:dyDescent="0.3">
      <c r="A775" s="38">
        <v>46147</v>
      </c>
      <c r="B775" t="s">
        <v>709</v>
      </c>
      <c r="C775" s="95"/>
      <c r="D775" s="95">
        <v>65000</v>
      </c>
      <c r="F775" s="110" t="s">
        <v>108</v>
      </c>
    </row>
    <row r="776" spans="1:6" x14ac:dyDescent="0.3">
      <c r="A776" s="38">
        <v>46147</v>
      </c>
      <c r="B776" t="s">
        <v>55</v>
      </c>
      <c r="C776" s="95">
        <v>1180</v>
      </c>
      <c r="D776" s="95"/>
      <c r="F776" s="110" t="s">
        <v>108</v>
      </c>
    </row>
    <row r="777" spans="1:6" x14ac:dyDescent="0.3">
      <c r="A777" s="38">
        <v>46147</v>
      </c>
      <c r="B777" t="s">
        <v>246</v>
      </c>
      <c r="C777" s="95">
        <v>15000</v>
      </c>
      <c r="D777" s="95"/>
      <c r="E777" t="s">
        <v>735</v>
      </c>
      <c r="F777" s="110" t="s">
        <v>108</v>
      </c>
    </row>
    <row r="778" spans="1:6" x14ac:dyDescent="0.3">
      <c r="A778" s="38">
        <v>46148</v>
      </c>
      <c r="B778" t="s">
        <v>35</v>
      </c>
      <c r="C778" s="95"/>
      <c r="D778" s="95">
        <v>100000</v>
      </c>
      <c r="F778" s="110" t="s">
        <v>108</v>
      </c>
    </row>
    <row r="779" spans="1:6" x14ac:dyDescent="0.3">
      <c r="A779" s="38">
        <v>46148</v>
      </c>
      <c r="B779" t="s">
        <v>117</v>
      </c>
      <c r="C779" s="95">
        <v>58500</v>
      </c>
      <c r="D779" s="95"/>
      <c r="E779" t="s">
        <v>736</v>
      </c>
      <c r="F779" s="110" t="s">
        <v>108</v>
      </c>
    </row>
    <row r="780" spans="1:6" x14ac:dyDescent="0.3">
      <c r="A780" s="38">
        <v>46148</v>
      </c>
      <c r="B780" t="s">
        <v>55</v>
      </c>
      <c r="C780" s="95">
        <v>1200</v>
      </c>
      <c r="D780" s="95"/>
      <c r="F780" s="110" t="s">
        <v>108</v>
      </c>
    </row>
    <row r="781" spans="1:6" x14ac:dyDescent="0.3">
      <c r="A781" s="38">
        <v>46148</v>
      </c>
      <c r="B781" t="s">
        <v>55</v>
      </c>
      <c r="C781" s="95">
        <v>4280</v>
      </c>
      <c r="D781" s="95"/>
      <c r="F781" s="110" t="s">
        <v>108</v>
      </c>
    </row>
    <row r="782" spans="1:6" x14ac:dyDescent="0.3">
      <c r="A782" s="38">
        <v>46148</v>
      </c>
      <c r="B782" t="s">
        <v>246</v>
      </c>
      <c r="C782" s="95">
        <v>550</v>
      </c>
      <c r="D782" s="95"/>
      <c r="E782" t="s">
        <v>581</v>
      </c>
      <c r="F782" s="110" t="s">
        <v>108</v>
      </c>
    </row>
    <row r="783" spans="1:6" x14ac:dyDescent="0.3">
      <c r="A783" s="38">
        <v>46148</v>
      </c>
      <c r="B783" t="s">
        <v>709</v>
      </c>
      <c r="C783" s="95"/>
      <c r="D783" s="95">
        <v>70000</v>
      </c>
      <c r="E783" t="s">
        <v>109</v>
      </c>
      <c r="F783" s="110" t="s">
        <v>108</v>
      </c>
    </row>
    <row r="784" spans="1:6" x14ac:dyDescent="0.3">
      <c r="A784" s="38">
        <v>46148</v>
      </c>
      <c r="B784" t="s">
        <v>55</v>
      </c>
      <c r="C784" s="95">
        <v>2550</v>
      </c>
      <c r="D784" s="95"/>
      <c r="E784" t="s">
        <v>737</v>
      </c>
      <c r="F784" s="110" t="s">
        <v>108</v>
      </c>
    </row>
    <row r="785" spans="1:6" x14ac:dyDescent="0.3">
      <c r="A785" s="38">
        <v>46148</v>
      </c>
      <c r="B785" t="s">
        <v>246</v>
      </c>
      <c r="C785" s="95">
        <v>2600</v>
      </c>
      <c r="D785" s="95"/>
      <c r="E785" t="s">
        <v>738</v>
      </c>
      <c r="F785" s="110" t="s">
        <v>108</v>
      </c>
    </row>
    <row r="786" spans="1:6" x14ac:dyDescent="0.3">
      <c r="A786" s="38">
        <v>46148</v>
      </c>
      <c r="B786" t="s">
        <v>692</v>
      </c>
      <c r="C786" s="95">
        <v>29500</v>
      </c>
      <c r="D786" s="95"/>
      <c r="E786" t="s">
        <v>242</v>
      </c>
      <c r="F786" s="110" t="s">
        <v>108</v>
      </c>
    </row>
    <row r="787" spans="1:6" x14ac:dyDescent="0.3">
      <c r="A787" s="38">
        <v>46148</v>
      </c>
      <c r="B787" t="s">
        <v>733</v>
      </c>
      <c r="C787" s="95">
        <v>28000</v>
      </c>
      <c r="D787" s="95"/>
      <c r="E787" t="s">
        <v>242</v>
      </c>
      <c r="F787" s="110" t="s">
        <v>108</v>
      </c>
    </row>
    <row r="788" spans="1:6" x14ac:dyDescent="0.3">
      <c r="A788" s="38">
        <v>46148</v>
      </c>
      <c r="B788" t="s">
        <v>220</v>
      </c>
      <c r="C788" s="95"/>
      <c r="D788" s="95">
        <v>56632</v>
      </c>
      <c r="E788" t="s">
        <v>449</v>
      </c>
      <c r="F788" s="110" t="s">
        <v>108</v>
      </c>
    </row>
    <row r="789" spans="1:6" x14ac:dyDescent="0.3">
      <c r="A789" s="38">
        <v>46148</v>
      </c>
      <c r="B789" t="s">
        <v>220</v>
      </c>
      <c r="C789" s="95"/>
      <c r="D789" s="95">
        <v>100000</v>
      </c>
      <c r="E789" t="s">
        <v>739</v>
      </c>
      <c r="F789" s="110" t="s">
        <v>108</v>
      </c>
    </row>
    <row r="790" spans="1:6" x14ac:dyDescent="0.3">
      <c r="A790" s="38">
        <v>46148</v>
      </c>
      <c r="B790" t="s">
        <v>733</v>
      </c>
      <c r="C790" s="95">
        <v>150000</v>
      </c>
      <c r="D790" s="95"/>
      <c r="E790" t="s">
        <v>740</v>
      </c>
      <c r="F790" s="110" t="s">
        <v>108</v>
      </c>
    </row>
    <row r="791" spans="1:6" x14ac:dyDescent="0.3">
      <c r="A791" s="38">
        <v>46148</v>
      </c>
      <c r="B791" t="s">
        <v>357</v>
      </c>
      <c r="C791" s="95">
        <v>5000</v>
      </c>
      <c r="D791" s="95"/>
      <c r="E791" t="s">
        <v>281</v>
      </c>
      <c r="F791" s="110" t="s">
        <v>108</v>
      </c>
    </row>
    <row r="792" spans="1:6" x14ac:dyDescent="0.3">
      <c r="A792" s="38">
        <v>46147</v>
      </c>
      <c r="B792" t="s">
        <v>741</v>
      </c>
      <c r="C792" s="95">
        <v>3600</v>
      </c>
      <c r="D792" s="95"/>
      <c r="F792" s="110" t="s">
        <v>108</v>
      </c>
    </row>
    <row r="793" spans="1:6" x14ac:dyDescent="0.3">
      <c r="A793" s="38">
        <v>46147</v>
      </c>
      <c r="B793" t="s">
        <v>54</v>
      </c>
      <c r="C793" s="95">
        <v>600</v>
      </c>
      <c r="D793" s="95"/>
      <c r="F793" s="110" t="s">
        <v>108</v>
      </c>
    </row>
    <row r="794" spans="1:6" x14ac:dyDescent="0.3">
      <c r="A794" s="38">
        <v>46147</v>
      </c>
      <c r="B794" t="s">
        <v>246</v>
      </c>
      <c r="C794" s="95">
        <f>11000-3600-600</f>
        <v>6800</v>
      </c>
      <c r="D794" s="95"/>
      <c r="E794" t="s">
        <v>742</v>
      </c>
      <c r="F794" s="110" t="s">
        <v>108</v>
      </c>
    </row>
    <row r="795" spans="1:6" x14ac:dyDescent="0.3">
      <c r="A795" s="38">
        <v>46149</v>
      </c>
      <c r="B795" t="s">
        <v>220</v>
      </c>
      <c r="C795" s="95"/>
      <c r="D795" s="95">
        <v>55000</v>
      </c>
      <c r="F795" s="110" t="s">
        <v>108</v>
      </c>
    </row>
    <row r="796" spans="1:6" x14ac:dyDescent="0.3">
      <c r="A796" s="38">
        <v>46149</v>
      </c>
      <c r="B796" t="s">
        <v>743</v>
      </c>
      <c r="C796" s="95">
        <v>55000</v>
      </c>
      <c r="D796" s="95"/>
      <c r="E796" t="s">
        <v>216</v>
      </c>
      <c r="F796" s="110" t="s">
        <v>108</v>
      </c>
    </row>
    <row r="797" spans="1:6" x14ac:dyDescent="0.3">
      <c r="A797" s="38">
        <v>46149</v>
      </c>
      <c r="B797" t="s">
        <v>601</v>
      </c>
      <c r="C797" s="95">
        <v>9000</v>
      </c>
      <c r="D797" s="95"/>
      <c r="E797" t="s">
        <v>744</v>
      </c>
      <c r="F797" s="110" t="s">
        <v>108</v>
      </c>
    </row>
    <row r="798" spans="1:6" x14ac:dyDescent="0.3">
      <c r="A798" s="38">
        <v>46148</v>
      </c>
      <c r="B798" t="s">
        <v>709</v>
      </c>
      <c r="C798" s="95"/>
      <c r="D798" s="95">
        <v>30000</v>
      </c>
      <c r="F798" s="110" t="s">
        <v>108</v>
      </c>
    </row>
    <row r="799" spans="1:6" x14ac:dyDescent="0.3">
      <c r="A799" s="38">
        <v>46148</v>
      </c>
      <c r="B799" t="s">
        <v>220</v>
      </c>
      <c r="C799" s="95">
        <v>30000</v>
      </c>
      <c r="D799" s="95"/>
      <c r="E799" t="s">
        <v>745</v>
      </c>
      <c r="F799" s="110" t="s">
        <v>108</v>
      </c>
    </row>
    <row r="800" spans="1:6" x14ac:dyDescent="0.3">
      <c r="A800" s="38">
        <v>46149</v>
      </c>
      <c r="B800" t="s">
        <v>220</v>
      </c>
      <c r="C800" s="95"/>
      <c r="D800" s="95">
        <v>50000</v>
      </c>
      <c r="E800" t="s">
        <v>749</v>
      </c>
      <c r="F800" s="110" t="s">
        <v>108</v>
      </c>
    </row>
    <row r="801" spans="1:7" x14ac:dyDescent="0.3">
      <c r="A801" s="139">
        <v>46149</v>
      </c>
      <c r="B801" t="s">
        <v>733</v>
      </c>
      <c r="C801" s="11">
        <v>24500</v>
      </c>
      <c r="D801" s="11"/>
      <c r="E801" t="s">
        <v>242</v>
      </c>
      <c r="F801" s="110" t="s">
        <v>108</v>
      </c>
    </row>
    <row r="802" spans="1:7" x14ac:dyDescent="0.3">
      <c r="A802" s="139">
        <v>46149</v>
      </c>
      <c r="B802" t="s">
        <v>733</v>
      </c>
      <c r="C802" s="11">
        <v>25000</v>
      </c>
      <c r="D802" s="11"/>
      <c r="E802" t="s">
        <v>242</v>
      </c>
      <c r="F802" s="110" t="s">
        <v>108</v>
      </c>
    </row>
    <row r="803" spans="1:7" x14ac:dyDescent="0.3">
      <c r="A803" s="139">
        <v>46149</v>
      </c>
      <c r="B803" t="s">
        <v>212</v>
      </c>
      <c r="C803" s="11">
        <v>500</v>
      </c>
      <c r="D803" s="11"/>
      <c r="F803" s="110" t="s">
        <v>108</v>
      </c>
    </row>
    <row r="804" spans="1:7" x14ac:dyDescent="0.3">
      <c r="A804" s="139">
        <v>46149</v>
      </c>
      <c r="B804" t="s">
        <v>220</v>
      </c>
      <c r="C804" s="11"/>
      <c r="D804" s="11">
        <v>20000</v>
      </c>
      <c r="E804" t="s">
        <v>330</v>
      </c>
      <c r="F804" s="110" t="s">
        <v>108</v>
      </c>
    </row>
    <row r="805" spans="1:7" x14ac:dyDescent="0.3">
      <c r="A805" s="139">
        <v>46149</v>
      </c>
      <c r="B805" t="s">
        <v>357</v>
      </c>
      <c r="C805" s="11">
        <v>25000</v>
      </c>
      <c r="D805" s="11"/>
      <c r="E805" t="s">
        <v>621</v>
      </c>
      <c r="F805" s="110" t="s">
        <v>108</v>
      </c>
    </row>
    <row r="806" spans="1:7" x14ac:dyDescent="0.3">
      <c r="A806" s="139">
        <v>46150</v>
      </c>
      <c r="B806" t="s">
        <v>55</v>
      </c>
      <c r="C806" s="11">
        <v>1600</v>
      </c>
      <c r="D806" s="11"/>
      <c r="F806" s="110" t="s">
        <v>108</v>
      </c>
    </row>
    <row r="807" spans="1:7" x14ac:dyDescent="0.3">
      <c r="A807" s="140">
        <v>46150</v>
      </c>
      <c r="B807" s="141" t="s">
        <v>220</v>
      </c>
      <c r="C807" s="95"/>
      <c r="D807" s="95">
        <v>60000</v>
      </c>
      <c r="E807" s="141" t="s">
        <v>750</v>
      </c>
      <c r="F807" s="142" t="s">
        <v>108</v>
      </c>
      <c r="G807" s="141"/>
    </row>
    <row r="808" spans="1:7" x14ac:dyDescent="0.3">
      <c r="A808" s="140">
        <v>46150</v>
      </c>
      <c r="B808" s="141" t="s">
        <v>55</v>
      </c>
      <c r="C808" s="95">
        <v>2520</v>
      </c>
      <c r="D808" s="95"/>
      <c r="E808" s="141" t="s">
        <v>663</v>
      </c>
      <c r="F808" s="142" t="s">
        <v>108</v>
      </c>
      <c r="G808" s="141"/>
    </row>
    <row r="809" spans="1:7" x14ac:dyDescent="0.3">
      <c r="A809" s="140">
        <v>46150</v>
      </c>
      <c r="B809" s="141" t="s">
        <v>117</v>
      </c>
      <c r="C809" s="95">
        <v>46800</v>
      </c>
      <c r="D809" s="95"/>
      <c r="E809" s="141" t="s">
        <v>751</v>
      </c>
      <c r="F809" s="142" t="s">
        <v>108</v>
      </c>
      <c r="G809" s="141"/>
    </row>
    <row r="810" spans="1:7" x14ac:dyDescent="0.3">
      <c r="A810" s="140">
        <v>46150</v>
      </c>
      <c r="B810" s="141" t="s">
        <v>54</v>
      </c>
      <c r="C810" s="95">
        <v>700</v>
      </c>
      <c r="D810" s="95"/>
      <c r="E810" s="141" t="s">
        <v>470</v>
      </c>
      <c r="F810" s="142" t="s">
        <v>108</v>
      </c>
      <c r="G810" s="141"/>
    </row>
    <row r="811" spans="1:7" x14ac:dyDescent="0.3">
      <c r="A811" s="140">
        <v>46150</v>
      </c>
      <c r="B811" s="141" t="s">
        <v>572</v>
      </c>
      <c r="C811" s="95">
        <v>2200</v>
      </c>
      <c r="D811" s="95"/>
      <c r="E811" s="141" t="s">
        <v>752</v>
      </c>
      <c r="F811" s="142" t="s">
        <v>108</v>
      </c>
      <c r="G811" s="141"/>
    </row>
    <row r="812" spans="1:7" x14ac:dyDescent="0.3">
      <c r="A812" s="140">
        <v>46150</v>
      </c>
      <c r="B812" s="141" t="s">
        <v>220</v>
      </c>
      <c r="C812" s="95"/>
      <c r="D812" s="95">
        <v>250000</v>
      </c>
      <c r="E812" s="141" t="s">
        <v>753</v>
      </c>
      <c r="F812" s="142" t="s">
        <v>108</v>
      </c>
      <c r="G812" s="141"/>
    </row>
    <row r="813" spans="1:7" x14ac:dyDescent="0.3">
      <c r="A813" s="140">
        <v>46150</v>
      </c>
      <c r="B813" s="141" t="s">
        <v>709</v>
      </c>
      <c r="C813" s="95"/>
      <c r="D813" s="95">
        <v>100000</v>
      </c>
      <c r="E813" s="141" t="s">
        <v>109</v>
      </c>
      <c r="F813" s="142" t="s">
        <v>108</v>
      </c>
      <c r="G813" s="141"/>
    </row>
    <row r="814" spans="1:7" x14ac:dyDescent="0.3">
      <c r="A814" s="140">
        <v>46150</v>
      </c>
      <c r="B814" s="141" t="s">
        <v>220</v>
      </c>
      <c r="C814" s="95">
        <v>100000</v>
      </c>
      <c r="D814" s="95"/>
      <c r="E814" s="141" t="s">
        <v>745</v>
      </c>
      <c r="F814" s="142" t="s">
        <v>108</v>
      </c>
      <c r="G814" s="141"/>
    </row>
    <row r="815" spans="1:7" x14ac:dyDescent="0.3">
      <c r="A815" s="140">
        <v>46150</v>
      </c>
      <c r="B815" s="141" t="s">
        <v>298</v>
      </c>
      <c r="C815" s="95">
        <v>100000</v>
      </c>
      <c r="D815" s="95"/>
      <c r="E815" s="141" t="s">
        <v>754</v>
      </c>
      <c r="F815" s="142" t="s">
        <v>108</v>
      </c>
      <c r="G815" s="141"/>
    </row>
    <row r="816" spans="1:7" x14ac:dyDescent="0.3">
      <c r="A816" s="140">
        <v>46150</v>
      </c>
      <c r="B816" s="141" t="s">
        <v>222</v>
      </c>
      <c r="C816" s="95">
        <v>100000</v>
      </c>
      <c r="D816" s="95"/>
      <c r="E816" s="141" t="s">
        <v>754</v>
      </c>
      <c r="F816" s="142" t="s">
        <v>108</v>
      </c>
      <c r="G816" s="141"/>
    </row>
    <row r="817" spans="1:7" x14ac:dyDescent="0.3">
      <c r="A817" s="140">
        <v>46150</v>
      </c>
      <c r="B817" s="141" t="s">
        <v>282</v>
      </c>
      <c r="C817" s="95">
        <v>45000</v>
      </c>
      <c r="D817" s="95"/>
      <c r="E817" s="141" t="s">
        <v>755</v>
      </c>
      <c r="F817" s="142" t="s">
        <v>108</v>
      </c>
      <c r="G817" s="141"/>
    </row>
    <row r="818" spans="1:7" x14ac:dyDescent="0.3">
      <c r="A818" s="140">
        <v>46149</v>
      </c>
      <c r="B818" s="141" t="s">
        <v>572</v>
      </c>
      <c r="C818" s="95">
        <v>2200</v>
      </c>
      <c r="D818" s="95"/>
      <c r="E818" s="141"/>
      <c r="F818" s="142" t="s">
        <v>108</v>
      </c>
      <c r="G818" s="141"/>
    </row>
    <row r="819" spans="1:7" x14ac:dyDescent="0.3">
      <c r="A819" s="140">
        <v>46150</v>
      </c>
      <c r="B819" s="141" t="s">
        <v>212</v>
      </c>
      <c r="C819" s="95">
        <v>790</v>
      </c>
      <c r="D819" s="95"/>
      <c r="E819" s="141" t="s">
        <v>293</v>
      </c>
      <c r="F819" s="142" t="s">
        <v>108</v>
      </c>
      <c r="G819" s="141"/>
    </row>
    <row r="820" spans="1:7" x14ac:dyDescent="0.3">
      <c r="A820" s="140"/>
      <c r="B820" s="141"/>
      <c r="C820" s="95"/>
      <c r="D820" s="95"/>
      <c r="E820" s="141"/>
      <c r="F820" s="142"/>
      <c r="G820" s="141"/>
    </row>
    <row r="821" spans="1:7" x14ac:dyDescent="0.3">
      <c r="A821" s="38"/>
      <c r="C821" s="14">
        <f>SUBTOTAL(109,Table14[Debit])</f>
        <v>38214209.399999999</v>
      </c>
      <c r="D821" s="14">
        <f>SUBTOTAL(109,Table14[Credit])</f>
        <v>38233168.229517192</v>
      </c>
      <c r="F821" s="54">
        <f>(Table14[[#Totals],[Credit]]-Table14[[#Totals],[Debit]])</f>
        <v>18958.829517193139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18" zoomScale="107" zoomScaleNormal="210" workbookViewId="0">
      <selection activeCell="E22" sqref="E2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3"/>
      <c r="M10" s="143">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3">
        <v>718750</v>
      </c>
      <c r="M11" s="143">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3"/>
      <c r="M12" s="143">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3"/>
      <c r="M13" s="14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3">
        <v>718750</v>
      </c>
      <c r="M14" s="143">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6">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6">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6">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2879255</v>
      </c>
      <c r="G42">
        <f>SUBTOTAL(109,Table8[Paid])</f>
        <v>2320880</v>
      </c>
      <c r="H42">
        <f>SUBTOTAL(109,Table8[Balance])</f>
        <v>1805750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3"/>
  <sheetViews>
    <sheetView topLeftCell="A28" zoomScale="104" workbookViewId="0">
      <selection activeCell="A53" sqref="A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3">
        <v>0</v>
      </c>
      <c r="L5" s="143">
        <v>0</v>
      </c>
      <c r="M5" s="143">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3">
        <v>0</v>
      </c>
      <c r="L6" s="143">
        <v>0</v>
      </c>
      <c r="M6" s="143">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3">
        <v>556100</v>
      </c>
      <c r="L7" s="143">
        <v>556100</v>
      </c>
      <c r="M7" s="143">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3">
        <v>120000</v>
      </c>
      <c r="L8" s="143">
        <v>240000</v>
      </c>
      <c r="M8" s="143">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3">
        <v>312000</v>
      </c>
      <c r="L9" s="143">
        <v>312000</v>
      </c>
      <c r="M9" s="143">
        <v>0</v>
      </c>
    </row>
    <row r="10" spans="1:13" x14ac:dyDescent="0.3">
      <c r="A10" s="84">
        <v>46073</v>
      </c>
      <c r="B10" s="1" t="s">
        <v>226</v>
      </c>
      <c r="C10" t="s">
        <v>211</v>
      </c>
      <c r="F10">
        <f>260*325</f>
        <v>84500</v>
      </c>
      <c r="H10" s="80">
        <f>Table2[[#This Row],[Price]]-Table2[[#This Row],[Paid]]</f>
        <v>84500</v>
      </c>
      <c r="J10" s="4" t="s">
        <v>195</v>
      </c>
      <c r="K10" s="143">
        <v>152950</v>
      </c>
      <c r="L10" s="143">
        <v>152950</v>
      </c>
      <c r="M10" s="143">
        <v>0</v>
      </c>
    </row>
    <row r="11" spans="1:13" x14ac:dyDescent="0.3">
      <c r="A11" s="1"/>
      <c r="B11" s="1"/>
      <c r="J11" s="4" t="s">
        <v>226</v>
      </c>
      <c r="K11" s="143">
        <v>84500</v>
      </c>
      <c r="L11" s="143">
        <v>142500</v>
      </c>
      <c r="M11" s="143">
        <v>-58000</v>
      </c>
    </row>
    <row r="12" spans="1:13" x14ac:dyDescent="0.3">
      <c r="A12" s="1"/>
      <c r="B12" s="1"/>
      <c r="J12" s="4" t="s">
        <v>427</v>
      </c>
      <c r="K12" s="143">
        <v>0</v>
      </c>
      <c r="L12" s="143">
        <v>0</v>
      </c>
      <c r="M12" s="143">
        <v>0</v>
      </c>
    </row>
    <row r="13" spans="1:13" x14ac:dyDescent="0.3">
      <c r="A13" s="1"/>
      <c r="B13" s="1"/>
      <c r="J13" s="4" t="s">
        <v>671</v>
      </c>
      <c r="K13" s="143">
        <v>35000</v>
      </c>
      <c r="L13" s="143">
        <v>35000</v>
      </c>
      <c r="M13" s="143">
        <v>0</v>
      </c>
    </row>
    <row r="14" spans="1:13" x14ac:dyDescent="0.3">
      <c r="A14" s="1"/>
      <c r="B14" s="1"/>
      <c r="J14" s="4" t="s">
        <v>28</v>
      </c>
      <c r="K14" s="143">
        <v>1260550</v>
      </c>
      <c r="L14" s="143">
        <v>1438550</v>
      </c>
      <c r="M14" s="143">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s="143">
        <v>46800</v>
      </c>
      <c r="G52" s="143">
        <f>SUMIFS(Table14[Debit], Table14[Date], Table2[[#This Row],[Date]], Table14[Party], Table2[[#This Row],[Party Name]])</f>
        <v>46800</v>
      </c>
      <c r="H52" s="143">
        <f>Table2[[#This Row],[Price]]-Table2[[#This Row],[Paid]]</f>
        <v>0</v>
      </c>
    </row>
    <row r="53" spans="1:8" x14ac:dyDescent="0.3">
      <c r="A53" s="1"/>
      <c r="F53">
        <f>SUBTOTAL(109,Table2[Price])</f>
        <v>1260550</v>
      </c>
      <c r="G53">
        <f>SUBTOTAL(109,Table2[Paid])</f>
        <v>1438550</v>
      </c>
      <c r="H53">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8">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8">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8">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8">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8">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5" sqref="F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3043251</v>
      </c>
      <c r="C2" s="32">
        <f>GETPIVOTDATA("Sum of Tiyaar/gaz",$A$3)</f>
        <v>3080677</v>
      </c>
      <c r="D2" s="31">
        <f>((B2*48)+((C2/1.0936)*10))/C2</f>
        <v>56.560977030647784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2181</v>
      </c>
      <c r="B113" s="14">
        <v>9943</v>
      </c>
      <c r="C113" s="14">
        <v>10720</v>
      </c>
      <c r="D113" s="28">
        <f t="shared" si="37"/>
        <v>53.665006714780155</v>
      </c>
      <c r="E113" s="11">
        <f t="shared" si="38"/>
        <v>10873.664799999999</v>
      </c>
      <c r="F113" s="11">
        <f t="shared" si="39"/>
        <v>10720</v>
      </c>
      <c r="G113" s="78">
        <f t="shared" si="40"/>
        <v>1.4131831615776633</v>
      </c>
      <c r="H113" s="28">
        <f t="shared" si="41"/>
        <v>9802.487198244331</v>
      </c>
      <c r="I113" s="28">
        <f t="shared" si="42"/>
        <v>53.665006714780155</v>
      </c>
    </row>
    <row r="114" spans="1:9" x14ac:dyDescent="0.3">
      <c r="A114" s="16" t="s">
        <v>28</v>
      </c>
      <c r="B114" s="30">
        <v>107006</v>
      </c>
      <c r="C114" s="30">
        <v>3080677</v>
      </c>
      <c r="D114" s="28">
        <f t="shared" si="37"/>
        <v>10.811370694118507</v>
      </c>
      <c r="E114" s="11">
        <f t="shared" si="38"/>
        <v>117021.76159999998</v>
      </c>
      <c r="F114" s="11">
        <f t="shared" si="39"/>
        <v>3080677</v>
      </c>
      <c r="G114" s="78">
        <f t="shared" si="40"/>
        <v>-2532.5676163808494</v>
      </c>
      <c r="H114" s="28">
        <f t="shared" si="41"/>
        <v>2817005.3035844918</v>
      </c>
      <c r="I114" s="28">
        <f t="shared" si="42"/>
        <v>10.811370694118507</v>
      </c>
    </row>
    <row r="115" spans="1:9" x14ac:dyDescent="0.3">
      <c r="D115" s="28" t="e">
        <f t="shared" si="37"/>
        <v>#DIV/0!</v>
      </c>
      <c r="E115" s="11">
        <f t="shared" si="38"/>
        <v>0</v>
      </c>
      <c r="F115" s="11">
        <f t="shared" si="39"/>
        <v>0</v>
      </c>
      <c r="G115" s="78" t="e">
        <f t="shared" si="40"/>
        <v>#DIV/0!</v>
      </c>
      <c r="H115" s="28">
        <f t="shared" si="41"/>
        <v>0</v>
      </c>
      <c r="I115" s="28" t="e">
        <f t="shared" si="42"/>
        <v>#DIV/0!</v>
      </c>
    </row>
    <row r="116" spans="1:9" x14ac:dyDescent="0.3">
      <c r="D116" s="28" t="e">
        <f t="shared" si="37"/>
        <v>#DIV/0!</v>
      </c>
      <c r="E116" s="11">
        <f t="shared" si="38"/>
        <v>0</v>
      </c>
      <c r="F116" s="11">
        <f t="shared" si="39"/>
        <v>0</v>
      </c>
      <c r="G116" s="78" t="e">
        <f t="shared" si="40"/>
        <v>#DIV/0!</v>
      </c>
      <c r="H116" s="28">
        <f t="shared" si="41"/>
        <v>0</v>
      </c>
      <c r="I116" s="28" t="e">
        <f t="shared" si="42"/>
        <v>#DIV/0!</v>
      </c>
    </row>
    <row r="117" spans="1:9" x14ac:dyDescent="0.3">
      <c r="D117" s="28" t="e">
        <f t="shared" si="37"/>
        <v>#DIV/0!</v>
      </c>
      <c r="E117" s="11">
        <f t="shared" si="38"/>
        <v>0</v>
      </c>
      <c r="F117" s="11">
        <f t="shared" si="39"/>
        <v>0</v>
      </c>
      <c r="G117" s="78" t="e">
        <f t="shared" si="40"/>
        <v>#DIV/0!</v>
      </c>
      <c r="H117" s="28">
        <f t="shared" si="41"/>
        <v>0</v>
      </c>
      <c r="I117" s="28" t="e">
        <f t="shared" si="42"/>
        <v>#DIV/0!</v>
      </c>
    </row>
    <row r="118" spans="1:9" x14ac:dyDescent="0.3">
      <c r="D118" s="28" t="e">
        <f t="shared" si="37"/>
        <v>#DIV/0!</v>
      </c>
      <c r="E118" s="11">
        <f t="shared" si="38"/>
        <v>0</v>
      </c>
      <c r="F118" s="11">
        <f t="shared" si="39"/>
        <v>0</v>
      </c>
      <c r="G118" s="78" t="e">
        <f t="shared" si="40"/>
        <v>#DIV/0!</v>
      </c>
      <c r="H118" s="28">
        <f t="shared" si="41"/>
        <v>0</v>
      </c>
      <c r="I118" s="28" t="e">
        <f t="shared" si="42"/>
        <v>#DIV/0!</v>
      </c>
    </row>
    <row r="119" spans="1: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7"/>
  <sheetViews>
    <sheetView topLeftCell="A46" workbookViewId="0">
      <selection activeCell="B70" sqref="B70:B75"/>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c r="D76">
        <f>SUM(Table5[Amount])</f>
        <v>245140</v>
      </c>
      <c r="H76" s="1">
        <v>46146</v>
      </c>
      <c r="J76">
        <f>SUMIFS(Table14[Debit], Table14[Date], Table15[[#This Row],[Date]], Table14[Party], "Parts")</f>
        <v>86240</v>
      </c>
    </row>
    <row r="77" spans="2:10" x14ac:dyDescent="0.3">
      <c r="H77" s="1"/>
      <c r="J77">
        <f>SUM(Table15[Amount])</f>
        <v>1279522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I13" sqref="I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26859095.758595474</v>
      </c>
    </row>
    <row r="3" spans="1:3" ht="21" x14ac:dyDescent="0.4">
      <c r="A3" s="101" t="str">
        <f>Billing!R38</f>
        <v>Rauf Khan</v>
      </c>
      <c r="B3" s="104">
        <f>Billing!AF38</f>
        <v>0</v>
      </c>
      <c r="C3" s="102">
        <f>Billing!AG38</f>
        <v>1117008.0468178494</v>
      </c>
    </row>
    <row r="4" spans="1:3" ht="21" x14ac:dyDescent="0.4">
      <c r="A4" s="101" t="str">
        <f>Billing!R25</f>
        <v>Shahid Qasayi</v>
      </c>
      <c r="B4" s="104">
        <f>Billing!AF25</f>
        <v>4110477</v>
      </c>
      <c r="C4" s="102">
        <f>Billing!AG25</f>
        <v>311552.9926847117</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Billing!R36</f>
        <v>Faizan Kamoki</v>
      </c>
      <c r="B8" s="104">
        <f>Billing!AF36</f>
        <v>5245323.4930504756</v>
      </c>
      <c r="C8" s="102">
        <f>Billing!AG36</f>
        <v>380582.68836869113</v>
      </c>
    </row>
    <row r="9" spans="1:3" ht="21" x14ac:dyDescent="0.4">
      <c r="A9" s="101" t="str">
        <f>Billing!R27</f>
        <v>ibraheem behraam</v>
      </c>
      <c r="B9" s="104">
        <f>Billing!AF27</f>
        <v>1773500</v>
      </c>
      <c r="C9" s="102">
        <f>Billing!AG27</f>
        <v>132279.07827359205</v>
      </c>
    </row>
    <row r="10" spans="1:3" ht="21" x14ac:dyDescent="0.4">
      <c r="A10" s="101" t="str">
        <f>Billing!R13</f>
        <v>Ubaidullah</v>
      </c>
      <c r="B10" s="104">
        <f>Billing!AF13</f>
        <v>3109990</v>
      </c>
      <c r="C10" s="102">
        <f>Billing!AG13</f>
        <v>1613.8771031456999</v>
      </c>
    </row>
    <row r="11" spans="1:3" ht="21" x14ac:dyDescent="0.4">
      <c r="A11" s="101" t="str">
        <f>Billing!R6</f>
        <v>Ejaz Sahab</v>
      </c>
      <c r="B11" s="104">
        <f>Billing!AF6</f>
        <v>7214622</v>
      </c>
      <c r="C11" s="102">
        <f>Billing!AG6</f>
        <v>270520.64813460223</v>
      </c>
    </row>
    <row r="12" spans="1:3" ht="21" x14ac:dyDescent="0.4">
      <c r="A12" s="101" t="str">
        <f>Billing!R7</f>
        <v>Arshad</v>
      </c>
      <c r="B12" s="104">
        <f>Billing!AF7</f>
        <v>9775501</v>
      </c>
      <c r="C12" s="103">
        <f>Billing!AG7</f>
        <v>37106.900512069464</v>
      </c>
    </row>
    <row r="13" spans="1:3" ht="21" x14ac:dyDescent="0.4">
      <c r="A13" s="101" t="str">
        <f>Billing!R11</f>
        <v>Raaz Fabrics</v>
      </c>
      <c r="B13" s="104">
        <f>Billing!AF11</f>
        <v>1726321</v>
      </c>
      <c r="C13" s="103">
        <f>Billing!AG11</f>
        <v>132704.23774689133</v>
      </c>
    </row>
    <row r="14" spans="1:3" ht="21" x14ac:dyDescent="0.4">
      <c r="A14" s="101" t="str">
        <f>Billing!R14</f>
        <v>Ashraf Zia</v>
      </c>
      <c r="B14" s="104">
        <f>Billing!AF14</f>
        <v>130000</v>
      </c>
      <c r="C14" s="102">
        <f>Billing!AG14</f>
        <v>125724.21360643749</v>
      </c>
    </row>
    <row r="15" spans="1:3" ht="21" x14ac:dyDescent="0.4">
      <c r="A15" s="101" t="str">
        <f>Billing!R16</f>
        <v>Badshah Fabrics</v>
      </c>
      <c r="B15" s="104">
        <f>Billing!AF16</f>
        <v>6545761</v>
      </c>
      <c r="C15" s="102">
        <f>Billing!AG16</f>
        <v>91938.341623995453</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Billing!R37</f>
        <v>KK fabrics</v>
      </c>
      <c r="B20" s="104">
        <f>Billing!AF37</f>
        <v>544000</v>
      </c>
      <c r="C20" s="102">
        <f>Billing!AG37</f>
        <v>1345.6474030724494</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t="str">
        <f>Billing!R39</f>
        <v>Farhaan ali</v>
      </c>
      <c r="B31" s="104">
        <f>Billing!AF39</f>
        <v>0</v>
      </c>
      <c r="C31" s="102">
        <f>Billing!AG39</f>
        <v>1798277.2494513534</v>
      </c>
    </row>
    <row r="32" spans="1:3" ht="21" x14ac:dyDescent="0.4">
      <c r="A32" s="101" t="str">
        <f>Billing!R40</f>
        <v>ACM salman zaffar</v>
      </c>
      <c r="B32" s="104">
        <f>Billing!AF40</f>
        <v>0</v>
      </c>
      <c r="C32" s="102">
        <f>Billing!AG40</f>
        <v>189566.56912948063</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57" priority="1" operator="lessThan">
      <formula>10</formula>
    </cfRule>
  </conditionalFormatting>
  <conditionalFormatting sqref="C2:C41">
    <cfRule type="cellIs" dxfId="5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2026-05-08T19:46:55Z</dcterms:modified>
  <cp:category/>
  <cp:contentStatus/>
</cp:coreProperties>
</file>