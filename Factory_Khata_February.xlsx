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804" documentId="8_{5FA7CF9A-3CD5-4319-9FC5-E34696581AAD}" xr6:coauthVersionLast="47" xr6:coauthVersionMax="47" xr10:uidLastSave="{BAB2A305-5373-48C7-BD6D-1CA232AE3F13}"/>
  <bookViews>
    <workbookView xWindow="-108" yWindow="-108" windowWidth="23256" windowHeight="12456" tabRatio="597" firstSheet="8"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3" r:id="rId21"/>
    <pivotCache cacheId="19" r:id="rId22"/>
    <pivotCache cacheId="24" r:id="rId23"/>
    <pivotCache cacheId="28" r:id="rId24"/>
    <pivotCache cacheId="32" r:id="rId25"/>
    <pivotCache cacheId="37"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5" i="1" l="1"/>
  <c r="J95" i="1" a="1"/>
  <c r="J95" i="1" s="1"/>
  <c r="I96" i="1"/>
  <c r="J96" i="1" a="1"/>
  <c r="J96" i="1" s="1"/>
  <c r="I97" i="1"/>
  <c r="J97" i="1" a="1"/>
  <c r="J97" i="1" s="1"/>
  <c r="I98" i="1"/>
  <c r="J98" i="1" s="1" a="1"/>
  <c r="J98" i="1" s="1"/>
  <c r="I99" i="1"/>
  <c r="J99" i="1" a="1"/>
  <c r="J99" i="1" s="1"/>
  <c r="I100" i="1"/>
  <c r="J100" i="1" s="1" a="1"/>
  <c r="J100" i="1" s="1"/>
  <c r="I101" i="1"/>
  <c r="J101" i="1" s="1" a="1"/>
  <c r="J101" i="1" s="1"/>
  <c r="D120" i="17"/>
  <c r="R37" i="9" a="1"/>
  <c r="R37" i="9" s="1"/>
  <c r="S37" i="9" a="1"/>
  <c r="S37" i="9" s="1"/>
  <c r="T37" i="9" a="1"/>
  <c r="T37" i="9" s="1"/>
  <c r="U37" i="9" a="1"/>
  <c r="U37" i="9" s="1"/>
  <c r="V37" i="9" a="1"/>
  <c r="V37" i="9" s="1"/>
  <c r="W37" i="9" a="1"/>
  <c r="W37" i="9" s="1"/>
  <c r="X37" i="9" a="1"/>
  <c r="X37" i="9" s="1"/>
  <c r="Y37" i="9" a="1"/>
  <c r="Y37" i="9" s="1"/>
  <c r="Z37" i="9" a="1"/>
  <c r="Z37" i="9" s="1"/>
  <c r="AA37" i="9" a="1"/>
  <c r="AA37" i="9" s="1"/>
  <c r="AB37" i="9" a="1"/>
  <c r="AB37" i="9" s="1"/>
  <c r="C4" i="8"/>
  <c r="G22" i="15"/>
  <c r="I83" i="1"/>
  <c r="J83" i="1" s="1" a="1"/>
  <c r="J83" i="1" s="1"/>
  <c r="I84" i="1"/>
  <c r="J84" i="1" s="1" a="1"/>
  <c r="J84" i="1" s="1"/>
  <c r="I85" i="1"/>
  <c r="J85" i="1" a="1"/>
  <c r="J85" i="1" s="1"/>
  <c r="I86" i="1"/>
  <c r="J86" i="1" s="1" a="1"/>
  <c r="J86" i="1" s="1"/>
  <c r="I87" i="1"/>
  <c r="J87" i="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C58" i="17"/>
  <c r="I15" i="6"/>
  <c r="I16" i="6"/>
  <c r="I17" i="6"/>
  <c r="I18" i="6"/>
  <c r="I19" i="6"/>
  <c r="I20" i="6"/>
  <c r="I21" i="6"/>
  <c r="I22" i="6"/>
  <c r="I23" i="6"/>
  <c r="I24" i="6"/>
  <c r="I25" i="6"/>
  <c r="I26" i="6"/>
  <c r="I27" i="6"/>
  <c r="I28" i="6"/>
  <c r="I29" i="6"/>
  <c r="I30" i="6"/>
  <c r="I31" i="6"/>
  <c r="I32" i="6"/>
  <c r="I33" i="6"/>
  <c r="I34" i="6"/>
  <c r="I35" i="6"/>
  <c r="I14" i="6"/>
  <c r="G15" i="6"/>
  <c r="G16" i="6"/>
  <c r="G17" i="6"/>
  <c r="G18" i="6"/>
  <c r="G19" i="6"/>
  <c r="G20" i="6"/>
  <c r="G21" i="6"/>
  <c r="G22" i="6"/>
  <c r="G23" i="6"/>
  <c r="G24" i="6"/>
  <c r="G25" i="6"/>
  <c r="G26" i="6"/>
  <c r="G27" i="6"/>
  <c r="G28" i="6"/>
  <c r="A35" i="20"/>
  <c r="A36" i="20"/>
  <c r="A37" i="20"/>
  <c r="A38" i="20"/>
  <c r="A39" i="20"/>
  <c r="A40" i="20"/>
  <c r="Q5" i="9" a="1"/>
  <c r="A33" i="20" s="1"/>
  <c r="C6" i="8"/>
  <c r="G8" i="7"/>
  <c r="G6" i="7"/>
  <c r="G7" i="7"/>
  <c r="G9" i="7"/>
  <c r="G14" i="6"/>
  <c r="AD37" i="9" l="1"/>
  <c r="D89" i="17"/>
  <c r="AC37" i="9"/>
  <c r="A34" i="20"/>
  <c r="Q5" i="9"/>
  <c r="A6" i="20"/>
  <c r="A7" i="20"/>
  <c r="A19" i="20"/>
  <c r="A31" i="20"/>
  <c r="A20" i="20"/>
  <c r="A32" i="20"/>
  <c r="A21" i="20"/>
  <c r="A5" i="20"/>
  <c r="A30" i="20"/>
  <c r="A18" i="20"/>
  <c r="A29" i="20"/>
  <c r="A17" i="20"/>
  <c r="A28" i="20"/>
  <c r="A16" i="20"/>
  <c r="A4" i="20"/>
  <c r="A27" i="20"/>
  <c r="A3" i="20"/>
  <c r="A14" i="20"/>
  <c r="A13" i="20"/>
  <c r="A12" i="20"/>
  <c r="A22" i="20"/>
  <c r="A15" i="20"/>
  <c r="A26" i="20"/>
  <c r="A25" i="20"/>
  <c r="A24" i="20"/>
  <c r="A23" i="20"/>
  <c r="A11" i="20"/>
  <c r="A10" i="20"/>
  <c r="A9" i="20"/>
  <c r="A8" i="20"/>
  <c r="A35" i="21"/>
  <c r="A36" i="21"/>
  <c r="A37" i="21"/>
  <c r="A38" i="21"/>
  <c r="G2" i="21" a="1"/>
  <c r="A34" i="21" s="1"/>
  <c r="AE37" i="9" l="1"/>
  <c r="G2" i="21"/>
  <c r="A2" i="21" s="1"/>
  <c r="A33" i="21"/>
  <c r="A24" i="21"/>
  <c r="A12" i="21"/>
  <c r="A22" i="21"/>
  <c r="A10" i="21"/>
  <c r="A21" i="21"/>
  <c r="A9" i="21"/>
  <c r="A32" i="21"/>
  <c r="A20" i="21"/>
  <c r="A8" i="21"/>
  <c r="A31" i="21"/>
  <c r="A19" i="21"/>
  <c r="A7" i="21"/>
  <c r="A30" i="21"/>
  <c r="A18" i="21"/>
  <c r="A6" i="21"/>
  <c r="A29" i="21"/>
  <c r="A17" i="21"/>
  <c r="A5" i="21"/>
  <c r="A28" i="21"/>
  <c r="A16" i="21"/>
  <c r="A4" i="21"/>
  <c r="A23" i="21"/>
  <c r="A27" i="21"/>
  <c r="A15" i="21"/>
  <c r="A3" i="21"/>
  <c r="A26" i="21"/>
  <c r="A14" i="21"/>
  <c r="A11" i="21"/>
  <c r="A25" i="21"/>
  <c r="A13" i="21"/>
  <c r="B32" i="21" l="1"/>
  <c r="B33" i="21"/>
  <c r="B34" i="21"/>
  <c r="B35" i="21"/>
  <c r="B36" i="21"/>
  <c r="B38" i="21"/>
  <c r="B37" i="21"/>
  <c r="I72" i="1" l="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F23" i="15"/>
  <c r="F24" i="15"/>
  <c r="F25" i="15"/>
  <c r="G23" i="15"/>
  <c r="H23" i="15" s="1"/>
  <c r="G24" i="15"/>
  <c r="G25" i="15"/>
  <c r="G22" i="7"/>
  <c r="H22" i="7" s="1"/>
  <c r="G23" i="7"/>
  <c r="H23" i="7" s="1"/>
  <c r="G24" i="7"/>
  <c r="H24" i="7" s="1"/>
  <c r="G25" i="7"/>
  <c r="H25" i="7" s="1"/>
  <c r="E21" i="7"/>
  <c r="C5" i="8" s="1"/>
  <c r="G21" i="7"/>
  <c r="I70" i="1"/>
  <c r="J70" i="1" s="1" a="1"/>
  <c r="J70" i="1" s="1"/>
  <c r="I71" i="1"/>
  <c r="J71" i="1" s="1" a="1"/>
  <c r="J71" i="1" s="1"/>
  <c r="G122"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B34" i="20"/>
  <c r="C34" i="20"/>
  <c r="B35" i="20"/>
  <c r="C35" i="20"/>
  <c r="B36" i="20"/>
  <c r="C36" i="20"/>
  <c r="B37" i="20"/>
  <c r="B38" i="20"/>
  <c r="B39" i="20"/>
  <c r="C39" i="20"/>
  <c r="B40" i="20"/>
  <c r="C40" i="20"/>
  <c r="D28" i="18"/>
  <c r="C9" i="8"/>
  <c r="H22" i="15"/>
  <c r="I123"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K27" i="15"/>
  <c r="K26" i="15"/>
  <c r="K25" i="15"/>
  <c r="K30" i="15" s="1"/>
  <c r="B49" i="9" a="1"/>
  <c r="I36" i="12"/>
  <c r="J35" i="14"/>
  <c r="J36" i="14"/>
  <c r="D35" i="14"/>
  <c r="D36" i="14"/>
  <c r="D35" i="18"/>
  <c r="D36" i="18"/>
  <c r="D37" i="18"/>
  <c r="E35" i="18"/>
  <c r="E36" i="18"/>
  <c r="E37" i="18"/>
  <c r="J25" i="15"/>
  <c r="J30" i="15"/>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E76" i="2"/>
  <c r="G76" i="2" s="1"/>
  <c r="F76" i="2"/>
  <c r="E77" i="2"/>
  <c r="F77" i="2"/>
  <c r="E78" i="2"/>
  <c r="F78" i="2"/>
  <c r="H78" i="2" s="1"/>
  <c r="I78" i="2" s="1"/>
  <c r="D78" i="2" s="1"/>
  <c r="E79" i="2"/>
  <c r="F79" i="2"/>
  <c r="H79" i="2" s="1"/>
  <c r="I79" i="2" s="1"/>
  <c r="D79" i="2" s="1"/>
  <c r="E80" i="2"/>
  <c r="F80" i="2"/>
  <c r="G80" i="2" s="1"/>
  <c r="H80" i="2"/>
  <c r="I80" i="2" s="1"/>
  <c r="D80" i="2" s="1"/>
  <c r="E81" i="2"/>
  <c r="F81" i="2"/>
  <c r="H81" i="2" s="1"/>
  <c r="I81" i="2" s="1"/>
  <c r="D81" i="2" s="1"/>
  <c r="E82" i="2"/>
  <c r="F82" i="2"/>
  <c r="G82" i="2" s="1"/>
  <c r="H82" i="2"/>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G57" i="2" s="1"/>
  <c r="E58" i="2"/>
  <c r="F58" i="2"/>
  <c r="H58" i="2" s="1"/>
  <c r="I58" i="2" s="1"/>
  <c r="D58" i="2" s="1"/>
  <c r="F27" i="2"/>
  <c r="H27" i="2" s="1"/>
  <c r="I27" i="2" s="1"/>
  <c r="D27" i="2" s="1"/>
  <c r="E27" i="2"/>
  <c r="E59" i="2"/>
  <c r="F59" i="2"/>
  <c r="H59" i="2" s="1"/>
  <c r="I59" i="2" s="1"/>
  <c r="D59" i="2" s="1"/>
  <c r="F28" i="2"/>
  <c r="H28" i="2"/>
  <c r="I28" i="2" s="1"/>
  <c r="D28" i="2" s="1"/>
  <c r="E28" i="2"/>
  <c r="G28" i="2" s="1"/>
  <c r="E60" i="2"/>
  <c r="F60" i="2"/>
  <c r="H60" i="2" s="1"/>
  <c r="I60" i="2" s="1"/>
  <c r="D60" i="2" s="1"/>
  <c r="E61" i="2"/>
  <c r="F61" i="2"/>
  <c r="H61" i="2"/>
  <c r="I61" i="2"/>
  <c r="D61" i="2" s="1"/>
  <c r="E62" i="2"/>
  <c r="F62" i="2"/>
  <c r="H62" i="2" s="1"/>
  <c r="I62" i="2" s="1"/>
  <c r="D62" i="2" s="1"/>
  <c r="E63" i="2"/>
  <c r="F63" i="2"/>
  <c r="H63" i="2" s="1"/>
  <c r="I63" i="2" s="1"/>
  <c r="D63" i="2" s="1"/>
  <c r="E64" i="2"/>
  <c r="G64" i="2" s="1"/>
  <c r="F64" i="2"/>
  <c r="H64" i="2" s="1"/>
  <c r="I64" i="2" s="1"/>
  <c r="D64" i="2" s="1"/>
  <c r="E65" i="2"/>
  <c r="F65" i="2"/>
  <c r="H65" i="2" s="1"/>
  <c r="I65" i="2" s="1"/>
  <c r="D65" i="2" s="1"/>
  <c r="E66" i="2"/>
  <c r="F66" i="2"/>
  <c r="H66" i="2"/>
  <c r="I66" i="2" s="1"/>
  <c r="D66" i="2" s="1"/>
  <c r="E67" i="2"/>
  <c r="F67" i="2"/>
  <c r="H67" i="2"/>
  <c r="I67" i="2" s="1"/>
  <c r="D67" i="2" s="1"/>
  <c r="E68" i="2"/>
  <c r="F68" i="2"/>
  <c r="H68" i="2" s="1"/>
  <c r="I68" i="2" s="1"/>
  <c r="D68" i="2" s="1"/>
  <c r="E69" i="2"/>
  <c r="F69" i="2"/>
  <c r="H69" i="2"/>
  <c r="I69" i="2" s="1"/>
  <c r="D69" i="2" s="1"/>
  <c r="E70" i="2"/>
  <c r="F70" i="2"/>
  <c r="H70" i="2"/>
  <c r="I70" i="2" s="1"/>
  <c r="D70" i="2" s="1"/>
  <c r="E71" i="2"/>
  <c r="F71" i="2"/>
  <c r="G71" i="2" s="1"/>
  <c r="E72" i="2"/>
  <c r="F72" i="2"/>
  <c r="G72" i="2" s="1"/>
  <c r="E73" i="2"/>
  <c r="F73" i="2"/>
  <c r="H73" i="2"/>
  <c r="I73" i="2" s="1"/>
  <c r="D73" i="2" s="1"/>
  <c r="E45" i="2"/>
  <c r="F45" i="2"/>
  <c r="H45" i="2" s="1"/>
  <c r="I45" i="2" s="1"/>
  <c r="D45" i="2" s="1"/>
  <c r="E46" i="2"/>
  <c r="F46" i="2"/>
  <c r="E47" i="2"/>
  <c r="F47" i="2"/>
  <c r="H47" i="2"/>
  <c r="I47" i="2" s="1"/>
  <c r="D47" i="2" s="1"/>
  <c r="E48" i="2"/>
  <c r="F48" i="2"/>
  <c r="H48" i="2" s="1"/>
  <c r="I48" i="2" s="1"/>
  <c r="D48" i="2" s="1"/>
  <c r="F20" i="2"/>
  <c r="H20" i="2" s="1"/>
  <c r="I20" i="2" s="1"/>
  <c r="D20" i="2" s="1"/>
  <c r="E20" i="2"/>
  <c r="E49" i="2"/>
  <c r="F49" i="2"/>
  <c r="H49" i="2"/>
  <c r="I49" i="2" s="1"/>
  <c r="D49" i="2" s="1"/>
  <c r="F21" i="2"/>
  <c r="H21" i="2" s="1"/>
  <c r="I21" i="2" s="1"/>
  <c r="D21" i="2" s="1"/>
  <c r="E21" i="2"/>
  <c r="E50" i="2"/>
  <c r="F50" i="2"/>
  <c r="G50" i="2" s="1"/>
  <c r="E51" i="2"/>
  <c r="F51" i="2"/>
  <c r="H51" i="2" s="1"/>
  <c r="I51" i="2" s="1"/>
  <c r="D51" i="2" s="1"/>
  <c r="E52" i="2"/>
  <c r="F52" i="2"/>
  <c r="H52" i="2" s="1"/>
  <c r="I52" i="2" s="1"/>
  <c r="D52" i="2" s="1"/>
  <c r="E53" i="2"/>
  <c r="F53" i="2"/>
  <c r="H53" i="2" s="1"/>
  <c r="I53" i="2" s="1"/>
  <c r="D53" i="2" s="1"/>
  <c r="E54" i="2"/>
  <c r="G54" i="2" s="1"/>
  <c r="F54" i="2"/>
  <c r="F24" i="2"/>
  <c r="H24" i="2" s="1"/>
  <c r="I24" i="2" s="1"/>
  <c r="D24" i="2" s="1"/>
  <c r="E24" i="2"/>
  <c r="E55" i="2"/>
  <c r="F55" i="2"/>
  <c r="G55" i="2" s="1"/>
  <c r="H55" i="2"/>
  <c r="I55" i="2" s="1"/>
  <c r="D55" i="2" s="1"/>
  <c r="F25" i="2"/>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H6" i="2" s="1"/>
  <c r="I6" i="2" s="1"/>
  <c r="D6" i="2" s="1"/>
  <c r="E6" i="2"/>
  <c r="F5" i="2"/>
  <c r="H5" i="2" s="1"/>
  <c r="I5" i="2" s="1"/>
  <c r="D5" i="2" s="1"/>
  <c r="E5" i="2"/>
  <c r="E34" i="2"/>
  <c r="F34" i="2"/>
  <c r="H34" i="2"/>
  <c r="I34" i="2" s="1"/>
  <c r="D34" i="2" s="1"/>
  <c r="F18" i="2"/>
  <c r="E18" i="2"/>
  <c r="E35" i="2"/>
  <c r="G35" i="2" s="1"/>
  <c r="F35" i="2"/>
  <c r="E36" i="2"/>
  <c r="G36" i="2" s="1"/>
  <c r="F36" i="2"/>
  <c r="H36" i="2"/>
  <c r="I36" i="2"/>
  <c r="D36" i="2" s="1"/>
  <c r="F22" i="2"/>
  <c r="H22" i="2" s="1"/>
  <c r="I22" i="2" s="1"/>
  <c r="D22" i="2" s="1"/>
  <c r="E22" i="2"/>
  <c r="F7" i="2"/>
  <c r="H7" i="2" s="1"/>
  <c r="I7" i="2" s="1"/>
  <c r="D7" i="2" s="1"/>
  <c r="E7" i="2"/>
  <c r="E37" i="2"/>
  <c r="F37" i="2"/>
  <c r="H37" i="2" s="1"/>
  <c r="I37" i="2" s="1"/>
  <c r="D37" i="2" s="1"/>
  <c r="E39" i="2"/>
  <c r="G39" i="2" s="1"/>
  <c r="F39" i="2"/>
  <c r="H39" i="2"/>
  <c r="I39" i="2" s="1"/>
  <c r="D39" i="2" s="1"/>
  <c r="E40" i="2"/>
  <c r="F40" i="2"/>
  <c r="E41" i="2"/>
  <c r="F41" i="2"/>
  <c r="H41" i="2" s="1"/>
  <c r="I41" i="2" s="1"/>
  <c r="D41" i="2" s="1"/>
  <c r="E42" i="2"/>
  <c r="F42" i="2"/>
  <c r="H42" i="2"/>
  <c r="I42" i="2" s="1"/>
  <c r="D42" i="2" s="1"/>
  <c r="E43" i="2"/>
  <c r="G43" i="2" s="1"/>
  <c r="F43" i="2"/>
  <c r="H43" i="2"/>
  <c r="I43" i="2" s="1"/>
  <c r="D43" i="2" s="1"/>
  <c r="E44" i="2"/>
  <c r="F44" i="2"/>
  <c r="H44" i="2"/>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G13" i="2" s="1"/>
  <c r="F23" i="2"/>
  <c r="H23" i="2" s="1"/>
  <c r="I23" i="2" s="1"/>
  <c r="D23" i="2" s="1"/>
  <c r="E23" i="2"/>
  <c r="F15" i="2"/>
  <c r="H15" i="2" s="1"/>
  <c r="I15" i="2" s="1"/>
  <c r="D15" i="2" s="1"/>
  <c r="E15" i="2"/>
  <c r="F16" i="2"/>
  <c r="H16" i="2" s="1"/>
  <c r="I16" i="2" s="1"/>
  <c r="D16" i="2" s="1"/>
  <c r="E16" i="2"/>
  <c r="G16" i="2" s="1"/>
  <c r="F26" i="2"/>
  <c r="H26" i="2" s="1"/>
  <c r="I26" i="2" s="1"/>
  <c r="D26" i="2" s="1"/>
  <c r="E26" i="2"/>
  <c r="F29" i="2"/>
  <c r="H29" i="2" s="1"/>
  <c r="I29" i="2" s="1"/>
  <c r="D29" i="2" s="1"/>
  <c r="E29" i="2"/>
  <c r="F30" i="2"/>
  <c r="H30" i="2" s="1"/>
  <c r="I30" i="2" s="1"/>
  <c r="D30" i="2" s="1"/>
  <c r="F31" i="2"/>
  <c r="H31" i="2" s="1"/>
  <c r="I31" i="2" s="1"/>
  <c r="D31" i="2" s="1"/>
  <c r="E31" i="2"/>
  <c r="G31" i="2" s="1"/>
  <c r="F32" i="2"/>
  <c r="H32" i="2" s="1"/>
  <c r="I32" i="2" s="1"/>
  <c r="D32" i="2" s="1"/>
  <c r="F14" i="2"/>
  <c r="H14" i="2" s="1"/>
  <c r="I14" i="2" s="1"/>
  <c r="D14" i="2" s="1"/>
  <c r="E14" i="2"/>
  <c r="E30" i="2"/>
  <c r="G30" i="2" s="1"/>
  <c r="E32" i="2"/>
  <c r="G32" i="2" s="1"/>
  <c r="N4" i="17"/>
  <c r="F12" i="2"/>
  <c r="H12" i="2" s="1"/>
  <c r="I12" i="2" s="1"/>
  <c r="D12" i="2" s="1"/>
  <c r="E12" i="2"/>
  <c r="F11" i="2"/>
  <c r="H11" i="2" s="1"/>
  <c r="I11" i="2" s="1"/>
  <c r="E11" i="2"/>
  <c r="E17" i="2"/>
  <c r="F17" i="2"/>
  <c r="H17" i="2" s="1"/>
  <c r="I17" i="2" s="1"/>
  <c r="D17" i="2" s="1"/>
  <c r="F9" i="2"/>
  <c r="H9" i="2" s="1"/>
  <c r="I9" i="2" s="1"/>
  <c r="D9" i="2" s="1"/>
  <c r="E9" i="2"/>
  <c r="G9" i="2" s="1"/>
  <c r="E8" i="2"/>
  <c r="F8" i="2"/>
  <c r="G8" i="2" s="1"/>
  <c r="H83" i="1" s="1"/>
  <c r="H8" i="2"/>
  <c r="I8" i="2" s="1"/>
  <c r="D8" i="2" s="1"/>
  <c r="E10" i="2"/>
  <c r="G10" i="2" s="1"/>
  <c r="H91" i="1" s="1"/>
  <c r="E4" i="2"/>
  <c r="C8" i="8"/>
  <c r="F10" i="2"/>
  <c r="H10" i="2"/>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3" i="6"/>
  <c r="H75" i="2"/>
  <c r="I75" i="2"/>
  <c r="D75" i="2" s="1"/>
  <c r="G84" i="2"/>
  <c r="G73" i="2"/>
  <c r="G49" i="2"/>
  <c r="G77" i="2"/>
  <c r="G37" i="2"/>
  <c r="G70" i="2"/>
  <c r="G69" i="2"/>
  <c r="G25" i="2"/>
  <c r="H99" i="1" s="1"/>
  <c r="H77" i="2"/>
  <c r="I77" i="2"/>
  <c r="D77" i="2" s="1"/>
  <c r="G66" i="2"/>
  <c r="G40" i="2"/>
  <c r="H76" i="2"/>
  <c r="I76" i="2"/>
  <c r="D76" i="2" s="1"/>
  <c r="G34" i="2"/>
  <c r="G67" i="2"/>
  <c r="G68" i="2"/>
  <c r="H57" i="2"/>
  <c r="I57" i="2" s="1"/>
  <c r="D57" i="2" s="1"/>
  <c r="G46" i="2"/>
  <c r="G47" i="2"/>
  <c r="G51" i="2"/>
  <c r="G45" i="2"/>
  <c r="G44" i="2"/>
  <c r="G23" i="2"/>
  <c r="H96" i="1" s="1"/>
  <c r="G52" i="2"/>
  <c r="G61" i="2"/>
  <c r="H35" i="2"/>
  <c r="I35" i="2" s="1"/>
  <c r="D35" i="2" s="1"/>
  <c r="H25" i="2"/>
  <c r="I25" i="2" s="1"/>
  <c r="D25" i="2" s="1"/>
  <c r="G56" i="2"/>
  <c r="G63" i="2"/>
  <c r="G38" i="2"/>
  <c r="H40" i="2"/>
  <c r="I40" i="2" s="1"/>
  <c r="D40" i="2" s="1"/>
  <c r="G58" i="2"/>
  <c r="H54" i="2"/>
  <c r="I54" i="2" s="1"/>
  <c r="D54" i="2" s="1"/>
  <c r="H46" i="2"/>
  <c r="I46" i="2" s="1"/>
  <c r="D46" i="2" s="1"/>
  <c r="G33" i="2"/>
  <c r="K6" i="6"/>
  <c r="G123" i="6"/>
  <c r="C16" i="10"/>
  <c r="C2" i="2"/>
  <c r="G6" i="2" l="1"/>
  <c r="G27" i="2"/>
  <c r="H101" i="1" s="1"/>
  <c r="G12" i="2"/>
  <c r="H97" i="1" s="1"/>
  <c r="G24" i="2"/>
  <c r="H98" i="1" s="1"/>
  <c r="G5" i="2"/>
  <c r="H88" i="1" s="1"/>
  <c r="G20" i="2"/>
  <c r="G17" i="2"/>
  <c r="G14" i="2"/>
  <c r="G19" i="2"/>
  <c r="G4" i="2"/>
  <c r="H70" i="1"/>
  <c r="G7" i="2"/>
  <c r="H86" i="1" s="1"/>
  <c r="G18" i="2"/>
  <c r="G21" i="2"/>
  <c r="B84" i="9"/>
  <c r="H80" i="1"/>
  <c r="H81" i="1"/>
  <c r="H90" i="1"/>
  <c r="G62" i="2"/>
  <c r="G42" i="2"/>
  <c r="H82" i="1"/>
  <c r="G81" i="2"/>
  <c r="H18" i="2"/>
  <c r="I18" i="2" s="1"/>
  <c r="D18" i="2" s="1"/>
  <c r="G41" i="2"/>
  <c r="G65" i="2"/>
  <c r="H50" i="2"/>
  <c r="I50" i="2" s="1"/>
  <c r="D50" i="2" s="1"/>
  <c r="H93" i="1"/>
  <c r="H92" i="1"/>
  <c r="H94" i="1"/>
  <c r="H72" i="2"/>
  <c r="I72" i="2" s="1"/>
  <c r="D72" i="2" s="1"/>
  <c r="G48" i="2"/>
  <c r="H84" i="1"/>
  <c r="H87" i="1"/>
  <c r="H89" i="1"/>
  <c r="G59" i="2"/>
  <c r="G15" i="2"/>
  <c r="H77" i="1" s="1"/>
  <c r="G75" i="2"/>
  <c r="G74" i="2"/>
  <c r="O79" i="9"/>
  <c r="O80" i="9"/>
  <c r="P80" i="9" s="1"/>
  <c r="K102" i="1"/>
  <c r="G77" i="9" a="1"/>
  <c r="G77" i="9" s="1"/>
  <c r="L78" i="9" a="1"/>
  <c r="L78" i="9" s="1"/>
  <c r="L77" i="9" a="1"/>
  <c r="L77" i="9" s="1"/>
  <c r="I78" i="9" a="1"/>
  <c r="I78" i="9" s="1"/>
  <c r="H77" i="9" a="1"/>
  <c r="H77" i="9" s="1"/>
  <c r="M78" i="9" a="1"/>
  <c r="M78" i="9" s="1"/>
  <c r="I79" i="9" a="1"/>
  <c r="I79" i="9" s="1"/>
  <c r="K78" i="9" a="1"/>
  <c r="K78" i="9" s="1"/>
  <c r="I77" i="9" a="1"/>
  <c r="I77" i="9" s="1"/>
  <c r="G78" i="9" a="1"/>
  <c r="G78" i="9" s="1"/>
  <c r="L79" i="9" a="1"/>
  <c r="L79" i="9" s="1"/>
  <c r="J77" i="9" a="1"/>
  <c r="J77" i="9" s="1"/>
  <c r="G79" i="9" a="1"/>
  <c r="G79" i="9" s="1"/>
  <c r="M79" i="9" a="1"/>
  <c r="M79" i="9" s="1"/>
  <c r="K77" i="9" a="1"/>
  <c r="K77" i="9" s="1"/>
  <c r="K79" i="9" a="1"/>
  <c r="K79" i="9" s="1"/>
  <c r="J78" i="9" a="1"/>
  <c r="J78" i="9" s="1"/>
  <c r="H79" i="9" a="1"/>
  <c r="H79" i="9" s="1"/>
  <c r="M77" i="9" a="1"/>
  <c r="M77" i="9" s="1"/>
  <c r="J79" i="9" a="1"/>
  <c r="J79" i="9" s="1"/>
  <c r="H78" i="9" a="1"/>
  <c r="H78" i="9" s="1"/>
  <c r="C114" i="9"/>
  <c r="R35" i="9" s="1" a="1"/>
  <c r="R35" i="9" s="1"/>
  <c r="E114" i="9"/>
  <c r="T35" i="9" s="1" a="1"/>
  <c r="T35" i="9" s="1"/>
  <c r="O114" i="9"/>
  <c r="F114" i="9"/>
  <c r="U35" i="9" s="1" a="1"/>
  <c r="U35" i="9" s="1"/>
  <c r="I114" i="9"/>
  <c r="X35" i="9" s="1" a="1"/>
  <c r="X35" i="9" s="1"/>
  <c r="M114" i="9"/>
  <c r="AB35" i="9" s="1" a="1"/>
  <c r="AB35" i="9" s="1"/>
  <c r="J114" i="9"/>
  <c r="Y35" i="9" s="1" a="1"/>
  <c r="Y35" i="9" s="1"/>
  <c r="L114" i="9"/>
  <c r="AA35" i="9" s="1" a="1"/>
  <c r="AA35" i="9" s="1"/>
  <c r="D114" i="9"/>
  <c r="S35" i="9" s="1" a="1"/>
  <c r="S35" i="9" s="1"/>
  <c r="G114" i="9"/>
  <c r="V35" i="9" s="1" a="1"/>
  <c r="V35" i="9" s="1"/>
  <c r="K114" i="9"/>
  <c r="Z35" i="9" s="1" a="1"/>
  <c r="Z35" i="9" s="1"/>
  <c r="H114" i="9"/>
  <c r="W35" i="9" s="1" a="1"/>
  <c r="W35" i="9" s="1"/>
  <c r="J76" i="9" a="1"/>
  <c r="J76" i="9" s="1"/>
  <c r="K76" i="9" a="1"/>
  <c r="K76" i="9" s="1"/>
  <c r="L76" i="9" a="1"/>
  <c r="L76" i="9" s="1"/>
  <c r="M76" i="9" a="1"/>
  <c r="M76" i="9" s="1"/>
  <c r="G76" i="9" a="1"/>
  <c r="G76" i="9" s="1"/>
  <c r="H76" i="9" a="1"/>
  <c r="H76" i="9" s="1"/>
  <c r="I76" i="9" a="1"/>
  <c r="I76" i="9" s="1"/>
  <c r="L51" i="9" a="1"/>
  <c r="L51" i="9" s="1"/>
  <c r="L52" i="9" a="1"/>
  <c r="L52" i="9" s="1"/>
  <c r="K54" i="9" a="1"/>
  <c r="K54" i="9" s="1"/>
  <c r="J56" i="9" a="1"/>
  <c r="J56" i="9" s="1"/>
  <c r="J60" i="9" a="1"/>
  <c r="J60" i="9" s="1"/>
  <c r="J61" i="9" a="1"/>
  <c r="J61" i="9" s="1"/>
  <c r="J62" i="9" a="1"/>
  <c r="J62" i="9" s="1"/>
  <c r="K65" i="9" a="1"/>
  <c r="K65" i="9" s="1"/>
  <c r="K66" i="9" a="1"/>
  <c r="K66" i="9" s="1"/>
  <c r="K67" i="9" a="1"/>
  <c r="K67" i="9" s="1"/>
  <c r="L70" i="9" a="1"/>
  <c r="L70" i="9" s="1"/>
  <c r="L71" i="9" a="1"/>
  <c r="L71" i="9" s="1"/>
  <c r="L72" i="9" a="1"/>
  <c r="L72" i="9" s="1"/>
  <c r="M75" i="9" a="1"/>
  <c r="M75" i="9" s="1"/>
  <c r="M54" i="9" a="1"/>
  <c r="M54" i="9" s="1"/>
  <c r="L59" i="9" a="1"/>
  <c r="L59" i="9" s="1"/>
  <c r="M63" i="9" a="1"/>
  <c r="M63" i="9" s="1"/>
  <c r="G70" i="9" a="1"/>
  <c r="G70" i="9" s="1"/>
  <c r="M50" i="9" a="1"/>
  <c r="M50" i="9" s="1"/>
  <c r="M51" i="9" a="1"/>
  <c r="M51" i="9" s="1"/>
  <c r="L53" i="9" a="1"/>
  <c r="L53" i="9" s="1"/>
  <c r="K55" i="9" a="1"/>
  <c r="K55" i="9" s="1"/>
  <c r="J57" i="9" a="1"/>
  <c r="J57" i="9" s="1"/>
  <c r="J58" i="9" a="1"/>
  <c r="J58" i="9" s="1"/>
  <c r="J59" i="9" a="1"/>
  <c r="J59" i="9" s="1"/>
  <c r="K62" i="9" a="1"/>
  <c r="K62" i="9" s="1"/>
  <c r="K63" i="9" a="1"/>
  <c r="K63" i="9" s="1"/>
  <c r="K64" i="9" a="1"/>
  <c r="K64" i="9" s="1"/>
  <c r="L67" i="9" a="1"/>
  <c r="L67" i="9" s="1"/>
  <c r="L68" i="9" a="1"/>
  <c r="L68" i="9" s="1"/>
  <c r="L69" i="9" a="1"/>
  <c r="L69" i="9" s="1"/>
  <c r="M72" i="9" a="1"/>
  <c r="M72" i="9" s="1"/>
  <c r="M73" i="9" a="1"/>
  <c r="M73" i="9" s="1"/>
  <c r="M74" i="9" a="1"/>
  <c r="M74" i="9" s="1"/>
  <c r="H51" i="9" a="1"/>
  <c r="H51" i="9" s="1"/>
  <c r="H53" i="9" a="1"/>
  <c r="H53" i="9" s="1"/>
  <c r="M56" i="9" a="1"/>
  <c r="M56" i="9" s="1"/>
  <c r="M59" i="9" a="1"/>
  <c r="M59" i="9" s="1"/>
  <c r="H68" i="9" a="1"/>
  <c r="H68" i="9" s="1"/>
  <c r="I73" i="9" a="1"/>
  <c r="I73" i="9" s="1"/>
  <c r="I75" i="9" a="1"/>
  <c r="I75" i="9" s="1"/>
  <c r="G50" i="9" a="1"/>
  <c r="G50" i="9" s="1"/>
  <c r="G51" i="9" a="1"/>
  <c r="G51" i="9" s="1"/>
  <c r="M52" i="9" a="1"/>
  <c r="M52" i="9" s="1"/>
  <c r="L54" i="9" a="1"/>
  <c r="L54" i="9" s="1"/>
  <c r="K56" i="9" a="1"/>
  <c r="K56" i="9" s="1"/>
  <c r="K59" i="9" a="1"/>
  <c r="K59" i="9" s="1"/>
  <c r="K60" i="9" a="1"/>
  <c r="K60" i="9" s="1"/>
  <c r="K61" i="9" a="1"/>
  <c r="K61" i="9" s="1"/>
  <c r="L64" i="9" a="1"/>
  <c r="L64" i="9" s="1"/>
  <c r="L65" i="9" a="1"/>
  <c r="L65" i="9" s="1"/>
  <c r="L66" i="9" a="1"/>
  <c r="L66" i="9" s="1"/>
  <c r="M69" i="9" a="1"/>
  <c r="M69" i="9" s="1"/>
  <c r="M70" i="9" a="1"/>
  <c r="M70" i="9" s="1"/>
  <c r="M71" i="9" a="1"/>
  <c r="M71" i="9" s="1"/>
  <c r="G75" i="9" a="1"/>
  <c r="G75" i="9" s="1"/>
  <c r="H50" i="9" a="1"/>
  <c r="H50" i="9" s="1"/>
  <c r="G52" i="9" a="1"/>
  <c r="G52" i="9" s="1"/>
  <c r="M53" i="9" a="1"/>
  <c r="M53" i="9" s="1"/>
  <c r="L55" i="9" a="1"/>
  <c r="L55" i="9" s="1"/>
  <c r="K57" i="9" a="1"/>
  <c r="K57" i="9" s="1"/>
  <c r="K58" i="9" a="1"/>
  <c r="K58" i="9" s="1"/>
  <c r="L61" i="9" a="1"/>
  <c r="L61" i="9" s="1"/>
  <c r="L62" i="9" a="1"/>
  <c r="L62" i="9" s="1"/>
  <c r="L63" i="9" a="1"/>
  <c r="L63" i="9" s="1"/>
  <c r="M66" i="9" a="1"/>
  <c r="M66" i="9" s="1"/>
  <c r="M67" i="9" a="1"/>
  <c r="M67" i="9" s="1"/>
  <c r="M68" i="9" a="1"/>
  <c r="M68" i="9" s="1"/>
  <c r="G72" i="9" a="1"/>
  <c r="G72" i="9" s="1"/>
  <c r="G73" i="9" a="1"/>
  <c r="G73" i="9" s="1"/>
  <c r="G74" i="9" a="1"/>
  <c r="G74" i="9" s="1"/>
  <c r="G66" i="9" a="1"/>
  <c r="G66" i="9" s="1"/>
  <c r="H73" i="9" a="1"/>
  <c r="H73" i="9" s="1"/>
  <c r="M57" i="9" a="1"/>
  <c r="M57" i="9" s="1"/>
  <c r="G63" i="9" a="1"/>
  <c r="G63" i="9" s="1"/>
  <c r="H69" i="9" a="1"/>
  <c r="H69" i="9" s="1"/>
  <c r="J50" i="9" a="1"/>
  <c r="J50" i="9" s="1"/>
  <c r="I52" i="9" a="1"/>
  <c r="I52" i="9" s="1"/>
  <c r="H54" i="9" a="1"/>
  <c r="H54" i="9" s="1"/>
  <c r="G56" i="9" a="1"/>
  <c r="G56" i="9" s="1"/>
  <c r="G57" i="9" a="1"/>
  <c r="G57" i="9" s="1"/>
  <c r="G60" i="9" a="1"/>
  <c r="G60" i="9" s="1"/>
  <c r="G61" i="9" a="1"/>
  <c r="G61" i="9" s="1"/>
  <c r="G62" i="9" a="1"/>
  <c r="G62" i="9" s="1"/>
  <c r="H65" i="9" a="1"/>
  <c r="H65" i="9" s="1"/>
  <c r="H66" i="9" a="1"/>
  <c r="H66" i="9" s="1"/>
  <c r="H67" i="9" a="1"/>
  <c r="H67" i="9" s="1"/>
  <c r="I70" i="9" a="1"/>
  <c r="I70" i="9" s="1"/>
  <c r="I71" i="9" a="1"/>
  <c r="I71" i="9" s="1"/>
  <c r="I72" i="9" a="1"/>
  <c r="I72" i="9" s="1"/>
  <c r="J75" i="9" a="1"/>
  <c r="J75" i="9" s="1"/>
  <c r="J51" i="9" a="1"/>
  <c r="J51" i="9" s="1"/>
  <c r="I53" i="9" a="1"/>
  <c r="I53" i="9" s="1"/>
  <c r="H55" i="9" a="1"/>
  <c r="H55" i="9" s="1"/>
  <c r="H56" i="9" a="1"/>
  <c r="H56" i="9" s="1"/>
  <c r="G58" i="9" a="1"/>
  <c r="G58" i="9" s="1"/>
  <c r="G59" i="9" a="1"/>
  <c r="G59" i="9" s="1"/>
  <c r="H62" i="9" a="1"/>
  <c r="H62" i="9" s="1"/>
  <c r="H63" i="9" a="1"/>
  <c r="H63" i="9" s="1"/>
  <c r="H64" i="9" a="1"/>
  <c r="H64" i="9" s="1"/>
  <c r="I67" i="9" a="1"/>
  <c r="I67" i="9" s="1"/>
  <c r="I68" i="9" a="1"/>
  <c r="I68" i="9" s="1"/>
  <c r="I69" i="9" a="1"/>
  <c r="I69" i="9" s="1"/>
  <c r="J72" i="9" a="1"/>
  <c r="J72" i="9" s="1"/>
  <c r="J73" i="9" a="1"/>
  <c r="J73" i="9" s="1"/>
  <c r="J74" i="9" a="1"/>
  <c r="J74" i="9" s="1"/>
  <c r="K50" i="9" a="1"/>
  <c r="K50" i="9" s="1"/>
  <c r="J52" i="9" a="1"/>
  <c r="J52" i="9" s="1"/>
  <c r="I54" i="9" a="1"/>
  <c r="I54" i="9" s="1"/>
  <c r="I55" i="9" a="1"/>
  <c r="I55" i="9" s="1"/>
  <c r="H57" i="9" a="1"/>
  <c r="H57" i="9" s="1"/>
  <c r="H59" i="9" a="1"/>
  <c r="H59" i="9" s="1"/>
  <c r="H60" i="9" a="1"/>
  <c r="H60" i="9" s="1"/>
  <c r="H61" i="9" a="1"/>
  <c r="H61" i="9" s="1"/>
  <c r="I64" i="9" a="1"/>
  <c r="I64" i="9" s="1"/>
  <c r="I65" i="9" a="1"/>
  <c r="I65" i="9" s="1"/>
  <c r="I66" i="9" a="1"/>
  <c r="I66" i="9" s="1"/>
  <c r="J69" i="9" a="1"/>
  <c r="J69" i="9" s="1"/>
  <c r="J70" i="9" a="1"/>
  <c r="J70" i="9" s="1"/>
  <c r="J71" i="9" a="1"/>
  <c r="J71" i="9" s="1"/>
  <c r="K74" i="9" a="1"/>
  <c r="K74" i="9" s="1"/>
  <c r="K75" i="9" a="1"/>
  <c r="K75" i="9" s="1"/>
  <c r="M65" i="9" a="1"/>
  <c r="M65" i="9" s="1"/>
  <c r="H75" i="9" a="1"/>
  <c r="H75" i="9" s="1"/>
  <c r="G54" i="9" a="1"/>
  <c r="G54" i="9" s="1"/>
  <c r="M55" i="9" a="1"/>
  <c r="M55" i="9" s="1"/>
  <c r="M61" i="9" a="1"/>
  <c r="M61" i="9" s="1"/>
  <c r="G68" i="9" a="1"/>
  <c r="G68" i="9" s="1"/>
  <c r="G65" i="9" a="1"/>
  <c r="G65" i="9" s="1"/>
  <c r="K51" i="9" a="1"/>
  <c r="K51" i="9" s="1"/>
  <c r="J53" i="9" a="1"/>
  <c r="J53" i="9" s="1"/>
  <c r="J54" i="9" a="1"/>
  <c r="J54" i="9" s="1"/>
  <c r="I56" i="9" a="1"/>
  <c r="I56" i="9" s="1"/>
  <c r="H58" i="9" a="1"/>
  <c r="H58" i="9" s="1"/>
  <c r="I61" i="9" a="1"/>
  <c r="I61" i="9" s="1"/>
  <c r="I62" i="9" a="1"/>
  <c r="I62" i="9" s="1"/>
  <c r="I63" i="9" a="1"/>
  <c r="I63" i="9" s="1"/>
  <c r="J66" i="9" a="1"/>
  <c r="J66" i="9" s="1"/>
  <c r="J67" i="9" a="1"/>
  <c r="J67" i="9" s="1"/>
  <c r="J68" i="9" a="1"/>
  <c r="J68" i="9" s="1"/>
  <c r="K71" i="9" a="1"/>
  <c r="K71" i="9" s="1"/>
  <c r="K72" i="9" a="1"/>
  <c r="K72" i="9" s="1"/>
  <c r="K73" i="9" a="1"/>
  <c r="K73" i="9" s="1"/>
  <c r="L56" i="9" a="1"/>
  <c r="L56" i="9" s="1"/>
  <c r="L60" i="9" a="1"/>
  <c r="L60" i="9" s="1"/>
  <c r="G69" i="9" a="1"/>
  <c r="G69" i="9" s="1"/>
  <c r="H74" i="9" a="1"/>
  <c r="H74" i="9" s="1"/>
  <c r="H52" i="9" a="1"/>
  <c r="H52" i="9" s="1"/>
  <c r="M60" i="9" a="1"/>
  <c r="M60" i="9" s="1"/>
  <c r="G67" i="9" a="1"/>
  <c r="G67" i="9" s="1"/>
  <c r="H72" i="9" a="1"/>
  <c r="H72" i="9" s="1"/>
  <c r="I51" i="9" a="1"/>
  <c r="I51" i="9" s="1"/>
  <c r="G55" i="9" a="1"/>
  <c r="G55" i="9" s="1"/>
  <c r="M58" i="9" a="1"/>
  <c r="M58" i="9" s="1"/>
  <c r="G64" i="9" a="1"/>
  <c r="G64" i="9" s="1"/>
  <c r="H70" i="9" a="1"/>
  <c r="H70" i="9" s="1"/>
  <c r="I74" i="9" a="1"/>
  <c r="I74" i="9" s="1"/>
  <c r="L50" i="9" a="1"/>
  <c r="L50" i="9" s="1"/>
  <c r="K52" i="9" a="1"/>
  <c r="K52" i="9" s="1"/>
  <c r="K53" i="9" a="1"/>
  <c r="K53" i="9" s="1"/>
  <c r="J55" i="9" a="1"/>
  <c r="J55" i="9" s="1"/>
  <c r="I57" i="9" a="1"/>
  <c r="I57" i="9" s="1"/>
  <c r="I58" i="9" a="1"/>
  <c r="I58" i="9" s="1"/>
  <c r="I59" i="9" a="1"/>
  <c r="I59" i="9" s="1"/>
  <c r="I60" i="9" a="1"/>
  <c r="I60" i="9" s="1"/>
  <c r="J63" i="9" a="1"/>
  <c r="J63" i="9" s="1"/>
  <c r="J64" i="9" a="1"/>
  <c r="J64" i="9" s="1"/>
  <c r="J65" i="9" a="1"/>
  <c r="J65" i="9" s="1"/>
  <c r="K68" i="9" a="1"/>
  <c r="K68" i="9" s="1"/>
  <c r="K69" i="9" a="1"/>
  <c r="K69" i="9" s="1"/>
  <c r="K70" i="9" a="1"/>
  <c r="K70" i="9" s="1"/>
  <c r="L73" i="9" a="1"/>
  <c r="L73" i="9" s="1"/>
  <c r="L74" i="9" a="1"/>
  <c r="L74" i="9" s="1"/>
  <c r="L75" i="9" a="1"/>
  <c r="L75" i="9" s="1"/>
  <c r="G53" i="9" a="1"/>
  <c r="G53" i="9" s="1"/>
  <c r="L58" i="9" a="1"/>
  <c r="L58" i="9" s="1"/>
  <c r="M64" i="9" a="1"/>
  <c r="M64" i="9" s="1"/>
  <c r="G71" i="9" a="1"/>
  <c r="G71" i="9" s="1"/>
  <c r="I50" i="9" a="1"/>
  <c r="I50" i="9" s="1"/>
  <c r="L57" i="9" a="1"/>
  <c r="L57" i="9" s="1"/>
  <c r="M62" i="9" a="1"/>
  <c r="M62" i="9" s="1"/>
  <c r="H71" i="9" a="1"/>
  <c r="H71" i="9" s="1"/>
  <c r="E26" i="7"/>
  <c r="H25" i="15"/>
  <c r="H24" i="15"/>
  <c r="H71" i="2"/>
  <c r="I71" i="2" s="1"/>
  <c r="D71" i="2" s="1"/>
  <c r="G79" i="2"/>
  <c r="G29" i="2"/>
  <c r="G11" i="2"/>
  <c r="H79" i="1" s="1"/>
  <c r="G60" i="2"/>
  <c r="H71" i="1"/>
  <c r="G53" i="2"/>
  <c r="G22" i="2"/>
  <c r="H95" i="1" s="1"/>
  <c r="G26" i="2"/>
  <c r="H100" i="1" s="1"/>
  <c r="G78" i="2"/>
  <c r="K115" i="9"/>
  <c r="Z36" i="9" s="1" a="1"/>
  <c r="Z36" i="9" s="1"/>
  <c r="L115" i="9"/>
  <c r="AA36" i="9" s="1" a="1"/>
  <c r="AA36" i="9" s="1"/>
  <c r="I115" i="9"/>
  <c r="X36" i="9" s="1" a="1"/>
  <c r="X36" i="9" s="1"/>
  <c r="E115" i="9"/>
  <c r="T36" i="9" s="1" a="1"/>
  <c r="T36" i="9" s="1"/>
  <c r="D115" i="9"/>
  <c r="S36" i="9" s="1" a="1"/>
  <c r="S36" i="9" s="1"/>
  <c r="M115" i="9"/>
  <c r="AB36" i="9" s="1" a="1"/>
  <c r="AB36" i="9" s="1"/>
  <c r="J115" i="9"/>
  <c r="Y36" i="9" s="1" a="1"/>
  <c r="Y36" i="9" s="1"/>
  <c r="F115" i="9"/>
  <c r="U36" i="9" s="1" a="1"/>
  <c r="U36" i="9" s="1"/>
  <c r="H115" i="9"/>
  <c r="W36" i="9" s="1" a="1"/>
  <c r="W36" i="9" s="1"/>
  <c r="C115" i="9"/>
  <c r="R36" i="9" s="1" a="1"/>
  <c r="R36" i="9" s="1"/>
  <c r="G115" i="9"/>
  <c r="V36" i="9" s="1" a="1"/>
  <c r="V36" i="9" s="1"/>
  <c r="B7" i="9"/>
  <c r="C7" i="9" s="1"/>
  <c r="O61" i="9"/>
  <c r="O70" i="9"/>
  <c r="B4" i="9"/>
  <c r="O66" i="9"/>
  <c r="B18" i="9"/>
  <c r="E18" i="9" s="1"/>
  <c r="O51" i="9"/>
  <c r="B5" i="9"/>
  <c r="O69" i="9"/>
  <c r="O78" i="9"/>
  <c r="B15" i="9"/>
  <c r="B14" i="9"/>
  <c r="O60" i="9"/>
  <c r="B3" i="9"/>
  <c r="O53" i="9"/>
  <c r="O57" i="9"/>
  <c r="O73" i="9"/>
  <c r="O67" i="9"/>
  <c r="B16" i="9"/>
  <c r="O56" i="9"/>
  <c r="B17" i="9"/>
  <c r="O50" i="9"/>
  <c r="O58" i="9"/>
  <c r="O76" i="9"/>
  <c r="O72" i="9"/>
  <c r="B12" i="9"/>
  <c r="O52" i="9"/>
  <c r="B49" i="9"/>
  <c r="O63" i="9"/>
  <c r="B10" i="9"/>
  <c r="B9" i="9"/>
  <c r="O68" i="9"/>
  <c r="B6" i="9"/>
  <c r="B13" i="9"/>
  <c r="O62" i="9"/>
  <c r="B8" i="9"/>
  <c r="O59" i="9"/>
  <c r="O64" i="9"/>
  <c r="O77" i="9"/>
  <c r="O54" i="9"/>
  <c r="O71" i="9"/>
  <c r="B11" i="9"/>
  <c r="O55" i="9"/>
  <c r="O75" i="9"/>
  <c r="O74" i="9"/>
  <c r="O65" i="9"/>
  <c r="F26" i="15"/>
  <c r="H9" i="15"/>
  <c r="E65" i="7"/>
  <c r="H21" i="7"/>
  <c r="C131" i="17"/>
  <c r="K4" i="17" s="1"/>
  <c r="I37" i="12"/>
  <c r="E44" i="18"/>
  <c r="D42" i="14"/>
  <c r="C10" i="8" s="1"/>
  <c r="C43" i="12"/>
  <c r="J43" i="14"/>
  <c r="C12" i="8" s="1"/>
  <c r="D44" i="18"/>
  <c r="G26" i="15"/>
  <c r="D2" i="2"/>
  <c r="H78" i="1" l="1"/>
  <c r="H76" i="1"/>
  <c r="H85" i="1"/>
  <c r="H75" i="1"/>
  <c r="H72" i="1"/>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AD35" i="9"/>
  <c r="B32" i="20" s="1"/>
  <c r="C18" i="9"/>
  <c r="G49" i="9" a="1"/>
  <c r="G49" i="9" s="1"/>
  <c r="L49" i="9" a="1"/>
  <c r="L49" i="9" s="1"/>
  <c r="J49" i="9" a="1"/>
  <c r="J49" i="9" s="1"/>
  <c r="I49" i="9" a="1"/>
  <c r="I49" i="9" s="1"/>
  <c r="M49" i="9" a="1"/>
  <c r="M49" i="9" s="1"/>
  <c r="K49" i="9" a="1"/>
  <c r="K49" i="9" s="1"/>
  <c r="H49" i="9" a="1"/>
  <c r="H49" i="9" s="1"/>
  <c r="E7" i="9" a="1"/>
  <c r="E7" i="9" s="1"/>
  <c r="H26" i="15"/>
  <c r="H73" i="1"/>
  <c r="H74" i="1"/>
  <c r="AC36" i="9"/>
  <c r="N115" i="9"/>
  <c r="N59" i="9"/>
  <c r="P59" i="9" s="1"/>
  <c r="N67" i="9"/>
  <c r="P67" i="9" s="1"/>
  <c r="N73" i="9"/>
  <c r="P73" i="9" s="1"/>
  <c r="N65" i="9"/>
  <c r="P65" i="9" s="1"/>
  <c r="N72" i="9"/>
  <c r="P72" i="9" s="1"/>
  <c r="N78" i="9"/>
  <c r="P78" i="9" s="1"/>
  <c r="N68" i="9"/>
  <c r="P68" i="9" s="1"/>
  <c r="N63" i="9"/>
  <c r="P63" i="9" s="1"/>
  <c r="N57" i="9"/>
  <c r="P57" i="9" s="1"/>
  <c r="N79" i="9"/>
  <c r="P79" i="9" s="1"/>
  <c r="N60" i="9"/>
  <c r="P60" i="9" s="1"/>
  <c r="N56" i="9"/>
  <c r="P56" i="9" s="1"/>
  <c r="N50" i="9"/>
  <c r="P50" i="9" s="1"/>
  <c r="N77" i="9"/>
  <c r="P77" i="9" s="1"/>
  <c r="N53" i="9"/>
  <c r="P53" i="9" s="1"/>
  <c r="N66" i="9"/>
  <c r="P66" i="9" s="1"/>
  <c r="N70" i="9"/>
  <c r="P70" i="9" s="1"/>
  <c r="N54" i="9"/>
  <c r="P54" i="9" s="1"/>
  <c r="N61" i="9"/>
  <c r="P61" i="9" s="1"/>
  <c r="N69" i="9"/>
  <c r="P69" i="9" s="1"/>
  <c r="N64" i="9"/>
  <c r="P64" i="9" s="1"/>
  <c r="N75" i="9"/>
  <c r="P75" i="9" s="1"/>
  <c r="C4" i="9"/>
  <c r="E4" i="9"/>
  <c r="N52" i="9"/>
  <c r="P52" i="9" s="1"/>
  <c r="N58" i="9"/>
  <c r="P58" i="9" s="1"/>
  <c r="N71" i="9"/>
  <c r="P71" i="9" s="1"/>
  <c r="N62" i="9"/>
  <c r="P62" i="9" s="1"/>
  <c r="AC35" i="9"/>
  <c r="N76" i="9"/>
  <c r="P76" i="9" s="1"/>
  <c r="N51" i="9"/>
  <c r="P51" i="9" s="1"/>
  <c r="E5" i="9"/>
  <c r="C5" i="9"/>
  <c r="N74" i="9"/>
  <c r="P74" i="9" s="1"/>
  <c r="N55" i="9"/>
  <c r="P55" i="9" s="1"/>
  <c r="C10" i="9"/>
  <c r="E10" i="9"/>
  <c r="E15" i="9"/>
  <c r="C15" i="9"/>
  <c r="C14" i="9"/>
  <c r="E14" i="9"/>
  <c r="E6" i="9"/>
  <c r="C6" i="9"/>
  <c r="E8" i="9"/>
  <c r="C8" i="9"/>
  <c r="E13" i="9"/>
  <c r="C13" i="9"/>
  <c r="C49" i="9" a="1"/>
  <c r="C49" i="9" s="1"/>
  <c r="C12" i="19" a="1"/>
  <c r="C12" i="19" s="1"/>
  <c r="O49" i="9"/>
  <c r="E49" i="9" a="1"/>
  <c r="E49" i="9" s="1"/>
  <c r="F49" i="9" a="1"/>
  <c r="F49" i="9" s="1"/>
  <c r="B2" i="9"/>
  <c r="E9" i="9"/>
  <c r="C9" i="9"/>
  <c r="C3" i="9"/>
  <c r="E3" i="9"/>
  <c r="N114" i="9"/>
  <c r="P114" i="9" s="1"/>
  <c r="D49" i="9" a="1"/>
  <c r="D49" i="9" s="1"/>
  <c r="E16" i="9"/>
  <c r="C16" i="9"/>
  <c r="E12" i="9"/>
  <c r="C12" i="9"/>
  <c r="C17" i="9"/>
  <c r="E17" i="9"/>
  <c r="A2" i="20"/>
  <c r="E11" i="9"/>
  <c r="C11" i="9"/>
  <c r="H26" i="7"/>
  <c r="F44" i="18"/>
  <c r="C11" i="8"/>
  <c r="C37" i="20" l="1"/>
  <c r="AE35" i="9"/>
  <c r="C32" i="20" s="1"/>
  <c r="N49" i="9"/>
  <c r="E2" i="9"/>
  <c r="C2" i="9"/>
  <c r="C14" i="8"/>
  <c r="C4" i="10" s="1"/>
  <c r="C15" i="10" s="1"/>
  <c r="C17" i="10" s="1"/>
  <c r="C21" i="9" l="1"/>
  <c r="P49" i="9"/>
  <c r="C23" i="9"/>
  <c r="C3" i="10" s="1"/>
  <c r="C11" i="10" s="1"/>
  <c r="C5" i="10" l="1"/>
  <c r="F21" i="10" s="1"/>
  <c r="D3" i="17" l="1"/>
  <c r="N6" i="17" s="1"/>
  <c r="C110" i="9" l="1"/>
  <c r="R31" i="9" s="1" a="1"/>
  <c r="R31" i="9" s="1"/>
  <c r="M91" i="9"/>
  <c r="AB12" i="9" s="1" a="1"/>
  <c r="AB12" i="9" s="1"/>
  <c r="L111" i="9"/>
  <c r="AA32" i="9" s="1" a="1"/>
  <c r="AA32" i="9" s="1"/>
  <c r="J98" i="9"/>
  <c r="Y19" i="9" s="1" a="1"/>
  <c r="Y19" i="9" s="1"/>
  <c r="M88" i="9"/>
  <c r="AB9" i="9" s="1" a="1"/>
  <c r="AB9" i="9" s="1"/>
  <c r="L91" i="9"/>
  <c r="AA12" i="9" s="1" a="1"/>
  <c r="AA12" i="9" s="1"/>
  <c r="I98" i="9"/>
  <c r="X19" i="9" s="1" a="1"/>
  <c r="X19" i="9" s="1"/>
  <c r="C101" i="9"/>
  <c r="R22" i="9" s="1" a="1"/>
  <c r="R22" i="9" s="1"/>
  <c r="M85" i="9"/>
  <c r="AB6" i="9" s="1" a="1"/>
  <c r="AB6" i="9" s="1"/>
  <c r="K94" i="9"/>
  <c r="Z15" i="9" s="1" a="1"/>
  <c r="Z15" i="9" s="1"/>
  <c r="I85" i="9"/>
  <c r="X6" i="9" s="1" a="1"/>
  <c r="X6" i="9" s="1"/>
  <c r="D106" i="9"/>
  <c r="S27" i="9" s="1" a="1"/>
  <c r="S27" i="9" s="1"/>
  <c r="C91" i="9"/>
  <c r="R12" i="9" s="1" a="1"/>
  <c r="R12" i="9" s="1"/>
  <c r="K101" i="9"/>
  <c r="Z22" i="9" s="1" a="1"/>
  <c r="Z22" i="9" s="1"/>
  <c r="G111" i="9"/>
  <c r="M94" i="9"/>
  <c r="AB15" i="9" s="1" a="1"/>
  <c r="AB15" i="9" s="1"/>
  <c r="M90" i="9"/>
  <c r="AB11" i="9" s="1" a="1"/>
  <c r="AB11" i="9" s="1"/>
  <c r="K85" i="9"/>
  <c r="Z6" i="9" s="1" a="1"/>
  <c r="Z6" i="9" s="1"/>
  <c r="D100" i="9"/>
  <c r="S21" i="9" s="1" a="1"/>
  <c r="S21" i="9" s="1"/>
  <c r="D10" i="19" s="1" a="1"/>
  <c r="D10" i="19" s="1"/>
  <c r="D112" i="9"/>
  <c r="S33" i="9" s="1" a="1"/>
  <c r="S33" i="9" s="1"/>
  <c r="J86" i="9"/>
  <c r="Y7" i="9" s="1" a="1"/>
  <c r="Y7" i="9" s="1"/>
  <c r="D107" i="9"/>
  <c r="S28" i="9" s="1" a="1"/>
  <c r="S28" i="9" s="1"/>
  <c r="D103" i="9"/>
  <c r="S24" i="9" s="1" a="1"/>
  <c r="S24" i="9" s="1"/>
  <c r="I105" i="9"/>
  <c r="X26" i="9" s="1" a="1"/>
  <c r="X26" i="9" s="1"/>
  <c r="J93" i="9"/>
  <c r="Y14" i="9" s="1" a="1"/>
  <c r="Y14" i="9" s="1"/>
  <c r="D88" i="9"/>
  <c r="S9" i="9" s="1" a="1"/>
  <c r="S9" i="9" s="1"/>
  <c r="L86" i="9"/>
  <c r="AA7" i="9" s="1" a="1"/>
  <c r="AA7" i="9" s="1"/>
  <c r="M93" i="9"/>
  <c r="AB14" i="9" s="1" a="1"/>
  <c r="AB14" i="9" s="1"/>
  <c r="I111" i="9"/>
  <c r="X32" i="9" s="1" a="1"/>
  <c r="X32" i="9" s="1"/>
  <c r="D101" i="9"/>
  <c r="S22" i="9" s="1" a="1"/>
  <c r="S22" i="9" s="1"/>
  <c r="C98" i="9"/>
  <c r="R19" i="9" s="1" a="1"/>
  <c r="R19" i="9" s="1"/>
  <c r="D105" i="9"/>
  <c r="S26" i="9" s="1" a="1"/>
  <c r="S26" i="9" s="1"/>
  <c r="M110" i="9"/>
  <c r="AB31" i="9" s="1" a="1"/>
  <c r="AB31" i="9" s="1"/>
  <c r="D111" i="9"/>
  <c r="S32" i="9" s="1" a="1"/>
  <c r="S32" i="9" s="1"/>
  <c r="I109" i="9"/>
  <c r="X30" i="9" s="1" a="1"/>
  <c r="X30" i="9" s="1"/>
  <c r="C87" i="9"/>
  <c r="R8" i="9" s="1" a="1"/>
  <c r="R8" i="9" s="1"/>
  <c r="J96" i="9"/>
  <c r="Y17" i="9" s="1" a="1"/>
  <c r="Y17" i="9" s="1"/>
  <c r="D93" i="9"/>
  <c r="S14" i="9" s="1" a="1"/>
  <c r="S14" i="9" s="1"/>
  <c r="L100" i="9"/>
  <c r="AA21" i="9" s="1" a="1"/>
  <c r="AA21" i="9" s="1"/>
  <c r="C112" i="9"/>
  <c r="R33" i="9" s="1" a="1"/>
  <c r="R33" i="9" s="1"/>
  <c r="L94" i="9"/>
  <c r="AA15" i="9" s="1" a="1"/>
  <c r="AA15" i="9" s="1"/>
  <c r="K90" i="9"/>
  <c r="Z11" i="9" s="1" a="1"/>
  <c r="Z11" i="9" s="1"/>
  <c r="M97" i="9"/>
  <c r="AB18" i="9" s="1" a="1"/>
  <c r="AB18" i="9" s="1"/>
  <c r="I108" i="9"/>
  <c r="X29" i="9" s="1" a="1"/>
  <c r="X29" i="9" s="1"/>
  <c r="L89" i="9"/>
  <c r="AA10" i="9" s="1" a="1"/>
  <c r="AA10" i="9" s="1"/>
  <c r="I106" i="9"/>
  <c r="X27" i="9" s="1" a="1"/>
  <c r="X27" i="9" s="1"/>
  <c r="K106" i="9"/>
  <c r="Z27" i="9" s="1" a="1"/>
  <c r="Z27" i="9" s="1"/>
  <c r="J92" i="9"/>
  <c r="Y13" i="9" s="1" a="1"/>
  <c r="Y13" i="9" s="1"/>
  <c r="D99" i="9"/>
  <c r="S20" i="9" s="1" a="1"/>
  <c r="S20" i="9" s="1"/>
  <c r="J108" i="9"/>
  <c r="Y29" i="9" s="1" a="1"/>
  <c r="Y29" i="9" s="1"/>
  <c r="L92" i="9"/>
  <c r="AA13" i="9" s="1" a="1"/>
  <c r="AA13" i="9" s="1"/>
  <c r="C96" i="9"/>
  <c r="R17" i="9" s="1" a="1"/>
  <c r="R17" i="9" s="1"/>
  <c r="L105" i="9"/>
  <c r="AA26" i="9" s="1" a="1"/>
  <c r="AA26" i="9" s="1"/>
  <c r="K96" i="9"/>
  <c r="Z17" i="9" s="1" a="1"/>
  <c r="Z17" i="9" s="1"/>
  <c r="M104" i="9"/>
  <c r="AB25" i="9" s="1" a="1"/>
  <c r="AB25" i="9" s="1"/>
  <c r="E112" i="9"/>
  <c r="T33" i="9" s="1" a="1"/>
  <c r="T33" i="9" s="1"/>
  <c r="K99" i="9"/>
  <c r="Z20" i="9" s="1" a="1"/>
  <c r="Z20" i="9" s="1"/>
  <c r="K102" i="9"/>
  <c r="Z23" i="9" s="1" a="1"/>
  <c r="Z23" i="9" s="1"/>
  <c r="L101" i="9"/>
  <c r="AA22" i="9" s="1" a="1"/>
  <c r="AA22" i="9" s="1"/>
  <c r="L99" i="9"/>
  <c r="AA20" i="9" s="1" a="1"/>
  <c r="AA20" i="9" s="1"/>
  <c r="I99" i="9"/>
  <c r="X20" i="9" s="1" a="1"/>
  <c r="X20" i="9" s="1"/>
  <c r="I95" i="9"/>
  <c r="X16" i="9" s="1" a="1"/>
  <c r="X16" i="9" s="1"/>
  <c r="J95" i="9"/>
  <c r="Y16" i="9" s="1" a="1"/>
  <c r="Y16" i="9" s="1"/>
  <c r="E111" i="9"/>
  <c r="T32" i="9" s="1" a="1"/>
  <c r="T32" i="9" s="1"/>
  <c r="K113" i="9"/>
  <c r="Z34" i="9" s="1" a="1"/>
  <c r="Z34" i="9" s="1"/>
  <c r="L106" i="9"/>
  <c r="AA27" i="9" s="1" a="1"/>
  <c r="AA27" i="9" s="1"/>
  <c r="L87" i="9"/>
  <c r="AA8" i="9" s="1" a="1"/>
  <c r="AA8" i="9" s="1"/>
  <c r="J104" i="9"/>
  <c r="Y25" i="9" s="1" a="1"/>
  <c r="Y25" i="9" s="1"/>
  <c r="K111" i="9"/>
  <c r="Z32" i="9" s="1" a="1"/>
  <c r="Z32" i="9" s="1"/>
  <c r="J97" i="9"/>
  <c r="Y18" i="9" s="1" a="1"/>
  <c r="Y18" i="9" s="1"/>
  <c r="J106" i="9"/>
  <c r="Y27" i="9" s="1" a="1"/>
  <c r="Y27" i="9" s="1"/>
  <c r="D85" i="9"/>
  <c r="S6" i="9" s="1" a="1"/>
  <c r="S6" i="9" s="1"/>
  <c r="D98" i="9"/>
  <c r="S19" i="9" s="1" a="1"/>
  <c r="S19" i="9" s="1"/>
  <c r="I103" i="9"/>
  <c r="X24" i="9" s="1" a="1"/>
  <c r="X24" i="9" s="1"/>
  <c r="K86" i="9"/>
  <c r="Z7" i="9" s="1" a="1"/>
  <c r="Z7" i="9" s="1"/>
  <c r="I90" i="9"/>
  <c r="X11" i="9" s="1" a="1"/>
  <c r="X11" i="9" s="1"/>
  <c r="J103" i="9"/>
  <c r="Y24" i="9" s="1" a="1"/>
  <c r="Y24" i="9" s="1"/>
  <c r="I102" i="9"/>
  <c r="X23" i="9" s="1" a="1"/>
  <c r="X23" i="9" s="1"/>
  <c r="L110" i="9"/>
  <c r="AA31" i="9" s="1" a="1"/>
  <c r="AA31" i="9" s="1"/>
  <c r="D89" i="9"/>
  <c r="S10" i="9" s="1" a="1"/>
  <c r="S10" i="9" s="1"/>
  <c r="K97" i="9"/>
  <c r="Z18" i="9" s="1" a="1"/>
  <c r="Z18" i="9" s="1"/>
  <c r="L97" i="9"/>
  <c r="AA18" i="9" s="1" a="1"/>
  <c r="AA18" i="9" s="1"/>
  <c r="C102" i="9"/>
  <c r="R23" i="9" s="1" a="1"/>
  <c r="R23" i="9" s="1"/>
  <c r="J87" i="9"/>
  <c r="Y8" i="9" s="1" a="1"/>
  <c r="Y8" i="9" s="1"/>
  <c r="D86" i="9"/>
  <c r="S7" i="9" s="1" a="1"/>
  <c r="S7" i="9" s="1"/>
  <c r="M111" i="9"/>
  <c r="AB32" i="9" s="1" a="1"/>
  <c r="AB32" i="9" s="1"/>
  <c r="D110" i="9"/>
  <c r="S31" i="9" s="1" a="1"/>
  <c r="S31" i="9" s="1"/>
  <c r="I87" i="9"/>
  <c r="X8" i="9" s="1" a="1"/>
  <c r="X8" i="9" s="1"/>
  <c r="C86" i="9"/>
  <c r="R7" i="9" s="1" a="1"/>
  <c r="R7" i="9" s="1"/>
  <c r="I88" i="9"/>
  <c r="X9" i="9" s="1" a="1"/>
  <c r="X9" i="9" s="1"/>
  <c r="C85" i="9"/>
  <c r="R6" i="9" s="1" a="1"/>
  <c r="R6" i="9" s="1"/>
  <c r="K87" i="9"/>
  <c r="Z8" i="9" s="1" a="1"/>
  <c r="Z8" i="9" s="1"/>
  <c r="K105" i="9"/>
  <c r="Z26" i="9" s="1" a="1"/>
  <c r="Z26" i="9" s="1"/>
  <c r="I94" i="9"/>
  <c r="X15" i="9" s="1" a="1"/>
  <c r="X15" i="9" s="1"/>
  <c r="J85" i="9"/>
  <c r="Y6" i="9" s="1" a="1"/>
  <c r="Y6" i="9" s="1"/>
  <c r="M113" i="9"/>
  <c r="AB34" i="9" s="1" a="1"/>
  <c r="AB34" i="9" s="1"/>
  <c r="C104" i="9"/>
  <c r="R25" i="9" s="1" a="1"/>
  <c r="R25" i="9" s="1"/>
  <c r="D94" i="9"/>
  <c r="S15" i="9" s="1" a="1"/>
  <c r="S15" i="9" s="1"/>
  <c r="I96" i="9"/>
  <c r="X17" i="9" s="1" a="1"/>
  <c r="X17" i="9" s="1"/>
  <c r="L107" i="9"/>
  <c r="AA28" i="9" s="1" a="1"/>
  <c r="AA28" i="9" s="1"/>
  <c r="C90" i="9"/>
  <c r="R11" i="9" s="1" a="1"/>
  <c r="R11" i="9" s="1"/>
  <c r="M106" i="9"/>
  <c r="AB27" i="9" s="1" a="1"/>
  <c r="AB27" i="9" s="1"/>
  <c r="L93" i="9"/>
  <c r="AA14" i="9" s="1" a="1"/>
  <c r="AA14" i="9" s="1"/>
  <c r="M87" i="9"/>
  <c r="AB8" i="9" s="1" a="1"/>
  <c r="AB8" i="9" s="1"/>
  <c r="M92" i="9"/>
  <c r="AB13" i="9" s="1" a="1"/>
  <c r="AB13" i="9" s="1"/>
  <c r="K107" i="9"/>
  <c r="Z28" i="9" s="1" a="1"/>
  <c r="Z28" i="9" s="1"/>
  <c r="D87" i="9"/>
  <c r="S8" i="9" s="1" a="1"/>
  <c r="S8" i="9" s="1"/>
  <c r="L112" i="9"/>
  <c r="AA33" i="9" s="1" a="1"/>
  <c r="AA33" i="9" s="1"/>
  <c r="I110" i="9"/>
  <c r="X31" i="9" s="1" a="1"/>
  <c r="X31" i="9" s="1"/>
  <c r="K100" i="9"/>
  <c r="Z21" i="9" s="1" a="1"/>
  <c r="Z21" i="9" s="1"/>
  <c r="I104" i="9"/>
  <c r="X25" i="9" s="1" a="1"/>
  <c r="X25" i="9" s="1"/>
  <c r="C93" i="9"/>
  <c r="R14" i="9" s="1" a="1"/>
  <c r="R14" i="9" s="1"/>
  <c r="L88" i="9"/>
  <c r="AA9" i="9" s="1" a="1"/>
  <c r="AA9" i="9" s="1"/>
  <c r="L98" i="9"/>
  <c r="AA19" i="9" s="1" a="1"/>
  <c r="AA19" i="9" s="1"/>
  <c r="M103" i="9"/>
  <c r="AB24" i="9" s="1" a="1"/>
  <c r="AB24" i="9" s="1"/>
  <c r="L85" i="9"/>
  <c r="AA6" i="9" s="1" a="1"/>
  <c r="AA6" i="9" s="1"/>
  <c r="C100" i="9"/>
  <c r="R21" i="9" s="1" a="1"/>
  <c r="R21" i="9" s="1"/>
  <c r="D8" i="19" s="1" a="1"/>
  <c r="D8" i="19" s="1"/>
  <c r="L108" i="9"/>
  <c r="AA29" i="9" s="1" a="1"/>
  <c r="AA29" i="9" s="1"/>
  <c r="J102" i="9"/>
  <c r="Y23" i="9" s="1" a="1"/>
  <c r="Y23" i="9" s="1"/>
  <c r="M107" i="9"/>
  <c r="AB28" i="9" s="1" a="1"/>
  <c r="AB28" i="9" s="1"/>
  <c r="M98" i="9"/>
  <c r="AB19" i="9" s="1" a="1"/>
  <c r="AB19" i="9" s="1"/>
  <c r="C107" i="9"/>
  <c r="R28" i="9" s="1" a="1"/>
  <c r="R28" i="9" s="1"/>
  <c r="K91" i="9"/>
  <c r="Z12" i="9" s="1" a="1"/>
  <c r="Z12" i="9" s="1"/>
  <c r="K88" i="9"/>
  <c r="Z9" i="9" s="1" a="1"/>
  <c r="Z9" i="9" s="1"/>
  <c r="C92" i="9"/>
  <c r="R13" i="9" s="1" a="1"/>
  <c r="R13" i="9" s="1"/>
  <c r="I92" i="9"/>
  <c r="X13" i="9" s="1" a="1"/>
  <c r="X13" i="9" s="1"/>
  <c r="J100" i="9"/>
  <c r="Y21" i="9" s="1" a="1"/>
  <c r="Y21" i="9" s="1"/>
  <c r="J91" i="9"/>
  <c r="Y12" i="9" s="1" a="1"/>
  <c r="Y12" i="9" s="1"/>
  <c r="M99" i="9"/>
  <c r="AB20" i="9" s="1" a="1"/>
  <c r="AB20" i="9" s="1"/>
  <c r="C97" i="9"/>
  <c r="R18" i="9" s="1" a="1"/>
  <c r="R18" i="9" s="1"/>
  <c r="K109" i="9"/>
  <c r="Z30" i="9" s="1" a="1"/>
  <c r="Z30" i="9" s="1"/>
  <c r="D109" i="9"/>
  <c r="S30" i="9" s="1" a="1"/>
  <c r="S30" i="9" s="1"/>
  <c r="I93" i="9"/>
  <c r="X14" i="9" s="1" a="1"/>
  <c r="X14" i="9" s="1"/>
  <c r="M112" i="9"/>
  <c r="AB33" i="9" s="1" a="1"/>
  <c r="AB33" i="9" s="1"/>
  <c r="K92" i="9"/>
  <c r="Z13" i="9" s="1" a="1"/>
  <c r="Z13" i="9" s="1"/>
  <c r="M100" i="9"/>
  <c r="AB21" i="9" s="1" a="1"/>
  <c r="AB21" i="9" s="1"/>
  <c r="C88" i="9"/>
  <c r="R9" i="9" s="1" a="1"/>
  <c r="R9" i="9" s="1"/>
  <c r="K108" i="9"/>
  <c r="Z29" i="9" s="1" a="1"/>
  <c r="Z29" i="9" s="1"/>
  <c r="D95" i="9"/>
  <c r="S16" i="9" s="1" a="1"/>
  <c r="S16" i="9" s="1"/>
  <c r="M96" i="9"/>
  <c r="AB17" i="9" s="1" a="1"/>
  <c r="AB17" i="9" s="1"/>
  <c r="J107" i="9"/>
  <c r="Y28" i="9" s="1" a="1"/>
  <c r="Y28" i="9" s="1"/>
  <c r="C111" i="9"/>
  <c r="R32" i="9" s="1" a="1"/>
  <c r="R32" i="9" s="1"/>
  <c r="J110" i="9"/>
  <c r="Y31" i="9" s="1" a="1"/>
  <c r="Y31" i="9" s="1"/>
  <c r="D102" i="9"/>
  <c r="S23" i="9" s="1" a="1"/>
  <c r="S23" i="9" s="1"/>
  <c r="L113" i="9"/>
  <c r="AA34" i="9" s="1" a="1"/>
  <c r="AA34" i="9" s="1"/>
  <c r="I97" i="9"/>
  <c r="X18" i="9" s="1" a="1"/>
  <c r="X18" i="9" s="1"/>
  <c r="J89" i="9"/>
  <c r="Y10" i="9" s="1" a="1"/>
  <c r="Y10" i="9" s="1"/>
  <c r="M105" i="9"/>
  <c r="AB26" i="9" s="1" a="1"/>
  <c r="AB26" i="9" s="1"/>
  <c r="C103" i="9"/>
  <c r="R24" i="9" s="1" a="1"/>
  <c r="R24" i="9" s="1"/>
  <c r="E113" i="9"/>
  <c r="T34" i="9" s="1" a="1"/>
  <c r="T34" i="9" s="1"/>
  <c r="M102" i="9"/>
  <c r="AB23" i="9" s="1" a="1"/>
  <c r="AB23" i="9" s="1"/>
  <c r="C106" i="9"/>
  <c r="R27" i="9" s="1" a="1"/>
  <c r="R27" i="9" s="1"/>
  <c r="D97" i="9"/>
  <c r="S18" i="9" s="1" a="1"/>
  <c r="S18" i="9" s="1"/>
  <c r="M108" i="9"/>
  <c r="AB29" i="9" s="1" a="1"/>
  <c r="AB29" i="9" s="1"/>
  <c r="L102" i="9"/>
  <c r="AA23" i="9" s="1" a="1"/>
  <c r="AA23" i="9" s="1"/>
  <c r="K98" i="9"/>
  <c r="Z19" i="9" s="1" a="1"/>
  <c r="Z19" i="9" s="1"/>
  <c r="D90" i="9"/>
  <c r="S11" i="9" s="1" a="1"/>
  <c r="S11" i="9" s="1"/>
  <c r="I112" i="9"/>
  <c r="X33" i="9" s="1" a="1"/>
  <c r="X33" i="9" s="1"/>
  <c r="D113" i="9"/>
  <c r="S34" i="9" s="1" a="1"/>
  <c r="S34" i="9" s="1"/>
  <c r="C108" i="9"/>
  <c r="R29" i="9" s="1" a="1"/>
  <c r="R29" i="9" s="1"/>
  <c r="L96" i="9"/>
  <c r="AA17" i="9" s="1" a="1"/>
  <c r="AA17" i="9" s="1"/>
  <c r="J112" i="9"/>
  <c r="Y33" i="9" s="1" a="1"/>
  <c r="Y33" i="9" s="1"/>
  <c r="J113" i="9"/>
  <c r="Y34" i="9" s="1" a="1"/>
  <c r="Y34" i="9" s="1"/>
  <c r="J105" i="9"/>
  <c r="Y26" i="9" s="1" a="1"/>
  <c r="Y26" i="9" s="1"/>
  <c r="C89" i="9"/>
  <c r="R10" i="9" s="1" a="1"/>
  <c r="R10" i="9" s="1"/>
  <c r="C113" i="9"/>
  <c r="R34" i="9" s="1" a="1"/>
  <c r="R34" i="9" s="1"/>
  <c r="J99" i="9"/>
  <c r="Y20" i="9" s="1" a="1"/>
  <c r="Y20" i="9" s="1"/>
  <c r="M95" i="9"/>
  <c r="AB16" i="9" s="1" a="1"/>
  <c r="AB16" i="9" s="1"/>
  <c r="C109" i="9"/>
  <c r="R30" i="9" s="1" a="1"/>
  <c r="R30" i="9" s="1"/>
  <c r="K93" i="9"/>
  <c r="Z14" i="9" s="1" a="1"/>
  <c r="Z14" i="9" s="1"/>
  <c r="D92" i="9"/>
  <c r="S13" i="9" s="1" a="1"/>
  <c r="S13" i="9" s="1"/>
  <c r="O115" i="9"/>
  <c r="K95" i="9"/>
  <c r="Z16" i="9" s="1" a="1"/>
  <c r="Z16" i="9" s="1"/>
  <c r="I91" i="9"/>
  <c r="X12" i="9" s="1" a="1"/>
  <c r="X12" i="9" s="1"/>
  <c r="M89" i="9"/>
  <c r="AB10" i="9" s="1" a="1"/>
  <c r="AB10" i="9" s="1"/>
  <c r="L109" i="9"/>
  <c r="AA30" i="9" s="1" a="1"/>
  <c r="AA30" i="9" s="1"/>
  <c r="J90" i="9"/>
  <c r="Y11" i="9" s="1" a="1"/>
  <c r="Y11" i="9" s="1"/>
  <c r="J94" i="9"/>
  <c r="Y15" i="9" s="1" a="1"/>
  <c r="Y15" i="9" s="1"/>
  <c r="M86" i="9"/>
  <c r="AB7" i="9" s="1" a="1"/>
  <c r="AB7" i="9" s="1"/>
  <c r="L95" i="9"/>
  <c r="AA16" i="9" s="1" a="1"/>
  <c r="AA16" i="9" s="1"/>
  <c r="M101" i="9"/>
  <c r="AB22" i="9" s="1" a="1"/>
  <c r="AB22" i="9" s="1"/>
  <c r="D96" i="9"/>
  <c r="S17" i="9" s="1" a="1"/>
  <c r="S17" i="9" s="1"/>
  <c r="I107" i="9"/>
  <c r="X28" i="9" s="1" a="1"/>
  <c r="X28" i="9" s="1"/>
  <c r="I113" i="9"/>
  <c r="X34" i="9" s="1" a="1"/>
  <c r="X34" i="9" s="1"/>
  <c r="D104" i="9"/>
  <c r="S25" i="9" s="1" a="1"/>
  <c r="S25" i="9" s="1"/>
  <c r="D108" i="9"/>
  <c r="S29" i="9" s="1" a="1"/>
  <c r="S29" i="9" s="1"/>
  <c r="C95" i="9"/>
  <c r="R16" i="9" s="1" a="1"/>
  <c r="R16" i="9" s="1"/>
  <c r="K112" i="9"/>
  <c r="Z33" i="9" s="1" a="1"/>
  <c r="Z33" i="9" s="1"/>
  <c r="I101" i="9"/>
  <c r="X22" i="9" s="1" a="1"/>
  <c r="X22" i="9" s="1"/>
  <c r="L90" i="9"/>
  <c r="AA11" i="9" s="1" a="1"/>
  <c r="AA11" i="9" s="1"/>
  <c r="D91" i="9"/>
  <c r="S12" i="9" s="1" a="1"/>
  <c r="S12" i="9" s="1"/>
  <c r="J109" i="9"/>
  <c r="Y30" i="9" s="1" a="1"/>
  <c r="Y30" i="9" s="1"/>
  <c r="C94" i="9"/>
  <c r="R15" i="9" s="1" a="1"/>
  <c r="R15" i="9" s="1"/>
  <c r="C99" i="9"/>
  <c r="R20" i="9" s="1" a="1"/>
  <c r="R20" i="9" s="1"/>
  <c r="I86" i="9"/>
  <c r="X7" i="9" s="1" a="1"/>
  <c r="X7" i="9" s="1"/>
  <c r="J111" i="9"/>
  <c r="Y32" i="9" s="1" a="1"/>
  <c r="Y32" i="9" s="1"/>
  <c r="K110" i="9"/>
  <c r="Z31" i="9" s="1" a="1"/>
  <c r="Z31" i="9" s="1"/>
  <c r="C105" i="9"/>
  <c r="R26" i="9" s="1" a="1"/>
  <c r="R26" i="9" s="1"/>
  <c r="D2" i="17"/>
  <c r="J30" i="1" l="1"/>
  <c r="H85" i="9"/>
  <c r="W6" i="9" s="1" a="1"/>
  <c r="W6" i="9" s="1"/>
  <c r="I20" i="1"/>
  <c r="E102" i="9"/>
  <c r="T23" i="9" s="1" a="1"/>
  <c r="T23" i="9" s="1"/>
  <c r="I23" i="1"/>
  <c r="E105" i="9"/>
  <c r="T26" i="9" s="1" a="1"/>
  <c r="T26" i="9" s="1"/>
  <c r="J35" i="1"/>
  <c r="H90" i="9"/>
  <c r="W11" i="9" s="1" a="1"/>
  <c r="W11" i="9" s="1"/>
  <c r="B12" i="21"/>
  <c r="O94" i="9"/>
  <c r="AD15" i="9" s="1"/>
  <c r="B12" i="20" s="1"/>
  <c r="O96" i="9"/>
  <c r="AD17" i="9" s="1"/>
  <c r="B14" i="20" s="1"/>
  <c r="B14" i="21"/>
  <c r="I55" i="1"/>
  <c r="F106" i="9"/>
  <c r="U27" i="9" s="1" a="1"/>
  <c r="U27" i="9" s="1"/>
  <c r="G89" i="9"/>
  <c r="J7" i="1"/>
  <c r="J23" i="1"/>
  <c r="G105" i="9"/>
  <c r="J51" i="1"/>
  <c r="H112" i="9"/>
  <c r="W33" i="9" s="1" a="1"/>
  <c r="W33" i="9" s="1"/>
  <c r="I24" i="1"/>
  <c r="E106" i="9"/>
  <c r="T27" i="9" s="1" a="1"/>
  <c r="T27" i="9" s="1"/>
  <c r="J18" i="1"/>
  <c r="G100" i="9"/>
  <c r="B7" i="21"/>
  <c r="O89" i="9"/>
  <c r="AD10" i="9" s="1"/>
  <c r="B7" i="20" s="1"/>
  <c r="G92" i="9"/>
  <c r="J10" i="1"/>
  <c r="I37" i="1"/>
  <c r="F92" i="9"/>
  <c r="U13" i="9" s="1" a="1"/>
  <c r="U13" i="9" s="1"/>
  <c r="L104" i="9"/>
  <c r="AA25" i="9" s="1" a="1"/>
  <c r="AA25" i="9" s="1"/>
  <c r="J67" i="1"/>
  <c r="I11" i="1"/>
  <c r="E93" i="9"/>
  <c r="T14" i="9" s="1" a="1"/>
  <c r="T14" i="9" s="1"/>
  <c r="I3" i="1"/>
  <c r="E85" i="9"/>
  <c r="T6" i="9" s="1" a="1"/>
  <c r="T6" i="9" s="1"/>
  <c r="H92" i="9"/>
  <c r="W13" i="9" s="1" a="1"/>
  <c r="W13" i="9" s="1"/>
  <c r="J37" i="1"/>
  <c r="I35" i="1"/>
  <c r="F90" i="9"/>
  <c r="U11" i="9" s="1" a="1"/>
  <c r="U11" i="9" s="1"/>
  <c r="I40" i="1"/>
  <c r="F95" i="9"/>
  <c r="U16" i="9" s="1" a="1"/>
  <c r="U16" i="9" s="1"/>
  <c r="I32" i="1"/>
  <c r="F87" i="9"/>
  <c r="U8" i="9" s="1" a="1"/>
  <c r="U8" i="9" s="1"/>
  <c r="O112" i="9"/>
  <c r="AD33" i="9" s="1"/>
  <c r="B30" i="20" s="1"/>
  <c r="B30" i="21"/>
  <c r="B11" i="21"/>
  <c r="O93" i="9"/>
  <c r="AD14" i="9" s="1"/>
  <c r="B11" i="20" s="1"/>
  <c r="I56" i="1"/>
  <c r="F107" i="9"/>
  <c r="U28" i="9" s="1" a="1"/>
  <c r="U28" i="9" s="1"/>
  <c r="J61" i="1"/>
  <c r="J101" i="9"/>
  <c r="Y22" i="9" s="1" a="1"/>
  <c r="Y22" i="9" s="1"/>
  <c r="L103" i="9"/>
  <c r="AA24" i="9" s="1" a="1"/>
  <c r="AA24" i="9" s="1"/>
  <c r="J66" i="1"/>
  <c r="B10" i="21"/>
  <c r="O92" i="9"/>
  <c r="AD13" i="9" s="1"/>
  <c r="B10" i="20" s="1"/>
  <c r="J42" i="1"/>
  <c r="H97" i="9"/>
  <c r="W18" i="9" s="1" a="1"/>
  <c r="W18" i="9" s="1"/>
  <c r="J28" i="1"/>
  <c r="G110" i="9"/>
  <c r="E96" i="9"/>
  <c r="T17" i="9" s="1" a="1"/>
  <c r="T17" i="9" s="1"/>
  <c r="I14" i="1"/>
  <c r="E90" i="9"/>
  <c r="T11" i="9" s="1" a="1"/>
  <c r="T11" i="9" s="1"/>
  <c r="I8" i="1"/>
  <c r="I31" i="1"/>
  <c r="F86" i="9"/>
  <c r="U7" i="9" s="1" a="1"/>
  <c r="U7" i="9" s="1"/>
  <c r="J22" i="1"/>
  <c r="G104" i="9"/>
  <c r="I17" i="1"/>
  <c r="E99" i="9"/>
  <c r="T20" i="9" s="1" a="1"/>
  <c r="T20" i="9" s="1"/>
  <c r="G90" i="9"/>
  <c r="J8" i="1"/>
  <c r="J38" i="1"/>
  <c r="H93" i="9"/>
  <c r="W14" i="9" s="1" a="1"/>
  <c r="W14" i="9" s="1"/>
  <c r="J59" i="1"/>
  <c r="I89" i="9"/>
  <c r="X10" i="9" s="1" a="1"/>
  <c r="X10" i="9" s="1"/>
  <c r="I7" i="1"/>
  <c r="E89" i="9"/>
  <c r="T10" i="9" s="1" a="1"/>
  <c r="T10" i="9" s="1"/>
  <c r="F104" i="9"/>
  <c r="U25" i="9" s="1" a="1"/>
  <c r="U25" i="9" s="1"/>
  <c r="I53" i="1"/>
  <c r="B5" i="21"/>
  <c r="O87" i="9"/>
  <c r="AD8" i="9" s="1"/>
  <c r="B5" i="20" s="1"/>
  <c r="J63" i="1"/>
  <c r="K103" i="9"/>
  <c r="Z24" i="9" s="1" a="1"/>
  <c r="Z24" i="9" s="1"/>
  <c r="J56" i="1"/>
  <c r="H107" i="9"/>
  <c r="W28" i="9" s="1" a="1"/>
  <c r="W28" i="9" s="1"/>
  <c r="H94" i="9"/>
  <c r="W15" i="9" s="1" a="1"/>
  <c r="W15" i="9" s="1"/>
  <c r="J39" i="1"/>
  <c r="J49" i="1"/>
  <c r="H111" i="9"/>
  <c r="W32" i="9" s="1" a="1"/>
  <c r="W32" i="9" s="1"/>
  <c r="E91" i="9"/>
  <c r="T12" i="9" s="1" a="1"/>
  <c r="T12" i="9" s="1"/>
  <c r="I9" i="1"/>
  <c r="H99" i="9"/>
  <c r="W20" i="9" s="1" a="1"/>
  <c r="W20" i="9" s="1"/>
  <c r="J44" i="1"/>
  <c r="E108" i="9"/>
  <c r="T29" i="9" s="1" a="1"/>
  <c r="T29" i="9" s="1"/>
  <c r="I26" i="1"/>
  <c r="J11" i="1"/>
  <c r="G93" i="9"/>
  <c r="B21" i="21"/>
  <c r="O103" i="9"/>
  <c r="AD24" i="9" s="1"/>
  <c r="B21" i="20" s="1"/>
  <c r="J45" i="1"/>
  <c r="H100" i="9"/>
  <c r="W21" i="9" s="1" a="1"/>
  <c r="W21" i="9" s="1"/>
  <c r="J47" i="1"/>
  <c r="H102" i="9"/>
  <c r="W23" i="9" s="1" a="1"/>
  <c r="W23" i="9" s="1"/>
  <c r="AD36" i="9"/>
  <c r="P115" i="9"/>
  <c r="J53" i="1"/>
  <c r="H104" i="9"/>
  <c r="W25" i="9" s="1" a="1"/>
  <c r="W25" i="9" s="1"/>
  <c r="I52" i="1"/>
  <c r="F113" i="9"/>
  <c r="U34" i="9" s="1" a="1"/>
  <c r="U34" i="9" s="1"/>
  <c r="J31" i="1"/>
  <c r="H86" i="9"/>
  <c r="W7" i="9" s="1" a="1"/>
  <c r="W7" i="9" s="1"/>
  <c r="O85" i="9"/>
  <c r="AD6" i="9" s="1"/>
  <c r="B3" i="20" s="1"/>
  <c r="B3" i="21"/>
  <c r="J65" i="1"/>
  <c r="K89" i="9"/>
  <c r="Z10" i="9" s="1" a="1"/>
  <c r="Z10" i="9" s="1"/>
  <c r="F93" i="9"/>
  <c r="U14" i="9" s="1" a="1"/>
  <c r="U14" i="9" s="1"/>
  <c r="I38" i="1"/>
  <c r="J50" i="1"/>
  <c r="H110" i="9"/>
  <c r="W31" i="9" s="1" a="1"/>
  <c r="W31" i="9" s="1"/>
  <c r="J16" i="1"/>
  <c r="G98" i="9"/>
  <c r="B25" i="21"/>
  <c r="O107" i="9"/>
  <c r="AD28" i="9" s="1"/>
  <c r="B25" i="20" s="1"/>
  <c r="B8" i="21"/>
  <c r="O90" i="9"/>
  <c r="AD11" i="9" s="1"/>
  <c r="B8" i="20" s="1"/>
  <c r="N5" i="17"/>
  <c r="N7" i="17" s="1"/>
  <c r="C12" i="10"/>
  <c r="C13" i="10" s="1"/>
  <c r="D131" i="17"/>
  <c r="O101" i="9"/>
  <c r="AD22" i="9" s="1"/>
  <c r="B19" i="20" s="1"/>
  <c r="B19" i="21"/>
  <c r="B26" i="21"/>
  <c r="O108" i="9"/>
  <c r="AD29" i="9" s="1"/>
  <c r="B26" i="20" s="1"/>
  <c r="I57" i="1"/>
  <c r="F108" i="9"/>
  <c r="U29" i="9" s="1" a="1"/>
  <c r="U29" i="9" s="1"/>
  <c r="I13" i="1"/>
  <c r="E95" i="9"/>
  <c r="T16" i="9" s="1" a="1"/>
  <c r="T16" i="9" s="1"/>
  <c r="J55" i="1"/>
  <c r="H106" i="9"/>
  <c r="W27" i="9" s="1" a="1"/>
  <c r="W27" i="9" s="1"/>
  <c r="I50" i="1"/>
  <c r="F110" i="9"/>
  <c r="U31" i="9" s="1" a="1"/>
  <c r="U31" i="9" s="1"/>
  <c r="H109" i="9"/>
  <c r="W30" i="9" s="1" a="1"/>
  <c r="W30" i="9" s="1"/>
  <c r="J58" i="1"/>
  <c r="B20" i="21"/>
  <c r="O102" i="9"/>
  <c r="AD23" i="9" s="1"/>
  <c r="B20" i="20" s="1"/>
  <c r="G107" i="9"/>
  <c r="J25" i="1"/>
  <c r="B24" i="21"/>
  <c r="O106" i="9"/>
  <c r="AD27" i="9" s="1"/>
  <c r="B24" i="20" s="1"/>
  <c r="J26" i="1"/>
  <c r="G108" i="9"/>
  <c r="B23" i="21"/>
  <c r="O105" i="9"/>
  <c r="AD26" i="9" s="1"/>
  <c r="B23" i="20" s="1"/>
  <c r="I15" i="1"/>
  <c r="E97" i="9"/>
  <c r="T18" i="9" s="1" a="1"/>
  <c r="T18" i="9" s="1"/>
  <c r="B4" i="21"/>
  <c r="O86" i="9"/>
  <c r="AD7" i="9" s="1"/>
  <c r="B4" i="20" s="1"/>
  <c r="B18" i="21"/>
  <c r="O100" i="9"/>
  <c r="AD21" i="9" s="1"/>
  <c r="B18" i="20" s="1"/>
  <c r="I5" i="1"/>
  <c r="E87" i="9"/>
  <c r="T8" i="9" s="1" a="1"/>
  <c r="T8" i="9" s="1"/>
  <c r="O98" i="9"/>
  <c r="AD19" i="9" s="1"/>
  <c r="B16" i="20" s="1"/>
  <c r="B16" i="21"/>
  <c r="I34" i="1"/>
  <c r="F89" i="9"/>
  <c r="U10" i="9" s="1" a="1"/>
  <c r="U10" i="9" s="1"/>
  <c r="J60" i="1"/>
  <c r="I100" i="9"/>
  <c r="X21" i="9" s="1" a="1"/>
  <c r="X21" i="9" s="1"/>
  <c r="I30" i="1"/>
  <c r="F85" i="9"/>
  <c r="U6" i="9" s="1" a="1"/>
  <c r="U6" i="9" s="1"/>
  <c r="I41" i="1"/>
  <c r="F96" i="9"/>
  <c r="U17" i="9" s="1" a="1"/>
  <c r="U17" i="9" s="1"/>
  <c r="B17" i="21"/>
  <c r="O99" i="9"/>
  <c r="AD20" i="9" s="1"/>
  <c r="B17" i="20" s="1"/>
  <c r="F109" i="9"/>
  <c r="U30" i="9" s="1" a="1"/>
  <c r="U30" i="9" s="1"/>
  <c r="I58" i="1"/>
  <c r="I46" i="1"/>
  <c r="F101" i="9"/>
  <c r="U22" i="9" s="1" a="1"/>
  <c r="U22" i="9" s="1"/>
  <c r="O109" i="9"/>
  <c r="AD30" i="9" s="1"/>
  <c r="B27" i="20" s="1"/>
  <c r="B27" i="21"/>
  <c r="J52" i="1"/>
  <c r="H113" i="9"/>
  <c r="W34" i="9" s="1" a="1"/>
  <c r="W34" i="9" s="1"/>
  <c r="V32" i="9" a="1"/>
  <c r="V32" i="9" s="1"/>
  <c r="I19" i="1"/>
  <c r="E101" i="9"/>
  <c r="T22" i="9" s="1" a="1"/>
  <c r="T22" i="9" s="1"/>
  <c r="I43" i="1"/>
  <c r="F98" i="9"/>
  <c r="U19" i="9" s="1" a="1"/>
  <c r="U19" i="9" s="1"/>
  <c r="H105" i="9"/>
  <c r="W26" i="9" s="1" a="1"/>
  <c r="W26" i="9" s="1"/>
  <c r="J54" i="1"/>
  <c r="J32" i="1"/>
  <c r="H87" i="9"/>
  <c r="W8" i="9" s="1" a="1"/>
  <c r="W8" i="9" s="1"/>
  <c r="I42" i="1"/>
  <c r="F97" i="9"/>
  <c r="U18" i="9" s="1" a="1"/>
  <c r="U18" i="9" s="1"/>
  <c r="G85" i="9"/>
  <c r="J3" i="1"/>
  <c r="J9" i="1"/>
  <c r="G91" i="9"/>
  <c r="F94" i="9"/>
  <c r="U15" i="9" s="1" a="1"/>
  <c r="U15" i="9" s="1"/>
  <c r="I39" i="1"/>
  <c r="I12" i="1"/>
  <c r="E94" i="9"/>
  <c r="T15" i="9" s="1" a="1"/>
  <c r="T15" i="9" s="1"/>
  <c r="I47" i="1"/>
  <c r="F102" i="9"/>
  <c r="U23" i="9" s="1" a="1"/>
  <c r="U23" i="9" s="1"/>
  <c r="J34" i="1"/>
  <c r="H89" i="9"/>
  <c r="W10" i="9" s="1" a="1"/>
  <c r="W10" i="9" s="1"/>
  <c r="F112" i="9"/>
  <c r="U33" i="9" s="1" a="1"/>
  <c r="U33" i="9" s="1"/>
  <c r="I51" i="1"/>
  <c r="J20" i="1"/>
  <c r="G102" i="9"/>
  <c r="I22" i="1"/>
  <c r="E104" i="9"/>
  <c r="T25" i="9" s="1" a="1"/>
  <c r="T25" i="9" s="1"/>
  <c r="J41" i="1"/>
  <c r="H96" i="9"/>
  <c r="W17" i="9" s="1" a="1"/>
  <c r="W17" i="9" s="1"/>
  <c r="B9" i="21"/>
  <c r="O91" i="9"/>
  <c r="AD12" i="9" s="1"/>
  <c r="B9" i="20" s="1"/>
  <c r="J24" i="1"/>
  <c r="G106" i="9"/>
  <c r="I48" i="1"/>
  <c r="F103" i="9"/>
  <c r="U24" i="9" s="1" a="1"/>
  <c r="U24" i="9" s="1"/>
  <c r="J13" i="1"/>
  <c r="G95" i="9"/>
  <c r="I28" i="1"/>
  <c r="E110" i="9"/>
  <c r="T31" i="9" s="1" a="1"/>
  <c r="T31" i="9" s="1"/>
  <c r="J48" i="1"/>
  <c r="H103" i="9"/>
  <c r="W24" i="9" s="1" a="1"/>
  <c r="W24" i="9" s="1"/>
  <c r="O111" i="9"/>
  <c r="AD32" i="9" s="1"/>
  <c r="B29" i="20" s="1"/>
  <c r="B29" i="21"/>
  <c r="I49" i="1"/>
  <c r="F111" i="9"/>
  <c r="U32" i="9" s="1" a="1"/>
  <c r="U32" i="9" s="1"/>
  <c r="I33" i="1"/>
  <c r="F88" i="9"/>
  <c r="U9" i="9" s="1" a="1"/>
  <c r="U9" i="9" s="1"/>
  <c r="J46" i="1"/>
  <c r="H101" i="9"/>
  <c r="W22" i="9" s="1" a="1"/>
  <c r="W22" i="9" s="1"/>
  <c r="I21" i="1"/>
  <c r="E103" i="9"/>
  <c r="T24" i="9" s="1" a="1"/>
  <c r="T24" i="9" s="1"/>
  <c r="J6" i="1"/>
  <c r="G88" i="9"/>
  <c r="J69" i="1"/>
  <c r="M109" i="9"/>
  <c r="AB30" i="9" s="1" a="1"/>
  <c r="AB30" i="9" s="1"/>
  <c r="I4" i="1"/>
  <c r="E86" i="9"/>
  <c r="T7" i="9" s="1" a="1"/>
  <c r="T7" i="9" s="1"/>
  <c r="E92" i="9"/>
  <c r="T13" i="9" s="1" a="1"/>
  <c r="T13" i="9" s="1"/>
  <c r="I10" i="1"/>
  <c r="I25" i="1"/>
  <c r="E107" i="9"/>
  <c r="T28" i="9" s="1" a="1"/>
  <c r="T28" i="9" s="1"/>
  <c r="I6" i="1"/>
  <c r="E88" i="9"/>
  <c r="T9" i="9" s="1" a="1"/>
  <c r="T9" i="9" s="1"/>
  <c r="B6" i="21"/>
  <c r="O88" i="9"/>
  <c r="AD9" i="9" s="1"/>
  <c r="B6" i="20" s="1"/>
  <c r="K104" i="9"/>
  <c r="Z25" i="9" s="1" a="1"/>
  <c r="Z25" i="9" s="1"/>
  <c r="J64" i="1"/>
  <c r="B28" i="21"/>
  <c r="O110" i="9"/>
  <c r="AD31" i="9" s="1"/>
  <c r="O113" i="9"/>
  <c r="AD34" i="9" s="1"/>
  <c r="B31" i="20" s="1"/>
  <c r="B31" i="21"/>
  <c r="J36" i="1"/>
  <c r="H91" i="9"/>
  <c r="W12" i="9" s="1" a="1"/>
  <c r="W12" i="9" s="1"/>
  <c r="I16" i="1"/>
  <c r="E98" i="9"/>
  <c r="T19" i="9" s="1" a="1"/>
  <c r="T19" i="9" s="1"/>
  <c r="J4" i="1"/>
  <c r="G86" i="9"/>
  <c r="I54" i="1"/>
  <c r="F105" i="9"/>
  <c r="U26" i="9" s="1" a="1"/>
  <c r="U26" i="9" s="1"/>
  <c r="B15" i="21"/>
  <c r="O97" i="9"/>
  <c r="AD18" i="9" s="1"/>
  <c r="B15" i="20" s="1"/>
  <c r="F91" i="9"/>
  <c r="U12" i="9" s="1" a="1"/>
  <c r="U12" i="9" s="1"/>
  <c r="I36" i="1"/>
  <c r="O104" i="9"/>
  <c r="AD25" i="9" s="1"/>
  <c r="B22" i="20" s="1"/>
  <c r="B22" i="21"/>
  <c r="I27" i="1"/>
  <c r="E109" i="9"/>
  <c r="T30" i="9" s="1" a="1"/>
  <c r="T30" i="9" s="1"/>
  <c r="J27" i="1"/>
  <c r="G109" i="9"/>
  <c r="O95" i="9"/>
  <c r="AD16" i="9" s="1"/>
  <c r="B13" i="20" s="1"/>
  <c r="B13" i="21"/>
  <c r="I45" i="1"/>
  <c r="F100" i="9"/>
  <c r="U21" i="9" s="1" a="1"/>
  <c r="U21" i="9" s="1"/>
  <c r="D14" i="19" s="1" a="1"/>
  <c r="D14" i="19" s="1"/>
  <c r="E14" i="19" s="1"/>
  <c r="J5" i="1"/>
  <c r="G87" i="9"/>
  <c r="J62" i="1"/>
  <c r="J88" i="9"/>
  <c r="Y9" i="9" s="1" a="1"/>
  <c r="Y9" i="9" s="1"/>
  <c r="I44" i="1"/>
  <c r="F99" i="9"/>
  <c r="U20" i="9" s="1" a="1"/>
  <c r="U20" i="9" s="1"/>
  <c r="I18" i="1"/>
  <c r="E100" i="9"/>
  <c r="T21" i="9" s="1" a="1"/>
  <c r="T21" i="9" s="1"/>
  <c r="D12" i="19" s="1" a="1"/>
  <c r="D12" i="19" s="1"/>
  <c r="E12" i="19" s="1"/>
  <c r="H108" i="9"/>
  <c r="W29" i="9" s="1" a="1"/>
  <c r="W29" i="9" s="1"/>
  <c r="J57" i="1"/>
  <c r="J40" i="1"/>
  <c r="H95" i="9"/>
  <c r="W16" i="9" s="1" a="1"/>
  <c r="W16" i="9" s="1"/>
  <c r="M84" i="9"/>
  <c r="AB5" i="9" s="1" a="1"/>
  <c r="AB5" i="9" s="1"/>
  <c r="K84" i="9"/>
  <c r="Z5" i="9" s="1" a="1"/>
  <c r="Z5" i="9" s="1"/>
  <c r="D84" i="9"/>
  <c r="S5" i="9" s="1" a="1"/>
  <c r="S5" i="9" s="1"/>
  <c r="I84" i="9"/>
  <c r="X5" i="9" s="1" a="1"/>
  <c r="X5" i="9" s="1"/>
  <c r="J84" i="9"/>
  <c r="Y5" i="9" s="1" a="1"/>
  <c r="Y5" i="9" s="1"/>
  <c r="C84" i="9"/>
  <c r="R5" i="9" s="1" a="1"/>
  <c r="R5" i="9" s="1"/>
  <c r="G113" i="9"/>
  <c r="G112" i="9"/>
  <c r="B33" i="20" l="1"/>
  <c r="AE36" i="9"/>
  <c r="C33" i="20" s="1"/>
  <c r="E16" i="19"/>
  <c r="AC32" i="9"/>
  <c r="AE32" i="9" s="1"/>
  <c r="C29" i="20" s="1"/>
  <c r="N111" i="9"/>
  <c r="J68" i="1"/>
  <c r="L84" i="9"/>
  <c r="AA5" i="9" s="1" a="1"/>
  <c r="AA5" i="9" s="1"/>
  <c r="V30" i="9" a="1"/>
  <c r="V30" i="9" s="1"/>
  <c r="AC30" i="9" s="1"/>
  <c r="AE30" i="9" s="1"/>
  <c r="C27" i="20" s="1"/>
  <c r="N109" i="9"/>
  <c r="P109" i="9" s="1"/>
  <c r="V9" i="9" a="1"/>
  <c r="V9" i="9" s="1"/>
  <c r="V31" i="9" a="1"/>
  <c r="V31" i="9" s="1"/>
  <c r="AC31" i="9" s="1"/>
  <c r="AE31" i="9" s="1"/>
  <c r="N110" i="9"/>
  <c r="P110" i="9" s="1"/>
  <c r="V21" i="9" a="1"/>
  <c r="V21" i="9" s="1"/>
  <c r="AC21" i="9" s="1"/>
  <c r="AE21" i="9" s="1"/>
  <c r="C18" i="20" s="1"/>
  <c r="N100" i="9"/>
  <c r="P100" i="9" s="1"/>
  <c r="V11" i="9" a="1"/>
  <c r="V11" i="9" s="1"/>
  <c r="AC11" i="9" s="1"/>
  <c r="AE11" i="9" s="1"/>
  <c r="C8" i="20" s="1"/>
  <c r="N90" i="9"/>
  <c r="P90" i="9" s="1"/>
  <c r="I29" i="1"/>
  <c r="F84" i="9"/>
  <c r="U5" i="9" s="1" a="1"/>
  <c r="U5" i="9" s="1"/>
  <c r="F131" i="17"/>
  <c r="K5" i="17"/>
  <c r="K6" i="17" s="1"/>
  <c r="J21" i="1"/>
  <c r="G103" i="9"/>
  <c r="V29" i="9" a="1"/>
  <c r="V29" i="9" s="1"/>
  <c r="AC29" i="9" s="1"/>
  <c r="AE29" i="9" s="1"/>
  <c r="C26" i="20" s="1"/>
  <c r="N108" i="9"/>
  <c r="P108" i="9" s="1"/>
  <c r="C19" i="10"/>
  <c r="C21" i="10" s="1"/>
  <c r="P7" i="17"/>
  <c r="V34" i="9" a="1"/>
  <c r="V34" i="9" s="1"/>
  <c r="AC34" i="9" s="1"/>
  <c r="AE34" i="9" s="1"/>
  <c r="C31" i="20" s="1"/>
  <c r="N113" i="9"/>
  <c r="P113" i="9" s="1"/>
  <c r="E84" i="9"/>
  <c r="T5" i="9" s="1" a="1"/>
  <c r="T5" i="9" s="1"/>
  <c r="I2" i="1"/>
  <c r="I102" i="1" s="1" a="1"/>
  <c r="I102" i="1" s="1"/>
  <c r="V26" i="9" a="1"/>
  <c r="V26" i="9" s="1"/>
  <c r="AC26" i="9" s="1"/>
  <c r="AE26" i="9" s="1"/>
  <c r="C23" i="20" s="1"/>
  <c r="N105" i="9"/>
  <c r="P105" i="9" s="1"/>
  <c r="J29" i="1"/>
  <c r="H84" i="9"/>
  <c r="W5" i="9" s="1" a="1"/>
  <c r="W5" i="9" s="1"/>
  <c r="V7" i="9" a="1"/>
  <c r="V7" i="9" s="1"/>
  <c r="AC7" i="9" s="1"/>
  <c r="AE7" i="9" s="1"/>
  <c r="C4" i="20" s="1"/>
  <c r="N86" i="9"/>
  <c r="P86" i="9" s="1"/>
  <c r="J33" i="1"/>
  <c r="H88" i="9"/>
  <c r="W9" i="9" s="1" a="1"/>
  <c r="W9" i="9" s="1"/>
  <c r="N95" i="9"/>
  <c r="P95" i="9" s="1"/>
  <c r="V16" i="9" a="1"/>
  <c r="V16" i="9" s="1"/>
  <c r="AC16" i="9" s="1"/>
  <c r="AE16" i="9" s="1"/>
  <c r="C13" i="20" s="1"/>
  <c r="V23" i="9" a="1"/>
  <c r="V23" i="9" s="1"/>
  <c r="AC23" i="9" s="1"/>
  <c r="AE23" i="9" s="1"/>
  <c r="C20" i="20" s="1"/>
  <c r="N102" i="9"/>
  <c r="P102" i="9" s="1"/>
  <c r="V12" i="9" a="1"/>
  <c r="V12" i="9" s="1"/>
  <c r="AC12" i="9" s="1"/>
  <c r="AE12" i="9" s="1"/>
  <c r="C9" i="20" s="1"/>
  <c r="N91" i="9"/>
  <c r="P91" i="9" s="1"/>
  <c r="J14" i="1"/>
  <c r="G96" i="9"/>
  <c r="B2" i="21"/>
  <c r="O84" i="9"/>
  <c r="AD5" i="9" s="1"/>
  <c r="B2" i="20" s="1"/>
  <c r="J2" i="1"/>
  <c r="G84" i="9"/>
  <c r="V25" i="9" a="1"/>
  <c r="V25" i="9" s="1"/>
  <c r="AC25" i="9" s="1"/>
  <c r="AE25" i="9" s="1"/>
  <c r="C22" i="20" s="1"/>
  <c r="N104" i="9"/>
  <c r="P104" i="9" s="1"/>
  <c r="J12" i="1"/>
  <c r="G94" i="9"/>
  <c r="J19" i="1"/>
  <c r="G101" i="9"/>
  <c r="V8" i="9" a="1"/>
  <c r="V8" i="9" s="1"/>
  <c r="AC8" i="9" s="1"/>
  <c r="AE8" i="9" s="1"/>
  <c r="C5" i="20" s="1"/>
  <c r="N87" i="9"/>
  <c r="P87" i="9" s="1"/>
  <c r="P111" i="9"/>
  <c r="V13" i="9" a="1"/>
  <c r="V13" i="9" s="1"/>
  <c r="AC13" i="9" s="1"/>
  <c r="AE13" i="9" s="1"/>
  <c r="C10" i="20" s="1"/>
  <c r="N92" i="9"/>
  <c r="P92" i="9" s="1"/>
  <c r="V10" i="9" a="1"/>
  <c r="V10" i="9" s="1"/>
  <c r="AC10" i="9" s="1"/>
  <c r="AE10" i="9" s="1"/>
  <c r="C7" i="20" s="1"/>
  <c r="N89" i="9"/>
  <c r="P89" i="9" s="1"/>
  <c r="G99" i="9"/>
  <c r="J17" i="1"/>
  <c r="N112" i="9"/>
  <c r="P112" i="9" s="1"/>
  <c r="V33" i="9" a="1"/>
  <c r="V33" i="9" s="1"/>
  <c r="AC33" i="9" s="1"/>
  <c r="AE33" i="9" s="1"/>
  <c r="C30" i="20" s="1"/>
  <c r="V6" i="9" a="1"/>
  <c r="V6" i="9" s="1"/>
  <c r="AC6" i="9" s="1"/>
  <c r="AE6" i="9" s="1"/>
  <c r="C3" i="20" s="1"/>
  <c r="N85" i="9"/>
  <c r="P85" i="9" s="1"/>
  <c r="V28" i="9" a="1"/>
  <c r="V28" i="9" s="1"/>
  <c r="AC28" i="9" s="1"/>
  <c r="AE28" i="9" s="1"/>
  <c r="C25" i="20" s="1"/>
  <c r="N107" i="9"/>
  <c r="P107" i="9" s="1"/>
  <c r="V19" i="9" a="1"/>
  <c r="V19" i="9" s="1"/>
  <c r="V14" i="9" a="1"/>
  <c r="V14" i="9" s="1"/>
  <c r="AC14" i="9" s="1"/>
  <c r="AE14" i="9" s="1"/>
  <c r="C11" i="20" s="1"/>
  <c r="N93" i="9"/>
  <c r="P93" i="9" s="1"/>
  <c r="J43" i="1"/>
  <c r="H98" i="9"/>
  <c r="W19" i="9" s="1" a="1"/>
  <c r="W19" i="9" s="1"/>
  <c r="J15" i="1"/>
  <c r="G97" i="9"/>
  <c r="B28" i="20"/>
  <c r="E18" i="19" a="1"/>
  <c r="E18" i="19" s="1"/>
  <c r="V27" i="9" a="1"/>
  <c r="V27" i="9" s="1"/>
  <c r="AC27" i="9" s="1"/>
  <c r="AE27" i="9" s="1"/>
  <c r="C24" i="20" s="1"/>
  <c r="N106" i="9"/>
  <c r="P106" i="9" s="1"/>
  <c r="J102" i="1" l="1" a="1"/>
  <c r="J102" i="1" s="1"/>
  <c r="AC19" i="9"/>
  <c r="AE19" i="9" s="1"/>
  <c r="C16" i="20" s="1"/>
  <c r="V20" i="9" a="1"/>
  <c r="V20" i="9" s="1"/>
  <c r="AC20" i="9" s="1"/>
  <c r="AE20" i="9" s="1"/>
  <c r="C17" i="20" s="1"/>
  <c r="N99" i="9"/>
  <c r="P99" i="9" s="1"/>
  <c r="N98" i="9"/>
  <c r="P98" i="9" s="1"/>
  <c r="N84" i="9"/>
  <c r="P84" i="9" s="1"/>
  <c r="V5" i="9" a="1"/>
  <c r="V5" i="9" s="1"/>
  <c r="AC5" i="9" s="1"/>
  <c r="AE5" i="9" s="1"/>
  <c r="C2" i="20" s="1"/>
  <c r="C28" i="20"/>
  <c r="E20" i="19" a="1"/>
  <c r="E20" i="19" s="1"/>
  <c r="V17" i="9" a="1"/>
  <c r="V17" i="9" s="1"/>
  <c r="AC17" i="9" s="1"/>
  <c r="AE17" i="9" s="1"/>
  <c r="C14" i="20" s="1"/>
  <c r="N96" i="9"/>
  <c r="P96" i="9" s="1"/>
  <c r="V24" i="9" a="1"/>
  <c r="V24" i="9" s="1"/>
  <c r="AC24" i="9" s="1"/>
  <c r="AE24" i="9" s="1"/>
  <c r="C21" i="20" s="1"/>
  <c r="N103" i="9"/>
  <c r="P103" i="9" s="1"/>
  <c r="N88" i="9"/>
  <c r="P88" i="9" s="1"/>
  <c r="AC9" i="9"/>
  <c r="AE9" i="9" s="1"/>
  <c r="C6" i="20" s="1"/>
  <c r="N97" i="9"/>
  <c r="P97" i="9" s="1"/>
  <c r="V18" i="9" a="1"/>
  <c r="V18" i="9" s="1"/>
  <c r="AC18" i="9" s="1"/>
  <c r="AE18" i="9" s="1"/>
  <c r="C15" i="20" s="1"/>
  <c r="V22" i="9" a="1"/>
  <c r="V22" i="9" s="1"/>
  <c r="AC22" i="9" s="1"/>
  <c r="AE22" i="9" s="1"/>
  <c r="C19" i="20" s="1"/>
  <c r="N101" i="9"/>
  <c r="P101" i="9" s="1"/>
  <c r="E9" i="8"/>
  <c r="E12" i="8"/>
  <c r="E5" i="8"/>
  <c r="E8" i="8"/>
  <c r="E13" i="8"/>
  <c r="E6" i="8"/>
  <c r="E10" i="8"/>
  <c r="E7" i="8"/>
  <c r="E11" i="8"/>
  <c r="E4" i="8"/>
  <c r="N94" i="9"/>
  <c r="P94" i="9" s="1"/>
  <c r="V15" i="9" a="1"/>
  <c r="V15" i="9" s="1"/>
  <c r="AC15" i="9" s="1"/>
  <c r="AE15" i="9" s="1"/>
  <c r="C12" i="20" s="1"/>
  <c r="E14" i="8"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<sst xmlns="http://schemas.openxmlformats.org/spreadsheetml/2006/main" count="1205" uniqueCount="348">
  <si>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</si>
  <si>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</si>
  <si>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</si>
  <si>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</si>
  <si>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</si>
  <si>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</si>
  <si>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</si>
  <si>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</si>
  <si>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</si>
  <si>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</si>
  <si>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</si>
  <si>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</si>
  <si>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</si>
  <si>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</si>
  <si>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</si>
  <si>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</si>
  <si>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</si>
  <si>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</si>
  <si>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</si>
  <si>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</si>
  <si>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</si>
  <si>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</si>
  <si>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</si>
  <si>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</si>
  <si>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</si>
  <si>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</si>
  <si>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</si>
  <si>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</si>
  <si>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</si>
  <si>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</si>
  <si>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</si>
  <si>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</si>
  <si>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</si>
  <si>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</si>
  <si>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</si>
  <si>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</si>
  <si>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</si>
  <si>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</si>
  <si>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</si>
  <si>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</si>
  <si>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</si>
  <si>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</si>
  <si>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</si>
  <si>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</si>
  <si>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</si>
  <si>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</si>
  <si>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</si>
  <si>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</si>
  <si>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</si>
  <si>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</si>
  <si>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</si>
  <si>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</si>
  <si>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</si>
  <si>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</si>
  <si>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</si>
  <si>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</si>
  <si>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</si>
  <si>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</si>
  <si>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</si>
  <si>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</si>
  <si>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</si>
  <si>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</si>
  <si>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</si>
  <si>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</si>
  <si>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</si>
  <si>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</si>
  <si>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</si>
  <si>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</si>
  <si>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</si>
  <si>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</si>
  <si>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</si>
  <si>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</si>
  <si>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</si>
  <si>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</si>
  <si>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</si>
  <si>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</si>
  <si>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</si>
  <si>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</si>
  <si>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</si>
  <si>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</si>
  <si>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</si>
  <si>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</si>
  <si>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</si>
  <si>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</si>
  <si>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</si>
  <si>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</si>
  <si>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</si>
  <si>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</si>
  <si>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</si>
  <si>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</si>
  <si>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</si>
  <si>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</si>
  <si>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</si>
  <si>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</si>
  <si>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</si>
  <si>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</si>
  <si>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</si>
  <si>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</si>
  <si>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</si>
  <si>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</si>
  <si>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</si>
  <si>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</si>
  <si>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</si>
  <si>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</si>
  <si>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</si>
  <si>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</si>
  <si>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</si>
  <si>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</si>
  <si>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</si>
  <si>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</si>
  <si>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</si>
  <si>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</si>
  <si>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</si>
  <si>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</si>
  <si>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</si>
  <si>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</si>
  <si>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</si>
  <si>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</si>
  <si>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</si>
  <si>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</si>
  <si>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</si>
  <si>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</si>
  <si>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</si>
  <si>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</si>
  <si>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</si>
  <si>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</si>
  <si>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</si>
  <si>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</si>
  <si>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</si>
  <si>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</si>
  <si>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</si>
  <si>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</si>
  <si>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</si>
  <si>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</si>
  <si>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</si>
  <si>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</si>
  <si>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</si>
  <si>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</si>
  <si>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</si>
  <si>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</si>
  <si>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</si>
  <si>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</si>
  <si>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</si>
  <si>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</si>
  <si>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</si>
  <si>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</si>
  <si>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</si>
  <si>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</si>
  <si>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</si>
  <si>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</si>
  <si>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</si>
  <si>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</si>
  <si>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</si>
  <si>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</si>
  <si>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</si>
  <si>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</si>
  <si>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</si>
  <si>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</si>
  <si>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</si>
  <si>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</si>
  <si>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</si>
  <si>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</si>
  <si>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</si>
  <si>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</si>
  <si>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</si>
  <si>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</si>
  <si>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</si>
  <si>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</si>
  <si>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</si>
  <si>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</si>
  <si>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</si>
  <si>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</si>
  <si>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</si>
  <si>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</si>
  <si>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</si>
  <si>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</si>
  <si>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</si>
  <si>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</si>
  <si>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</si>
  <si>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</si>
  <si>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</si>
  <si>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</si>
  <si>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</si>
  <si>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</si>
  <si>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</si>
  <si>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</si>
  <si>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</si>
  <si>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</si>
  <si>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</si>
  <si>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</si>
  <si>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</si>
  <si>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</si>
  <si>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</si>
  <si>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</si>
  <si>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</si>
  <si>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</si>
  <si>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</si>
  <si>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</si>
  <si>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</si>
  <si>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</si>
  <si>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</si>
  <si>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</si>
  <si>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</si>
  <si>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</si>
  <si>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</si>
  <si>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</si>
  <si>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</si>
  <si>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</si>
  <si>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</si>
  <si>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</si>
  <si>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</si>
  <si>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</si>
  <si>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</si>
  <si>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</si>
  <si>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</si>
  <si>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</si>
  <si>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</si>
  <si>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</si>
  <si>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</si>
  <si>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</si>
  <si>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</si>
  <si>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</si>
  <si>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Advance salary</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</si>
  <si>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</si>
  <si>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</si>
  <si>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</si>
  <si>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</si>
  <si>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</si>
  <si>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</si>
  <si>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</si>
  <si>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</si>
  <si>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</si>
  <si>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</si>
  <si>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</si>
  <si>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</si>
  <si>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</si>
  <si>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</si>
  <si>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</si>
  <si>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</si>
  <si>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</si>
  <si>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</si>
  <si>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</si>
  <si>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</si>
  <si>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</si>
  <si>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</si>
  <si>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</si>
  <si>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Shoaib Folding</t>
  </si>
  <si>
    <t>Hafiz qureshi</t>
  </si>
  <si>
    <t>misc</t>
  </si>
  <si>
    <t>Mazdoor</t>
  </si>
  <si>
    <t>Hafiz Shawl</t>
  </si>
  <si>
    <t>Building Acc</t>
  </si>
  <si>
    <t>Diesel x5l</t>
  </si>
  <si>
    <t>Nasir operator</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</si>
  <si>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</si>
  <si>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</si>
  <si>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</si>
  <si>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</si>
  <si>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</si>
  <si>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</si>
  <si>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</si>
  <si>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</si>
  <si>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</si>
  <si>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</si>
  <si>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</si>
  <si>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</si>
  <si>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</si>
  <si>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</si>
  <si>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</si>
  <si>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</si>
  <si>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</si>
  <si>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</si>
  <si>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</si>
  <si>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</si>
  <si>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</si>
  <si>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</si>
  <si>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</si>
  <si>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</si>
  <si>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</si>
  <si>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</si>
  <si>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</si>
  <si>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</si>
  <si>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</si>
  <si>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</si>
  <si>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</si>
  <si>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</si>
  <si>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</si>
  <si>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</si>
  <si>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</si>
  <si>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</si>
  <si>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</si>
  <si>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</si>
  <si>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</si>
  <si>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3/2/26 bill</t>
  </si>
  <si>
    <t>SM balance 250kg</t>
  </si>
  <si>
    <t>petrol 464</t>
  </si>
  <si>
    <t>chain lock</t>
  </si>
  <si>
    <t>TID:242087</t>
  </si>
  <si>
    <t>package</t>
  </si>
  <si>
    <t>Loom ac</t>
  </si>
  <si>
    <t>Master Abid</t>
  </si>
  <si>
    <t>kluber</t>
  </si>
  <si>
    <t>dyes</t>
  </si>
  <si>
    <t>Master Tanveer</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</si>
  <si>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</si>
  <si>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</si>
  <si>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</si>
  <si>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</si>
  <si>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</si>
  <si>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</si>
  <si>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</si>
  <si>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</si>
  <si>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</si>
  <si>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</si>
  <si>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</si>
  <si>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</si>
  <si>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</si>
  <si>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</si>
  <si>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</si>
  <si>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</si>
  <si>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</si>
  <si>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</si>
  <si>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</si>
  <si>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</si>
  <si>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</si>
  <si>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</si>
  <si>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</si>
  <si>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</si>
  <si>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</si>
  <si>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</si>
  <si>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</si>
  <si>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Ghulam abbas chakki</t>
  </si>
  <si>
    <t>Amjad fitter</t>
  </si>
  <si>
    <t>2+1</t>
  </si>
  <si>
    <t>Ashraf Guard</t>
  </si>
  <si>
    <t>50k Jc 150k cash</t>
  </si>
  <si>
    <t>Arshad 150 cash</t>
  </si>
  <si>
    <t>Ashfaq sahab boiler theka</t>
  </si>
  <si>
    <t>Jc</t>
  </si>
  <si>
    <t>TID:960972</t>
  </si>
  <si>
    <t>AVR generator</t>
  </si>
  <si>
    <t>receipt #448</t>
  </si>
  <si>
    <t>reciept #450</t>
  </si>
  <si>
    <t>kluber + pins</t>
  </si>
  <si>
    <t>Reciept #445</t>
  </si>
  <si>
    <t>Shahid qasay</t>
  </si>
  <si>
    <t>reciept #447</t>
  </si>
  <si>
    <t>surf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</si>
</sst>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2">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4" fontId="0" fillId="7" borderId="0" xfId="1" applyNumberFormat="1" applyFont="1" applyFill="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54">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fill>
        <patternFill>
          <bgColor rgb="FFFF0000"/>
        </patternFill>
      </fill>
    </dxf>
    <dxf>
      <fill>
        <patternFill>
          <bgColor rgb="FFFF0000"/>
        </patternFill>
      </fill>
    </dxf>
    <dxf>
      <fill>
        <patternFill>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400823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536567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sheetData sheetId="8">
        <row r="5">
          <cell r="N5">
            <v>7620182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sheetData sheetId="2"/>
      <sheetData sheetId="3">
        <row r="21">
          <cell r="F21">
            <v>136637.20398683249</v>
          </cell>
        </row>
      </sheetData>
      <sheetData sheetId="4"/>
      <sheetData sheetId="5"/>
      <sheetData sheetId="6"/>
      <sheetData sheetId="7">
        <row r="5">
          <cell r="N5">
            <v>3576278</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0.157370717592" createdVersion="8" refreshedVersion="8" minRefreshableVersion="3" recordCount="21" xr:uid="{376A650C-1F79-4049-BC45-E34989F046B2}">
  <cacheSource type="worksheet">
    <worksheetSource name="Table2"/>
  </cacheSource>
  <cacheFields count="8">
    <cacheField name="Date" numFmtId="14">
      <sharedItems containsNonDate="0" containsDate="1" containsString="0" containsBlank="1" minDate="2026-02-20T00:00:00" maxDate="2026-02-22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78000"/>
    </cacheField>
    <cacheField name="Paid" numFmtId="0">
      <sharedItems containsString="0" containsBlank="1" containsNumber="1" containsInteger="1" minValue="0" maxValue="78000"/>
    </cacheField>
    <cacheField name="Balance" numFmtId="0">
      <sharedItems containsBlank="1" containsMixedTypes="1" containsNumber="1" containsInteger="1" minValue="0" maxValue="12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0.157370949077"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97">
        <d v="2026-02-20T00:00:00"/>
        <m/>
        <d v="2026-02-21T00:00:00"/>
        <d v="2026-02-22T00:00:00"/>
        <d v="2026-02-23T00:00:00"/>
        <d v="2026-02-19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4" maxValue="458"/>
    </cacheField>
    <cacheField name="Rate" numFmtId="164">
      <sharedItems containsString="0" containsBlank="1" containsNumber="1" containsInteger="1" minValue="58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0.157371180554" createdVersion="8" refreshedVersion="8" minRefreshableVersion="3" recordCount="24" xr:uid="{AC867DCC-CE64-4D1A-827D-F1F3EE10EE4E}">
  <cacheSource type="worksheet">
    <worksheetSource name="Table8"/>
  </cacheSource>
  <cacheFields count="9">
    <cacheField name="Date" numFmtId="0">
      <sharedItems containsNonDate="0" containsDate="1" containsString="0" containsBlank="1" minDate="2025-05-16T00:00:00" maxDate="2026-02-25T00:00:00" count="80">
        <d v="2026-02-19T00:00:00"/>
        <m/>
        <d v="2026-02-20T00:00:00"/>
        <d v="2026-02-22T00:00:00"/>
        <d v="2026-02-23T00:00:00"/>
        <d v="2026-02-24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00000"/>
    </cacheField>
    <cacheField name="Party" numFmtId="0">
      <sharedItems containsBlank="1" count="15">
        <s v="Unicolour"/>
        <s v="madina dyes"/>
        <s v="General Dyes"/>
        <s v="Shafi Dyes"/>
        <s v="MAK dyes"/>
        <s v="wazir dyes"/>
        <s v="Crescent dyes"/>
        <s v="Faisal Dyes"/>
        <m/>
        <s v="Navy" u="1"/>
        <s v="Dyes" u="1"/>
        <s v="13 carton" u="1"/>
        <s v="usman shafiq Dyes" u="1"/>
        <s v="Al madina" u="1"/>
        <s v="-" u="1"/>
      </sharedItems>
    </cacheField>
    <cacheField name="Paid" numFmtId="0">
      <sharedItems containsString="0" containsBlank="1" containsNumber="1" containsInteger="1" minValue="0" maxValue="100000"/>
    </cacheField>
    <cacheField name="Balance" numFmtId="0">
      <sharedItems containsBlank="1" containsMixedTypes="1" containsNumber="1" containsInteger="1" minValue="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0.15737118055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233764.63057790784"/>
    </cacheField>
    <cacheField name="Rate" numFmtId="0">
      <sharedItems containsString="0" containsBlank="1" containsNumber="1" minValue="10" maxValue="12"/>
    </cacheField>
    <cacheField name="Total" numFmtId="164">
      <sharedItems containsSemiMixedTypes="0" containsString="0" containsNumber="1" minValue="0" maxValue="1659405.6327724946"/>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0.157371412039" createdVersion="8" refreshedVersion="8" minRefreshableVersion="3" recordCount="129" xr:uid="{B5BDFB73-D93A-4A7A-8149-666BC190B09B}">
  <cacheSource type="worksheet">
    <worksheetSource name="Table14"/>
  </cacheSource>
  <cacheFields count="7">
    <cacheField name="Date" numFmtId="14">
      <sharedItems containsNonDate="0" containsDate="1" containsString="0" containsBlank="1" minDate="2025-12-23T00:00:00" maxDate="2026-02-27T00:00:00"/>
    </cacheField>
    <cacheField name="Party" numFmtId="0">
      <sharedItems containsBlank="1" count="93">
        <s v="Closing CF"/>
        <s v="Arb Dasti"/>
        <s v="Dasti"/>
        <s v="omer"/>
        <s v="Ejaz sahab"/>
        <s v="Parts"/>
        <s v="Zaheer shah wood"/>
        <s v="Faizan"/>
        <s v="Electricity"/>
        <s v="Shani Badshah"/>
        <s v="Transport"/>
        <s v="Crescent dyes"/>
        <s v="Aslam Multani"/>
        <s v="Finish"/>
        <s v="misc"/>
        <s v="Hafiz qureshi"/>
        <s v="Zahid Ejaz"/>
        <s v="ishaq"/>
        <s v="Advance salary"/>
        <s v="Arshad"/>
        <s v="amjad wood"/>
        <s v="Malik Zaheer"/>
        <s v="Kaleem ullah"/>
        <s v="salary"/>
        <s v="AS Traders"/>
        <s v="Building Acc"/>
        <s v="Loom ac"/>
        <s v="madina dyes"/>
        <s v="irfan punjabi"/>
        <s v="Faizan Kamoki"/>
        <s v="ibraheem behraam"/>
        <s v="Unicolour"/>
        <s v="Shahid Qasayi"/>
        <m/>
        <s v="rashan" u="1"/>
        <s v="salman Zaffar" u="1"/>
        <s v="ubaidullah" u="1"/>
        <s v="sajad khan" u="1"/>
        <s v="Adjustment" u="1"/>
        <s v="temp" u="1"/>
        <s v="Rehman Ali" u="1"/>
        <s v="Faysal Akraam" u="1"/>
        <s v="Faisal Dyes" u="1"/>
        <s v="Ahmad Shafique" u="1"/>
        <s v="Wazir Dyes" u="1"/>
        <s v="Gauhar Kashif" u="1"/>
        <s v="Amjad Sohail" u="1"/>
        <s v="Azam" u="1"/>
        <s v="Hafiz Shawl" u="1"/>
        <s v="General Dyes" u="1"/>
        <s v="Dyes" u="1"/>
        <s v="Rafaqat" u="1"/>
        <s v="Abid ghafoor" u="1"/>
        <s v="Rana Babar" u="1"/>
        <s v="Ibraheem" u="1"/>
        <s v="Badshah Fabrics" u="1"/>
        <s v="Usman shafiq dyes" u="1"/>
        <s v="shehzad kamoki" u="1"/>
        <s v="sufi nawaz sahab" u="1"/>
        <s v="Raaz Fabrics" u="1"/>
        <s v="Closing October CF" u="1"/>
        <s v="Aurangzeb" u="1"/>
        <s v="BSC" u="1"/>
        <s v="Haseeb Shamsi" u="1"/>
        <s v="Ashraf Zia" u="1"/>
        <s v="Zia-ullah karachi"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762018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0.157371527777" createdVersion="8" refreshedVersion="8" minRefreshableVersion="3" recordCount="108" xr:uid="{46CBB50D-3613-4E5B-8212-DD0313DCD05A}">
  <cacheSource type="worksheet">
    <worksheetSource name="Table1"/>
  </cacheSource>
  <cacheFields count="14">
    <cacheField name="Date" numFmtId="0">
      <sharedItems containsSemiMixedTypes="0" containsNonDate="0" containsDate="1" containsString="0" minDate="2026-02-19T00:00:00" maxDate="2026-02-27T00:00:00"/>
    </cacheField>
    <cacheField name="Party Name" numFmtId="0">
      <sharedItems containsBlank="1" count="40">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m/>
        <s v="Reject" u="1"/>
        <s v="YING" u="1"/>
        <s v="Meow" u="1"/>
        <s v="Umer Sb" u="1"/>
        <s v="-" u="1"/>
        <s v="Sajjad" u="1"/>
        <s v="Haji Ejaz" u="1"/>
      </sharedItems>
    </cacheField>
    <cacheField name="Bill Number" numFmtId="0">
      <sharedItems containsBlank="1" containsMixedTypes="1" containsNumber="1" containsInteger="1" minValue="1509" maxValue="1540"/>
    </cacheField>
    <cacheField name="Quality" numFmtId="0">
      <sharedItems containsBlank="1"/>
    </cacheField>
    <cacheField name="Shipment Number" numFmtId="164">
      <sharedItems containsString="0" containsBlank="1" containsNumber="1" containsInteger="1" minValue="1558" maxValue="17000" count="455">
        <m/>
        <n v="2100"/>
        <n v="2080"/>
        <n v="2058"/>
        <n v="2069"/>
        <n v="1809"/>
        <n v="2060"/>
        <n v="2085"/>
        <n v="2078"/>
        <n v="2040"/>
        <n v="2049"/>
        <n v="2095"/>
        <n v="2082"/>
        <n v="2035"/>
        <n v="2102"/>
        <n v="2089"/>
        <n v="2101"/>
        <n v="2084"/>
        <n v="2103"/>
        <n v="2096"/>
        <n v="2105"/>
        <n v="2104"/>
        <n v="2088"/>
        <n v="1996"/>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069" maxValue="101030"/>
    </cacheField>
    <cacheField name="Tiyaar/gaz" numFmtId="164">
      <sharedItems containsString="0" containsBlank="1" containsNumber="1" containsInteger="1" minValue="2212" maxValue="50792"/>
    </cacheField>
    <cacheField name="shortage %" numFmtId="165">
      <sharedItems containsMixedTypes="1" containsNumber="1" minValue="1.6332486157716346"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m/>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m/>
    <x v="6"/>
    <m/>
    <m/>
    <m/>
    <n v="0"/>
    <n v="0"/>
    <n v="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228"/>
    <n v="830"/>
    <m/>
    <n v="189240"/>
    <m/>
    <n v="189240"/>
  </r>
  <r>
    <x v="5"/>
    <x v="4"/>
    <x v="1"/>
    <n v="300"/>
    <n v="580"/>
    <m/>
    <n v="174000"/>
    <m/>
    <n v="174000"/>
  </r>
  <r>
    <x v="1"/>
    <x v="10"/>
    <x v="1"/>
    <m/>
    <m/>
    <m/>
    <n v="0"/>
    <m/>
    <n v="0"/>
  </r>
  <r>
    <x v="1"/>
    <x v="10"/>
    <x v="1"/>
    <m/>
    <m/>
    <m/>
    <n v="0"/>
    <m/>
    <n v="0"/>
  </r>
  <r>
    <x v="1"/>
    <x v="10"/>
    <x v="1"/>
    <m/>
    <m/>
    <m/>
    <n v="0"/>
    <m/>
    <n v="0"/>
  </r>
  <r>
    <x v="1"/>
    <x v="10"/>
    <x v="1"/>
    <m/>
    <m/>
    <m/>
    <n v="0"/>
    <m/>
    <n v="0"/>
  </r>
  <r>
    <x v="1"/>
    <x v="10"/>
    <x v="1"/>
    <m/>
    <m/>
    <m/>
    <n v="0"/>
    <m/>
    <n v="0"/>
  </r>
  <r>
    <x v="1"/>
    <x v="10"/>
    <x v="1"/>
    <m/>
    <m/>
    <m/>
    <m/>
    <m/>
    <n v="0"/>
  </r>
  <r>
    <x v="1"/>
    <x v="10"/>
    <x v="1"/>
    <m/>
    <m/>
    <m/>
    <m/>
    <m/>
    <n v="0"/>
  </r>
  <r>
    <x v="1"/>
    <x v="10"/>
    <x v="1"/>
    <m/>
    <m/>
    <m/>
    <m/>
    <m/>
    <n v="0"/>
  </r>
  <r>
    <x v="1"/>
    <x v="10"/>
    <x v="1"/>
    <m/>
    <m/>
    <m/>
    <m/>
    <m/>
    <n v="0"/>
  </r>
  <r>
    <x v="1"/>
    <x v="10"/>
    <x v="1"/>
    <m/>
    <m/>
    <m/>
    <m/>
    <m/>
    <n v="0"/>
  </r>
  <r>
    <x v="1"/>
    <x v="10"/>
    <x v="1"/>
    <m/>
    <m/>
    <m/>
    <m/>
    <m/>
    <n v="0"/>
  </r>
  <r>
    <x v="1"/>
    <x v="10"/>
    <x v="1"/>
    <m/>
    <m/>
    <m/>
    <m/>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s v="Dyes"/>
    <m/>
    <m/>
    <m/>
    <x v="0"/>
    <n v="0"/>
    <n v="764250"/>
    <s v="closing CF"/>
  </r>
  <r>
    <x v="0"/>
    <s v="Dyes"/>
    <m/>
    <m/>
    <m/>
    <x v="1"/>
    <n v="0"/>
    <n v="0"/>
    <s v="closing CF"/>
  </r>
  <r>
    <x v="0"/>
    <s v="Dyes"/>
    <m/>
    <m/>
    <m/>
    <x v="2"/>
    <n v="0"/>
    <n v="0"/>
    <s v="closing CF"/>
  </r>
  <r>
    <x v="0"/>
    <s v="Dyes"/>
    <m/>
    <m/>
    <m/>
    <x v="3"/>
    <n v="0"/>
    <n v="0"/>
    <s v="closing CF"/>
  </r>
  <r>
    <x v="0"/>
    <s v="Dyes"/>
    <m/>
    <m/>
    <m/>
    <x v="4"/>
    <n v="0"/>
    <s v="3/2/26 bill"/>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1"/>
    <m/>
    <m/>
    <m/>
    <m/>
    <x v="8"/>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33764.63057790784"/>
    <n v="10"/>
    <n v="1659405.6327724946"/>
  </r>
  <r>
    <x v="1"/>
    <n v="14008.778346744697"/>
    <n v="10"/>
    <n v="168105.34016093635"/>
  </r>
  <r>
    <x v="2"/>
    <n v="42072.970007315293"/>
    <n v="10"/>
    <n v="459427.5786393563"/>
  </r>
  <r>
    <x v="3"/>
    <n v="0"/>
    <n v="10.5"/>
    <n v="0"/>
  </r>
  <r>
    <x v="4"/>
    <n v="0"/>
    <n v="10"/>
    <n v="0"/>
  </r>
  <r>
    <x v="5"/>
    <n v="0"/>
    <n v="10"/>
    <n v="0"/>
  </r>
  <r>
    <x v="6"/>
    <n v="4818.0321872713976"/>
    <n v="10"/>
    <n v="48180.321872713976"/>
  </r>
  <r>
    <x v="7"/>
    <n v="0"/>
    <n v="10"/>
    <n v="0"/>
  </r>
  <r>
    <x v="8"/>
    <n v="0"/>
    <n v="10"/>
    <n v="0"/>
  </r>
  <r>
    <x v="9"/>
    <n v="0"/>
    <n v="12"/>
    <n v="0"/>
  </r>
  <r>
    <x v="10"/>
    <n v="68631.126554498915"/>
    <m/>
    <n v="686311.26554498915"/>
  </r>
  <r>
    <x v="11"/>
    <n v="0"/>
    <m/>
    <n v="0"/>
  </r>
  <r>
    <x v="12"/>
    <n v="0"/>
    <m/>
    <n v="0"/>
  </r>
  <r>
    <x v="13"/>
    <n v="0"/>
    <m/>
    <n v="0"/>
  </r>
  <r>
    <x v="14"/>
    <n v="0"/>
    <m/>
    <n v="0"/>
  </r>
  <r>
    <x v="15"/>
    <n v="0"/>
    <m/>
    <n v="0"/>
  </r>
  <r>
    <x v="16"/>
    <n v="50968.361375274326"/>
    <m/>
    <n v="611620.3365032919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d v="2026-01-20T00:00:00"/>
    <x v="0"/>
    <m/>
    <n v="762018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n v="5000"/>
    <m/>
    <s v="Naeem Electric"/>
    <s v="Bank"/>
    <m/>
  </r>
  <r>
    <d v="2026-02-21T00:00:00"/>
    <x v="19"/>
    <m/>
    <n v="200000"/>
    <s v="receipt #442"/>
    <s v="Bank"/>
    <m/>
  </r>
  <r>
    <d v="2026-02-21T00:00:00"/>
    <x v="20"/>
    <n v="40000"/>
    <m/>
    <s v="TID:098913"/>
    <s v="Bank"/>
    <m/>
  </r>
  <r>
    <d v="2026-02-21T00:00:00"/>
    <x v="21"/>
    <n v="150000"/>
    <m/>
    <s v="TID:937951"/>
    <s v="Bank"/>
    <m/>
  </r>
  <r>
    <d v="2026-02-21T00:00:00"/>
    <x v="22"/>
    <n v="151000"/>
    <m/>
    <s v="TID:749401"/>
    <s v="Bank"/>
    <m/>
  </r>
  <r>
    <d v="2026-02-22T00:00:00"/>
    <x v="18"/>
    <n v="5000"/>
    <m/>
    <s v="Khubaib"/>
    <s v="Bank"/>
    <m/>
  </r>
  <r>
    <d v="2026-02-22T00:00:00"/>
    <x v="23"/>
    <n v="40000"/>
    <m/>
    <s v="Khalid Sahab"/>
    <s v="Bank"/>
    <m/>
  </r>
  <r>
    <d v="2026-02-22T00:00:00"/>
    <x v="18"/>
    <n v="1000"/>
    <m/>
    <s v="Nasir operator"/>
    <s v="Bank"/>
    <m/>
  </r>
  <r>
    <d v="2026-02-22T00:00:00"/>
    <x v="18"/>
    <n v="1000"/>
    <m/>
    <s v="Shoaib Folding"/>
    <s v="Bank"/>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d v="2026-02-23T00:00:00"/>
    <x v="18"/>
    <n v="12000"/>
    <m/>
    <s v="Master Tanveer"/>
    <s v="Bank"/>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n v="16630"/>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d v="2026-02-25T00:00:00"/>
    <x v="18"/>
    <n v="1000"/>
    <m/>
    <s v="Ghulam abbas chakki"/>
    <s v="Bank"/>
    <m/>
  </r>
  <r>
    <d v="2026-02-26T00:00:00"/>
    <x v="18"/>
    <n v="10000"/>
    <m/>
    <s v="Naeem Electric"/>
    <s v="Bank"/>
    <m/>
  </r>
  <r>
    <d v="2026-02-26T00:00:00"/>
    <x v="18"/>
    <n v="15000"/>
    <m/>
    <s v="Amjad fitter"/>
    <s v="Bank"/>
    <m/>
  </r>
  <r>
    <d v="2026-02-26T00:00:00"/>
    <x v="25"/>
    <n v="10000"/>
    <m/>
    <s v="2+1"/>
    <s v="Bank"/>
    <m/>
  </r>
  <r>
    <d v="2026-02-26T00:00:00"/>
    <x v="23"/>
    <n v="16000"/>
    <m/>
    <s v="Ashraf Guard"/>
    <s v="Bank"/>
    <m/>
  </r>
  <r>
    <d v="2026-02-26T00:00:00"/>
    <x v="19"/>
    <m/>
    <n v="200000"/>
    <s v="50k Jc 150k cash"/>
    <s v="Bank"/>
    <m/>
  </r>
  <r>
    <d v="2026-02-26T00:00:00"/>
    <x v="1"/>
    <n v="150000"/>
    <m/>
    <s v="Arshad 150 cash"/>
    <s v="Bank"/>
    <m/>
  </r>
  <r>
    <d v="2026-02-26T00:00:00"/>
    <x v="23"/>
    <n v="50000"/>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m/>
    <x v="33"/>
    <m/>
    <m/>
    <m/>
    <m/>
    <m/>
  </r>
  <r>
    <m/>
    <x v="33"/>
    <m/>
    <m/>
    <m/>
    <m/>
    <m/>
  </r>
  <r>
    <m/>
    <x v="33"/>
    <m/>
    <m/>
    <m/>
    <m/>
    <m/>
  </r>
  <r>
    <m/>
    <x v="33"/>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611014092764712"/>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72.151652276987008"/>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s v="NF"/>
    <m/>
    <m/>
    <m/>
  </r>
  <r>
    <d v="2026-02-25T00:00:00"/>
    <x v="18"/>
    <n v="1535"/>
    <s v="Chamki"/>
    <x v="18"/>
    <n v="2069"/>
    <n v="2212"/>
    <s v="NF"/>
    <m/>
    <m/>
    <m/>
  </r>
  <r>
    <d v="2026-02-25T00:00:00"/>
    <x v="0"/>
    <n v="1536"/>
    <s v="Chamki"/>
    <x v="19"/>
    <n v="100801"/>
    <n v="11908"/>
    <s v="NF"/>
    <m/>
    <m/>
    <m/>
  </r>
  <r>
    <d v="2026-02-25T00:00:00"/>
    <x v="1"/>
    <n v="1537"/>
    <s v="Silky"/>
    <x v="20"/>
    <n v="14584"/>
    <n v="15320"/>
    <s v="NF"/>
    <m/>
    <m/>
    <m/>
  </r>
  <r>
    <d v="2026-02-25T00:00:00"/>
    <x v="2"/>
    <n v="1538"/>
    <s v="Silky"/>
    <x v="21"/>
    <n v="20046"/>
    <n v="21160"/>
    <s v="NF"/>
    <m/>
    <m/>
    <m/>
  </r>
  <r>
    <d v="2026-02-26T00:00:00"/>
    <x v="10"/>
    <n v="1539"/>
    <s v="Chamki"/>
    <x v="22"/>
    <n v="19717"/>
    <n v="21223"/>
    <s v="NF"/>
    <m/>
    <m/>
    <m/>
  </r>
  <r>
    <d v="2026-02-26T00:00:00"/>
    <x v="6"/>
    <n v="1540"/>
    <s v="Chamki"/>
    <x v="23"/>
    <n v="24005"/>
    <n v="5269"/>
    <s v="NF"/>
    <m/>
    <m/>
    <m/>
  </r>
  <r>
    <d v="2026-02-25T00:00:00"/>
    <x v="32"/>
    <m/>
    <m/>
    <x v="0"/>
    <m/>
    <m/>
    <e v="#DIV/0!"/>
    <m/>
    <m/>
    <m/>
  </r>
  <r>
    <d v="2026-02-25T00:00:00"/>
    <x v="32"/>
    <m/>
    <m/>
    <x v="0"/>
    <m/>
    <m/>
    <e v="#DIV/0!"/>
    <m/>
    <m/>
    <m/>
  </r>
  <r>
    <d v="2026-02-25T00:00:00"/>
    <x v="32"/>
    <m/>
    <m/>
    <x v="0"/>
    <m/>
    <m/>
    <e v="#DIV/0!"/>
    <m/>
    <m/>
    <m/>
  </r>
  <r>
    <d v="2026-02-25T00:00:00"/>
    <x v="32"/>
    <m/>
    <m/>
    <x v="0"/>
    <m/>
    <m/>
    <e v="#DIV/0!"/>
    <m/>
    <m/>
    <m/>
  </r>
  <r>
    <d v="2026-02-25T00:00:00"/>
    <x v="32"/>
    <m/>
    <m/>
    <x v="0"/>
    <m/>
    <m/>
    <e v="#DIV/0!"/>
    <m/>
    <m/>
    <m/>
  </r>
  <r>
    <d v="2026-02-25T00:00:00"/>
    <x v="32"/>
    <m/>
    <m/>
    <x v="0"/>
    <m/>
    <m/>
    <e v="#DIV/0!"/>
    <m/>
    <m/>
    <m/>
  </r>
  <r>
    <d v="2026-02-25T00:00:00"/>
    <x v="32"/>
    <m/>
    <m/>
    <x v="0"/>
    <m/>
    <m/>
    <e v="#DIV/0!"/>
    <m/>
    <m/>
    <m/>
  </r>
  <r>
    <d v="2026-02-25T00:00:00"/>
    <x v="32"/>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40">
      <pivotArea field="0" grandRow="1" outline="0" collapsedLevelsAreSubtotals="1" axis="axisRow" fieldPosition="0">
        <references count="1">
          <reference field="4294967294" count="1" selected="0">
            <x v="1"/>
          </reference>
        </references>
      </pivotArea>
    </format>
    <format dxfId="139">
      <pivotArea field="0" grandRow="1" outline="0" collapsedLevelsAreSubtotals="1" axis="axisRow" fieldPosition="0">
        <references count="1">
          <reference field="4294967294" count="1" selected="0">
            <x v="0"/>
          </reference>
        </references>
      </pivotArea>
    </format>
    <format dxfId="138">
      <pivotArea collapsedLevelsAreSubtotals="1" fieldPosition="0">
        <references count="2">
          <reference field="4294967294" count="1" selected="0">
            <x v="1"/>
          </reference>
          <reference field="0" count="0"/>
        </references>
      </pivotArea>
    </format>
    <format dxfId="137">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22" firstHeaderRow="0" firstDataRow="1" firstDataCol="1" rowPageCount="1" colPageCount="1"/>
  <pivotFields count="9">
    <pivotField axis="axisRow" numFmtId="14" showAll="0">
      <items count="198">
        <item m="1" x="181"/>
        <item m="1" x="182"/>
        <item m="1" x="183"/>
        <item m="1" x="184"/>
        <item m="1" x="185"/>
        <item m="1" x="186"/>
        <item m="1" x="187"/>
        <item m="1" x="196"/>
        <item m="1" x="177"/>
        <item m="1" x="188"/>
        <item m="1" x="189"/>
        <item m="1" x="190"/>
        <item m="1" x="191"/>
        <item m="1" x="192"/>
        <item m="1" x="193"/>
        <item m="1" x="194"/>
        <item m="1" x="148"/>
        <item m="1" x="149"/>
        <item m="1" x="195"/>
        <item m="1" x="150"/>
        <item m="1" x="147"/>
        <item m="1" x="151"/>
        <item m="1" x="153"/>
        <item m="1" x="154"/>
        <item m="1" x="155"/>
        <item m="1" x="157"/>
        <item m="1" x="158"/>
        <item m="1" x="159"/>
        <item m="1" x="152"/>
        <item m="1" x="156"/>
        <item m="1" x="160"/>
        <item m="1" x="161"/>
        <item m="1" x="162"/>
        <item m="1" x="163"/>
        <item m="1" x="146"/>
        <item m="1" x="164"/>
        <item m="1" x="178"/>
        <item m="1" x="179"/>
        <item m="1" x="180"/>
        <item m="1" x="165"/>
        <item m="1" x="166"/>
        <item m="1" x="167"/>
        <item m="1" x="168"/>
        <item m="1" x="169"/>
        <item m="1" x="170"/>
        <item m="1" x="171"/>
        <item m="1" x="172"/>
        <item m="1" x="173"/>
        <item m="1" x="174"/>
        <item m="1" x="175"/>
        <item m="1" x="176"/>
        <item m="1" x="117"/>
        <item m="1" x="118"/>
        <item m="1" x="119"/>
        <item m="1" x="120"/>
        <item m="1" x="121"/>
        <item m="1" x="122"/>
        <item m="1" x="123"/>
        <item m="1" x="124"/>
        <item m="1" x="126"/>
        <item m="1" x="127"/>
        <item m="1" x="128"/>
        <item m="1" x="125"/>
        <item m="1" x="129"/>
        <item m="1" x="130"/>
        <item m="1" x="131"/>
        <item m="1" x="132"/>
        <item m="1" x="133"/>
        <item m="1" x="134"/>
        <item m="1" x="135"/>
        <item m="1" x="136"/>
        <item m="1" x="137"/>
        <item m="1" x="138"/>
        <item m="1" x="139"/>
        <item m="1" x="140"/>
        <item m="1" x="141"/>
        <item m="1" x="142"/>
        <item m="1" x="143"/>
        <item m="1" x="144"/>
        <item m="1" x="145"/>
        <item m="1" x="63"/>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64"/>
        <item m="1" x="67"/>
        <item m="1" x="65"/>
        <item m="1" x="66"/>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31"/>
        <item m="1" x="32"/>
        <item m="1" x="33"/>
        <item m="1" x="34"/>
        <item m="1" x="35"/>
        <item m="1" x="36"/>
        <item m="1" x="37"/>
        <item m="1" x="38"/>
        <item x="1"/>
        <item m="1" x="39"/>
        <item m="1" x="40"/>
        <item m="1" x="41"/>
        <item m="1" x="42"/>
        <item m="1" x="43"/>
        <item m="1" x="44"/>
        <item m="1" x="62"/>
        <item m="1" x="45"/>
        <item m="1" x="46"/>
        <item m="1" x="30"/>
        <item m="1" x="29"/>
        <item m="1" x="47"/>
        <item m="1" x="48"/>
        <item m="1" x="49"/>
        <item m="1" x="50"/>
        <item m="1" x="51"/>
        <item m="1" x="52"/>
        <item m="1" x="53"/>
        <item m="1" x="54"/>
        <item m="1" x="55"/>
        <item m="1" x="56"/>
        <item m="1" x="57"/>
        <item m="1" x="58"/>
        <item m="1" x="59"/>
        <item m="1" x="60"/>
        <item m="1" x="61"/>
        <item m="1" x="6"/>
        <item m="1" x="7"/>
        <item m="1" x="8"/>
        <item m="1" x="9"/>
        <item m="1" x="10"/>
        <item m="1" x="11"/>
        <item m="1" x="12"/>
        <item m="1" x="13"/>
        <item m="1" x="14"/>
        <item m="1" x="15"/>
        <item m="1" x="16"/>
        <item m="1" x="17"/>
        <item m="1" x="18"/>
        <item m="1" x="19"/>
        <item m="1" x="20"/>
        <item m="1" x="21"/>
        <item m="1" x="22"/>
        <item m="1" x="23"/>
        <item m="1" x="24"/>
        <item m="1" x="25"/>
        <item m="1" x="26"/>
        <item m="1" x="27"/>
        <item m="1" x="28"/>
        <item x="5"/>
        <item x="0"/>
        <item x="2"/>
        <item x="3"/>
        <item x="4"/>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4">
    <i>
      <x v="142"/>
    </i>
    <i r="1">
      <x v="54"/>
    </i>
    <i>
      <x v="192"/>
    </i>
    <i r="1">
      <x v="54"/>
    </i>
    <i>
      <x v="193"/>
    </i>
    <i r="1">
      <x v="20"/>
    </i>
    <i r="1">
      <x v="54"/>
    </i>
    <i>
      <x v="194"/>
    </i>
    <i r="1">
      <x v="54"/>
    </i>
    <i>
      <x v="195"/>
    </i>
    <i r="1">
      <x v="54"/>
    </i>
    <i>
      <x v="19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4">
      <pivotArea dataOnly="0" labelOnly="1" outline="0" fieldPosition="0">
        <references count="1">
          <reference field="1" count="1">
            <x v="1"/>
          </reference>
        </references>
      </pivotArea>
    </format>
    <format dxfId="11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7">
    <pivotField numFmtId="14" showAll="0"/>
    <pivotField axis="axisRow" showAll="0">
      <items count="94">
        <item x="18"/>
        <item x="19"/>
        <item m="1" x="62"/>
        <item m="1" x="80"/>
        <item m="1" x="83"/>
        <item x="13"/>
        <item x="21"/>
        <item x="14"/>
        <item x="5"/>
        <item m="1" x="34"/>
        <item x="23"/>
        <item m="1" x="91"/>
        <item m="1" x="57"/>
        <item x="10"/>
        <item m="1" x="41"/>
        <item m="1" x="89"/>
        <item x="2"/>
        <item m="1" x="39"/>
        <item x="3"/>
        <item x="4"/>
        <item x="33"/>
        <item m="1" x="37"/>
        <item m="1" x="92"/>
        <item m="1" x="58"/>
        <item x="15"/>
        <item m="1" x="90"/>
        <item m="1" x="82"/>
        <item x="31"/>
        <item m="1" x="84"/>
        <item m="1" x="85"/>
        <item m="1" x="86"/>
        <item m="1" x="87"/>
        <item m="1" x="36"/>
        <item m="1" x="88"/>
        <item m="1" x="59"/>
        <item m="1" x="51"/>
        <item m="1" x="50"/>
        <item m="1" x="47"/>
        <item m="1" x="79"/>
        <item m="1" x="75"/>
        <item m="1" x="55"/>
        <item x="22"/>
        <item x="17"/>
        <item m="1" x="81"/>
        <item x="1"/>
        <item x="24"/>
        <item m="1" x="70"/>
        <item x="7"/>
        <item x="27"/>
        <item m="1" x="71"/>
        <item m="1" x="72"/>
        <item m="1" x="73"/>
        <item m="1" x="74"/>
        <item m="1" x="76"/>
        <item m="1" x="46"/>
        <item m="1" x="63"/>
        <item m="1" x="77"/>
        <item m="1" x="78"/>
        <item m="1" x="61"/>
        <item m="1" x="49"/>
        <item m="1" x="60"/>
        <item x="8"/>
        <item m="1" x="64"/>
        <item m="1" x="52"/>
        <item m="1" x="69"/>
        <item x="26"/>
        <item x="30"/>
        <item m="1" x="66"/>
        <item x="32"/>
        <item m="1" x="65"/>
        <item x="28"/>
        <item m="1" x="67"/>
        <item x="20"/>
        <item m="1" x="68"/>
        <item x="0"/>
        <item m="1" x="53"/>
        <item m="1" x="35"/>
        <item m="1" x="56"/>
        <item x="12"/>
        <item m="1" x="45"/>
        <item m="1" x="54"/>
        <item m="1" x="40"/>
        <item x="9"/>
        <item m="1" x="38"/>
        <item m="1" x="42"/>
        <item m="1" x="43"/>
        <item m="1" x="44"/>
        <item m="1" x="48"/>
        <item x="25"/>
        <item x="11"/>
        <item x="6"/>
        <item x="16"/>
        <item x="29"/>
        <item t="default"/>
      </items>
    </pivotField>
    <pivotField dataField="1" showAll="0"/>
    <pivotField dataField="1" showAll="0"/>
    <pivotField showAll="0"/>
    <pivotField showAll="0"/>
    <pivotField showAll="0"/>
  </pivotFields>
  <rowFields count="1">
    <field x="1"/>
  </rowFields>
  <rowItems count="35">
    <i>
      <x/>
    </i>
    <i>
      <x v="1"/>
    </i>
    <i>
      <x v="5"/>
    </i>
    <i>
      <x v="6"/>
    </i>
    <i>
      <x v="7"/>
    </i>
    <i>
      <x v="8"/>
    </i>
    <i>
      <x v="10"/>
    </i>
    <i>
      <x v="13"/>
    </i>
    <i>
      <x v="16"/>
    </i>
    <i>
      <x v="18"/>
    </i>
    <i>
      <x v="19"/>
    </i>
    <i>
      <x v="20"/>
    </i>
    <i>
      <x v="24"/>
    </i>
    <i>
      <x v="27"/>
    </i>
    <i>
      <x v="41"/>
    </i>
    <i>
      <x v="42"/>
    </i>
    <i>
      <x v="44"/>
    </i>
    <i>
      <x v="45"/>
    </i>
    <i>
      <x v="47"/>
    </i>
    <i>
      <x v="48"/>
    </i>
    <i>
      <x v="61"/>
    </i>
    <i>
      <x v="65"/>
    </i>
    <i>
      <x v="66"/>
    </i>
    <i>
      <x v="68"/>
    </i>
    <i>
      <x v="70"/>
    </i>
    <i>
      <x v="72"/>
    </i>
    <i>
      <x v="74"/>
    </i>
    <i>
      <x v="78"/>
    </i>
    <i>
      <x v="82"/>
    </i>
    <i>
      <x v="88"/>
    </i>
    <i>
      <x v="89"/>
    </i>
    <i>
      <x v="90"/>
    </i>
    <i>
      <x v="91"/>
    </i>
    <i>
      <x v="92"/>
    </i>
    <i t="grand">
      <x/>
    </i>
  </rowItems>
  <colFields count="1">
    <field x="-2"/>
  </colFields>
  <colItems count="2">
    <i>
      <x/>
    </i>
    <i i="1">
      <x v="1"/>
    </i>
  </colItems>
  <dataFields count="2">
    <dataField name="Sum of Credit" fld="3" baseField="0" baseItem="0"/>
    <dataField name="Sum of Debit" fld="2" baseField="0" baseItem="0"/>
  </dataFields>
  <formats count="1">
    <format dxfId="9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6" firstHeaderRow="0" firstDataRow="1" firstDataCol="1" rowPageCount="1" colPageCount="1"/>
  <pivotFields count="9">
    <pivotField axis="axisRow" showAll="0">
      <items count="81">
        <item m="1" x="75"/>
        <item m="1" x="76"/>
        <item m="1" x="77"/>
        <item m="1" x="78"/>
        <item m="1" x="79"/>
        <item m="1" x="74"/>
        <item m="1" x="62"/>
        <item m="1" x="63"/>
        <item m="1" x="67"/>
        <item m="1" x="68"/>
        <item m="1" x="64"/>
        <item m="1" x="69"/>
        <item m="1" x="70"/>
        <item m="1" x="71"/>
        <item m="1" x="72"/>
        <item m="1" x="73"/>
        <item m="1" x="61"/>
        <item m="1" x="65"/>
        <item m="1" x="66"/>
        <item m="1" x="54"/>
        <item m="1" x="55"/>
        <item m="1" x="56"/>
        <item m="1" x="57"/>
        <item m="1" x="58"/>
        <item m="1" x="59"/>
        <item m="1" x="60"/>
        <item m="1" x="30"/>
        <item m="1" x="46"/>
        <item m="1" x="47"/>
        <item m="1" x="48"/>
        <item m="1" x="49"/>
        <item m="1" x="50"/>
        <item m="1" x="51"/>
        <item m="1" x="52"/>
        <item m="1" x="53"/>
        <item m="1" x="31"/>
        <item m="1" x="32"/>
        <item m="1" x="33"/>
        <item m="1" x="34"/>
        <item m="1" x="35"/>
        <item m="1" x="36"/>
        <item m="1" x="37"/>
        <item m="1" x="39"/>
        <item m="1" x="40"/>
        <item m="1" x="38"/>
        <item m="1" x="41"/>
        <item m="1" x="42"/>
        <item m="1" x="43"/>
        <item m="1" x="44"/>
        <item m="1" x="45"/>
        <item m="1" x="6"/>
        <item m="1" x="17"/>
        <item m="1" x="18"/>
        <item m="1" x="19"/>
        <item m="1" x="20"/>
        <item m="1" x="21"/>
        <item m="1" x="22"/>
        <item m="1" x="23"/>
        <item m="1" x="24"/>
        <item m="1" x="25"/>
        <item m="1" x="26"/>
        <item m="1" x="27"/>
        <item m="1" x="28"/>
        <item m="1" x="29"/>
        <item m="1" x="7"/>
        <item m="1" x="8"/>
        <item m="1" x="9"/>
        <item m="1" x="10"/>
        <item m="1" x="11"/>
        <item x="1"/>
        <item m="1" x="12"/>
        <item m="1" x="13"/>
        <item m="1" x="14"/>
        <item m="1" x="15"/>
        <item m="1" x="16"/>
        <item x="0"/>
        <item x="2"/>
        <item x="3"/>
        <item x="4"/>
        <item x="5"/>
        <item t="default"/>
      </items>
    </pivotField>
    <pivotField showAll="0"/>
    <pivotField showAll="0"/>
    <pivotField showAll="0"/>
    <pivotField dataField="1" showAll="0"/>
    <pivotField axis="axisPage" showAll="0">
      <items count="16">
        <item x="0"/>
        <item x="8"/>
        <item m="1" x="14"/>
        <item m="1" x="13"/>
        <item x="1"/>
        <item x="2"/>
        <item x="3"/>
        <item m="1" x="12"/>
        <item m="1" x="10"/>
        <item m="1" x="11"/>
        <item x="4"/>
        <item m="1" x="9"/>
        <item x="7"/>
        <item x="5"/>
        <item x="6"/>
        <item t="default"/>
      </items>
    </pivotField>
    <pivotField showAll="0"/>
    <pivotField dataField="1" showAll="0"/>
    <pivotField showAll="0"/>
  </pivotFields>
  <rowFields count="1">
    <field x="0"/>
  </rowFields>
  <rowItems count="7">
    <i>
      <x v="69"/>
    </i>
    <i>
      <x v="75"/>
    </i>
    <i>
      <x v="76"/>
    </i>
    <i>
      <x v="77"/>
    </i>
    <i>
      <x v="78"/>
    </i>
    <i>
      <x v="7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28" firstHeaderRow="0" firstDataRow="1" firstDataCol="1" rowPageCount="1" colPageCount="1"/>
  <pivotFields count="14">
    <pivotField showAll="0"/>
    <pivotField axis="axisPage" multipleItemSelectionAllowed="1" showAll="0">
      <items count="41">
        <item m="1" x="37"/>
        <item x="2"/>
        <item x="0"/>
        <item x="1"/>
        <item m="1" x="39"/>
        <item m="1" x="35"/>
        <item x="6"/>
        <item m="1" x="38"/>
        <item x="3"/>
        <item x="4"/>
        <item m="1" x="36"/>
        <item m="1" x="34"/>
        <item x="32"/>
        <item x="5"/>
        <item x="10"/>
        <item x="8"/>
        <item x="9"/>
        <item x="7"/>
        <item x="11"/>
        <item m="1" x="33"/>
        <item x="13"/>
        <item x="14"/>
        <item x="15"/>
        <item x="16"/>
        <item x="17"/>
        <item x="18"/>
        <item x="19"/>
        <item x="20"/>
        <item x="21"/>
        <item x="22"/>
        <item x="23"/>
        <item x="24"/>
        <item x="25"/>
        <item x="12"/>
        <item x="27"/>
        <item x="26"/>
        <item x="28"/>
        <item x="29"/>
        <item x="30"/>
        <item x="31"/>
        <item t="default"/>
      </items>
    </pivotField>
    <pivotField showAll="0"/>
    <pivotField showAll="0"/>
    <pivotField axis="axisRow" showAll="0">
      <items count="456">
        <item m="1" x="438"/>
        <item m="1" x="439"/>
        <item m="1" x="437"/>
        <item m="1" x="436"/>
        <item m="1" x="440"/>
        <item m="1" x="442"/>
        <item m="1" x="441"/>
        <item m="1" x="443"/>
        <item m="1" x="444"/>
        <item m="1" x="445"/>
        <item m="1" x="446"/>
        <item m="1" x="447"/>
        <item m="1" x="448"/>
        <item m="1" x="449"/>
        <item m="1" x="374"/>
        <item m="1" x="396"/>
        <item m="1" x="450"/>
        <item m="1" x="451"/>
        <item m="1" x="452"/>
        <item m="1" x="404"/>
        <item m="1" x="403"/>
        <item m="1" x="453"/>
        <item m="1" x="454"/>
        <item m="1" x="413"/>
        <item m="1" x="405"/>
        <item m="1" x="406"/>
        <item m="1" x="407"/>
        <item m="1" x="408"/>
        <item m="1" x="409"/>
        <item m="1" x="410"/>
        <item m="1" x="411"/>
        <item m="1" x="412"/>
        <item m="1" x="414"/>
        <item m="1" x="434"/>
        <item m="1" x="415"/>
        <item m="1" x="435"/>
        <item m="1" x="416"/>
        <item m="1" x="417"/>
        <item m="1" x="418"/>
        <item m="1" x="419"/>
        <item m="1" x="420"/>
        <item m="1" x="351"/>
        <item m="1" x="421"/>
        <item m="1" x="422"/>
        <item m="1" x="423"/>
        <item m="1" x="424"/>
        <item m="1" x="425"/>
        <item m="1" x="426"/>
        <item m="1" x="427"/>
        <item m="1" x="428"/>
        <item m="1" x="429"/>
        <item m="1" x="430"/>
        <item m="1" x="431"/>
        <item m="1" x="432"/>
        <item m="1" x="433"/>
        <item x="0"/>
        <item m="1" x="350"/>
        <item m="1" x="352"/>
        <item m="1" x="353"/>
        <item m="1" x="354"/>
        <item m="1" x="355"/>
        <item m="1" x="356"/>
        <item m="1" x="357"/>
        <item m="1" x="358"/>
        <item m="1" x="359"/>
        <item m="1" x="360"/>
        <item m="1" x="361"/>
        <item m="1" x="362"/>
        <item m="1" x="363"/>
        <item m="1" x="364"/>
        <item m="1" x="88"/>
        <item m="1" x="365"/>
        <item m="1" x="366"/>
        <item m="1" x="367"/>
        <item m="1" x="368"/>
        <item m="1" x="369"/>
        <item m="1" x="370"/>
        <item m="1" x="371"/>
        <item m="1" x="372"/>
        <item m="1" x="373"/>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7"/>
        <item m="1" x="398"/>
        <item m="1" x="399"/>
        <item m="1" x="400"/>
        <item m="1" x="401"/>
        <item m="1" x="402"/>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105"/>
        <item m="1" x="319"/>
        <item m="1" x="320"/>
        <item m="1" x="321"/>
        <item m="1" x="322"/>
        <item m="1" x="323"/>
        <item m="1" x="324"/>
        <item m="1" x="325"/>
        <item m="1" x="326"/>
        <item m="1" x="327"/>
        <item m="1" x="328"/>
        <item m="1" x="329"/>
        <item m="1" x="349"/>
        <item m="1" x="330"/>
        <item m="1" x="331"/>
        <item m="1" x="332"/>
        <item m="1" x="333"/>
        <item m="1" x="334"/>
        <item m="1" x="335"/>
        <item m="1" x="336"/>
        <item m="1" x="337"/>
        <item m="1" x="338"/>
        <item m="1" x="339"/>
        <item m="1" x="340"/>
        <item m="1" x="341"/>
        <item m="1" x="342"/>
        <item m="1" x="343"/>
        <item m="1" x="344"/>
        <item m="1" x="345"/>
        <item m="1" x="346"/>
        <item m="1" x="347"/>
        <item m="1" x="348"/>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145"/>
        <item m="1" x="268"/>
        <item m="1" x="136"/>
        <item m="1" x="137"/>
        <item m="1" x="138"/>
        <item m="1" x="139"/>
        <item m="1" x="140"/>
        <item m="1" x="141"/>
        <item m="1" x="142"/>
        <item m="1" x="143"/>
        <item m="1" x="144"/>
        <item m="1" x="146"/>
        <item m="1" x="147"/>
        <item m="1" x="148"/>
        <item m="1" x="149"/>
        <item m="1" x="150"/>
        <item m="1" x="151"/>
        <item m="1" x="152"/>
        <item m="1" x="153"/>
        <item m="1" x="154"/>
        <item m="1" x="155"/>
        <item m="1" x="156"/>
        <item m="1" x="157"/>
        <item m="1" x="158"/>
        <item m="1" x="159"/>
        <item m="1" x="85"/>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89"/>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86"/>
        <item m="1" x="211"/>
        <item m="1" x="212"/>
        <item m="1" x="83"/>
        <item m="1" x="92"/>
        <item m="1" x="84"/>
        <item m="1" x="87"/>
        <item m="1" x="90"/>
        <item m="1" x="91"/>
        <item m="1" x="93"/>
        <item m="1" x="94"/>
        <item m="1" x="95"/>
        <item m="1" x="96"/>
        <item m="1" x="97"/>
        <item m="1" x="98"/>
        <item m="1" x="99"/>
        <item m="1" x="100"/>
        <item m="1" x="101"/>
        <item m="1" x="102"/>
        <item m="1" x="103"/>
        <item m="1" x="104"/>
        <item m="1" x="106"/>
        <item m="1" x="107"/>
        <item m="1" x="108"/>
        <item m="1" x="63"/>
        <item m="1" x="39"/>
        <item m="1" x="109"/>
        <item m="1" x="110"/>
        <item m="1" x="111"/>
        <item m="1" x="31"/>
        <item m="1" x="112"/>
        <item m="1" x="113"/>
        <item m="1" x="114"/>
        <item m="1" x="115"/>
        <item m="1" x="79"/>
        <item m="1" x="116"/>
        <item m="1" x="117"/>
        <item m="1" x="118"/>
        <item m="1" x="119"/>
        <item m="1" x="120"/>
        <item m="1" x="121"/>
        <item m="1" x="122"/>
        <item m="1" x="123"/>
        <item m="1" x="124"/>
        <item m="1" x="125"/>
        <item m="1" x="126"/>
        <item m="1" x="127"/>
        <item m="1" x="135"/>
        <item m="1" x="128"/>
        <item m="1" x="129"/>
        <item m="1" x="28"/>
        <item m="1" x="29"/>
        <item m="1" x="130"/>
        <item m="1" x="40"/>
        <item m="1" x="131"/>
        <item m="1" x="132"/>
        <item m="1" x="133"/>
        <item m="1" x="134"/>
        <item m="1" x="27"/>
        <item m="1" x="25"/>
        <item m="1" x="24"/>
        <item m="1" x="26"/>
        <item m="1" x="30"/>
        <item x="13"/>
        <item x="9"/>
        <item m="1" x="32"/>
        <item m="1" x="33"/>
        <item m="1" x="34"/>
        <item m="1" x="35"/>
        <item m="1" x="36"/>
        <item m="1" x="37"/>
        <item m="1" x="38"/>
        <item m="1" x="41"/>
        <item m="1" x="42"/>
        <item m="1" x="43"/>
        <item m="1" x="44"/>
        <item m="1" x="45"/>
        <item m="1" x="46"/>
        <item m="1" x="47"/>
        <item m="1" x="48"/>
        <item m="1" x="49"/>
        <item m="1" x="50"/>
        <item m="1" x="51"/>
        <item m="1" x="52"/>
        <item m="1" x="53"/>
        <item m="1" x="54"/>
        <item x="2"/>
        <item m="1" x="55"/>
        <item m="1" x="56"/>
        <item m="1" x="57"/>
        <item x="10"/>
        <item m="1" x="58"/>
        <item m="1" x="59"/>
        <item m="1" x="60"/>
        <item m="1" x="61"/>
        <item m="1" x="62"/>
        <item m="1" x="64"/>
        <item m="1" x="65"/>
        <item m="1" x="66"/>
        <item m="1" x="67"/>
        <item x="8"/>
        <item m="1" x="68"/>
        <item m="1" x="69"/>
        <item m="1" x="70"/>
        <item m="1" x="71"/>
        <item m="1" x="72"/>
        <item m="1" x="73"/>
        <item x="15"/>
        <item m="1" x="74"/>
        <item m="1" x="75"/>
        <item m="1" x="76"/>
        <item x="7"/>
        <item m="1" x="77"/>
        <item m="1" x="78"/>
        <item x="19"/>
        <item m="1" x="80"/>
        <item m="1" x="81"/>
        <item m="1" x="82"/>
        <item x="1"/>
        <item x="3"/>
        <item x="4"/>
        <item x="5"/>
        <item x="6"/>
        <item x="11"/>
        <item x="12"/>
        <item x="14"/>
        <item x="16"/>
        <item x="17"/>
        <item x="18"/>
        <item x="20"/>
        <item x="21"/>
        <item x="22"/>
        <item x="2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25">
    <i>
      <x v="55"/>
    </i>
    <i>
      <x v="385"/>
    </i>
    <i>
      <x v="386"/>
    </i>
    <i>
      <x v="408"/>
    </i>
    <i>
      <x v="412"/>
    </i>
    <i>
      <x v="422"/>
    </i>
    <i>
      <x v="429"/>
    </i>
    <i>
      <x v="433"/>
    </i>
    <i>
      <x v="436"/>
    </i>
    <i>
      <x v="440"/>
    </i>
    <i>
      <x v="441"/>
    </i>
    <i>
      <x v="442"/>
    </i>
    <i>
      <x v="443"/>
    </i>
    <i>
      <x v="444"/>
    </i>
    <i>
      <x v="445"/>
    </i>
    <i>
      <x v="446"/>
    </i>
    <i>
      <x v="447"/>
    </i>
    <i>
      <x v="448"/>
    </i>
    <i>
      <x v="449"/>
    </i>
    <i>
      <x v="450"/>
    </i>
    <i>
      <x v="451"/>
    </i>
    <i>
      <x v="452"/>
    </i>
    <i>
      <x v="453"/>
    </i>
    <i>
      <x v="45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5">
      <pivotArea type="all" dataOnly="0" outline="0" fieldPosition="0"/>
    </format>
    <format dxfId="54">
      <pivotArea outline="0" collapsedLevelsAreSubtotals="1" fieldPosition="0"/>
    </format>
    <format dxfId="53">
      <pivotArea field="4" type="button" dataOnly="0" labelOnly="1" outline="0" axis="axisRow" fieldPosition="0"/>
    </format>
    <format dxfId="52">
      <pivotArea dataOnly="0" labelOnly="1" fieldPosition="0">
        <references count="1">
          <reference field="4" count="0"/>
        </references>
      </pivotArea>
    </format>
    <format dxfId="51">
      <pivotArea dataOnly="0" labelOnly="1" grandRow="1" outline="0" fieldPosition="0"/>
    </format>
    <format dxfId="50">
      <pivotArea dataOnly="0" labelOnly="1" outline="0" fieldPosition="0">
        <references count="1">
          <reference field="4294967294" count="2">
            <x v="0"/>
            <x v="1"/>
          </reference>
        </references>
      </pivotArea>
    </format>
    <format dxfId="49">
      <pivotArea grandRow="1" outline="0" collapsedLevelsAreSubtotals="1" fieldPosition="0"/>
    </format>
    <format dxfId="48">
      <pivotArea field="4" type="button" dataOnly="0" labelOnly="1" outline="0" axis="axisRow" fieldPosition="0"/>
    </format>
    <format dxfId="4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55">
        <i x="5" s="1"/>
        <i x="23" s="1"/>
        <i x="13" s="1"/>
        <i x="9" s="1"/>
        <i x="10" s="1"/>
        <i x="3" s="1"/>
        <i x="6" s="1"/>
        <i x="4" s="1"/>
        <i x="8" s="1"/>
        <i x="2" s="1"/>
        <i x="12" s="1"/>
        <i x="17" s="1"/>
        <i x="7" s="1"/>
        <i x="22" s="1"/>
        <i x="15" s="1"/>
        <i x="11" s="1"/>
        <i x="19" s="1"/>
        <i x="1" s="1"/>
        <i x="16" s="1"/>
        <i x="14" s="1"/>
        <i x="18" s="1"/>
        <i x="21" s="1"/>
        <i x="20" s="1"/>
        <i x="409" s="1" nd="1"/>
        <i x="438" s="1" nd="1"/>
        <i x="439" s="1" nd="1"/>
        <i x="447" s="1" nd="1"/>
        <i x="437" s="1" nd="1"/>
        <i x="436" s="1" nd="1"/>
        <i x="440" s="1" nd="1"/>
        <i x="451" s="1" nd="1"/>
        <i x="443" s="1" nd="1"/>
        <i x="444" s="1" nd="1"/>
        <i x="441" s="1" nd="1"/>
        <i x="442" s="1" nd="1"/>
        <i x="452" s="1" nd="1"/>
        <i x="445" s="1" nd="1"/>
        <i x="446" s="1" nd="1"/>
        <i x="449" s="1" nd="1"/>
        <i x="450" s="1" nd="1"/>
        <i x="448" s="1" nd="1"/>
        <i x="404" s="1" nd="1"/>
        <i x="454" s="1" nd="1"/>
        <i x="403" s="1" nd="1"/>
        <i x="453" s="1" nd="1"/>
        <i x="406" s="1" nd="1"/>
        <i x="367" s="1" nd="1"/>
        <i x="405" s="1" nd="1"/>
        <i x="407" s="1" nd="1"/>
        <i x="413" s="1" nd="1"/>
        <i x="408" s="1" nd="1"/>
        <i x="410" s="1" nd="1"/>
        <i x="426" s="1" nd="1"/>
        <i x="350" s="1" nd="1"/>
        <i x="414" s="1" nd="1"/>
        <i x="355" s="1" nd="1"/>
        <i x="420" s="1" nd="1"/>
        <i x="415" s="1" nd="1"/>
        <i x="418" s="1" nd="1"/>
        <i x="423" s="1" nd="1"/>
        <i x="434" s="1" nd="1"/>
        <i x="416" s="1" nd="1"/>
        <i x="428" s="1" nd="1"/>
        <i x="431" s="1" nd="1"/>
        <i x="422" s="1" nd="1"/>
        <i x="411" s="1" nd="1"/>
        <i x="419" s="1" nd="1"/>
        <i x="412" s="1" nd="1"/>
        <i x="417" s="1" nd="1"/>
        <i x="351" s="1" nd="1"/>
        <i x="421" s="1" nd="1"/>
        <i x="427" s="1" nd="1"/>
        <i x="88" s="1" nd="1"/>
        <i x="424" s="1" nd="1"/>
        <i x="429" s="1" nd="1"/>
        <i x="425" s="1" nd="1"/>
        <i x="391" s="1" nd="1"/>
        <i x="430" s="1" nd="1"/>
        <i x="432" s="1" nd="1"/>
        <i x="353" s="1" nd="1"/>
        <i x="360" s="1" nd="1"/>
        <i x="433" s="1" nd="1"/>
        <i x="357" s="1" nd="1"/>
        <i x="358" s="1" nd="1"/>
        <i x="352" s="1" nd="1"/>
        <i x="356" s="1" nd="1"/>
        <i x="244" s="1" nd="1"/>
        <i x="354" s="1" nd="1"/>
        <i x="363" s="1" nd="1"/>
        <i x="359" s="1" nd="1"/>
        <i x="361" s="1" nd="1"/>
        <i x="364" s="1" nd="1"/>
        <i x="371" s="1" nd="1"/>
        <i x="362" s="1" nd="1"/>
        <i x="370" s="1" nd="1"/>
        <i x="375" s="1" nd="1"/>
        <i x="369" s="1" nd="1"/>
        <i x="372" s="1" nd="1"/>
        <i x="382" s="1" nd="1"/>
        <i x="368" s="1" nd="1"/>
        <i x="365" s="1" nd="1"/>
        <i x="366" s="1" nd="1"/>
        <i x="381" s="1" nd="1"/>
        <i x="240" s="1" nd="1"/>
        <i x="374" s="1" nd="1"/>
        <i x="385" s="1" nd="1"/>
        <i x="380" s="1" nd="1"/>
        <i x="373" s="1" nd="1"/>
        <i x="397" s="1" nd="1"/>
        <i x="378" s="1" nd="1"/>
        <i x="388" s="1" nd="1"/>
        <i x="386" s="1" nd="1"/>
        <i x="376" s="1" nd="1"/>
        <i x="384" s="1" nd="1"/>
        <i x="383" s="1" nd="1"/>
        <i x="379" s="1" nd="1"/>
        <i x="389" s="1" nd="1"/>
        <i x="387" s="1" nd="1"/>
        <i x="390" s="1" nd="1"/>
        <i x="377" s="1" nd="1"/>
        <i x="319" s="1" nd="1"/>
        <i x="392" s="1" nd="1"/>
        <i x="393" s="1" nd="1"/>
        <i x="278" s="1" nd="1"/>
        <i x="280" s="1" nd="1"/>
        <i x="400" s="1" nd="1"/>
        <i x="274" s="1" nd="1"/>
        <i x="320" s="1" nd="1"/>
        <i x="394" s="1" nd="1"/>
        <i x="395" s="1" nd="1"/>
        <i x="277" s="1" nd="1"/>
        <i x="402" s="1" nd="1"/>
        <i x="276" s="1" nd="1"/>
        <i x="291" s="1" nd="1"/>
        <i x="401" s="1" nd="1"/>
        <i x="396" s="1" nd="1"/>
        <i x="295" s="1" nd="1"/>
        <i x="399" s="1" nd="1"/>
        <i x="398" s="1" nd="1"/>
        <i x="316" s="1" nd="1"/>
        <i x="269" s="1" nd="1"/>
        <i x="281" s="1" nd="1"/>
        <i x="317" s="1" nd="1"/>
        <i x="315" s="1" nd="1"/>
        <i x="273" s="1" nd="1"/>
        <i x="275" s="1" nd="1"/>
        <i x="108" s="1" nd="1"/>
        <i x="279" s="1" nd="1"/>
        <i x="270" s="1" nd="1"/>
        <i x="305" s="1" nd="1"/>
        <i x="310" s="1" nd="1"/>
        <i x="271" s="1" nd="1"/>
        <i x="272" s="1" nd="1"/>
        <i x="282" s="1" nd="1"/>
        <i x="285" s="1" nd="1"/>
        <i x="292" s="1" nd="1"/>
        <i x="284" s="1" nd="1"/>
        <i x="287" s="1" nd="1"/>
        <i x="286" s="1" nd="1"/>
        <i x="328" s="1" nd="1"/>
        <i x="283" s="1" nd="1"/>
        <i x="308" s="1" nd="1"/>
        <i x="323" s="1" nd="1"/>
        <i x="288" s="1" nd="1"/>
        <i x="313" s="1" nd="1"/>
        <i x="325" s="1" nd="1"/>
        <i x="297" s="1" nd="1"/>
        <i x="337" s="1" nd="1"/>
        <i x="296" s="1" nd="1"/>
        <i x="293" s="1" nd="1"/>
        <i x="289" s="1" nd="1"/>
        <i x="290" s="1" nd="1"/>
        <i x="309" s="1" nd="1"/>
        <i x="298" s="1" nd="1"/>
        <i x="221" s="1" nd="1"/>
        <i x="299" s="1" nd="1"/>
        <i x="294" s="1" nd="1"/>
        <i x="301" s="1" nd="1"/>
        <i x="302" s="1" nd="1"/>
        <i x="330" s="1" nd="1"/>
        <i x="300" s="1" nd="1"/>
        <i x="318" s="1" nd="1"/>
        <i x="306" s="1" nd="1"/>
        <i x="303" s="1" nd="1"/>
        <i x="307" s="1" nd="1"/>
        <i x="304" s="1" nd="1"/>
        <i x="311" s="1" nd="1"/>
        <i x="103" s="1" nd="1"/>
        <i x="329" s="1" nd="1"/>
        <i x="324" s="1" nd="1"/>
        <i x="343" s="1" nd="1"/>
        <i x="312" s="1" nd="1"/>
        <i x="214" s="1" nd="1"/>
        <i x="322" s="1" nd="1"/>
        <i x="314" s="1" nd="1"/>
        <i x="338" s="1" nd="1"/>
        <i x="321" s="1" nd="1"/>
        <i x="336" s="1" nd="1"/>
        <i x="222" s="1" nd="1"/>
        <i x="327" s="1" nd="1"/>
        <i x="326" s="1" nd="1"/>
        <i x="342" s="1" nd="1"/>
        <i x="339" s="1" nd="1"/>
        <i x="233" s="1" nd="1"/>
        <i x="347" s="1" nd="1"/>
        <i x="331" s="1" nd="1"/>
        <i x="340" s="1" nd="1"/>
        <i x="345" s="1" nd="1"/>
        <i x="224" s="1" nd="1"/>
        <i x="250" s="1" nd="1"/>
        <i x="349" s="1" nd="1"/>
        <i x="346" s="1" nd="1"/>
        <i x="215" s="1" nd="1"/>
        <i x="235" s="1" nd="1"/>
        <i x="341" s="1" nd="1"/>
        <i x="217" s="1" nd="1"/>
        <i x="332" s="1" nd="1"/>
        <i x="335" s="1" nd="1"/>
        <i x="232" s="1" nd="1"/>
        <i x="344" s="1" nd="1"/>
        <i x="333" s="1" nd="1"/>
        <i x="334" s="1" nd="1"/>
        <i x="219" s="1" nd="1"/>
        <i x="237" s="1" nd="1"/>
        <i x="238" s="1" nd="1"/>
        <i x="251" s="1" nd="1"/>
        <i x="348" s="1" nd="1"/>
        <i x="213" s="1" nd="1"/>
        <i x="236" s="1" nd="1"/>
        <i x="229" s="1" nd="1"/>
        <i x="216" s="1" nd="1"/>
        <i x="220" s="1" nd="1"/>
        <i x="226" s="1" nd="1"/>
        <i x="218" s="1" nd="1"/>
        <i x="242" s="1" nd="1"/>
        <i x="246" s="1" nd="1"/>
        <i x="247" s="1" nd="1"/>
        <i x="239" s="1" nd="1"/>
        <i x="223" s="1" nd="1"/>
        <i x="87" s="1" nd="1"/>
        <i x="225" s="1" nd="1"/>
        <i x="227" s="1" nd="1"/>
        <i x="230" s="1" nd="1"/>
        <i x="243" s="1" nd="1"/>
        <i x="228" s="1" nd="1"/>
        <i x="249" s="1" nd="1"/>
        <i x="181" s="1" nd="1"/>
        <i x="160" s="1" nd="1"/>
        <i x="264" s="1" nd="1"/>
        <i x="231" s="1" nd="1"/>
        <i x="252" s="1" nd="1"/>
        <i x="248" s="1" nd="1"/>
        <i x="234" s="1" nd="1"/>
        <i x="256" s="1" nd="1"/>
        <i x="192" s="1" nd="1"/>
        <i x="155" s="1" nd="1"/>
        <i x="241" s="1" nd="1"/>
        <i x="265" s="1" nd="1"/>
        <i x="245" s="1" nd="1"/>
        <i x="268" s="1" nd="1"/>
        <i x="255" s="1" nd="1"/>
        <i x="260" s="1" nd="1"/>
        <i x="137" s="1" nd="1"/>
        <i x="257" s="1" nd="1"/>
        <i x="259" s="1" nd="1"/>
        <i x="177" s="1" nd="1"/>
        <i x="145" s="1" nd="1"/>
        <i x="254" s="1" nd="1"/>
        <i x="142" s="1" nd="1"/>
        <i x="253" s="1" nd="1"/>
        <i x="154" s="1" nd="1"/>
        <i x="138" s="1" nd="1"/>
        <i x="136" s="1" nd="1"/>
        <i x="258" s="1" nd="1"/>
        <i x="152" s="1" nd="1"/>
        <i x="146" s="1" nd="1"/>
        <i x="157" s="1" nd="1"/>
        <i x="174" s="1" nd="1"/>
        <i x="151" s="1" nd="1"/>
        <i x="162" s="1" nd="1"/>
        <i x="156" s="1" nd="1"/>
        <i x="153" s="1" nd="1"/>
        <i x="266" s="1" nd="1"/>
        <i x="210" s="1" nd="1"/>
        <i x="164" s="1" nd="1"/>
        <i x="165" s="1" nd="1"/>
        <i x="262" s="1" nd="1"/>
        <i x="261" s="1" nd="1"/>
        <i x="139" s="1" nd="1"/>
        <i x="141" s="1" nd="1"/>
        <i x="172" s="1" nd="1"/>
        <i x="148" s="1" nd="1"/>
        <i x="267" s="1" nd="1"/>
        <i x="206" s="1" nd="1"/>
        <i x="197" s="1" nd="1"/>
        <i x="185" s="1" nd="1"/>
        <i x="159" s="1" nd="1"/>
        <i x="144" s="1" nd="1"/>
        <i x="175" s="1" nd="1"/>
        <i x="194" s="1" nd="1"/>
        <i x="186" s="1" nd="1"/>
        <i x="182" s="1" nd="1"/>
        <i x="150" s="1" nd="1"/>
        <i x="170" s="1" nd="1"/>
        <i x="169" s="1" nd="1"/>
        <i x="184" s="1" nd="1"/>
        <i x="171" s="1" nd="1"/>
        <i x="263" s="1" nd="1"/>
        <i x="147" s="1" nd="1"/>
        <i x="143" s="1" nd="1"/>
        <i x="173" s="1" nd="1"/>
        <i x="140" s="1" nd="1"/>
        <i x="178" s="1" nd="1"/>
        <i x="179" s="1" nd="1"/>
        <i x="183" s="1" nd="1"/>
        <i x="86" s="1" nd="1"/>
        <i x="163" s="1" nd="1"/>
        <i x="158" s="1" nd="1"/>
        <i x="191" s="1" nd="1"/>
        <i x="190" s="1" nd="1"/>
        <i x="195" s="1" nd="1"/>
        <i x="149" s="1" nd="1"/>
        <i x="193" s="1" nd="1"/>
        <i x="180" s="1" nd="1"/>
        <i x="85" s="1" nd="1"/>
        <i x="161" s="1" nd="1"/>
        <i x="166" s="1" nd="1"/>
        <i x="167" s="1" nd="1"/>
        <i x="176" s="1" nd="1"/>
        <i x="168" s="1" nd="1"/>
        <i x="187" s="1" nd="1"/>
        <i x="104" s="1" nd="1"/>
        <i x="198" s="1" nd="1"/>
        <i x="188" s="1" nd="1"/>
        <i x="204" s="1" nd="1"/>
        <i x="201" s="1" nd="1"/>
        <i x="199" s="1" nd="1"/>
        <i x="98" s="1" nd="1"/>
        <i x="97" s="1" nd="1"/>
        <i x="211" s="1" nd="1"/>
        <i x="84" s="1" nd="1"/>
        <i x="96" s="1" nd="1"/>
        <i x="205" s="1" nd="1"/>
        <i x="212" s="1" nd="1"/>
        <i x="89" s="1" nd="1"/>
        <i x="207" s="1" nd="1"/>
        <i x="208" s="1" nd="1"/>
        <i x="189" s="1" nd="1"/>
        <i x="202" s="1" nd="1"/>
        <i x="209" s="1" nd="1"/>
        <i x="200" s="1" nd="1"/>
        <i x="120" s="1" nd="1"/>
        <i x="203" s="1" nd="1"/>
        <i x="83" s="1" nd="1"/>
        <i x="92" s="1" nd="1"/>
        <i x="91" s="1" nd="1"/>
        <i x="196" s="1" nd="1"/>
        <i x="79" s="1" nd="1"/>
        <i x="72" s="1" nd="1"/>
        <i x="43" s="1" nd="1"/>
        <i x="78" s="1" nd="1"/>
        <i x="95" s="1" nd="1"/>
        <i x="93" s="1" nd="1"/>
        <i x="100" s="1" nd="1"/>
        <i x="101" s="1" nd="1"/>
        <i x="99" s="1" nd="1"/>
        <i x="94" s="1" nd="1"/>
        <i x="90" s="1" nd="1"/>
        <i x="39" s="1" nd="1"/>
        <i x="63" s="1" nd="1"/>
        <i x="117" s="1" nd="1"/>
        <i x="107" s="1" nd="1"/>
        <i x="102" s="1" nd="1"/>
        <i x="121" s="1" nd="1"/>
        <i x="106" s="1" nd="1"/>
        <i x="116" s="1" nd="1"/>
        <i x="118" s="1" nd="1"/>
        <i x="105" s="1" nd="1"/>
        <i x="109" s="1" nd="1"/>
        <i x="119" s="1" nd="1"/>
        <i x="112" s="1" nd="1"/>
        <i x="110" s="1" nd="1"/>
        <i x="111" s="1" nd="1"/>
        <i x="31" s="1" nd="1"/>
        <i x="115" s="1" nd="1"/>
        <i x="113" s="1" nd="1"/>
        <i x="114" s="1" nd="1"/>
        <i x="123" s="1" nd="1"/>
        <i x="122" s="1" nd="1"/>
        <i x="40" s="1" nd="1"/>
        <i x="132" s="1" nd="1"/>
        <i x="131" s="1" nd="1"/>
        <i x="41" s="1" nd="1"/>
        <i x="130" s="1" nd="1"/>
        <i x="135" s="1" nd="1"/>
        <i x="128" s="1" nd="1"/>
        <i x="134" s="1" nd="1"/>
        <i x="32" s="1" nd="1"/>
        <i x="37" s="1" nd="1"/>
        <i x="124" s="1" nd="1"/>
        <i x="25" s="1" nd="1"/>
        <i x="24" s="1" nd="1"/>
        <i x="26" s="1" nd="1"/>
        <i x="29" s="1" nd="1"/>
        <i x="125" s="1" nd="1"/>
        <i x="126" s="1" nd="1"/>
        <i x="127" s="1" nd="1"/>
        <i x="129" s="1" nd="1"/>
        <i x="133" s="1" nd="1"/>
        <i x="36" s="1" nd="1"/>
        <i x="35" s="1" nd="1"/>
        <i x="33" s="1" nd="1"/>
        <i x="50" s="1" nd="1"/>
        <i x="28" s="1" nd="1"/>
        <i x="27" s="1" nd="1"/>
        <i x="30" s="1" nd="1"/>
        <i x="49" s="1" nd="1"/>
        <i x="44" s="1" nd="1"/>
        <i x="45" s="1" nd="1"/>
        <i x="75" s="1" nd="1"/>
        <i x="34" s="1" nd="1"/>
        <i x="57" s="1" nd="1"/>
        <i x="80" s="1" nd="1"/>
        <i x="46" s="1" nd="1"/>
        <i x="48" s="1" nd="1"/>
        <i x="38" s="1" nd="1"/>
        <i x="54" s="1" nd="1"/>
        <i x="58" s="1" nd="1"/>
        <i x="52" s="1" nd="1"/>
        <i x="51" s="1" nd="1"/>
        <i x="47" s="1" nd="1"/>
        <i x="42" s="1" nd="1"/>
        <i x="65" s="1" nd="1"/>
        <i x="66" s="1" nd="1"/>
        <i x="64" s="1" nd="1"/>
        <i x="53" s="1" nd="1"/>
        <i x="76" s="1" nd="1"/>
        <i x="56" s="1" nd="1"/>
        <i x="55" s="1" nd="1"/>
        <i x="62" s="1" nd="1"/>
        <i x="67" s="1" nd="1"/>
        <i x="71" s="1" nd="1"/>
        <i x="82" s="1" nd="1"/>
        <i x="81" s="1" nd="1"/>
        <i x="61" s="1" nd="1"/>
        <i x="60" s="1" nd="1"/>
        <i x="74" s="1" nd="1"/>
        <i x="70" s="1" nd="1"/>
        <i x="59" s="1" nd="1"/>
        <i x="69" s="1" nd="1"/>
        <i x="68" s="1" nd="1"/>
        <i x="73" s="1" nd="1"/>
        <i x="77" s="1" nd="1"/>
        <i x="435"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4"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6">
      <calculatedColumnFormula>B49</calculatedColumnFormula>
    </tableColumn>
    <tableColumn id="2" xr3:uid="{7EDCC2ED-0339-42B3-9633-FFEA7A3DD9F3}" name="Tiyaar" dataDxfId="135">
      <calculatedColumnFormula>SUMIFS(ledger!G:G, ledger!B:B, B2, ledger!E:E, "&lt;&gt;*RD*") / 1.0936</calculatedColumnFormula>
    </tableColumn>
    <tableColumn id="3" xr3:uid="{CC1535DD-3FE7-4F55-8040-E7643388A78E}" name="Rate"/>
    <tableColumn id="4" xr3:uid="{059CB70B-ADAD-4985-84AA-0D530BAC5567}" name="Total" dataDxfId="134">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33" dataDxfId="132">
  <autoFilter ref="B7:E20" xr:uid="{449E5D32-DF9C-4018-96AB-CA98E118D910}"/>
  <tableColumns count="4">
    <tableColumn id="1" xr3:uid="{F663704C-91DD-4BB9-B7EB-EEB0C5EDED6C}" name="Description" dataDxfId="131"/>
    <tableColumn id="2" xr3:uid="{6D94D495-CD0B-4FD3-9771-81D731982A97}" name="Rate" dataDxfId="130" dataCellStyle="Comma"/>
    <tableColumn id="3" xr3:uid="{2D14CEAD-3602-40E7-A488-3584EBC9141E}" name="gazana" dataDxfId="129" dataCellStyle="Comma"/>
    <tableColumn id="4" xr3:uid="{06FEE63C-6480-4079-8426-51BC26B38B34}" name="sum" dataDxfId="128"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7" totalsRowDxfId="126" dataCellStyle="Comma">
      <totalsRowFormula>SUM(Table12[Amount])</totalsRowFormula>
    </tableColumn>
    <tableColumn id="3" xr3:uid="{12F975D1-A51D-47BD-82DF-F0C35A709016}" name="Description"/>
    <tableColumn id="4" xr3:uid="{96712812-B120-49C2-B905-59FC86A743E8}" name="cost per meter" totalsRowFunction="custom" dataDxfId="125" totalsRowDxfId="124">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23" dataDxfId="122" headerRowCellStyle="Comma" dataCellStyle="Comma">
  <autoFilter ref="B2:C5" xr:uid="{136E8F7F-D03F-4198-8335-91A003EA9E45}"/>
  <tableColumns count="2">
    <tableColumn id="1" xr3:uid="{279FA697-9952-479A-AC05-0D4992B41374}" name="Column1" dataDxfId="121" dataCellStyle="Comma"/>
    <tableColumn id="2" xr3:uid="{8A64998B-65EF-41CD-BCB0-3DDB7B359C54}" name="Column2" dataDxfId="12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9"/>
    <tableColumn id="2" xr3:uid="{51D27FA2-8DDF-4369-BAF7-7D1FE90E16A0}" name="Column2" dataDxfId="11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17" totalsRowDxfId="11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02" totalsRowCount="1" headerRowDxfId="153" dataDxfId="152" headerRowCellStyle="Comma" dataCellStyle="Comma">
  <autoFilter ref="A1:K101" xr:uid="{11DACEC6-751B-4B1D-817F-5C5BCD38EF6D}"/>
  <tableColumns count="11">
    <tableColumn id="1" xr3:uid="{2FCE3FA8-A48C-4685-8919-AE44C6C71FD9}" name="Date" dataDxfId="151" dataCellStyle="Comma"/>
    <tableColumn id="2" xr3:uid="{5780FD5F-0890-44E6-B59C-8E37A559FE36}" name="Party Name" dataDxfId="150" dataCellStyle="Comma"/>
    <tableColumn id="3" xr3:uid="{5B3ECD85-9174-40AC-BFBD-49CAC97A83D3}" name="Bill Number" dataDxfId="149" dataCellStyle="Comma"/>
    <tableColumn id="4" xr3:uid="{11B50761-04B6-4262-AD4D-7182450037D1}" name="Quality" dataDxfId="148" dataCellStyle="Comma"/>
    <tableColumn id="5" xr3:uid="{2C556969-B713-4967-BD24-466AACCBE5F5}" name="Shipment Number" dataDxfId="147" totalsRowDxfId="15" dataCellStyle="Comma"/>
    <tableColumn id="6" xr3:uid="{F4E1FD2B-9017-4DEB-B772-BF447ECE56F7}" name="Kora/metre" dataDxfId="146" totalsRowDxfId="14" dataCellStyle="Comma"/>
    <tableColumn id="7" xr3:uid="{52ACC1DA-7A76-4A90-B809-3A1AE728E7EA}" name="Tiyaar/gaz" dataDxfId="145" totalsRowDxfId="13" dataCellStyle="Comma"/>
    <tableColumn id="8" xr3:uid="{31A0FF5E-56F0-44D1-9865-73256B964660}" name="shortage %" dataDxfId="144" totalsRowDxfId="12" dataCellStyle="Comma">
      <calculatedColumnFormula>_xlfn.XLOOKUP(Table1[[#This Row],[Shipment Number]], 'pivot '!A:A,'pivot '!G:G, "NF")</calculatedColumnFormula>
    </tableColumn>
    <tableColumn id="9" xr3:uid="{F99075E0-AC8E-094D-BB85-272AD2C6C568}" name="tiyar/meters" totalsRowFunction="custom" dataDxfId="143" totalsRowDxfId="11"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142" totalsRowDxfId="10"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141" totalsRowDxfId="9"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112" headerRowBorderDxfId="111" tableBorderDxfId="110">
  <autoFilter ref="A1:I122" xr:uid="{F8E8C957-ABE7-4E4F-8D4E-7D44E26B334F}"/>
  <tableColumns count="9">
    <tableColumn id="1" xr3:uid="{C2E817D6-AB98-4DDD-8890-736B27F261CD}" name="Date" dataDxfId="109" totalsRowDxfId="108"/>
    <tableColumn id="2" xr3:uid="{CFB51890-CCDC-463C-81C9-3F8BD7469CB9}" name="Party Name"/>
    <tableColumn id="3" xr3:uid="{A113D971-1C9D-4733-99C4-BD0CC4333209}" name="Vehicle Number"/>
    <tableColumn id="4" xr3:uid="{49780304-3DD1-4AE9-98EE-2BC7EB8F3B57}" name="Weight" dataDxfId="107" totalsRowDxfId="106" dataCellStyle="Comma"/>
    <tableColumn id="5" xr3:uid="{FCAF1BC6-1D8C-42AD-8BBC-F924BF2DC7FE}" name="Rate" dataDxfId="105" totalsRowDxfId="104" dataCellStyle="Comma"/>
    <tableColumn id="6" xr3:uid="{8C70A624-4134-410C-9C45-9FDEB51D51BF}" name="Rent" dataDxfId="103" totalsRowDxfId="102" dataCellStyle="Comma"/>
    <tableColumn id="7" xr3:uid="{EBCE10AE-9634-4982-9C95-37ABC8A7078C}" name="Total" totalsRowFunction="sum" dataDxfId="101" totalsRowDxfId="100" dataCellStyle="Comma">
      <calculatedColumnFormula>D2*E2</calculatedColumnFormula>
    </tableColumn>
    <tableColumn id="9" xr3:uid="{D4788559-C94A-44D9-B9AE-E72B214355AC}" name="Paid" totalsRowFunction="sum" dataDxfId="99" totalsRowDxfId="98" dataCellStyle="Comma"/>
    <tableColumn id="8" xr3:uid="{E26F5BF0-1875-4FC6-994D-49F202ED562B}" name="balance" totalsRowFunction="sum" dataDxfId="97" totalsRowDxfId="96"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31" totalsRowCount="1">
  <autoFilter ref="A1:G130" xr:uid="{CB032221-B416-47A8-9A76-693DE76CFD04}"/>
  <tableColumns count="7">
    <tableColumn id="1" xr3:uid="{554B1EED-65B6-4E9A-B646-82727FAC40DE}" name="Date" dataDxfId="38" totalsRowDxfId="3"/>
    <tableColumn id="2" xr3:uid="{32259059-42CF-4947-83DE-115AA430BE2B}" name="Party"/>
    <tableColumn id="3" xr3:uid="{A1320223-D55D-483C-91C3-AB19B95CC9D8}" name="Debit" totalsRowFunction="sum" dataDxfId="37" totalsRowDxfId="2" dataCellStyle="Comma"/>
    <tableColumn id="4" xr3:uid="{E9745767-9FF0-4B1C-9052-FF335D1D7588}" name="Credit" totalsRowFunction="sum" dataDxfId="36" totalsRowDxfId="1" dataCellStyle="Comma"/>
    <tableColumn id="5" xr3:uid="{5C88A48E-2467-4E6D-B626-2442B7FD0BE4}" name="Description"/>
    <tableColumn id="6" xr3:uid="{63CA4666-144E-4BE6-8B7C-7CB992BD3041}" name="Mode" totalsRowFunction="custom" dataDxfId="3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4" tableBorderDxfId="93" totalsRowBorderDxfId="92">
  <autoFilter ref="J3:K6" xr:uid="{DCE01694-23ED-48BF-8B92-4186B9ED10A8}"/>
  <tableColumns count="2">
    <tableColumn id="1" xr3:uid="{C8484DAF-2989-4C2F-9AEC-A6917E1C57F6}" name="Type" dataDxfId="91"/>
    <tableColumn id="2" xr3:uid="{B07B7A2A-4D4E-4654-BED6-FE2F0A7BEC34}" name="Amount" dataDxfId="9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9" headerRowBorderDxfId="88" tableBorderDxfId="87" totalsRowBorderDxfId="86">
  <autoFilter ref="M3:O6" xr:uid="{D166BDD1-ACD7-45D7-8AE9-7350373F8CEB}"/>
  <tableColumns count="3">
    <tableColumn id="1" xr3:uid="{64F0205E-DEA7-4571-BA86-E4374A5FEE28}" name="Type" totalsRowLabel="Total" dataDxfId="85" totalsRowDxfId="84"/>
    <tableColumn id="2" xr3:uid="{15FA05F9-789C-4459-9BE0-5C1EC84D3365}" name="amount" totalsRowFunction="custom" dataDxfId="83" totalsRowDxfId="82">
      <totalsRowFormula>SUM(N5:N6)</totalsRowFormula>
    </tableColumn>
    <tableColumn id="3" xr3:uid="{3681D409-90C6-44D0-BDE2-4B5943A516F0}" name="Actual" totalsRowFunction="custom" totalsRowDxfId="81">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0" totalsRowDxfId="79"/>
    <tableColumn id="2" xr3:uid="{5B9D0FEE-4304-4C5C-A05C-5B27CF7841D3}" name="Type"/>
    <tableColumn id="3" xr3:uid="{6A91CA0D-C802-4C6F-9F39-CA53687E8EDE}" name="Description"/>
    <tableColumn id="4" xr3:uid="{A251D40C-AB87-4BB4-85F8-444B20E32FDF}" name="Total" totalsRowFunction="custom" dataDxfId="78" totalsRowDxfId="77"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6" totalsRowCount="1" headerRowDxfId="76" headerRowBorderDxfId="75">
  <autoFilter ref="A1:I2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4"/>
    <tableColumn id="4" xr3:uid="{1889A312-9B41-4EC4-BD8F-05252F27084A}" name="Price" totalsRowFunction="sum"/>
    <tableColumn id="6" xr3:uid="{8B974B20-F003-4E67-8660-024FA4F324A9}" name="Party"/>
    <tableColumn id="7" xr3:uid="{0A5A5C21-FD61-47DA-9F54-66A6479FA557}" name="Paid" dataDxfId="73">
      <calculatedColumnFormula>SUMIFS(Table14[Debit], Table14[Date], Table8[[#This Row],[Date]], Table14[Party], Table8[[#This Row],[Party]])</calculatedColumnFormula>
    </tableColumn>
    <tableColumn id="8" xr3:uid="{8DCB3B43-2161-4081-82EC-CDB0F4DE4E6F}" name="Balance" totalsRowFunction="sum" dataDxfId="7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6" totalsRowCount="1" headerRowDxfId="71" headerRowBorderDxfId="70">
  <autoFilter ref="A4:H25" xr:uid="{A4C80688-A8BA-4BA7-90B4-791CD99446B4}"/>
  <sortState xmlns:xlrd2="http://schemas.microsoft.com/office/spreadsheetml/2017/richdata2" ref="A5:H6">
    <sortCondition ref="A4:A6"/>
  </sortState>
  <tableColumns count="8">
    <tableColumn id="1" xr3:uid="{4A818912-918E-4111-ACFC-BC93FEF7C1AD}" name="Date" dataDxfId="69" totalsRowDxfId="68"/>
    <tableColumn id="8" xr3:uid="{477ACFD5-62AF-4F69-974B-E9B974C11D7D}" name="Party Name" dataDxfId="6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6">
      <calculatedColumnFormula>Table2[[#This Row],[Quantity]]*200*Table2[[#This Row],[Boxes]]</calculatedColumnFormula>
    </tableColumn>
    <tableColumn id="6" xr3:uid="{30432929-CBD4-4BA8-B63F-CD0F6CF6405F}" name="Paid" totalsRowFunction="sum" dataDxfId="65">
      <calculatedColumnFormula>SUMIFS(Table14[Debit], Table14[Date], Table2[[#This Row],[Date]], Table14[Party], Table2[[#This Row],[Party Name]])</calculatedColumnFormula>
    </tableColumn>
    <tableColumn id="7" xr3:uid="{BB689DF2-5D1E-436D-84C4-9745D88E8F3D}" name="Balance" totalsRowFunction="sum" dataDxfId="64">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3" totalsRowDxfId="62"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1" totalsRowDxfId="60"/>
    <tableColumn id="2" xr3:uid="{053BFC14-4828-417C-9F9F-95B6E232A945}" name="Amount" totalsRowFunction="custom" dataDxfId="59" totalsRowDxfId="5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57" totalsRowDxfId="5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46" totalsRowDxfId="4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44" totalsRowDxfId="4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42">
      <calculatedColumnFormula>Billing!Q5</calculatedColumnFormula>
    </tableColumn>
    <tableColumn id="2" xr3:uid="{7093A59E-B58F-487D-888A-9AA8156B5F9A}" name="Amount Paid" dataDxfId="41">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40">
      <calculatedColumnFormula>G2</calculatedColumnFormula>
    </tableColumn>
    <tableColumn id="2" xr3:uid="{F72CFEEB-BA11-4A49-BD19-88592EB6A27C}" name="Credit" dataDxfId="3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L19" zoomScaleNormal="100" workbookViewId="0">
      <selection activeCell="AC44" sqref="AC4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21875" bestFit="1" customWidth="1"/>
    <col min="22" max="22" width="12" bestFit="1" customWidth="1"/>
    <col min="23" max="23" width="11.10937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233764.63057790784</v>
      </c>
      <c r="D2">
        <v>10</v>
      </c>
      <c r="E2" s="14">
        <f>(SUMIFS(ledger!G:G, ledger!B:B, B2, ledger!E:E, "&lt;&gt;*RD*",ledger!D:D, "Silky") / 1.0936)*12 + (SUMIFS(ledger!G:G, ledger!B:B, B2, ledger!E:E, "&lt;&gt;*RD*",ledger!D:D, "Chamki") / 1.0936)*10</f>
        <v>1659405.6327724946</v>
      </c>
      <c r="I2" t="s">
        <v>21</v>
      </c>
      <c r="Q2" t="s">
        <v>1</v>
      </c>
    </row>
    <row r="3" spans="2:33" x14ac:dyDescent="0.3">
      <c r="B3" t="str">
        <f t="shared" si="0"/>
        <v>Ejaz Sahab</v>
      </c>
      <c r="C3" s="18">
        <f>SUMIFS(ledger!G:G, ledger!B:B, B3, ledger!E:E, "&lt;&gt;*RD*") / 1.0936</f>
        <v>14008.778346744697</v>
      </c>
      <c r="D3">
        <v>10</v>
      </c>
      <c r="E3" s="14">
        <f>(SUMIFS(ledger!G:G, ledger!B:B, B3, ledger!E:E, "&lt;&gt;*RD*",ledger!D:D, "Silky") / 1.0936)*12 + (SUMIFS(ledger!G:G, ledger!B:B, B3, ledger!E:E, "&lt;&gt;*RD*",ledger!D:D, "Chamki") / 1.0936)*10</f>
        <v>168105.34016093635</v>
      </c>
      <c r="I3" t="s">
        <v>22</v>
      </c>
    </row>
    <row r="4" spans="2:33" x14ac:dyDescent="0.3">
      <c r="B4" t="str">
        <f t="shared" si="0"/>
        <v>Arshad</v>
      </c>
      <c r="C4" s="18">
        <f>SUMIFS(ledger!G:G, ledger!B:B, B4, ledger!E:E, "&lt;&gt;*RD*") / 1.0936</f>
        <v>42072.970007315293</v>
      </c>
      <c r="D4">
        <v>10</v>
      </c>
      <c r="E4" s="14">
        <f>(SUMIFS(ledger!G:G, ledger!B:B, B4, ledger!E:E, "&lt;&gt;*RD*",ledger!D:D, "Silky") / 1.0936)*12 + (SUMIFS(ledger!G:G, ledger!B:B, B4, ledger!E:E, "&lt;&gt;*RD*",ledger!D:D, "Chamki") / 1.0936)*10</f>
        <v>459427.5786393563</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6">_xlfn.UNIQUE(Table1[Party Name])</f>
        <v>BSC</v>
      </c>
      <c r="R5" s="22" cm="1">
        <f t="array" ref="R5">_xlfn.BYROW(B49,_xlfn.LAMBDA(_xlpm.party,SUMIFS(ledger!G:G,ledger!B:B,_xlpm.party,ledger!E:E,"&lt;&gt;*RD*")))+_xlfn.IFNA(C84,0)</f>
        <v>3908411.8824</v>
      </c>
      <c r="S5" s="22" cm="1">
        <f t="array" ref="S5">_xlfn.BYROW(B49, _xlfn.LAMBDA(_xlpm.party, SUMIFS(ledger!G:G, ledger!B:B, _xlpm.party, ledger!E:E, "&lt;&gt;*RD*") / 1.0936 ))+_xlfn.IFNA(D84,0)</f>
        <v>3573895.2838332118</v>
      </c>
      <c r="T5" s="22" cm="1">
        <f t="array" ref="T5">(_xlfn.BYROW(B49,_xlfn.LAMBDA(_xlpm.party,SUMIFS(ledger!G:G,ledger!B:B,_xlpm.party,ledger!E:E,"&lt;&gt;*RD*",ledger!D:D,"Chamki")+SUMIFS(ledger!G:G, ledger!B:B, _xlpm.party, ledger!E:E, "&lt;&gt;*RD*", ledger!D:D, "Crinkle")))/1.0936)+_xlfn.IFNA(E84,0)</f>
        <v>2932869.3145574252</v>
      </c>
      <c r="U5" s="70" cm="1">
        <f t="array" ref="U5">(_xlfn.BYROW(B49,_xlfn.LAMBDA(_xlpm.party,SUMIFS(ledger!G:G,ledger!B:B,_xlpm.party,ledger!E:E,"&lt;&gt;*RD*",ledger!D:D,"Silky")))/1.0936)+_xlfn.IFNA(F84,0)</f>
        <v>566845.28163862473</v>
      </c>
      <c r="V5" s="22" cm="1">
        <f t="array" ref="V5">(_xlfn.BYROW(B49,_xlfn.LAMBDA(_xlpm.party,
(SUMIFS(ledger!J:J,ledger!B:B,_xlpm.party,ledger!E:E,"&lt;&gt;*RD*",ledger!D:D,"Chamki",ledger!C:C,"&lt;&gt;January Closing CF")+
SUMIFS(ledger!J:J,ledger!B:B,_xlpm.party,ledger!E:E,"&lt;&gt;*RD*",ledger!D:D,"Crinkle",ledger!C:C,"&lt;&gt;January Closing CF")
)+_xlfn.IFNA(G84,0))))</f>
        <v>29328693.145574257</v>
      </c>
      <c r="W5" s="70" cm="1">
        <f t="array" ref="W5">_xlfn.BYROW(B49, _xlfn.LAMBDA(_xlpm.party,
   SUMIFS(ledger!J:J, ledger!B:B, _xlpm.party, ledger!E:E, "&lt;&gt;*RD*", ledger!D:D, "Silky", ledger!C:C, "&lt;&gt;January Closing CF")
)) + _xlfn.IFNA(H84, 0)</f>
        <v>7280632.7724945145</v>
      </c>
      <c r="X5" s="70" cm="1">
        <f t="array" ref="X5">_xlfn.BYROW(B49, _xlfn.LAMBDA(_xlpm.party,
   SUMIFS(ledger!J:J, ledger!B:B, _xlpm.party, ledger!E:E, "&lt;&gt;*RD*", ledger!D:D, "Slub", ledger!C:C, "&lt;&gt;January Closing CF")
))+ _xlfn.IFNA(I84, 0)</f>
        <v>0</v>
      </c>
      <c r="Y5" s="70" cm="1">
        <f t="array" ref="Y5">_xlfn.BYROW(B49, _xlfn.LAMBDA(_xlpm.party,
   SUMIFS(ledger!J:J, ledger!B:B, _xlpm.party, ledger!E:E, "&lt;&gt;*RD*", ledger!D:D, "Satin", ledger!C:C, "&lt;&gt;January Closing CF")
))+ _xlfn.IFNA(J84, 0)</f>
        <v>0</v>
      </c>
      <c r="Z5" s="70" cm="1">
        <f t="array" ref="Z5">_xlfn.BYROW(B49, _xlfn.LAMBDA(_xlpm.party,
   SUMIFS(ledger!J:J, ledger!B:B, _xlpm.party, ledger!E:E, "&lt;&gt;*RD*", ledger!D:D, "Black-Chamki", ledger!C:C, "&lt;&gt;January Closing CF")
))+ _xlfn.IFNA(K84, 0)</f>
        <v>0</v>
      </c>
      <c r="AA5" s="70" cm="1">
        <f t="array" ref="AA5">_xlfn.BYROW(B49, _xlfn.LAMBDA(_xlpm.party,
   SUMIFS(ledger!J:J, ledger!B:B, _xlpm.party, ledger!E:E, "&lt;&gt;*RD*", ledger!D:D, "Kataan", ledger!C:C, "&lt;&gt;January Closing CF")
))+ _xlfn.IFNA(L84, 0)</f>
        <v>815987.56400877843</v>
      </c>
      <c r="AB5" s="70" cm="1">
        <f t="array" ref="AB5">_xlfn.BYROW(B49, _xlfn.LAMBDA(_xlpm.party,
   SUMIFS(ledger!J:J, ledger!B:B, _xlpm.party, ledger!E:E, "&lt;&gt;*RD*", ledger!D:D, "Munaar", ledger!C:C, "&lt;&gt;January Closing CF")
))+ _xlfn.IFNA(M84, 0)</f>
        <v>0</v>
      </c>
      <c r="AC5" s="39">
        <f>V5+W5+X5+Y5+Z5+AA5+AB5</f>
        <v>37425313.482077554</v>
      </c>
      <c r="AD5" s="22">
        <f>(SUMIF(Table14[Party],#REF!,Table14[Credit]))+_xlfn.IFNA(O84,0)</f>
        <v>19750734</v>
      </c>
      <c r="AE5" s="33">
        <f>AC5-AD5</f>
        <v>17674579.482077554</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O6" s="24"/>
      <c r="Q6" t="str">
        <v>Ejaz Sahab</v>
      </c>
      <c r="R6" s="22" cm="1">
        <f t="array" ref="R6">_xlfn.BYROW(B50,_xlfn.LAMBDA(_xlpm.party,SUMIFS(ledger!G:G,ledger!B:B,_xlpm.party,ledger!E:E,"&lt;&gt;*RD*")))+_xlfn.IFNA(C85,0)</f>
        <v>595799</v>
      </c>
      <c r="S6" s="22" cm="1">
        <f t="array" ref="S6">_xlfn.BYROW(B50, _xlfn.LAMBDA(_xlpm.party, SUMIFS(ledger!G:G, ledger!B:B, _xlpm.party, ledger!E:E, "&lt;&gt;*RD*") / 1.0936 ))+_xlfn.IFNA(D85,0)</f>
        <v>544805.2304316021</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396659.65618141921</v>
      </c>
      <c r="V6" s="22" cm="1">
        <f t="array" ref="V6">(_xlfn.BYROW(B50,_xlfn.LAMBDA(_xlpm.party,
(SUMIFS(ledger!J:J,ledger!B:B,_xlpm.party,ledger!E:E,"&lt;&gt;*RD*",ledger!D:D,"Chamki",ledger!C:C,"&lt;&gt;January Closing CF")+
SUMIFS(ledger!J:J,ledger!B:B,_xlpm.party,ledger!E:E,"&lt;&gt;*RD*",ledger!D:D,"Crinkle",ledger!C:C,"&lt;&gt;January Closing CF")
)+_xlfn.IFNA(G85,0))))</f>
        <v>1481455.7425018288</v>
      </c>
      <c r="W6" s="70" cm="1">
        <f t="array" ref="W6">_xlfn.BYROW(B50, _xlfn.LAMBDA(_xlpm.party,
   SUMIFS(ledger!J:J, ledger!B:B, _xlpm.party, ledger!E:E, "&lt;&gt;*RD*", ledger!D:D, "Silky", ledger!C:C, "&lt;&gt;January Closing CF")
)) + _xlfn.IFNA(H85, 0)</f>
        <v>5097431.4191660583</v>
      </c>
      <c r="X6" s="70" cm="1">
        <f t="array" ref="X6">_xlfn.BYROW(B50, _xlfn.LAMBDA(_xlpm.party,
   SUMIFS(ledger!J:J, ledger!B:B, _xlpm.party, ledger!E:E, "&lt;&gt;*RD*", ledger!D:D, "Slub", ledger!C:C, "&lt;&gt;January Closing CF")
))+ _xlfn.IFNA(I85, 0)</f>
        <v>0</v>
      </c>
      <c r="Y6" s="70" cm="1">
        <f t="array" ref="Y6">_xlfn.BYROW(B50, _xlfn.LAMBDA(_xlpm.party,
   SUMIFS(ledger!J:J, ledger!B:B, _xlpm.party, ledger!E:E, "&lt;&gt;*RD*", ledger!D:D, "Satin", ledger!C:C, "&lt;&gt;January Closing CF")
))+ _xlfn.IFNA(J85, 0)</f>
        <v>0</v>
      </c>
      <c r="Z6" s="70" cm="1">
        <f t="array" ref="Z6">_xlfn.BYROW(B50, _xlfn.LAMBDA(_xlpm.party,
   SUMIFS(ledger!J:J, ledger!B:B, _xlpm.party, ledger!E:E, "&lt;&gt;*RD*", ledger!D:D, "Black-Chamki", ledger!C:C, "&lt;&gt;January Closing CF")
))+ _xlfn.IFNA(K85, 0)</f>
        <v>0</v>
      </c>
      <c r="AA6" s="70" cm="1">
        <f t="array" ref="AA6">_xlfn.BYROW(B50, _xlfn.LAMBDA(_xlpm.party,
   SUMIFS(ledger!J:J, ledger!B:B, _xlpm.party, ledger!E:E, "&lt;&gt;*RD*", ledger!D:D, "Kataan", ledger!C:C, "&lt;&gt;January Closing CF")
))+ _xlfn.IFNA(L85, 0)</f>
        <v>0</v>
      </c>
      <c r="AB6" s="70" cm="1">
        <f t="array" ref="AB6">_xlfn.BYROW(B50, _xlfn.LAMBDA(_xlpm.party,
   SUMIFS(ledger!J:J, ledger!B:B, _xlpm.party, ledger!E:E, "&lt;&gt;*RD*", ledger!D:D, "Munaar", ledger!C:C, "&lt;&gt;January Closing CF")
))+ _xlfn.IFNA(M85, 0)</f>
        <v>0</v>
      </c>
      <c r="AC6" s="39">
        <f t="shared" ref="AC6:AC35" si="1">V6+W6+X6+Y6+Z6+AA6+AB6</f>
        <v>6578887.1616678871</v>
      </c>
      <c r="AD6" s="22">
        <f>(SUMIF(Table14[Party],Q6,Table14[Credit]))+_xlfn.IFNA(O85,0)</f>
        <v>6396773</v>
      </c>
      <c r="AE6" s="33">
        <f t="shared" ref="AE6:AE36" si="2">AC6-AD6</f>
        <v>182114.16166788712</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O7" s="24"/>
      <c r="Q7" t="str">
        <v>Arshad</v>
      </c>
      <c r="R7" s="22" cm="1">
        <f t="array" ref="R7">_xlfn.BYROW(B51,_xlfn.LAMBDA(_xlpm.party,SUMIFS(ledger!G:G,ledger!B:B,_xlpm.party,ledger!E:E,"&lt;&gt;*RD*")))+_xlfn.IFNA(C86,0)</f>
        <v>940604</v>
      </c>
      <c r="S7" s="22" cm="1">
        <f t="array" ref="S7">_xlfn.BYROW(B51, _xlfn.LAMBDA(_xlpm.party, SUMIFS(ledger!G:G, ledger!B:B, _xlpm.party, ledger!E:E, "&lt;&gt;*RD*") / 1.0936 ))+_xlfn.IFNA(D86,0)</f>
        <v>860098.75640087796</v>
      </c>
      <c r="T7" s="22" cm="1">
        <f t="array" ref="T7">(_xlfn.BYROW(B51,_xlfn.LAMBDA(_xlpm.party,SUMIFS(ledger!G:G,ledger!B:B,_xlpm.party,ledger!E:E,"&lt;&gt;*RD*",ledger!D:D,"Chamki")+SUMIFS(ledger!G:G, ledger!B:B, _xlpm.party, ledger!E:E, "&lt;&gt;*RD*", ledger!D:D, "Crinkle")))/1.0936)+_xlfn.IFNA(E86,0)</f>
        <v>694572.97000731528</v>
      </c>
      <c r="U7" s="70" cm="1">
        <f t="array" ref="U7">(_xlfn.BYROW(B51,_xlfn.LAMBDA(_xlpm.party,SUMIFS(ledger!G:G,ledger!B:B,_xlpm.party,ledger!E:E,"&lt;&gt;*RD*",ledger!D:D,"Silky")))/1.0936)+_xlfn.IFNA(F86,0)</f>
        <v>165525.78639356254</v>
      </c>
      <c r="V7" s="22" cm="1">
        <f t="array" ref="V7">(_xlfn.BYROW(B51,_xlfn.LAMBDA(_xlpm.party,
(SUMIFS(ledger!J:J,ledger!B:B,_xlpm.party,ledger!E:E,"&lt;&gt;*RD*",ledger!D:D,"Chamki",ledger!C:C,"&lt;&gt;January Closing CF")+
SUMIFS(ledger!J:J,ledger!B:B,_xlpm.party,ledger!E:E,"&lt;&gt;*RD*",ledger!D:D,"Crinkle",ledger!C:C,"&lt;&gt;January Closing CF")
)+_xlfn.IFNA(G86,0))))</f>
        <v>6945729.7000731537</v>
      </c>
      <c r="W7" s="70" cm="1">
        <f t="array" ref="W7">_xlfn.BYROW(B51, _xlfn.LAMBDA(_xlpm.party,
   SUMIFS(ledger!J:J, ledger!B:B, _xlpm.party, ledger!E:E, "&lt;&gt;*RD*", ledger!D:D, "Silky", ledger!C:C, "&lt;&gt;January Closing CF")
)) + _xlfn.IFNA(H86, 0)</f>
        <v>2137040.9656181419</v>
      </c>
      <c r="X7" s="70" cm="1">
        <f t="array" ref="X7">_xlfn.BYROW(B51, _xlfn.LAMBDA(_xlpm.party,
   SUMIFS(ledger!J:J, ledger!B:B, _xlpm.party, ledger!E:E, "&lt;&gt;*RD*", ledger!D:D, "Slub", ledger!C:C, "&lt;&gt;January Closing CF")
))+ _xlfn.IFNA(I86, 0)</f>
        <v>0</v>
      </c>
      <c r="Y7" s="70" cm="1">
        <f t="array" ref="Y7">_xlfn.BYROW(B51, _xlfn.LAMBDA(_xlpm.party,
   SUMIFS(ledger!J:J, ledger!B:B, _xlpm.party, ledger!E:E, "&lt;&gt;*RD*", ledger!D:D, "Satin", ledger!C:C, "&lt;&gt;January Closing CF")
))+ _xlfn.IFNA(J86, 0)</f>
        <v>0</v>
      </c>
      <c r="Z7" s="70" cm="1">
        <f t="array" ref="Z7">_xlfn.BYROW(B51, _xlfn.LAMBDA(_xlpm.party,
   SUMIFS(ledger!J:J, ledger!B:B, _xlpm.party, ledger!E:E, "&lt;&gt;*RD*", ledger!D:D, "Black-Chamki", ledger!C:C, "&lt;&gt;January Closing CF")
))+ _xlfn.IFNA(K86, 0)</f>
        <v>0</v>
      </c>
      <c r="AA7" s="70" cm="1">
        <f t="array" ref="AA7">_xlfn.BYROW(B51, _xlfn.LAMBDA(_xlpm.party,
   SUMIFS(ledger!J:J, ledger!B:B, _xlpm.party, ledger!E:E, "&lt;&gt;*RD*", ledger!D:D, "Kataan", ledger!C:C, "&lt;&gt;January Closing CF")
))+ _xlfn.IFNA(L86, 0)</f>
        <v>0</v>
      </c>
      <c r="AB7" s="70" cm="1">
        <f t="array" ref="AB7">_xlfn.BYROW(B51, _xlfn.LAMBDA(_xlpm.party,
   SUMIFS(ledger!J:J, ledger!B:B, _xlpm.party, ledger!E:E, "&lt;&gt;*RD*", ledger!D:D, "Munaar", ledger!C:C, "&lt;&gt;January Closing CF")
))+ _xlfn.IFNA(M86, 0)</f>
        <v>0</v>
      </c>
      <c r="AC7" s="39">
        <f t="shared" si="1"/>
        <v>9082770.6656912956</v>
      </c>
      <c r="AD7" s="22">
        <f>(SUMIF(Table14[Party],Q7,Table14[Credit]))+_xlfn.IFNA(O86,0)</f>
        <v>8892501</v>
      </c>
      <c r="AE7" s="33">
        <f t="shared" si="2"/>
        <v>190269.66569129564</v>
      </c>
      <c r="AF7" s="21">
        <v>10</v>
      </c>
      <c r="AG7" s="21">
        <v>13</v>
      </c>
    </row>
    <row r="8" spans="2:33" x14ac:dyDescent="0.3">
      <c r="B8" t="str">
        <f t="shared" si="0"/>
        <v>Raaz Fabrics</v>
      </c>
      <c r="C8" s="18">
        <f>SUMIFS(ledger!G:G, ledger!B:B, B8, ledger!E:E, "&lt;&gt;*RD*") / 1.0936</f>
        <v>4818.0321872713976</v>
      </c>
      <c r="D8">
        <v>10</v>
      </c>
      <c r="E8" s="14">
        <f>(SUMIFS(ledger!G:G, ledger!B:B, B8, ledger!E:E, "&lt;&gt;*RD*",ledger!D:D, "Silky") / 1.0936)*12 + (SUMIFS(ledger!G:G, ledger!B:B, B8, ledger!E:E, "&lt;&gt;*RD*",ledger!D:D, "chamki") / 1.0936)*10 +(SUMIFS(ledger!G:G, ledger!B:B, B8, ledger!E:E, "&lt;&gt;*RD*",ledger!D:D, "Crinkle") / 1.0936)*10</f>
        <v>48180.321872713976</v>
      </c>
      <c r="I8" t="s">
        <v>26</v>
      </c>
      <c r="O8" s="24"/>
      <c r="Q8"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(SUMIFS(ledger!J:J,ledger!B:B,_xlpm.party,ledger!E:E,"&lt;&gt;*RD*",ledger!D:D,"Chamki",ledger!C:C,"&lt;&gt;January Closing CF")+
SUMIFS(ledger!J:J,ledger!B:B,_xlpm.party,ledger!E:E,"&lt;&gt;*RD*",ledger!D:D,"Crinkle",ledger!C:C,"&lt;&gt;January Closing CF")
)+_xlfn.IFNA(G87,0))))</f>
        <v>1354241.9972933433</v>
      </c>
      <c r="W8" s="70" cm="1">
        <f t="array" ref="W8">_xlfn.BYROW(B52, _xlfn.LAMBDA(_xlpm.party,
   SUMIFS(ledger!J:J, ledger!B:B, _xlpm.party, ledger!E:E, "&lt;&gt;*RD*", ledger!D:D, "Silky", ledger!C:C, "&lt;&gt;January Closing CF")
)) + _xlfn.IFNA(H87, 0)</f>
        <v>0</v>
      </c>
      <c r="X8" s="70" cm="1">
        <f t="array" ref="X8">_xlfn.BYROW(B52, _xlfn.LAMBDA(_xlpm.party,
   SUMIFS(ledger!J:J, ledger!B:B, _xlpm.party, ledger!E:E, "&lt;&gt;*RD*", ledger!D:D, "Slub", ledger!C:C, "&lt;&gt;January Closing CF")
))+ _xlfn.IFNA(I87, 0)</f>
        <v>0</v>
      </c>
      <c r="Y8" s="70" cm="1">
        <f t="array" ref="Y8">_xlfn.BYROW(B52, _xlfn.LAMBDA(_xlpm.party,
   SUMIFS(ledger!J:J, ledger!B:B, _xlpm.party, ledger!E:E, "&lt;&gt;*RD*", ledger!D:D, "Satin", ledger!C:C, "&lt;&gt;January Closing CF")
))+ _xlfn.IFNA(J87, 0)</f>
        <v>0</v>
      </c>
      <c r="Z8" s="70" cm="1">
        <f t="array" ref="Z8">_xlfn.BYROW(B52, _xlfn.LAMBDA(_xlpm.party,
   SUMIFS(ledger!J:J, ledger!B:B, _xlpm.party, ledger!E:E, "&lt;&gt;*RD*", ledger!D:D, "Black-Chamki", ledger!C:C, "&lt;&gt;January Closing CF")
))+ _xlfn.IFNA(K87, 0)</f>
        <v>0</v>
      </c>
      <c r="AA8" s="70" cm="1">
        <f t="array" ref="AA8">_xlfn.BYROW(B52, _xlfn.LAMBDA(_xlpm.party,
   SUMIFS(ledger!J:J, ledger!B:B, _xlpm.party, ledger!E:E, "&lt;&gt;*RD*", ledger!D:D, "Kataan", ledger!C:C, "&lt;&gt;January Closing CF")
))+ _xlfn.IFNA(L87, 0)</f>
        <v>0</v>
      </c>
      <c r="AB8" s="70" cm="1">
        <f t="array" ref="AB8">_xlfn.BYROW(B52, _xlfn.LAMBDA(_xlpm.party,
   SUMIFS(ledger!J:J, ledger!B:B, _xlpm.party, ledger!E:E, "&lt;&gt;*RD*", ledger!D:D, "Munaar", ledger!C:C, "&lt;&gt;January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O9" s="24"/>
      <c r="Q9"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(SUMIFS(ledger!J:J,ledger!B:B,_xlpm.party,ledger!E:E,"&lt;&gt;*RD*",ledger!D:D,"Chamki",ledger!C:C,"&lt;&gt;January Closing CF")+
SUMIFS(ledger!J:J,ledger!B:B,_xlpm.party,ledger!E:E,"&lt;&gt;*RD*",ledger!D:D,"Crinkle",ledger!C:C,"&lt;&gt;January Closing CF")
)+_xlfn.IFNA(G88,0))))</f>
        <v>5408917.8595464528</v>
      </c>
      <c r="W9" s="70" cm="1">
        <f t="array" ref="W9">_xlfn.BYROW(B53, _xlfn.LAMBDA(_xlpm.party,
   SUMIFS(ledger!J:J, ledger!B:B, _xlpm.party, ledger!E:E, "&lt;&gt;*RD*", ledger!D:D, "Silky", ledger!C:C, "&lt;&gt;January Closing CF")
)) + _xlfn.IFNA(H88, 0)</f>
        <v>5829886.6130212145</v>
      </c>
      <c r="X9" s="70" cm="1">
        <f t="array" ref="X9">_xlfn.BYROW(B53, _xlfn.LAMBDA(_xlpm.party,
   SUMIFS(ledger!J:J, ledger!B:B, _xlpm.party, ledger!E:E, "&lt;&gt;*RD*", ledger!D:D, "Slub", ledger!C:C, "&lt;&gt;January Closing CF")
))+ _xlfn.IFNA(I88, 0)</f>
        <v>0</v>
      </c>
      <c r="Y9" s="70" cm="1">
        <f t="array" ref="Y9">_xlfn.BYROW(B53, _xlfn.LAMBDA(_xlpm.party,
   SUMIFS(ledger!J:J, ledger!B:B, _xlpm.party, ledger!E:E, "&lt;&gt;*RD*", ledger!D:D, "Satin", ledger!C:C, "&lt;&gt;January Closing CF")
))+ _xlfn.IFNA(J88, 0)</f>
        <v>239959.76591075349</v>
      </c>
      <c r="Z9" s="70" cm="1">
        <f t="array" ref="Z9">_xlfn.BYROW(B53, _xlfn.LAMBDA(_xlpm.party,
   SUMIFS(ledger!J:J, ledger!B:B, _xlpm.party, ledger!E:E, "&lt;&gt;*RD*", ledger!D:D, "Black-Chamki", ledger!C:C, "&lt;&gt;January Closing CF")
))+ _xlfn.IFNA(K88, 0)</f>
        <v>0</v>
      </c>
      <c r="AA9" s="70" cm="1">
        <f t="array" ref="AA9">_xlfn.BYROW(B53, _xlfn.LAMBDA(_xlpm.party,
   SUMIFS(ledger!J:J, ledger!B:B, _xlpm.party, ledger!E:E, "&lt;&gt;*RD*", ledger!D:D, "Kataan", ledger!C:C, "&lt;&gt;January Closing CF")
))+ _xlfn.IFNA(L88, 0)</f>
        <v>0</v>
      </c>
      <c r="AB9" s="70" cm="1">
        <f t="array" ref="AB9">_xlfn.BYROW(B53, _xlfn.LAMBDA(_xlpm.party,
   SUMIFS(ledger!J:J, ledger!B:B, _xlpm.party, ledger!E:E, "&lt;&gt;*RD*", ledger!D:D, "Munaar", ledger!C:C, "&lt;&gt;January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O10" s="24"/>
      <c r="Q10"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(SUMIFS(ledger!J:J,ledger!B:B,_xlpm.party,ledger!E:E,"&lt;&gt;*RD*",ledger!D:D,"Chamki",ledger!C:C,"&lt;&gt;January Closing CF")+
SUMIFS(ledger!J:J,ledger!B:B,_xlpm.party,ledger!E:E,"&lt;&gt;*RD*",ledger!D:D,"Crinkle",ledger!C:C,"&lt;&gt;January Closing CF")
)+_xlfn.IFNA(G89,0))))</f>
        <v>9422951.7190929055</v>
      </c>
      <c r="W10" s="70" cm="1">
        <f t="array" ref="W10">_xlfn.BYROW(B54, _xlfn.LAMBDA(_xlpm.party,
   SUMIFS(ledger!J:J, ledger!B:B, _xlpm.party, ledger!E:E, "&lt;&gt;*RD*", ledger!D:D, "Silky", ledger!C:C, "&lt;&gt;January Closing CF")
)) + _xlfn.IFNA(H89, 0)</f>
        <v>0</v>
      </c>
      <c r="X10" s="70" cm="1">
        <f t="array" ref="X10">_xlfn.BYROW(B54, _xlfn.LAMBDA(_xlpm.party,
   SUMIFS(ledger!J:J, ledger!B:B, _xlpm.party, ledger!E:E, "&lt;&gt;*RD*", ledger!D:D, "Slub", ledger!C:C, "&lt;&gt;January Closing CF")
))+ _xlfn.IFNA(I89, 0)</f>
        <v>71359.729334308722</v>
      </c>
      <c r="Y10" s="70" cm="1">
        <f t="array" ref="Y10">_xlfn.BYROW(B54, _xlfn.LAMBDA(_xlpm.party,
   SUMIFS(ledger!J:J, ledger!B:B, _xlpm.party, ledger!E:E, "&lt;&gt;*RD*", ledger!D:D, "Satin", ledger!C:C, "&lt;&gt;January Closing CF")
))+ _xlfn.IFNA(J89, 0)</f>
        <v>0</v>
      </c>
      <c r="Z10" s="70" cm="1">
        <f t="array" ref="Z10">_xlfn.BYROW(B54, _xlfn.LAMBDA(_xlpm.party,
   SUMIFS(ledger!J:J, ledger!B:B, _xlpm.party, ledger!E:E, "&lt;&gt;*RD*", ledger!D:D, "Black-Chamki", ledger!C:C, "&lt;&gt;January Closing CF")
))+ _xlfn.IFNA(K89, 0)</f>
        <v>322297.00073152891</v>
      </c>
      <c r="AA10" s="70" cm="1">
        <f t="array" ref="AA10">_xlfn.BYROW(B54, _xlfn.LAMBDA(_xlpm.party,
   SUMIFS(ledger!J:J, ledger!B:B, _xlpm.party, ledger!E:E, "&lt;&gt;*RD*", ledger!D:D, "Kataan", ledger!C:C, "&lt;&gt;January Closing CF")
))+ _xlfn.IFNA(L89, 0)</f>
        <v>0</v>
      </c>
      <c r="AB10" s="70" cm="1">
        <f t="array" ref="AB10">_xlfn.BYROW(B54, _xlfn.LAMBDA(_xlpm.party,
   SUMIFS(ledger!J:J, ledger!B:B, _xlpm.party, ledger!E:E, "&lt;&gt;*RD*", ledger!D:D, "Munaar", ledger!C:C, "&lt;&gt;January Closing CF")
))+ _xlfn.IFNA(M89, 0)</f>
        <v>0</v>
      </c>
      <c r="AC10" s="39">
        <f t="shared" si="1"/>
        <v>9816608.449158743</v>
      </c>
      <c r="AD10" s="22">
        <f>(SUMIF(Table14[Party],Q10,Table14[Credit]))+_xlfn.IFNA(O89,0)</f>
        <v>9609871</v>
      </c>
      <c r="AE10" s="33">
        <f t="shared" si="2"/>
        <v>206737.44915874302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O11" s="24"/>
      <c r="Q11" t="str">
        <v>Raaz Fabrics</v>
      </c>
      <c r="R11" s="22" cm="1">
        <f t="array" ref="R11">_xlfn.BYROW(B55,_xlfn.LAMBDA(_xlpm.party,SUMIFS(ledger!G:G,ledger!B:B,_xlpm.party,ledger!E:E,"&lt;&gt;*RD*")))+_xlfn.IFNA(C90,0)</f>
        <v>183130</v>
      </c>
      <c r="S11" s="22" cm="1">
        <f t="array" ref="S11">_xlfn.BYROW(B55, _xlfn.LAMBDA(_xlpm.party, SUMIFS(ledger!G:G, ledger!B:B, _xlpm.party, ledger!E:E, "&lt;&gt;*RD*") / 1.0936 ))+_xlfn.IFNA(D90,0)</f>
        <v>167456.10826627654</v>
      </c>
      <c r="T11" s="22" cm="1">
        <f t="array" ref="T11">(_xlfn.BYROW(B55,_xlfn.LAMBDA(_xlpm.party,SUMIFS(ledger!G:G,ledger!B:B,_xlpm.party,ledger!E:E,"&lt;&gt;*RD*",ledger!D:D,"Chamki")+SUMIFS(ledger!G:G, ledger!B:B, _xlpm.party, ledger!E:E, "&lt;&gt;*RD*", ledger!D:D, "Crinkle")))/1.0936)+_xlfn.IFNA(E90,0)</f>
        <v>167456.10826627654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(SUMIFS(ledger!J:J,ledger!B:B,_xlpm.party,ledger!E:E,"&lt;&gt;*RD*",ledger!D:D,"Chamki",ledger!C:C,"&lt;&gt;January Closing CF")+
SUMIFS(ledger!J:J,ledger!B:B,_xlpm.party,ledger!E:E,"&lt;&gt;*RD*",ledger!D:D,"Crinkle",ledger!C:C,"&lt;&gt;January Closing CF")
)+_xlfn.IFNA(G90,0))))</f>
        <v>1674561.0826627654</v>
      </c>
      <c r="W11" s="70" cm="1">
        <f t="array" ref="W11">_xlfn.BYROW(B55, _xlfn.LAMBDA(_xlpm.party,
   SUMIFS(ledger!J:J, ledger!B:B, _xlpm.party, ledger!E:E, "&lt;&gt;*RD*", ledger!D:D, "Silky", ledger!C:C, "&lt;&gt;January Closing CF")
)) + _xlfn.IFNA(H90, 0)</f>
        <v>0</v>
      </c>
      <c r="X11" s="70" cm="1">
        <f t="array" ref="X11">_xlfn.BYROW(B55, _xlfn.LAMBDA(_xlpm.party,
   SUMIFS(ledger!J:J, ledger!B:B, _xlpm.party, ledger!E:E, "&lt;&gt;*RD*", ledger!D:D, "Slub", ledger!C:C, "&lt;&gt;January Closing CF")
))+ _xlfn.IFNA(I90, 0)</f>
        <v>0</v>
      </c>
      <c r="Y11" s="70" cm="1">
        <f t="array" ref="Y11">_xlfn.BYROW(B55, _xlfn.LAMBDA(_xlpm.party,
   SUMIFS(ledger!J:J, ledger!B:B, _xlpm.party, ledger!E:E, "&lt;&gt;*RD*", ledger!D:D, "Satin", ledger!C:C, "&lt;&gt;January Closing CF")
))+ _xlfn.IFNA(J90, 0)</f>
        <v>0</v>
      </c>
      <c r="Z11" s="70" cm="1">
        <f t="array" ref="Z11">_xlfn.BYROW(B55, _xlfn.LAMBDA(_xlpm.party,
   SUMIFS(ledger!J:J, ledger!B:B, _xlpm.party, ledger!E:E, "&lt;&gt;*RD*", ledger!D:D, "Black-Chamki", ledger!C:C, "&lt;&gt;January Closing CF")
))+ _xlfn.IFNA(K90, 0)</f>
        <v>0</v>
      </c>
      <c r="AA11" s="70" cm="1">
        <f t="array" ref="AA11">_xlfn.BYROW(B55, _xlfn.LAMBDA(_xlpm.party,
   SUMIFS(ledger!J:J, ledger!B:B, _xlpm.party, ledger!E:E, "&lt;&gt;*RD*", ledger!D:D, "Kataan", ledger!C:C, "&lt;&gt;January Closing CF")
))+ _xlfn.IFNA(L90, 0)</f>
        <v>0</v>
      </c>
      <c r="AB11" s="70" cm="1">
        <f t="array" ref="AB11">_xlfn.BYROW(B55, _xlfn.LAMBDA(_xlpm.party,
   SUMIFS(ledger!J:J, ledger!B:B, _xlpm.party, ledger!E:E, "&lt;&gt;*RD*", ledger!D:D, "Munaar", ledger!C:C, "&lt;&gt;January Closing CF")
))+ _xlfn.IFNA(M90, 0)</f>
        <v>0</v>
      </c>
      <c r="AC11" s="39">
        <f t="shared" si="1"/>
        <v>1674561.0826627654</v>
      </c>
      <c r="AD11" s="22">
        <f>(SUMIF(Table14[Party],Q11,Table14[Credit]))+_xlfn.IFNA(O90,0)</f>
        <v>1526321</v>
      </c>
      <c r="AE11" s="33">
        <f t="shared" si="2"/>
        <v>148240.0826627654</v>
      </c>
      <c r="AF11" s="21">
        <v>10</v>
      </c>
      <c r="AG11" s="21">
        <v>13</v>
      </c>
    </row>
    <row r="12" spans="2:33" x14ac:dyDescent="0.3">
      <c r="B12" t="str">
        <f t="shared" si="0"/>
        <v>Hafiz Qureshi</v>
      </c>
      <c r="C12" s="18">
        <f>SUMIFS(ledger!G:G, ledger!B:B, B12, ledger!E:E, "&lt;&gt;*RD*") / 1.0936</f>
        <v>68631.126554498915</v>
      </c>
      <c r="E12" s="14">
        <f>(SUMIFS(ledger!G:G, ledger!B:B, B12, ledger!E:E, "&lt;&gt;*RD*",ledger!D:D, "Silky") / 1.0936)*12 + (SUMIFS(ledger!G:G, ledger!B:B, B12, ledger!E:E, "&lt;&gt;*RD*",ledger!D:D, "Chamki") / 1.0936)*10</f>
        <v>686311.26554498915</v>
      </c>
      <c r="I12" t="s">
        <v>27</v>
      </c>
      <c r="O12" s="24"/>
      <c r="P12" s="28"/>
      <c r="Q12"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(SUMIFS(ledger!J:J,ledger!B:B,_xlpm.party,ledger!E:E,"&lt;&gt;*RD*",ledger!D:D,"Chamki",ledger!C:C,"&lt;&gt;January Closing CF")+
SUMIFS(ledger!J:J,ledger!B:B,_xlpm.party,ledger!E:E,"&lt;&gt;*RD*",ledger!D:D,"Crinkle",ledger!C:C,"&lt;&gt;January Closing CF")
)+_xlfn.IFNA(G91,0))))</f>
        <v>5011183.2479882967</v>
      </c>
      <c r="W12" s="70" cm="1">
        <f t="array" ref="W12">_xlfn.BYROW(B56, _xlfn.LAMBDA(_xlpm.party,
   SUMIFS(ledger!J:J, ledger!B:B, _xlpm.party, ledger!E:E, "&lt;&gt;*RD*", ledger!D:D, "Silky", ledger!C:C, "&lt;&gt;January Closing CF")
)) + _xlfn.IFNA(H91, 0)</f>
        <v>2391888.2589612291</v>
      </c>
      <c r="X12" s="70" cm="1">
        <f t="array" ref="X12">_xlfn.BYROW(B56, _xlfn.LAMBDA(_xlpm.party,
   SUMIFS(ledger!J:J, ledger!B:B, _xlpm.party, ledger!E:E, "&lt;&gt;*RD*", ledger!D:D, "Slub", ledger!C:C, "&lt;&gt;January Closing CF")
))+ _xlfn.IFNA(I91, 0)</f>
        <v>0</v>
      </c>
      <c r="Y12" s="70" cm="1">
        <f t="array" ref="Y12">_xlfn.BYROW(B56, _xlfn.LAMBDA(_xlpm.party,
   SUMIFS(ledger!J:J, ledger!B:B, _xlpm.party, ledger!E:E, "&lt;&gt;*RD*", ledger!D:D, "Satin", ledger!C:C, "&lt;&gt;January Closing CF")
))+ _xlfn.IFNA(J91, 0)</f>
        <v>0</v>
      </c>
      <c r="Z12" s="70" cm="1">
        <f t="array" ref="Z12">_xlfn.BYROW(B56, _xlfn.LAMBDA(_xlpm.party,
   SUMIFS(ledger!J:J, ledger!B:B, _xlpm.party, ledger!E:E, "&lt;&gt;*RD*", ledger!D:D, "Black-Chamki", ledger!C:C, "&lt;&gt;January Closing CF")
))+ _xlfn.IFNA(K91, 0)</f>
        <v>0</v>
      </c>
      <c r="AA12" s="70" cm="1">
        <f t="array" ref="AA12">_xlfn.BYROW(B56, _xlfn.LAMBDA(_xlpm.party,
   SUMIFS(ledger!J:J, ledger!B:B, _xlpm.party, ledger!E:E, "&lt;&gt;*RD*", ledger!D:D, "Kataan", ledger!C:C, "&lt;&gt;January Closing CF")
))+ _xlfn.IFNA(L91, 0)</f>
        <v>0</v>
      </c>
      <c r="AB12" s="70" cm="1">
        <f t="array" ref="AB12">_xlfn.BYROW(B56, _xlfn.LAMBDA(_xlpm.party,
   SUMIFS(ledger!J:J, ledger!B:B, _xlpm.party, ledger!E:E, "&lt;&gt;*RD*", ledger!D:D, "Munaar", ledger!C:C, "&lt;&gt;January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O13" s="24"/>
      <c r="Q13"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(SUMIFS(ledger!J:J,ledger!B:B,_xlpm.party,ledger!E:E,"&lt;&gt;*RD*",ledger!D:D,"Chamki",ledger!C:C,"&lt;&gt;January Closing CF")+
SUMIFS(ledger!J:J,ledger!B:B,_xlpm.party,ledger!E:E,"&lt;&gt;*RD*",ledger!D:D,"Crinkle",ledger!C:C,"&lt;&gt;January Closing CF")
)+_xlfn.IFNA(G92,0))))</f>
        <v>461329.5537673739</v>
      </c>
      <c r="W13" s="70" cm="1">
        <f t="array" ref="W13">_xlfn.BYROW(B57, _xlfn.LAMBDA(_xlpm.party,
   SUMIFS(ledger!J:J, ledger!B:B, _xlpm.party, ledger!E:E, "&lt;&gt;*RD*", ledger!D:D, "Silky", ledger!C:C, "&lt;&gt;January Closing CF")
)) + _xlfn.IFNA(H92, 0)</f>
        <v>1448134.6013167519</v>
      </c>
      <c r="X13" s="70" cm="1">
        <f t="array" ref="X13">_xlfn.BYROW(B57, _xlfn.LAMBDA(_xlpm.party,
   SUMIFS(ledger!J:J, ledger!B:B, _xlpm.party, ledger!E:E, "&lt;&gt;*RD*", ledger!D:D, "Slub", ledger!C:C, "&lt;&gt;January Closing CF")
))+ _xlfn.IFNA(I92, 0)</f>
        <v>0</v>
      </c>
      <c r="Y13" s="70" cm="1">
        <f t="array" ref="Y13">_xlfn.BYROW(B57, _xlfn.LAMBDA(_xlpm.party,
   SUMIFS(ledger!J:J, ledger!B:B, _xlpm.party, ledger!E:E, "&lt;&gt;*RD*", ledger!D:D, "Satin", ledger!C:C, "&lt;&gt;January Closing CF")
))+ _xlfn.IFNA(J92, 0)</f>
        <v>0</v>
      </c>
      <c r="Z13" s="70" cm="1">
        <f t="array" ref="Z13">_xlfn.BYROW(B57, _xlfn.LAMBDA(_xlpm.party,
   SUMIFS(ledger!J:J, ledger!B:B, _xlpm.party, ledger!E:E, "&lt;&gt;*RD*", ledger!D:D, "Black-Chamki", ledger!C:C, "&lt;&gt;January Closing CF")
))+ _xlfn.IFNA(K92, 0)</f>
        <v>0</v>
      </c>
      <c r="AA13" s="70" cm="1">
        <f t="array" ref="AA13">_xlfn.BYROW(B57, _xlfn.LAMBDA(_xlpm.party,
   SUMIFS(ledger!J:J, ledger!B:B, _xlpm.party, ledger!E:E, "&lt;&gt;*RD*", ledger!D:D, "Kataan", ledger!C:C, "&lt;&gt;January Closing CF")
))+ _xlfn.IFNA(L92, 0)</f>
        <v>0</v>
      </c>
      <c r="AB13" s="70" cm="1">
        <f t="array" ref="AB13">_xlfn.BYROW(B57, _xlfn.LAMBDA(_xlpm.party,
   SUMIFS(ledger!J:J, ledger!B:B, _xlpm.party, ledger!E:E, "&lt;&gt;*RD*", ledger!D:D, "Munaar", ledger!C:C, "&lt;&gt;January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O14" s="24"/>
      <c r="Q1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(SUMIFS(ledger!J:J,ledger!B:B,_xlpm.party,ledger!E:E,"&lt;&gt;*RD*",ledger!D:D,"Chamki",ledger!C:C,"&lt;&gt;January Closing CF")+
SUMIFS(ledger!J:J,ledger!B:B,_xlpm.party,ledger!E:E,"&lt;&gt;*RD*",ledger!D:D,"Crinkle",ledger!C:C,"&lt;&gt;January Closing CF")
)+_xlfn.IFNA(G93,0))))</f>
        <v>255724.21360643749</v>
      </c>
      <c r="W14" s="70" cm="1">
        <f t="array" ref="W14">_xlfn.BYROW(B58, _xlfn.LAMBDA(_xlpm.party,
   SUMIFS(ledger!J:J, ledger!B:B, _xlpm.party, ledger!E:E, "&lt;&gt;*RD*", ledger!D:D, "Silky", ledger!C:C, "&lt;&gt;January Closing CF")
)) + _xlfn.IFNA(H93, 0)</f>
        <v>0</v>
      </c>
      <c r="X14" s="70" cm="1">
        <f t="array" ref="X14">_xlfn.BYROW(B58, _xlfn.LAMBDA(_xlpm.party,
   SUMIFS(ledger!J:J, ledger!B:B, _xlpm.party, ledger!E:E, "&lt;&gt;*RD*", ledger!D:D, "Slub", ledger!C:C, "&lt;&gt;January Closing CF")
))+ _xlfn.IFNA(I93, 0)</f>
        <v>0</v>
      </c>
      <c r="Y14" s="70" cm="1">
        <f t="array" ref="Y14">_xlfn.BYROW(B58, _xlfn.LAMBDA(_xlpm.party,
   SUMIFS(ledger!J:J, ledger!B:B, _xlpm.party, ledger!E:E, "&lt;&gt;*RD*", ledger!D:D, "Satin", ledger!C:C, "&lt;&gt;January Closing CF")
))+ _xlfn.IFNA(J93, 0)</f>
        <v>0</v>
      </c>
      <c r="Z14" s="70" cm="1">
        <f t="array" ref="Z14">_xlfn.BYROW(B58, _xlfn.LAMBDA(_xlpm.party,
   SUMIFS(ledger!J:J, ledger!B:B, _xlpm.party, ledger!E:E, "&lt;&gt;*RD*", ledger!D:D, "Black-Chamki", ledger!C:C, "&lt;&gt;January Closing CF")
))+ _xlfn.IFNA(K93, 0)</f>
        <v>0</v>
      </c>
      <c r="AA14" s="70" cm="1">
        <f t="array" ref="AA14">_xlfn.BYROW(B58, _xlfn.LAMBDA(_xlpm.party,
   SUMIFS(ledger!J:J, ledger!B:B, _xlpm.party, ledger!E:E, "&lt;&gt;*RD*", ledger!D:D, "Kataan", ledger!C:C, "&lt;&gt;January Closing CF")
))+ _xlfn.IFNA(L93, 0)</f>
        <v>0</v>
      </c>
      <c r="AB14" s="70" cm="1">
        <f t="array" ref="AB14">_xlfn.BYROW(B58, _xlfn.LAMBDA(_xlpm.party,
   SUMIFS(ledger!J:J, ledger!B:B, _xlpm.party, ledger!E:E, "&lt;&gt;*RD*", ledger!D:D, "Munaar", ledger!C:C, "&lt;&gt;January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O15" s="24"/>
      <c r="Q15" t="str">
        <v>Hafiz Qureshi</v>
      </c>
      <c r="R15" s="22" cm="1">
        <f t="array" ref="R15">_xlfn.BYROW(B59,_xlfn.LAMBDA(_xlpm.party,SUMIFS(ledger!G:G,ledger!B:B,_xlpm.party,ledger!E:E,"&lt;&gt;*RD*")))+_xlfn.IFNA(C94,0)</f>
        <v>529682</v>
      </c>
      <c r="S15" s="22" cm="1">
        <f t="array" ref="S15">_xlfn.BYROW(B59, _xlfn.LAMBDA(_xlpm.party, SUMIFS(ledger!G:G, ledger!B:B, _xlpm.party, ledger!E:E, "&lt;&gt;*RD*") / 1.0936 ))+_xlfn.IFNA(D94,0)</f>
        <v>484347.11046086327</v>
      </c>
      <c r="T15" s="22" cm="1">
        <f t="array" ref="T15">(_xlfn.BYROW(B59,_xlfn.LAMBDA(_xlpm.party,SUMIFS(ledger!G:G,ledger!B:B,_xlpm.party,ledger!E:E,"&lt;&gt;*RD*",ledger!D:D,"Chamki")+SUMIFS(ledger!G:G, ledger!B:B, _xlpm.party, ledger!E:E, "&lt;&gt;*RD*", ledger!D:D, "Crinkle")))/1.0936)+_xlfn.IFNA(E94,0)</f>
        <v>484347.11046086327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(SUMIFS(ledger!J:J,ledger!B:B,_xlpm.party,ledger!E:E,"&lt;&gt;*RD*",ledger!D:D,"Chamki",ledger!C:C,"&lt;&gt;January Closing CF")+
SUMIFS(ledger!J:J,ledger!B:B,_xlpm.party,ledger!E:E,"&lt;&gt;*RD*",ledger!D:D,"Crinkle",ledger!C:C,"&lt;&gt;January Closing CF")
)+_xlfn.IFNA(G94,0))))</f>
        <v>4843471.1046086326</v>
      </c>
      <c r="W15" s="70" cm="1">
        <f t="array" ref="W15">_xlfn.BYROW(B59, _xlfn.LAMBDA(_xlpm.party,
   SUMIFS(ledger!J:J, ledger!B:B, _xlpm.party, ledger!E:E, "&lt;&gt;*RD*", ledger!D:D, "Silky", ledger!C:C, "&lt;&gt;January Closing CF")
)) + _xlfn.IFNA(H94, 0)</f>
        <v>0</v>
      </c>
      <c r="X15" s="70" cm="1">
        <f t="array" ref="X15">_xlfn.BYROW(B59, _xlfn.LAMBDA(_xlpm.party,
   SUMIFS(ledger!J:J, ledger!B:B, _xlpm.party, ledger!E:E, "&lt;&gt;*RD*", ledger!D:D, "Slub", ledger!C:C, "&lt;&gt;January Closing CF")
))+ _xlfn.IFNA(I94, 0)</f>
        <v>0</v>
      </c>
      <c r="Y15" s="70" cm="1">
        <f t="array" ref="Y15">_xlfn.BYROW(B59, _xlfn.LAMBDA(_xlpm.party,
   SUMIFS(ledger!J:J, ledger!B:B, _xlpm.party, ledger!E:E, "&lt;&gt;*RD*", ledger!D:D, "Satin", ledger!C:C, "&lt;&gt;January Closing CF")
))+ _xlfn.IFNA(J94, 0)</f>
        <v>0</v>
      </c>
      <c r="Z15" s="70" cm="1">
        <f t="array" ref="Z15">_xlfn.BYROW(B59, _xlfn.LAMBDA(_xlpm.party,
   SUMIFS(ledger!J:J, ledger!B:B, _xlpm.party, ledger!E:E, "&lt;&gt;*RD*", ledger!D:D, "Black-Chamki", ledger!C:C, "&lt;&gt;January Closing CF")
))+ _xlfn.IFNA(K94, 0)</f>
        <v>0</v>
      </c>
      <c r="AA15" s="70" cm="1">
        <f t="array" ref="AA15">_xlfn.BYROW(B59, _xlfn.LAMBDA(_xlpm.party,
   SUMIFS(ledger!J:J, ledger!B:B, _xlpm.party, ledger!E:E, "&lt;&gt;*RD*", ledger!D:D, "Kataan", ledger!C:C, "&lt;&gt;January Closing CF")
))+ _xlfn.IFNA(L94, 0)</f>
        <v>0</v>
      </c>
      <c r="AB15" s="70" cm="1">
        <f t="array" ref="AB15">_xlfn.BYROW(B59, _xlfn.LAMBDA(_xlpm.party,
   SUMIFS(ledger!J:J, ledger!B:B, _xlpm.party, ledger!E:E, "&lt;&gt;*RD*", ledger!D:D, "Munaar", ledger!C:C, "&lt;&gt;January Closing CF")
))+ _xlfn.IFNA(M94, 0)</f>
        <v>0</v>
      </c>
      <c r="AC15" s="39">
        <f t="shared" si="1"/>
        <v>4843471.1046086326</v>
      </c>
      <c r="AD15" s="22">
        <f>(SUMIF(Table14[Party],Q15,Table14[Credit]))+_xlfn.IFNA(O94,0)</f>
        <v>4638359</v>
      </c>
      <c r="AE15" s="33">
        <f t="shared" si="2"/>
        <v>205112.10460863262</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O16" s="24"/>
      <c r="Q16"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(SUMIFS(ledger!J:J,ledger!B:B,_xlpm.party,ledger!E:E,"&lt;&gt;*RD*",ledger!D:D,"Chamki",ledger!C:C,"&lt;&gt;January Closing CF")+
SUMIFS(ledger!J:J,ledger!B:B,_xlpm.party,ledger!E:E,"&lt;&gt;*RD*",ledger!D:D,"Crinkle",ledger!C:C,"&lt;&gt;January Closing CF")
)+_xlfn.IFNA(G95,0))))</f>
        <v>4861679.7732260432</v>
      </c>
      <c r="W16" s="70" cm="1">
        <f t="array" ref="W16">_xlfn.BYROW(B60, _xlfn.LAMBDA(_xlpm.party,
   SUMIFS(ledger!J:J, ledger!B:B, _xlpm.party, ledger!E:E, "&lt;&gt;*RD*", ledger!D:D, "Silky", ledger!C:C, "&lt;&gt;January Closing CF")
)) + _xlfn.IFNA(H95, 0)</f>
        <v>1776019.5683979518</v>
      </c>
      <c r="X16" s="70" cm="1">
        <f t="array" ref="X16">_xlfn.BYROW(B60, _xlfn.LAMBDA(_xlpm.party,
   SUMIFS(ledger!J:J, ledger!B:B, _xlpm.party, ledger!E:E, "&lt;&gt;*RD*", ledger!D:D, "Slub", ledger!C:C, "&lt;&gt;January Closing CF")
))+ _xlfn.IFNA(I95, 0)</f>
        <v>0</v>
      </c>
      <c r="Y16" s="70" cm="1">
        <f t="array" ref="Y16">_xlfn.BYROW(B60, _xlfn.LAMBDA(_xlpm.party,
   SUMIFS(ledger!J:J, ledger!B:B, _xlpm.party, ledger!E:E, "&lt;&gt;*RD*", ledger!D:D, "Satin", ledger!C:C, "&lt;&gt;January Closing CF")
))+ _xlfn.IFNA(J95, 0)</f>
        <v>0</v>
      </c>
      <c r="Z16" s="70" cm="1">
        <f t="array" ref="Z16">_xlfn.BYROW(B60, _xlfn.LAMBDA(_xlpm.party,
   SUMIFS(ledger!J:J, ledger!B:B, _xlpm.party, ledger!E:E, "&lt;&gt;*RD*", ledger!D:D, "Black-Chamki", ledger!C:C, "&lt;&gt;January Closing CF")
))+ _xlfn.IFNA(K95, 0)</f>
        <v>0</v>
      </c>
      <c r="AA16" s="70" cm="1">
        <f t="array" ref="AA16">_xlfn.BYROW(B60, _xlfn.LAMBDA(_xlpm.party,
   SUMIFS(ledger!J:J, ledger!B:B, _xlpm.party, ledger!E:E, "&lt;&gt;*RD*", ledger!D:D, "Kataan", ledger!C:C, "&lt;&gt;January Closing CF")
))+ _xlfn.IFNA(L95, 0)</f>
        <v>0</v>
      </c>
      <c r="AB16" s="70" cm="1">
        <f t="array" ref="AB16">_xlfn.BYROW(B60, _xlfn.LAMBDA(_xlpm.party,
   SUMIFS(ledger!J:J, ledger!B:B, _xlpm.party, ledger!E:E, "&lt;&gt;*RD*", ledger!D:D, "Munaar", ledger!C:C, "&lt;&gt;January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O17" s="24"/>
      <c r="Q17"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(SUMIFS(ledger!J:J,ledger!B:B,_xlpm.party,ledger!E:E,"&lt;&gt;*RD*",ledger!D:D,"Chamki",ledger!C:C,"&lt;&gt;January Closing CF")+
SUMIFS(ledger!J:J,ledger!B:B,_xlpm.party,ledger!E:E,"&lt;&gt;*RD*",ledger!D:D,"Crinkle",ledger!C:C,"&lt;&gt;January Closing CF")
)+_xlfn.IFNA(G96,0))))</f>
        <v>1214045.3547915143</v>
      </c>
      <c r="W17" s="70" cm="1">
        <f t="array" ref="W17">_xlfn.BYROW(B61, _xlfn.LAMBDA(_xlpm.party,
   SUMIFS(ledger!J:J, ledger!B:B, _xlpm.party, ledger!E:E, "&lt;&gt;*RD*", ledger!D:D, "Silky", ledger!C:C, "&lt;&gt;January Closing CF")
)) + _xlfn.IFNA(H96, 0)</f>
        <v>0</v>
      </c>
      <c r="X17" s="70" cm="1">
        <f t="array" ref="X17">_xlfn.BYROW(B61, _xlfn.LAMBDA(_xlpm.party,
   SUMIFS(ledger!J:J, ledger!B:B, _xlpm.party, ledger!E:E, "&lt;&gt;*RD*", ledger!D:D, "Slub", ledger!C:C, "&lt;&gt;January Closing CF")
))+ _xlfn.IFNA(I96, 0)</f>
        <v>0</v>
      </c>
      <c r="Y17" s="70" cm="1">
        <f t="array" ref="Y17">_xlfn.BYROW(B61, _xlfn.LAMBDA(_xlpm.party,
   SUMIFS(ledger!J:J, ledger!B:B, _xlpm.party, ledger!E:E, "&lt;&gt;*RD*", ledger!D:D, "Satin", ledger!C:C, "&lt;&gt;January Closing CF")
))+ _xlfn.IFNA(J96, 0)</f>
        <v>0</v>
      </c>
      <c r="Z17" s="70" cm="1">
        <f t="array" ref="Z17">_xlfn.BYROW(B61, _xlfn.LAMBDA(_xlpm.party,
   SUMIFS(ledger!J:J, ledger!B:B, _xlpm.party, ledger!E:E, "&lt;&gt;*RD*", ledger!D:D, "Black-Chamki", ledger!C:C, "&lt;&gt;January Closing CF")
))+ _xlfn.IFNA(K96, 0)</f>
        <v>0</v>
      </c>
      <c r="AA17" s="70" cm="1">
        <f t="array" ref="AA17">_xlfn.BYROW(B61, _xlfn.LAMBDA(_xlpm.party,
   SUMIFS(ledger!J:J, ledger!B:B, _xlpm.party, ledger!E:E, "&lt;&gt;*RD*", ledger!D:D, "Kataan", ledger!C:C, "&lt;&gt;January Closing CF")
))+ _xlfn.IFNA(L96, 0)</f>
        <v>0</v>
      </c>
      <c r="AB17" s="70" cm="1">
        <f t="array" ref="AB17">_xlfn.BYROW(B61, _xlfn.LAMBDA(_xlpm.party,
   SUMIFS(ledger!J:J, ledger!B:B, _xlpm.party, ledger!E:E, "&lt;&gt;*RD*", ledger!D:D, "Munaar", ledger!C:C, "&lt;&gt;January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O18" s="98"/>
      <c r="Q1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(SUMIFS(ledger!J:J,ledger!B:B,_xlpm.party,ledger!E:E,"&lt;&gt;*RD*",ledger!D:D,"Chamki",ledger!C:C,"&lt;&gt;January Closing CF")+
SUMIFS(ledger!J:J,ledger!B:B,_xlpm.party,ledger!E:E,"&lt;&gt;*RD*",ledger!D:D,"Crinkle",ledger!C:C,"&lt;&gt;January Closing CF")
)+_xlfn.IFNA(G97,0))))</f>
        <v>483851.49963423557</v>
      </c>
      <c r="W18" s="70" cm="1">
        <f t="array" ref="W18">_xlfn.BYROW(B62, _xlfn.LAMBDA(_xlpm.party,
   SUMIFS(ledger!J:J, ledger!B:B, _xlpm.party, ledger!E:E, "&lt;&gt;*RD*", ledger!D:D, "Silky", ledger!C:C, "&lt;&gt;January Closing CF")
)) + _xlfn.IFNA(H97, 0)</f>
        <v>0</v>
      </c>
      <c r="X18" s="70" cm="1">
        <f t="array" ref="X18">_xlfn.BYROW(B62, _xlfn.LAMBDA(_xlpm.party,
   SUMIFS(ledger!J:J, ledger!B:B, _xlpm.party, ledger!E:E, "&lt;&gt;*RD*", ledger!D:D, "Slub", ledger!C:C, "&lt;&gt;January Closing CF")
))+ _xlfn.IFNA(I97, 0)</f>
        <v>0</v>
      </c>
      <c r="Y18" s="70" cm="1">
        <f t="array" ref="Y18">_xlfn.BYROW(B62, _xlfn.LAMBDA(_xlpm.party,
   SUMIFS(ledger!J:J, ledger!B:B, _xlpm.party, ledger!E:E, "&lt;&gt;*RD*", ledger!D:D, "Satin", ledger!C:C, "&lt;&gt;January Closing CF")
))+ _xlfn.IFNA(J97, 0)</f>
        <v>0</v>
      </c>
      <c r="Z18" s="70" cm="1">
        <f t="array" ref="Z18">_xlfn.BYROW(B62, _xlfn.LAMBDA(_xlpm.party,
   SUMIFS(ledger!J:J, ledger!B:B, _xlpm.party, ledger!E:E, "&lt;&gt;*RD*", ledger!D:D, "Black-Chamki", ledger!C:C, "&lt;&gt;January Closing CF")
))+ _xlfn.IFNA(K97, 0)</f>
        <v>0</v>
      </c>
      <c r="AA18" s="70" cm="1">
        <f t="array" ref="AA18">_xlfn.BYROW(B62, _xlfn.LAMBDA(_xlpm.party,
   SUMIFS(ledger!J:J, ledger!B:B, _xlpm.party, ledger!E:E, "&lt;&gt;*RD*", ledger!D:D, "Kataan", ledger!C:C, "&lt;&gt;January Closing CF")
))+ _xlfn.IFNA(L97, 0)</f>
        <v>0</v>
      </c>
      <c r="AB18" s="70" cm="1">
        <f t="array" ref="AB18">_xlfn.BYROW(B62, _xlfn.LAMBDA(_xlpm.party,
   SUMIFS(ledger!J:J, ledger!B:B, _xlpm.party, ledger!E:E, "&lt;&gt;*RD*", ledger!D:D, "Munaar", ledger!C:C, "&lt;&gt;January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O19" s="98"/>
      <c r="Q19"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(SUMIFS(ledger!J:J,ledger!B:B,_xlpm.party,ledger!E:E,"&lt;&gt;*RD*",ledger!D:D,"Chamki",ledger!C:C,"&lt;&gt;January Closing CF")+
SUMIFS(ledger!J:J,ledger!B:B,_xlpm.party,ledger!E:E,"&lt;&gt;*RD*",ledger!D:D,"Crinkle",ledger!C:C,"&lt;&gt;January Closing CF")
)+_xlfn.IFNA(G98,0))))</f>
        <v>89155.084125822978</v>
      </c>
      <c r="W19" s="70" cm="1">
        <f t="array" ref="W19">_xlfn.BYROW(B63, _xlfn.LAMBDA(_xlpm.party,
   SUMIFS(ledger!J:J, ledger!B:B, _xlpm.party, ledger!E:E, "&lt;&gt;*RD*", ledger!D:D, "Silky", ledger!C:C, "&lt;&gt;January Closing CF")
)) + _xlfn.IFNA(H98, 0)</f>
        <v>0</v>
      </c>
      <c r="X19" s="70" cm="1">
        <f t="array" ref="X19">_xlfn.BYROW(B63, _xlfn.LAMBDA(_xlpm.party,
   SUMIFS(ledger!J:J, ledger!B:B, _xlpm.party, ledger!E:E, "&lt;&gt;*RD*", ledger!D:D, "Slub", ledger!C:C, "&lt;&gt;January Closing CF")
))+ _xlfn.IFNA(I98, 0)</f>
        <v>0</v>
      </c>
      <c r="Y19" s="70" cm="1">
        <f t="array" ref="Y19">_xlfn.BYROW(B63, _xlfn.LAMBDA(_xlpm.party,
   SUMIFS(ledger!J:J, ledger!B:B, _xlpm.party, ledger!E:E, "&lt;&gt;*RD*", ledger!D:D, "Satin", ledger!C:C, "&lt;&gt;January Closing CF")
))+ _xlfn.IFNA(J98, 0)</f>
        <v>0</v>
      </c>
      <c r="Z19" s="70" cm="1">
        <f t="array" ref="Z19">_xlfn.BYROW(B63, _xlfn.LAMBDA(_xlpm.party,
   SUMIFS(ledger!J:J, ledger!B:B, _xlpm.party, ledger!E:E, "&lt;&gt;*RD*", ledger!D:D, "Black-Chamki", ledger!C:C, "&lt;&gt;January Closing CF")
))+ _xlfn.IFNA(K98, 0)</f>
        <v>0</v>
      </c>
      <c r="AA19" s="70" cm="1">
        <f t="array" ref="AA19">_xlfn.BYROW(B63, _xlfn.LAMBDA(_xlpm.party,
   SUMIFS(ledger!J:J, ledger!B:B, _xlpm.party, ledger!E:E, "&lt;&gt;*RD*", ledger!D:D, "Kataan", ledger!C:C, "&lt;&gt;January Closing CF")
))+ _xlfn.IFNA(L98, 0)</f>
        <v>0</v>
      </c>
      <c r="AB19" s="70" cm="1">
        <f t="array" ref="AB19">_xlfn.BYROW(B63, _xlfn.LAMBDA(_xlpm.party,
   SUMIFS(ledger!J:J, ledger!B:B, _xlpm.party, ledger!E:E, "&lt;&gt;*RD*", ledger!D:D, "Munaar", ledger!C:C, "&lt;&gt;January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O20" s="98"/>
      <c r="Q2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(SUMIFS(ledger!J:J,ledger!B:B,_xlpm.party,ledger!E:E,"&lt;&gt;*RD*",ledger!D:D,"Chamki",ledger!C:C,"&lt;&gt;January Closing CF")+
SUMIFS(ledger!J:J,ledger!B:B,_xlpm.party,ledger!E:E,"&lt;&gt;*RD*",ledger!D:D,"Crinkle",ledger!C:C,"&lt;&gt;January Closing CF")
)+_xlfn.IFNA(G99,0))))</f>
        <v>474378.20043891744</v>
      </c>
      <c r="W20" s="70" cm="1">
        <f t="array" ref="W20">_xlfn.BYROW(B64, _xlfn.LAMBDA(_xlpm.party,
   SUMIFS(ledger!J:J, ledger!B:B, _xlpm.party, ledger!E:E, "&lt;&gt;*RD*", ledger!D:D, "Silky", ledger!C:C, "&lt;&gt;January Closing CF")
)) + _xlfn.IFNA(H99, 0)</f>
        <v>120026.51792245793</v>
      </c>
      <c r="X20" s="70" cm="1">
        <f t="array" ref="X20">_xlfn.BYROW(B64, _xlfn.LAMBDA(_xlpm.party,
   SUMIFS(ledger!J:J, ledger!B:B, _xlpm.party, ledger!E:E, "&lt;&gt;*RD*", ledger!D:D, "Slub", ledger!C:C, "&lt;&gt;January Closing CF")
))+ _xlfn.IFNA(I99, 0)</f>
        <v>0</v>
      </c>
      <c r="Y20" s="70" cm="1">
        <f t="array" ref="Y20">_xlfn.BYROW(B64, _xlfn.LAMBDA(_xlpm.party,
   SUMIFS(ledger!J:J, ledger!B:B, _xlpm.party, ledger!E:E, "&lt;&gt;*RD*", ledger!D:D, "Satin", ledger!C:C, "&lt;&gt;January Closing CF")
))+ _xlfn.IFNA(J99, 0)</f>
        <v>0</v>
      </c>
      <c r="Z20" s="70" cm="1">
        <f t="array" ref="Z20">_xlfn.BYROW(B64, _xlfn.LAMBDA(_xlpm.party,
   SUMIFS(ledger!J:J, ledger!B:B, _xlpm.party, ledger!E:E, "&lt;&gt;*RD*", ledger!D:D, "Black-Chamki", ledger!C:C, "&lt;&gt;January Closing CF")
))+ _xlfn.IFNA(K99, 0)</f>
        <v>0</v>
      </c>
      <c r="AA20" s="70" cm="1">
        <f t="array" ref="AA20">_xlfn.BYROW(B64, _xlfn.LAMBDA(_xlpm.party,
   SUMIFS(ledger!J:J, ledger!B:B, _xlpm.party, ledger!E:E, "&lt;&gt;*RD*", ledger!D:D, "Kataan", ledger!C:C, "&lt;&gt;January Closing CF")
))+ _xlfn.IFNA(L99, 0)</f>
        <v>0</v>
      </c>
      <c r="AB20" s="70" cm="1">
        <f t="array" ref="AB20">_xlfn.BYROW(B64, _xlfn.LAMBDA(_xlpm.party,
   SUMIFS(ledger!J:J, ledger!B:B, _xlpm.party, ledger!E:E, "&lt;&gt;*RD*", ledger!D:D, "Munaar", ledger!C:C, "&lt;&gt;January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4495950.9875640087</v>
      </c>
      <c r="D21" t="s">
        <v>30</v>
      </c>
      <c r="I21" t="s">
        <v>183</v>
      </c>
      <c r="O21" s="99"/>
      <c r="Q21" t="str">
        <v>Faizan</v>
      </c>
      <c r="R21" s="22" cm="1">
        <f t="array" ref="R21">_xlfn.BYROW(B65,_xlfn.LAMBDA(_xlpm.party,SUMIFS(ledger!G:G,ledger!B:B,_xlpm.party,ledger!E:E,"&lt;&gt;*RD*")))+_xlfn.IFNA(C100,0)</f>
        <v>565150</v>
      </c>
      <c r="S21" s="22" cm="1">
        <f t="array" ref="S21">_xlfn.BYROW(B65, _xlfn.LAMBDA(_xlpm.party, SUMIFS(ledger!G:G, ledger!B:B, _xlpm.party, ledger!E:E, "&lt;&gt;*RD*") / 1.0936 ))+_xlfn.IFNA(D100,0)</f>
        <v>516779.44403803954</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513809.43672275054</v>
      </c>
      <c r="V21" s="22" cm="1">
        <f t="array" ref="V21">(_xlfn.BYROW(B65,_xlfn.LAMBDA(_xlpm.party,
(SUMIFS(ledger!J:J,ledger!B:B,_xlpm.party,ledger!E:E,"&lt;&gt;*RD*",ledger!D:D,"Chamki",ledger!C:C,"&lt;&gt;January Closing CF")+
SUMIFS(ledger!J:J,ledger!B:B,_xlpm.party,ledger!E:E,"&lt;&gt;*RD*",ledger!D:D,"Crinkle",ledger!C:C,"&lt;&gt;January Closing CF")
)+_xlfn.IFNA(G100,0))))</f>
        <v>30000</v>
      </c>
      <c r="W21" s="70" cm="1">
        <f t="array" ref="W21">_xlfn.BYROW(B65, _xlfn.LAMBDA(_xlpm.party,
   SUMIFS(ledger!J:J, ledger!B:B, _xlpm.party, ledger!E:E, "&lt;&gt;*RD*", ledger!D:D, "Silky", ledger!C:C, "&lt;&gt;January Closing CF")
)) + _xlfn.IFNA(H100, 0)</f>
        <v>6679522.6773957582</v>
      </c>
      <c r="X21" s="70" cm="1">
        <f t="array" ref="X21">_xlfn.BYROW(B65, _xlfn.LAMBDA(_xlpm.party,
   SUMIFS(ledger!J:J, ledger!B:B, _xlpm.party, ledger!E:E, "&lt;&gt;*RD*", ledger!D:D, "Slub", ledger!C:C, "&lt;&gt;January Closing CF")
))+ _xlfn.IFNA(I100, 0)</f>
        <v>44550.109729334312</v>
      </c>
      <c r="Y21" s="70" cm="1">
        <f t="array" ref="Y21">_xlfn.BYROW(B65, _xlfn.LAMBDA(_xlpm.party,
   SUMIFS(ledger!J:J, ledger!B:B, _xlpm.party, ledger!E:E, "&lt;&gt;*RD*", ledger!D:D, "Satin", ledger!C:C, "&lt;&gt;January Closing CF")
))+ _xlfn.IFNA(J100, 0)</f>
        <v>0</v>
      </c>
      <c r="Z21" s="70" cm="1">
        <f t="array" ref="Z21">_xlfn.BYROW(B65, _xlfn.LAMBDA(_xlpm.party,
   SUMIFS(ledger!J:J, ledger!B:B, _xlpm.party, ledger!E:E, "&lt;&gt;*RD*", ledger!D:D, "Black-Chamki", ledger!C:C, "&lt;&gt;January Closing CF")
))+ _xlfn.IFNA(K100, 0)</f>
        <v>0</v>
      </c>
      <c r="AA21" s="70" cm="1">
        <f t="array" ref="AA21">_xlfn.BYROW(B65, _xlfn.LAMBDA(_xlpm.party,
   SUMIFS(ledger!J:J, ledger!B:B, _xlpm.party, ledger!E:E, "&lt;&gt;*RD*", ledger!D:D, "Kataan", ledger!C:C, "&lt;&gt;January Closing CF")
))+ _xlfn.IFNA(L100, 0)</f>
        <v>0</v>
      </c>
      <c r="AB21" s="70" cm="1">
        <f t="array" ref="AB21">_xlfn.BYROW(B65, _xlfn.LAMBDA(_xlpm.party,
   SUMIFS(ledger!J:J, ledger!B:B, _xlpm.party, ledger!E:E, "&lt;&gt;*RD*", ledger!D:D, "Munaar", ledger!C:C, "&lt;&gt;January Closing CF")
))+ _xlfn.IFNA(M100, 0)</f>
        <v>0</v>
      </c>
      <c r="AC21" s="39">
        <f t="shared" si="1"/>
        <v>6754072.7871250929</v>
      </c>
      <c r="AD21" s="22">
        <f>(SUMIF(Table14[Party],Q21,Table14[Credit]))+_xlfn.IFNA(O100,0)</f>
        <v>6728187</v>
      </c>
      <c r="AE21" s="33">
        <f t="shared" si="2"/>
        <v>25885.787125092931</v>
      </c>
      <c r="AF21" s="21">
        <v>10</v>
      </c>
      <c r="AG21" s="21">
        <v>13</v>
      </c>
    </row>
    <row r="22" spans="2:33" x14ac:dyDescent="0.3">
      <c r="C22" s="18"/>
      <c r="I22" t="s">
        <v>190</v>
      </c>
      <c r="O22" s="21"/>
      <c r="Q22"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(SUMIFS(ledger!J:J,ledger!B:B,_xlpm.party,ledger!E:E,"&lt;&gt;*RD*",ledger!D:D,"Chamki",ledger!C:C,"&lt;&gt;January Closing CF")+
SUMIFS(ledger!J:J,ledger!B:B,_xlpm.party,ledger!E:E,"&lt;&gt;*RD*",ledger!D:D,"Crinkle",ledger!C:C,"&lt;&gt;January Closing CF")
)+_xlfn.IFNA(G101,0))))</f>
        <v>643004.75493782014</v>
      </c>
      <c r="W22" s="70" cm="1">
        <f t="array" ref="W22">_xlfn.BYROW(B66, _xlfn.LAMBDA(_xlpm.party,
   SUMIFS(ledger!J:J, ledger!B:B, _xlpm.party, ledger!E:E, "&lt;&gt;*RD*", ledger!D:D, "Silky", ledger!C:C, "&lt;&gt;January Closing CF")
)) + _xlfn.IFNA(H101, 0)</f>
        <v>98355.888807607917</v>
      </c>
      <c r="X22" s="70" cm="1">
        <f t="array" ref="X22">_xlfn.BYROW(B66, _xlfn.LAMBDA(_xlpm.party,
   SUMIFS(ledger!J:J, ledger!B:B, _xlpm.party, ledger!E:E, "&lt;&gt;*RD*", ledger!D:D, "Slub", ledger!C:C, "&lt;&gt;January Closing CF")
))+ _xlfn.IFNA(I101, 0)</f>
        <v>0</v>
      </c>
      <c r="Y22" s="70" cm="1">
        <f t="array" ref="Y22">_xlfn.BYROW(B66, _xlfn.LAMBDA(_xlpm.party,
   SUMIFS(ledger!J:J, ledger!B:B, _xlpm.party, ledger!E:E, "&lt;&gt;*RD*", ledger!D:D, "Satin", ledger!C:C, "&lt;&gt;January Closing CF")
))+ _xlfn.IFNA(J101, 0)</f>
        <v>94656.181419166067</v>
      </c>
      <c r="Z22" s="70" cm="1">
        <f t="array" ref="Z22">_xlfn.BYROW(B66, _xlfn.LAMBDA(_xlpm.party,
   SUMIFS(ledger!J:J, ledger!B:B, _xlpm.party, ledger!E:E, "&lt;&gt;*RD*", ledger!D:D, "Black-Chamki", ledger!C:C, "&lt;&gt;January Closing CF")
))+ _xlfn.IFNA(K101, 0)</f>
        <v>0</v>
      </c>
      <c r="AA22" s="70" cm="1">
        <f t="array" ref="AA22">_xlfn.BYROW(B66, _xlfn.LAMBDA(_xlpm.party,
   SUMIFS(ledger!J:J, ledger!B:B, _xlpm.party, ledger!E:E, "&lt;&gt;*RD*", ledger!D:D, "Kataan", ledger!C:C, "&lt;&gt;January Closing CF")
))+ _xlfn.IFNA(L101, 0)</f>
        <v>0</v>
      </c>
      <c r="AB22" s="70" cm="1">
        <f t="array" ref="AB22">_xlfn.BYROW(B66, _xlfn.LAMBDA(_xlpm.party,
   SUMIFS(ledger!J:J, ledger!B:B, _xlpm.party, ledger!E:E, "&lt;&gt;*RD*", ledger!D:D, "Munaar", ledger!C:C, "&lt;&gt;January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4535229.5171909286</v>
      </c>
      <c r="D23" t="s">
        <v>32</v>
      </c>
      <c r="I23" t="s">
        <v>193</v>
      </c>
      <c r="O23" s="21"/>
      <c r="Q23" t="str">
        <v>Amjad sohail</v>
      </c>
      <c r="R23" s="22" cm="1">
        <f t="array" ref="R23">_xlfn.BYROW(B67,_xlfn.LAMBDA(_xlpm.party,SUMIFS(ledger!G:G,ledger!B:B,_xlpm.party,ledger!E:E,"&lt;&gt;*RD*")))+_xlfn.IFNA(C102,0)</f>
        <v>447742</v>
      </c>
      <c r="S23" s="22" cm="1">
        <f t="array" ref="S23">_xlfn.BYROW(B67, _xlfn.LAMBDA(_xlpm.party, SUMIFS(ledger!G:G, ledger!B:B, _xlpm.party, ledger!E:E, "&lt;&gt;*RD*") / 1.0936 ))+_xlfn.IFNA(D102,0)</f>
        <v>409420.2633504023</v>
      </c>
      <c r="T23" s="22" cm="1">
        <f t="array" ref="T23">(_xlfn.BYROW(B67,_xlfn.LAMBDA(_xlpm.party,SUMIFS(ledger!G:G,ledger!B:B,_xlpm.party,ledger!E:E,"&lt;&gt;*RD*",ledger!D:D,"Chamki")+SUMIFS(ledger!G:G, ledger!B:B, _xlpm.party, ledger!E:E, "&lt;&gt;*RD*", ledger!D:D, "Crinkle")))/1.0936)+_xlfn.IFNA(E102,0)</f>
        <v>362820.04389173369</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(SUMIFS(ledger!J:J,ledger!B:B,_xlpm.party,ledger!E:E,"&lt;&gt;*RD*",ledger!D:D,"Chamki",ledger!C:C,"&lt;&gt;January Closing CF")+
SUMIFS(ledger!J:J,ledger!B:B,_xlpm.party,ledger!E:E,"&lt;&gt;*RD*",ledger!D:D,"Crinkle",ledger!C:C,"&lt;&gt;January Closing CF")
)+_xlfn.IFNA(G102,0))))</f>
        <v>3628200.4389173379</v>
      </c>
      <c r="W23" s="70" cm="1">
        <f t="array" ref="W23">_xlfn.BYROW(B67, _xlfn.LAMBDA(_xlpm.party,
   SUMIFS(ledger!J:J, ledger!B:B, _xlpm.party, ledger!E:E, "&lt;&gt;*RD*", ledger!D:D, "Silky", ledger!C:C, "&lt;&gt;January Closing CF")
)) + _xlfn.IFNA(H102, 0)</f>
        <v>605802.85296269215</v>
      </c>
      <c r="X23" s="70" cm="1">
        <f t="array" ref="X23">_xlfn.BYROW(B67, _xlfn.LAMBDA(_xlpm.party,
   SUMIFS(ledger!J:J, ledger!B:B, _xlpm.party, ledger!E:E, "&lt;&gt;*RD*", ledger!D:D, "Slub", ledger!C:C, "&lt;&gt;January Closing CF")
))+ _xlfn.IFNA(I102, 0)</f>
        <v>0</v>
      </c>
      <c r="Y23" s="70" cm="1">
        <f t="array" ref="Y23">_xlfn.BYROW(B67, _xlfn.LAMBDA(_xlpm.party,
   SUMIFS(ledger!J:J, ledger!B:B, _xlpm.party, ledger!E:E, "&lt;&gt;*RD*", ledger!D:D, "Satin", ledger!C:C, "&lt;&gt;January Closing CF")
))+ _xlfn.IFNA(J102, 0)</f>
        <v>0</v>
      </c>
      <c r="Z23" s="70" cm="1">
        <f t="array" ref="Z23">_xlfn.BYROW(B67, _xlfn.LAMBDA(_xlpm.party,
   SUMIFS(ledger!J:J, ledger!B:B, _xlpm.party, ledger!E:E, "&lt;&gt;*RD*", ledger!D:D, "Black-Chamki", ledger!C:C, "&lt;&gt;January Closing CF")
))+ _xlfn.IFNA(K102, 0)</f>
        <v>0</v>
      </c>
      <c r="AA23" s="70" cm="1">
        <f t="array" ref="AA23">_xlfn.BYROW(B67, _xlfn.LAMBDA(_xlpm.party,
   SUMIFS(ledger!J:J, ledger!B:B, _xlpm.party, ledger!E:E, "&lt;&gt;*RD*", ledger!D:D, "Kataan", ledger!C:C, "&lt;&gt;January Closing CF")
))+ _xlfn.IFNA(L102, 0)</f>
        <v>0</v>
      </c>
      <c r="AB23" s="70" cm="1">
        <f t="array" ref="AB23">_xlfn.BYROW(B67, _xlfn.LAMBDA(_xlpm.party,
   SUMIFS(ledger!J:J, ledger!B:B, _xlpm.party, ledger!E:E, "&lt;&gt;*RD*", ledger!D:D, "Munaar", ledger!C:C, "&lt;&gt;January Closing CF")
))+ _xlfn.IFNA(M102, 0)</f>
        <v>0</v>
      </c>
      <c r="AC23" s="39">
        <f t="shared" si="1"/>
        <v>4234003.2918800302</v>
      </c>
      <c r="AD23" s="22">
        <f>(SUMIF(Table14[Party],Q23,Table14[Credit]))+_xlfn.IFNA(O102,0)</f>
        <v>4417830</v>
      </c>
      <c r="AE23" s="33">
        <f t="shared" si="2"/>
        <v>-183826.70811996982</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(SUMIFS(ledger!J:J,ledger!B:B,_xlpm.party,ledger!E:E,"&lt;&gt;*RD*",ledger!D:D,"Chamki",ledger!C:C,"&lt;&gt;January Closing CF")+
SUMIFS(ledger!J:J,ledger!B:B,_xlpm.party,ledger!E:E,"&lt;&gt;*RD*",ledger!D:D,"Crinkle",ledger!C:C,"&lt;&gt;January Closing CF")
)+_xlfn.IFNA(G103,0))))</f>
        <v>729398.31748354062</v>
      </c>
      <c r="W24" s="70" cm="1">
        <f t="array" ref="W24">_xlfn.BYROW(B68, _xlfn.LAMBDA(_xlpm.party,
   SUMIFS(ledger!J:J, ledger!B:B, _xlpm.party, ledger!E:E, "&lt;&gt;*RD*", ledger!D:D, "Silky", ledger!C:C, "&lt;&gt;January Closing CF")
)) + _xlfn.IFNA(H103, 0)</f>
        <v>408318.39795171918</v>
      </c>
      <c r="X24" s="70" cm="1">
        <f t="array" ref="X24">_xlfn.BYROW(B68, _xlfn.LAMBDA(_xlpm.party,
   SUMIFS(ledger!J:J, ledger!B:B, _xlpm.party, ledger!E:E, "&lt;&gt;*RD*", ledger!D:D, "Slub", ledger!C:C, "&lt;&gt;January Closing CF")
))+ _xlfn.IFNA(I103, 0)</f>
        <v>0</v>
      </c>
      <c r="Y24" s="70" cm="1">
        <f t="array" ref="Y24">_xlfn.BYROW(B68, _xlfn.LAMBDA(_xlpm.party,
   SUMIFS(ledger!J:J, ledger!B:B, _xlpm.party, ledger!E:E, "&lt;&gt;*RD*", ledger!D:D, "Satin", ledger!C:C, "&lt;&gt;January Closing CF")
))+ _xlfn.IFNA(J103, 0)</f>
        <v>0</v>
      </c>
      <c r="Z24" s="70" cm="1">
        <f t="array" ref="Z24">_xlfn.BYROW(B68, _xlfn.LAMBDA(_xlpm.party,
   SUMIFS(ledger!J:J, ledger!B:B, _xlpm.party, ledger!E:E, "&lt;&gt;*RD*", ledger!D:D, "Black-Chamki", ledger!C:C, "&lt;&gt;January Closing CF")
))+ _xlfn.IFNA(K103, 0)</f>
        <v>161653.2553035845</v>
      </c>
      <c r="AA24" s="70" cm="1">
        <f t="array" ref="AA24">_xlfn.BYROW(B68, _xlfn.LAMBDA(_xlpm.party,
   SUMIFS(ledger!J:J, ledger!B:B, _xlpm.party, ledger!E:E, "&lt;&gt;*RD*", ledger!D:D, "Kataan", ledger!C:C, "&lt;&gt;January Closing CF")
))+ _xlfn.IFNA(L103, 0)</f>
        <v>1970409.6561814193</v>
      </c>
      <c r="AB24" s="70" cm="1">
        <f t="array" ref="AB24">_xlfn.BYROW(B68, _xlfn.LAMBDA(_xlpm.party,
   SUMIFS(ledger!J:J, ledger!B:B, _xlpm.party, ledger!E:E, "&lt;&gt;*RD*", ledger!D:D, "Munaar", ledger!C:C, "&lt;&gt;January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(SUMIFS(ledger!J:J,ledger!B:B,_xlpm.party,ledger!E:E,"&lt;&gt;*RD*",ledger!D:D,"Chamki",ledger!C:C,"&lt;&gt;January Closing CF")+
SUMIFS(ledger!J:J,ledger!B:B,_xlpm.party,ledger!E:E,"&lt;&gt;*RD*",ledger!D:D,"Crinkle",ledger!C:C,"&lt;&gt;January Closing CF")
)+_xlfn.IFNA(G104,0))))</f>
        <v>3109985.3694220926</v>
      </c>
      <c r="W25" s="70" cm="1">
        <f t="array" ref="W25">_xlfn.BYROW(B69, _xlfn.LAMBDA(_xlpm.party,
   SUMIFS(ledger!J:J, ledger!B:B, _xlpm.party, ledger!E:E, "&lt;&gt;*RD*", ledger!D:D, "Silky", ledger!C:C, "&lt;&gt;January Closing CF")
)) + _xlfn.IFNA(H104, 0)</f>
        <v>0</v>
      </c>
      <c r="X25" s="70" cm="1">
        <f t="array" ref="X25">_xlfn.BYROW(B69, _xlfn.LAMBDA(_xlpm.party,
   SUMIFS(ledger!J:J, ledger!B:B, _xlpm.party, ledger!E:E, "&lt;&gt;*RD*", ledger!D:D, "Slub", ledger!C:C, "&lt;&gt;January Closing CF")
))+ _xlfn.IFNA(I104, 0)</f>
        <v>0</v>
      </c>
      <c r="Y25" s="70" cm="1">
        <f t="array" ref="Y25">_xlfn.BYROW(B69, _xlfn.LAMBDA(_xlpm.party,
   SUMIFS(ledger!J:J, ledger!B:B, _xlpm.party, ledger!E:E, "&lt;&gt;*RD*", ledger!D:D, "Satin", ledger!C:C, "&lt;&gt;January Closing CF")
))+ _xlfn.IFNA(J104, 0)</f>
        <v>0</v>
      </c>
      <c r="Z25" s="70" cm="1">
        <f t="array" ref="Z25">_xlfn.BYROW(B69, _xlfn.LAMBDA(_xlpm.party,
   SUMIFS(ledger!J:J, ledger!B:B, _xlpm.party, ledger!E:E, "&lt;&gt;*RD*", ledger!D:D, "Black-Chamki", ledger!C:C, "&lt;&gt;January Closing CF")
))+ _xlfn.IFNA(K104, 0)</f>
        <v>23767.373811265548</v>
      </c>
      <c r="AA25" s="70" cm="1">
        <f t="array" ref="AA25">_xlfn.BYROW(B69, _xlfn.LAMBDA(_xlpm.party,
   SUMIFS(ledger!J:J, ledger!B:B, _xlpm.party, ledger!E:E, "&lt;&gt;*RD*", ledger!D:D, "Kataan", ledger!C:C, "&lt;&gt;January Closing CF")
))+ _xlfn.IFNA(L104, 0)</f>
        <v>523143.74542794435</v>
      </c>
      <c r="AB25" s="70" cm="1">
        <f t="array" ref="AB25">_xlfn.BYROW(B69, _xlfn.LAMBDA(_xlpm.party,
   SUMIFS(ledger!J:J, ledger!B:B, _xlpm.party, ledger!E:E, "&lt;&gt;*RD*", ledger!D:D, "Munaar", ledger!C:C, "&lt;&gt;January Closing CF")
))+ _xlfn.IFNA(M104, 0)</f>
        <v>0</v>
      </c>
      <c r="AC25" s="39">
        <f t="shared" si="1"/>
        <v>3656896.4886613023</v>
      </c>
      <c r="AD25" s="22">
        <f>(SUMIF(Table14[Party],Q25,Table14[Credit]))+_xlfn.IFNA(O104,0)</f>
        <v>3645477</v>
      </c>
      <c r="AE25" s="33">
        <f t="shared" si="2"/>
        <v>11419.488661302254</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(SUMIFS(ledger!J:J,ledger!B:B,_xlpm.party,ledger!E:E,"&lt;&gt;*RD*",ledger!D:D,"Chamki",ledger!C:C,"&lt;&gt;January Closing CF")+
SUMIFS(ledger!J:J,ledger!B:B,_xlpm.party,ledger!E:E,"&lt;&gt;*RD*",ledger!D:D,"Crinkle",ledger!C:C,"&lt;&gt;January Closing CF")
)+_xlfn.IFNA(G105,0))))</f>
        <v>424323.335771763</v>
      </c>
      <c r="W26" s="70" cm="1">
        <f t="array" ref="W26">_xlfn.BYROW(B70, _xlfn.LAMBDA(_xlpm.party,
   SUMIFS(ledger!J:J, ledger!B:B, _xlpm.party, ledger!E:E, "&lt;&gt;*RD*", ledger!D:D, "Silky", ledger!C:C, "&lt;&gt;January Closing CF")
)) + _xlfn.IFNA(H105, 0)</f>
        <v>0</v>
      </c>
      <c r="X26" s="70" cm="1">
        <f t="array" ref="X26">_xlfn.BYROW(B70, _xlfn.LAMBDA(_xlpm.party,
   SUMIFS(ledger!J:J, ledger!B:B, _xlpm.party, ledger!E:E, "&lt;&gt;*RD*", ledger!D:D, "Slub", ledger!C:C, "&lt;&gt;January Closing CF")
))+ _xlfn.IFNA(I105, 0)</f>
        <v>0</v>
      </c>
      <c r="Y26" s="70" cm="1">
        <f t="array" ref="Y26">_xlfn.BYROW(B70, _xlfn.LAMBDA(_xlpm.party,
   SUMIFS(ledger!J:J, ledger!B:B, _xlpm.party, ledger!E:E, "&lt;&gt;*RD*", ledger!D:D, "Satin", ledger!C:C, "&lt;&gt;January Closing CF")
))+ _xlfn.IFNA(J105, 0)</f>
        <v>0</v>
      </c>
      <c r="Z26" s="70" cm="1">
        <f t="array" ref="Z26">_xlfn.BYROW(B70, _xlfn.LAMBDA(_xlpm.party,
   SUMIFS(ledger!J:J, ledger!B:B, _xlpm.party, ledger!E:E, "&lt;&gt;*RD*", ledger!D:D, "Black-Chamki", ledger!C:C, "&lt;&gt;January Closing CF")
))+ _xlfn.IFNA(K105, 0)</f>
        <v>0</v>
      </c>
      <c r="AA26" s="70" cm="1">
        <f t="array" ref="AA26">_xlfn.BYROW(B70, _xlfn.LAMBDA(_xlpm.party,
   SUMIFS(ledger!J:J, ledger!B:B, _xlpm.party, ledger!E:E, "&lt;&gt;*RD*", ledger!D:D, "Kataan", ledger!C:C, "&lt;&gt;January Closing CF")
))+ _xlfn.IFNA(L105, 0)</f>
        <v>0</v>
      </c>
      <c r="AB26" s="70" cm="1">
        <f t="array" ref="AB26">_xlfn.BYROW(B70, _xlfn.LAMBDA(_xlpm.party,
   SUMIFS(ledger!J:J, ledger!B:B, _xlpm.party, ledger!E:E, "&lt;&gt;*RD*", ledger!D:D, "Munaar", ledger!C:C, "&lt;&gt;January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122386</v>
      </c>
      <c r="S27" s="22" cm="1">
        <f t="array" ref="S27">_xlfn.BYROW(B71, _xlfn.LAMBDA(_xlpm.party, SUMIFS(ledger!G:G, ledger!B:B, _xlpm.party, ledger!E:E, "&lt;&gt;*RD*") / 1.0936 ))+_xlfn.IFNA(D106,0)</f>
        <v>111911.11923920995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111911.11923920995</v>
      </c>
      <c r="V27" s="22" cm="1">
        <f t="array" ref="V27">(_xlfn.BYROW(B71,_xlfn.LAMBDA(_xlpm.party,
(SUMIFS(ledger!J:J,ledger!B:B,_xlpm.party,ledger!E:E,"&lt;&gt;*RD*",ledger!D:D,"Chamki",ledger!C:C,"&lt;&gt;January Closing CF")+
SUMIFS(ledger!J:J,ledger!B:B,_xlpm.party,ledger!E:E,"&lt;&gt;*RD*",ledger!D:D,"Crinkle",ledger!C:C,"&lt;&gt;January Closing CF")
)+_xlfn.IFNA(G106,0))))</f>
        <v>0</v>
      </c>
      <c r="W27" s="70" cm="1">
        <f t="array" ref="W27">_xlfn.BYROW(B71, _xlfn.LAMBDA(_xlpm.party,
   SUMIFS(ledger!J:J, ledger!B:B, _xlpm.party, ledger!E:E, "&lt;&gt;*RD*", ledger!D:D, "Silky", ledger!C:C, "&lt;&gt;January Closing CF")
)) + _xlfn.IFNA(H106, 0)</f>
        <v>1454844.5501097296</v>
      </c>
      <c r="X27" s="70" cm="1">
        <f t="array" ref="X27">_xlfn.BYROW(B71, _xlfn.LAMBDA(_xlpm.party,
   SUMIFS(ledger!J:J, ledger!B:B, _xlpm.party, ledger!E:E, "&lt;&gt;*RD*", ledger!D:D, "Slub", ledger!C:C, "&lt;&gt;January Closing CF")
))+ _xlfn.IFNA(I106, 0)</f>
        <v>0</v>
      </c>
      <c r="Y27" s="70" cm="1">
        <f t="array" ref="Y27">_xlfn.BYROW(B71, _xlfn.LAMBDA(_xlpm.party,
   SUMIFS(ledger!J:J, ledger!B:B, _xlpm.party, ledger!E:E, "&lt;&gt;*RD*", ledger!D:D, "Satin", ledger!C:C, "&lt;&gt;January Closing CF")
))+ _xlfn.IFNA(J106, 0)</f>
        <v>0</v>
      </c>
      <c r="Z27" s="70" cm="1">
        <f t="array" ref="Z27">_xlfn.BYROW(B71, _xlfn.LAMBDA(_xlpm.party,
   SUMIFS(ledger!J:J, ledger!B:B, _xlpm.party, ledger!E:E, "&lt;&gt;*RD*", ledger!D:D, "Black-Chamki", ledger!C:C, "&lt;&gt;January Closing CF")
))+ _xlfn.IFNA(K106, 0)</f>
        <v>0</v>
      </c>
      <c r="AA27" s="70" cm="1">
        <f t="array" ref="AA27">_xlfn.BYROW(B71, _xlfn.LAMBDA(_xlpm.party,
   SUMIFS(ledger!J:J, ledger!B:B, _xlpm.party, ledger!E:E, "&lt;&gt;*RD*", ledger!D:D, "Kataan", ledger!C:C, "&lt;&gt;January Closing CF")
))+ _xlfn.IFNA(L106, 0)</f>
        <v>0</v>
      </c>
      <c r="AB27" s="70" cm="1">
        <f t="array" ref="AB27">_xlfn.BYROW(B71, _xlfn.LAMBDA(_xlpm.party,
   SUMIFS(ledger!J:J, ledger!B:B, _xlpm.party, ledger!E:E, "&lt;&gt;*RD*", ledger!D:D, "Munaar", ledger!C:C, "&lt;&gt;January Closing CF")
))+ _xlfn.IFNA(M106, 0)</f>
        <v>0</v>
      </c>
      <c r="AC27" s="39">
        <f t="shared" si="1"/>
        <v>1454844.5501097296</v>
      </c>
      <c r="AD27" s="22">
        <f>(SUMIF(Table14[Party],Q27,Table14[Credit]))+_xlfn.IFNA(O106,0)</f>
        <v>1445500</v>
      </c>
      <c r="AE27" s="33">
        <f t="shared" si="2"/>
        <v>9344.5501097296365</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(SUMIFS(ledger!J:J,ledger!B:B,_xlpm.party,ledger!E:E,"&lt;&gt;*RD*",ledger!D:D,"Chamki",ledger!C:C,"&lt;&gt;January Closing CF")+
SUMIFS(ledger!J:J,ledger!B:B,_xlpm.party,ledger!E:E,"&lt;&gt;*RD*",ledger!D:D,"Crinkle",ledger!C:C,"&lt;&gt;January Closing CF")
)+_xlfn.IFNA(G107,0))))</f>
        <v>124561.08266276518</v>
      </c>
      <c r="W28" s="70" cm="1">
        <f t="array" ref="W28">_xlfn.BYROW(B72, _xlfn.LAMBDA(_xlpm.party,
   SUMIFS(ledger!J:J, ledger!B:B, _xlpm.party, ledger!E:E, "&lt;&gt;*RD*", ledger!D:D, "Silky", ledger!C:C, "&lt;&gt;January Closing CF")
)) + _xlfn.IFNA(H107, 0)</f>
        <v>0</v>
      </c>
      <c r="X28" s="70" cm="1">
        <f t="array" ref="X28">_xlfn.BYROW(B72, _xlfn.LAMBDA(_xlpm.party,
   SUMIFS(ledger!J:J, ledger!B:B, _xlpm.party, ledger!E:E, "&lt;&gt;*RD*", ledger!D:D, "Slub", ledger!C:C, "&lt;&gt;January Closing CF")
))+ _xlfn.IFNA(I107, 0)</f>
        <v>0</v>
      </c>
      <c r="Y28" s="70" cm="1">
        <f t="array" ref="Y28">_xlfn.BYROW(B72, _xlfn.LAMBDA(_xlpm.party,
   SUMIFS(ledger!J:J, ledger!B:B, _xlpm.party, ledger!E:E, "&lt;&gt;*RD*", ledger!D:D, "Satin", ledger!C:C, "&lt;&gt;January Closing CF")
))+ _xlfn.IFNA(J107, 0)</f>
        <v>0</v>
      </c>
      <c r="Z28" s="70" cm="1">
        <f t="array" ref="Z28">_xlfn.BYROW(B72, _xlfn.LAMBDA(_xlpm.party,
   SUMIFS(ledger!J:J, ledger!B:B, _xlpm.party, ledger!E:E, "&lt;&gt;*RD*", ledger!D:D, "Black-Chamki", ledger!C:C, "&lt;&gt;January Closing CF")
))+ _xlfn.IFNA(K107, 0)</f>
        <v>0</v>
      </c>
      <c r="AA28" s="70" cm="1">
        <f t="array" ref="AA28">_xlfn.BYROW(B72, _xlfn.LAMBDA(_xlpm.party,
   SUMIFS(ledger!J:J, ledger!B:B, _xlpm.party, ledger!E:E, "&lt;&gt;*RD*", ledger!D:D, "Kataan", ledger!C:C, "&lt;&gt;January Closing CF")
))+ _xlfn.IFNA(L107, 0)</f>
        <v>0</v>
      </c>
      <c r="AB28" s="70" cm="1">
        <f t="array" ref="AB28">_xlfn.BYROW(B72, _xlfn.LAMBDA(_xlpm.party,
   SUMIFS(ledger!J:J, ledger!B:B, _xlpm.party, ledger!E:E, "&lt;&gt;*RD*", ledger!D:D, "Munaar", ledger!C:C, "&lt;&gt;January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(SUMIFS(ledger!J:J,ledger!B:B,_xlpm.party,ledger!E:E,"&lt;&gt;*RD*",ledger!D:D,"Chamki",ledger!C:C,"&lt;&gt;January Closing CF")+
SUMIFS(ledger!J:J,ledger!B:B,_xlpm.party,ledger!E:E,"&lt;&gt;*RD*",ledger!D:D,"Crinkle",ledger!C:C,"&lt;&gt;January Closing CF")
)+_xlfn.IFNA(G108,0))))</f>
        <v>0</v>
      </c>
      <c r="W29" s="70" cm="1">
        <f t="array" ref="W29">_xlfn.BYROW(B73, _xlfn.LAMBDA(_xlpm.party,
   SUMIFS(ledger!J:J, ledger!B:B, _xlpm.party, ledger!E:E, "&lt;&gt;*RD*", ledger!D:D, "Silky", ledger!C:C, "&lt;&gt;January Closing CF")
)) + _xlfn.IFNA(H108, 0)</f>
        <v>385138.07607900514</v>
      </c>
      <c r="X29" s="70" cm="1">
        <f t="array" ref="X29">_xlfn.BYROW(B73, _xlfn.LAMBDA(_xlpm.party,
   SUMIFS(ledger!J:J, ledger!B:B, _xlpm.party, ledger!E:E, "&lt;&gt;*RD*", ledger!D:D, "Slub", ledger!C:C, "&lt;&gt;January Closing CF")
))+ _xlfn.IFNA(I108, 0)</f>
        <v>0</v>
      </c>
      <c r="Y29" s="70" cm="1">
        <f t="array" ref="Y29">_xlfn.BYROW(B73, _xlfn.LAMBDA(_xlpm.party,
   SUMIFS(ledger!J:J, ledger!B:B, _xlpm.party, ledger!E:E, "&lt;&gt;*RD*", ledger!D:D, "Satin", ledger!C:C, "&lt;&gt;January Closing CF")
))+ _xlfn.IFNA(J108, 0)</f>
        <v>0</v>
      </c>
      <c r="Z29" s="70" cm="1">
        <f t="array" ref="Z29">_xlfn.BYROW(B73, _xlfn.LAMBDA(_xlpm.party,
   SUMIFS(ledger!J:J, ledger!B:B, _xlpm.party, ledger!E:E, "&lt;&gt;*RD*", ledger!D:D, "Black-Chamki", ledger!C:C, "&lt;&gt;January Closing CF")
))+ _xlfn.IFNA(K108, 0)</f>
        <v>0</v>
      </c>
      <c r="AA29" s="70" cm="1">
        <f t="array" ref="AA29">_xlfn.BYROW(B73, _xlfn.LAMBDA(_xlpm.party,
   SUMIFS(ledger!J:J, ledger!B:B, _xlpm.party, ledger!E:E, "&lt;&gt;*RD*", ledger!D:D, "Kataan", ledger!C:C, "&lt;&gt;January Closing CF")
))+ _xlfn.IFNA(L108, 0)</f>
        <v>0</v>
      </c>
      <c r="AB29" s="70" cm="1">
        <f t="array" ref="AB29">_xlfn.BYROW(B73, _xlfn.LAMBDA(_xlpm.party,
   SUMIFS(ledger!J:J, ledger!B:B, _xlpm.party, ledger!E:E, "&lt;&gt;*RD*", ledger!D:D, "Munaar", ledger!C:C, "&lt;&gt;January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(SUMIFS(ledger!J:J,ledger!B:B,_xlpm.party,ledger!E:E,"&lt;&gt;*RD*",ledger!D:D,"Chamki",ledger!C:C,"&lt;&gt;January Closing CF")+
SUMIFS(ledger!J:J,ledger!B:B,_xlpm.party,ledger!E:E,"&lt;&gt;*RD*",ledger!D:D,"Crinkle",ledger!C:C,"&lt;&gt;January Closing CF")
)+_xlfn.IFNA(G109,0))))</f>
        <v>0</v>
      </c>
      <c r="W30" s="70" cm="1">
        <f t="array" ref="W30">_xlfn.BYROW(B74, _xlfn.LAMBDA(_xlpm.party,
   SUMIFS(ledger!J:J, ledger!B:B, _xlpm.party, ledger!E:E, "&lt;&gt;*RD*", ledger!D:D, "Silky", ledger!C:C, "&lt;&gt;January Closing CF")
)) + _xlfn.IFNA(H109, 0)</f>
        <v>0</v>
      </c>
      <c r="X30" s="70" cm="1">
        <f t="array" ref="X30">_xlfn.BYROW(B74, _xlfn.LAMBDA(_xlpm.party,
   SUMIFS(ledger!J:J, ledger!B:B, _xlpm.party, ledger!E:E, "&lt;&gt;*RD*", ledger!D:D, "Slub", ledger!C:C, "&lt;&gt;January Closing CF")
))+ _xlfn.IFNA(I109, 0)</f>
        <v>0</v>
      </c>
      <c r="Y30" s="70" cm="1">
        <f t="array" ref="Y30">_xlfn.BYROW(B74, _xlfn.LAMBDA(_xlpm.party,
   SUMIFS(ledger!J:J, ledger!B:B, _xlpm.party, ledger!E:E, "&lt;&gt;*RD*", ledger!D:D, "Satin", ledger!C:C, "&lt;&gt;January Closing CF")
))+ _xlfn.IFNA(J109, 0)</f>
        <v>0</v>
      </c>
      <c r="Z30" s="70" cm="1">
        <f t="array" ref="Z30">_xlfn.BYROW(B74, _xlfn.LAMBDA(_xlpm.party,
   SUMIFS(ledger!J:J, ledger!B:B, _xlpm.party, ledger!E:E, "&lt;&gt;*RD*", ledger!D:D, "Black-Chamki", ledger!C:C, "&lt;&gt;January Closing CF")
))+ _xlfn.IFNA(K109, 0)</f>
        <v>0</v>
      </c>
      <c r="AA30" s="70" cm="1">
        <f t="array" ref="AA30">_xlfn.BYROW(B74, _xlfn.LAMBDA(_xlpm.party,
   SUMIFS(ledger!J:J, ledger!B:B, _xlpm.party, ledger!E:E, "&lt;&gt;*RD*", ledger!D:D, "Kataan", ledger!C:C, "&lt;&gt;January Closing CF")
))+ _xlfn.IFNA(L109, 0)</f>
        <v>0</v>
      </c>
      <c r="AB30" s="70" cm="1">
        <f t="array" ref="AB30">_xlfn.BYROW(B74, _xlfn.LAMBDA(_xlpm.party,
   SUMIFS(ledger!J:J, ledger!B:B, _xlpm.party, ledger!E:E, "&lt;&gt;*RD*", ledger!D:D, "Munaar", ledger!C:C, "&lt;&gt;January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Shani Badshah</v>
      </c>
      <c r="R31" s="22" cm="1">
        <f t="array" ref="R31">_xlfn.BYROW(B75,_xlfn.LAMBDA(_xlpm.party,SUMIFS(ledger!G:G,ledger!B:B,_xlpm.party,ledger!E:E,"&lt;&gt;*RD*")))+_xlfn.IFNA(C110,0)</f>
        <v>200033</v>
      </c>
      <c r="S31" s="22" cm="1">
        <f t="array" ref="S31">_xlfn.BYROW(B75, _xlfn.LAMBDA(_xlpm.party, SUMIFS(ledger!G:G, ledger!B:B, _xlpm.party, ledger!E:E, "&lt;&gt;*RD*") / 1.0936 ))+_xlfn.IFNA(D110,0)</f>
        <v>182912.39941477691</v>
      </c>
      <c r="T31" s="22" cm="1">
        <f t="array" ref="T31">(_xlfn.BYROW(B75,_xlfn.LAMBDA(_xlpm.party,SUMIFS(ledger!G:G,ledger!B:B,_xlpm.party,ledger!E:E,"&lt;&gt;*RD*",ledger!D:D,"Chamki")+SUMIFS(ledger!G:G, ledger!B:B, _xlpm.party, ledger!E:E, "&lt;&gt;*RD*", ledger!D:D, "Crinkle")))/1.0936)+_xlfn.IFNA(E110,0)</f>
        <v>96185.076810534025</v>
      </c>
      <c r="U31" s="70" cm="1">
        <f t="array" ref="U31">(_xlfn.BYROW(B75,_xlfn.LAMBDA(_xlpm.party,SUMIFS(ledger!G:G,ledger!B:B,_xlpm.party,ledger!E:E,"&lt;&gt;*RD*",ledger!D:D,"Silky")))/1.0936)+_xlfn.IFNA(F110,0)</f>
        <v>86727.322604242872</v>
      </c>
      <c r="V31" s="22" cm="1">
        <f t="array" ref="V31">(_xlfn.BYROW(B75,_xlfn.LAMBDA(_xlpm.party,
(SUMIFS(ledger!J:J,ledger!B:B,_xlpm.party,ledger!E:E,"&lt;&gt;*RD*",ledger!D:D,"Chamki",ledger!C:C,"&lt;&gt;January Closing CF")+
SUMIFS(ledger!J:J,ledger!B:B,_xlpm.party,ledger!E:E,"&lt;&gt;*RD*",ledger!D:D,"Crinkle",ledger!C:C,"&lt;&gt;January Closing CF")
)+_xlfn.IFNA(G110,0))))</f>
        <v>961850.76810534031</v>
      </c>
      <c r="W31" s="70" cm="1">
        <f t="array" ref="W31">_xlfn.BYROW(B75, _xlfn.LAMBDA(_xlpm.party,
   SUMIFS(ledger!J:J, ledger!B:B, _xlpm.party, ledger!E:E, "&lt;&gt;*RD*", ledger!D:D, "Silky", ledger!C:C, "&lt;&gt;January Closing CF")
)) + _xlfn.IFNA(H110, 0)</f>
        <v>1127455.1938551574</v>
      </c>
      <c r="X31" s="70" cm="1">
        <f t="array" ref="X31">_xlfn.BYROW(B75, _xlfn.LAMBDA(_xlpm.party,
   SUMIFS(ledger!J:J, ledger!B:B, _xlpm.party, ledger!E:E, "&lt;&gt;*RD*", ledger!D:D, "Slub", ledger!C:C, "&lt;&gt;January Closing CF")
))+ _xlfn.IFNA(I110, 0)</f>
        <v>0</v>
      </c>
      <c r="Y31" s="70" cm="1">
        <f t="array" ref="Y31">_xlfn.BYROW(B75, _xlfn.LAMBDA(_xlpm.party,
   SUMIFS(ledger!J:J, ledger!B:B, _xlpm.party, ledger!E:E, "&lt;&gt;*RD*", ledger!D:D, "Satin", ledger!C:C, "&lt;&gt;January Closing CF")
))+ _xlfn.IFNA(J110, 0)</f>
        <v>0</v>
      </c>
      <c r="Z31" s="70" cm="1">
        <f t="array" ref="Z31">_xlfn.BYROW(B75, _xlfn.LAMBDA(_xlpm.party,
   SUMIFS(ledger!J:J, ledger!B:B, _xlpm.party, ledger!E:E, "&lt;&gt;*RD*", ledger!D:D, "Black-Chamki", ledger!C:C, "&lt;&gt;January Closing CF")
))+ _xlfn.IFNA(K110, 0)</f>
        <v>0</v>
      </c>
      <c r="AA31" s="70" cm="1">
        <f t="array" ref="AA31">_xlfn.BYROW(B75, _xlfn.LAMBDA(_xlpm.party,
   SUMIFS(ledger!J:J, ledger!B:B, _xlpm.party, ledger!E:E, "&lt;&gt;*RD*", ledger!D:D, "Kataan", ledger!C:C, "&lt;&gt;January Closing CF")
))+ _xlfn.IFNA(L110, 0)</f>
        <v>0</v>
      </c>
      <c r="AB31" s="70" cm="1">
        <f t="array" ref="AB31">_xlfn.BYROW(B75, _xlfn.LAMBDA(_xlpm.party,
   SUMIFS(ledger!J:J, ledger!B:B, _xlpm.party, ledger!E:E, "&lt;&gt;*RD*", ledger!D:D, "Munaar", ledger!C:C, "&lt;&gt;January Closing CF")
))+ _xlfn.IFNA(M110, 0)</f>
        <v>0</v>
      </c>
      <c r="AC31" s="39">
        <f>V31+W31+X31+Y31+Z31+AA31+AB31</f>
        <v>2089305.9619604978</v>
      </c>
      <c r="AD31" s="22">
        <f>(SUMIF(Table14[Party],Q31,Table14[Credit]))+_xlfn.IFNA(O110,0)</f>
        <v>1800000</v>
      </c>
      <c r="AE31" s="33">
        <f t="shared" si="2"/>
        <v>289305.96196049778</v>
      </c>
      <c r="AF31" s="21">
        <v>10</v>
      </c>
      <c r="AG31" s="21">
        <v>13</v>
      </c>
    </row>
    <row r="32" spans="2:33" x14ac:dyDescent="0.3">
      <c r="Q32" t="str">
        <v>Rehman Ali</v>
      </c>
      <c r="R32" s="22" cm="1">
        <f t="array" ref="R32">_xlfn.BYROW(B76,_xlfn.LAMBDA(_xlpm.party,SUMIFS(ledger!G:G,ledger!B:B,_xlpm.party,ledger!E:E,"&lt;&gt;*RD*")))+_xlfn.IFNA(C111,0)</f>
        <v>50131</v>
      </c>
      <c r="S32" s="22" cm="1">
        <f t="array" ref="S32">_xlfn.BYROW(B76, _xlfn.LAMBDA(_xlpm.party, SUMIFS(ledger!G:G, ledger!B:B, _xlpm.party, ledger!E:E, "&lt;&gt;*RD*") / 1.0936 ))+_xlfn.IFNA(D111,0)</f>
        <v>45840.343818580841</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45840.343818580841</v>
      </c>
      <c r="V32" s="22" cm="1">
        <f t="array" ref="V32">(_xlfn.BYROW(B76,_xlfn.LAMBDA(_xlpm.party,
(SUMIFS(ledger!J:J,ledger!B:B,_xlpm.party,ledger!E:E,"&lt;&gt;*RD*",ledger!D:D,"Chamki",ledger!C:C,"&lt;&gt;January Closing CF")+
SUMIFS(ledger!J:J,ledger!B:B,_xlpm.party,ledger!E:E,"&lt;&gt;*RD*",ledger!D:D,"Crinkle",ledger!C:C,"&lt;&gt;January Closing CF")
)+_xlfn.IFNA(G111,0))))</f>
        <v>0</v>
      </c>
      <c r="W32" s="70" cm="1">
        <f t="array" ref="W32">_xlfn.BYROW(B76, _xlfn.LAMBDA(_xlpm.party,
   SUMIFS(ledger!J:J, ledger!B:B, _xlpm.party, ledger!E:E, "&lt;&gt;*RD*", ledger!D:D, "Silky", ledger!C:C, "&lt;&gt;January Closing CF")
)) + _xlfn.IFNA(H111, 0)</f>
        <v>595924.46964155091</v>
      </c>
      <c r="X32" s="70" cm="1">
        <f t="array" ref="X32">_xlfn.BYROW(B76, _xlfn.LAMBDA(_xlpm.party,
   SUMIFS(ledger!J:J, ledger!B:B, _xlpm.party, ledger!E:E, "&lt;&gt;*RD*", ledger!D:D, "Slub", ledger!C:C, "&lt;&gt;January Closing CF")
))+ _xlfn.IFNA(I111, 0)</f>
        <v>0</v>
      </c>
      <c r="Y32" s="70" cm="1">
        <f t="array" ref="Y32">_xlfn.BYROW(B76, _xlfn.LAMBDA(_xlpm.party,
   SUMIFS(ledger!J:J, ledger!B:B, _xlpm.party, ledger!E:E, "&lt;&gt;*RD*", ledger!D:D, "Satin", ledger!C:C, "&lt;&gt;January Closing CF")
))+ _xlfn.IFNA(J111, 0)</f>
        <v>0</v>
      </c>
      <c r="Z32" s="70" cm="1">
        <f t="array" ref="Z32">_xlfn.BYROW(B76, _xlfn.LAMBDA(_xlpm.party,
   SUMIFS(ledger!J:J, ledger!B:B, _xlpm.party, ledger!E:E, "&lt;&gt;*RD*", ledger!D:D, "Black-Chamki", ledger!C:C, "&lt;&gt;January Closing CF")
))+ _xlfn.IFNA(K111, 0)</f>
        <v>0</v>
      </c>
      <c r="AA32" s="70" cm="1">
        <f t="array" ref="AA32">_xlfn.BYROW(B76, _xlfn.LAMBDA(_xlpm.party,
   SUMIFS(ledger!J:J, ledger!B:B, _xlpm.party, ledger!E:E, "&lt;&gt;*RD*", ledger!D:D, "Kataan", ledger!C:C, "&lt;&gt;January Closing CF")
))+ _xlfn.IFNA(L111, 0)</f>
        <v>0</v>
      </c>
      <c r="AB32" s="70" cm="1">
        <f t="array" ref="AB32">_xlfn.BYROW(B76, _xlfn.LAMBDA(_xlpm.party,
   SUMIFS(ledger!J:J, ledger!B:B, _xlpm.party, ledger!E:E, "&lt;&gt;*RD*", ledger!D:D, "Munaar", ledger!C:C, "&lt;&gt;January Closing CF")
))+ _xlfn.IFNA(M111, 0)</f>
        <v>0</v>
      </c>
      <c r="AC32" s="39">
        <f t="shared" si="1"/>
        <v>595924.46964155091</v>
      </c>
      <c r="AD32" s="22">
        <f>(SUMIF(Table14[Party],Q32,Table14[Credit]))+_xlfn.IFNA(O111,0)</f>
        <v>550000</v>
      </c>
      <c r="AE32" s="33">
        <f t="shared" si="2"/>
        <v>45924.46964155091</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(SUMIFS(ledger!J:J,ledger!B:B,_xlpm.party,ledger!E:E,"&lt;&gt;*RD*",ledger!D:D,"Chamki",ledger!C:C,"&lt;&gt;January Closing CF")+
SUMIFS(ledger!J:J,ledger!B:B,_xlpm.party,ledger!E:E,"&lt;&gt;*RD*",ledger!D:D,"Crinkle",ledger!C:C,"&lt;&gt;January Closing CF")
)+_xlfn.IFNA(G112,0))))</f>
        <v>0</v>
      </c>
      <c r="W33" s="70" cm="1">
        <f t="array" ref="W33">_xlfn.BYROW(B77, _xlfn.LAMBDA(_xlpm.party,
   SUMIFS(ledger!J:J, ledger!B:B, _xlpm.party, ledger!E:E, "&lt;&gt;*RD*", ledger!D:D, "Silky", ledger!C:C, "&lt;&gt;January Closing CF")
)) + _xlfn.IFNA(H112, 0)</f>
        <v>636460.3145574251</v>
      </c>
      <c r="X33" s="70" cm="1">
        <f t="array" ref="X33">_xlfn.BYROW(B77, _xlfn.LAMBDA(_xlpm.party,
   SUMIFS(ledger!J:J, ledger!B:B, _xlpm.party, ledger!E:E, "&lt;&gt;*RD*", ledger!D:D, "Slub", ledger!C:C, "&lt;&gt;January Closing CF")
))+ _xlfn.IFNA(I112, 0)</f>
        <v>0</v>
      </c>
      <c r="Y33" s="70" cm="1">
        <f t="array" ref="Y33">_xlfn.BYROW(B77, _xlfn.LAMBDA(_xlpm.party,
   SUMIFS(ledger!J:J, ledger!B:B, _xlpm.party, ledger!E:E, "&lt;&gt;*RD*", ledger!D:D, "Satin", ledger!C:C, "&lt;&gt;January Closing CF")
))+ _xlfn.IFNA(J112, 0)</f>
        <v>0</v>
      </c>
      <c r="Z33" s="70" cm="1">
        <f t="array" ref="Z33">_xlfn.BYROW(B77, _xlfn.LAMBDA(_xlpm.party,
   SUMIFS(ledger!J:J, ledger!B:B, _xlpm.party, ledger!E:E, "&lt;&gt;*RD*", ledger!D:D, "Black-Chamki", ledger!C:C, "&lt;&gt;January Closing CF")
))+ _xlfn.IFNA(K112, 0)</f>
        <v>0</v>
      </c>
      <c r="AA33" s="70" cm="1">
        <f t="array" ref="AA33">_xlfn.BYROW(B77, _xlfn.LAMBDA(_xlpm.party,
   SUMIFS(ledger!J:J, ledger!B:B, _xlpm.party, ledger!E:E, "&lt;&gt;*RD*", ledger!D:D, "Kataan", ledger!C:C, "&lt;&gt;January Closing CF")
))+ _xlfn.IFNA(L112, 0)</f>
        <v>0</v>
      </c>
      <c r="AB33" s="70" cm="1">
        <f t="array" ref="AB33">_xlfn.BYROW(B77, _xlfn.LAMBDA(_xlpm.party,
   SUMIFS(ledger!J:J, ledger!B:B, _xlpm.party, ledger!E:E, "&lt;&gt;*RD*", ledger!D:D, "Munaar", ledger!C:C, "&lt;&gt;January Closing CF")
))+ _xlfn.IFNA(M112, 0)</f>
        <v>0</v>
      </c>
      <c r="AC33" s="39">
        <f t="shared" si="1"/>
        <v>636460.3145574251</v>
      </c>
      <c r="AD33" s="22">
        <f>(SUMIF(Table14[Party],Q33,Table14[Credit]))+_xlfn.IFNA(O112,0)</f>
        <v>636000</v>
      </c>
      <c r="AE33" s="33">
        <f t="shared" si="2"/>
        <v>460.3145574250957</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(SUMIFS(ledger!J:J,ledger!B:B,_xlpm.party,ledger!E:E,"&lt;&gt;*RD*",ledger!D:D,"Chamki",ledger!C:C,"&lt;&gt;January Closing CF")+
SUMIFS(ledger!J:J,ledger!B:B,_xlpm.party,ledger!E:E,"&lt;&gt;*RD*",ledger!D:D,"Crinkle",ledger!C:C,"&lt;&gt;January Closing CF")
)+_xlfn.IFNA(G113,0))))</f>
        <v>0</v>
      </c>
      <c r="W34" s="70" cm="1">
        <f t="array" ref="W34">_xlfn.BYROW(B78, _xlfn.LAMBDA(_xlpm.party,
   SUMIFS(ledger!J:J, ledger!B:B, _xlpm.party, ledger!E:E, "&lt;&gt;*RD*", ledger!D:D, "Silky", ledger!C:C, "&lt;&gt;January Closing CF")
)) + _xlfn.IFNA(H113, 0)</f>
        <v>15855.888807607902</v>
      </c>
      <c r="X34" s="70" cm="1">
        <f t="array" ref="X34">_xlfn.BYROW(B78, _xlfn.LAMBDA(_xlpm.party,
   SUMIFS(ledger!J:J, ledger!B:B, _xlpm.party, ledger!E:E, "&lt;&gt;*RD*", ledger!D:D, "Slub", ledger!C:C, "&lt;&gt;January Closing CF")
))+ _xlfn.IFNA(I113, 0)</f>
        <v>0</v>
      </c>
      <c r="Y34" s="70" cm="1">
        <f t="array" ref="Y34">_xlfn.BYROW(B78, _xlfn.LAMBDA(_xlpm.party,
   SUMIFS(ledger!J:J, ledger!B:B, _xlpm.party, ledger!E:E, "&lt;&gt;*RD*", ledger!D:D, "Satin", ledger!C:C, "&lt;&gt;January Closing CF")
))+ _xlfn.IFNA(J113, 0)</f>
        <v>0</v>
      </c>
      <c r="Z34" s="70" cm="1">
        <f t="array" ref="Z34">_xlfn.BYROW(B78, _xlfn.LAMBDA(_xlpm.party,
   SUMIFS(ledger!J:J, ledger!B:B, _xlpm.party, ledger!E:E, "&lt;&gt;*RD*", ledger!D:D, "Black-Chamki", ledger!C:C, "&lt;&gt;January Closing CF")
))+ _xlfn.IFNA(K113, 0)</f>
        <v>0</v>
      </c>
      <c r="AA34" s="70" cm="1">
        <f t="array" ref="AA34">_xlfn.BYROW(B78, _xlfn.LAMBDA(_xlpm.party,
   SUMIFS(ledger!J:J, ledger!B:B, _xlpm.party, ledger!E:E, "&lt;&gt;*RD*", ledger!D:D, "Kataan", ledger!C:C, "&lt;&gt;January Closing CF")
))+ _xlfn.IFNA(L113, 0)</f>
        <v>0</v>
      </c>
      <c r="AB34" s="70" cm="1">
        <f t="array" ref="AB34">_xlfn.BYROW(B78, _xlfn.LAMBDA(_xlpm.party,
   SUMIFS(ledger!J:J, ledger!B:B, _xlpm.party, ledger!E:E, "&lt;&gt;*RD*", ledger!D:D, "Munaar", ledger!C:C, "&lt;&gt;January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Q35" t="str">
        <v>Zahid Ejaz</v>
      </c>
      <c r="R35" s="22" cm="1">
        <f t="array" ref="R35">_xlfn.BYROW(B79,_xlfn.LAMBDA(_xlpm.party,SUMIFS(ledger!G:G,ledger!B:B,_xlpm.party,ledger!E:E,"&lt;&gt;*RD*")))+_xlfn.IFNA(C114,0)</f>
        <v>3905</v>
      </c>
      <c r="S35" s="22" cm="1">
        <f t="array" ref="S35">_xlfn.BYROW(B79, _xlfn.LAMBDA(_xlpm.party, SUMIFS(ledger!G:G, ledger!B:B, _xlpm.party, ledger!E:E, "&lt;&gt;*RD*") / 1.0936 ))+_xlfn.IFNA(D114,0)</f>
        <v>3570.7754206291152</v>
      </c>
      <c r="T35" s="22" cm="1">
        <f t="array" ref="T35">(_xlfn.BYROW(B79,_xlfn.LAMBDA(_xlpm.party,SUMIFS(ledger!G:G,ledger!B:B,_xlpm.party,ledger!E:E,"&lt;&gt;*RD*",ledger!D:D,"Chamki")+SUMIFS(ledger!G:G, ledger!B:B, _xlpm.party, ledger!E:E, "&lt;&gt;*RD*", ledger!D:D, "Crinkle")))/1.0936)+_xlfn.IFNA(E114,0)</f>
        <v>3570.7754206291152</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(SUMIFS(ledger!J:J,ledger!B:B,_xlpm.party,ledger!E:E,"&lt;&gt;*RD*",ledger!D:D,"Chamki",ledger!C:C,"&lt;&gt;January Closing CF")+
SUMIFS(ledger!J:J,ledger!B:B,_xlpm.party,ledger!E:E,"&lt;&gt;*RD*",ledger!D:D,"Crinkle",ledger!C:C,"&lt;&gt;January Closing CF")
)+_xlfn.IFNA(G114,0))))</f>
        <v>39278.529626920266</v>
      </c>
      <c r="W35" s="70" cm="1">
        <f t="array" ref="W35">_xlfn.BYROW(B79, _xlfn.LAMBDA(_xlpm.party,
   SUMIFS(ledger!J:J, ledger!B:B, _xlpm.party, ledger!E:E, "&lt;&gt;*RD*", ledger!D:D, "Silky", ledger!C:C, "&lt;&gt;January Closing CF")
)) + _xlfn.IFNA(H114, 0)</f>
        <v>0</v>
      </c>
      <c r="X35" s="70" cm="1">
        <f t="array" ref="X35">_xlfn.BYROW(B79, _xlfn.LAMBDA(_xlpm.party,
   SUMIFS(ledger!J:J, ledger!B:B, _xlpm.party, ledger!E:E, "&lt;&gt;*RD*", ledger!D:D, "Slub", ledger!C:C, "&lt;&gt;January Closing CF")
))+ _xlfn.IFNA(I114, 0)</f>
        <v>0</v>
      </c>
      <c r="Y35" s="70" cm="1">
        <f t="array" ref="Y35">_xlfn.BYROW(B79, _xlfn.LAMBDA(_xlpm.party,
   SUMIFS(ledger!J:J, ledger!B:B, _xlpm.party, ledger!E:E, "&lt;&gt;*RD*", ledger!D:D, "Satin", ledger!C:C, "&lt;&gt;January Closing CF")
))+ _xlfn.IFNA(J114, 0)</f>
        <v>0</v>
      </c>
      <c r="Z35" s="70" cm="1">
        <f t="array" ref="Z35">_xlfn.BYROW(B79, _xlfn.LAMBDA(_xlpm.party,
   SUMIFS(ledger!J:J, ledger!B:B, _xlpm.party, ledger!E:E, "&lt;&gt;*RD*", ledger!D:D, "Black-Chamki", ledger!C:C, "&lt;&gt;January Closing CF")
))+ _xlfn.IFNA(K114, 0)</f>
        <v>0</v>
      </c>
      <c r="AA35" s="70" cm="1">
        <f t="array" ref="AA35">_xlfn.BYROW(B79, _xlfn.LAMBDA(_xlpm.party,
   SUMIFS(ledger!J:J, ledger!B:B, _xlpm.party, ledger!E:E, "&lt;&gt;*RD*", ledger!D:D, "Kataan", ledger!C:C, "&lt;&gt;January Closing CF")
))+ _xlfn.IFNA(L114, 0)</f>
        <v>0</v>
      </c>
      <c r="AB35" s="70" cm="1">
        <f t="array" ref="AB35">_xlfn.BYROW(B79, _xlfn.LAMBDA(_xlpm.party,
   SUMIFS(ledger!J:J, ledger!B:B, _xlpm.party, ledger!E:E, "&lt;&gt;*RD*", ledger!D:D, "Munaar", ledger!C:C, "&lt;&gt;January Closing CF")
))+ _xlfn.IFNA(M114, 0)</f>
        <v>0</v>
      </c>
      <c r="AC35" s="39">
        <f t="shared" si="1"/>
        <v>39278.529626920266</v>
      </c>
      <c r="AD35" s="22">
        <f>(SUMIF(Table14[Party],Q35,Table14[Credit]))+_xlfn.IFNA(O114,0)</f>
        <v>39278</v>
      </c>
      <c r="AE35" s="33">
        <f t="shared" si="2"/>
        <v>0.52962692026630975</v>
      </c>
      <c r="AF35" s="21">
        <v>10</v>
      </c>
      <c r="AG35" s="21">
        <v>13</v>
      </c>
    </row>
    <row r="36" spans="2:33" x14ac:dyDescent="0.3">
      <c r="Q36" t="str">
        <v>Faizan Kamoki</v>
      </c>
      <c r="R36" s="22" cm="1">
        <f t="array" ref="R36">_xlfn.BYROW(B80,_xlfn.LAMBDA(_xlpm.party,SUMIFS(ledger!G:G,ledger!B:B,_xlpm.party,ledger!E:E,"&lt;&gt;*RD*")))+_xlfn.IFNA(C115,0)</f>
        <v>86706</v>
      </c>
      <c r="S36" s="22" cm="1">
        <f t="array" ref="S36">_xlfn.BYROW(B80, _xlfn.LAMBDA(_xlpm.party, SUMIFS(ledger!G:G, ledger!B:B, _xlpm.party, ledger!E:E, "&lt;&gt;*RD*") / 1.0936 ))+_xlfn.IFNA(D115,0)</f>
        <v>79284.930504754942</v>
      </c>
      <c r="T36" s="22" cm="1">
        <f t="array" ref="T36">(_xlfn.BYROW(B80,_xlfn.LAMBDA(_xlpm.party,SUMIFS(ledger!G:G,ledger!B:B,_xlpm.party,ledger!E:E,"&lt;&gt;*RD*",ledger!D:D,"Chamki")+SUMIFS(ledger!G:G, ledger!B:B, _xlpm.party, ledger!E:E, "&lt;&gt;*RD*", ledger!D:D, "Crinkle")))/1.0936)+_xlfn.IFNA(E115,0)</f>
        <v>0</v>
      </c>
      <c r="U36" s="70" cm="1">
        <f t="array" ref="U36">(_xlfn.BYROW(B80,_xlfn.LAMBDA(_xlpm.party,SUMIFS(ledger!G:G,ledger!B:B,_xlpm.party,ledger!E:E,"&lt;&gt;*RD*",ledger!D:D,"Silky")))/1.0936)+_xlfn.IFNA(F115,0)</f>
        <v>70423.372348207762</v>
      </c>
      <c r="V36" s="22" cm="1">
        <f t="array" ref="V36">(_xlfn.BYROW(B80,_xlfn.LAMBDA(_xlpm.party,
(SUMIFS(ledger!J:J,ledger!B:B,_xlpm.party,ledger!E:E,"&lt;&gt;*RD*",ledger!D:D,"Chamki",ledger!C:C,"&lt;&gt;January Closing CF")+
SUMIFS(ledger!J:J,ledger!B:B,_xlpm.party,ledger!E:E,"&lt;&gt;*RD*",ledger!D:D,"Crinkle",ledger!C:C,"&lt;&gt;January Closing CF")
)+_xlfn.IFNA(G115,0))))</f>
        <v>0</v>
      </c>
      <c r="W36" s="70" cm="1">
        <f t="array" ref="W36">_xlfn.BYROW(B80, _xlfn.LAMBDA(_xlpm.party,
   SUMIFS(ledger!J:J, ledger!B:B, _xlpm.party, ledger!E:E, "&lt;&gt;*RD*", ledger!D:D, "Silky", ledger!C:C, "&lt;&gt;January Closing CF")
)) + _xlfn.IFNA(H115, 0)</f>
        <v>915503.84052670095</v>
      </c>
      <c r="X36" s="70" cm="1">
        <f t="array" ref="X36">_xlfn.BYROW(B80, _xlfn.LAMBDA(_xlpm.party,
   SUMIFS(ledger!J:J, ledger!B:B, _xlpm.party, ledger!E:E, "&lt;&gt;*RD*", ledger!D:D, "Slub", ledger!C:C, "&lt;&gt;January Closing CF")
))+ _xlfn.IFNA(I115, 0)</f>
        <v>0</v>
      </c>
      <c r="Y36" s="70" cm="1">
        <f t="array" ref="Y36">_xlfn.BYROW(B80, _xlfn.LAMBDA(_xlpm.party,
   SUMIFS(ledger!J:J, ledger!B:B, _xlpm.party, ledger!E:E, "&lt;&gt;*RD*", ledger!D:D, "Satin", ledger!C:C, "&lt;&gt;January Closing CF")
))+ _xlfn.IFNA(J115, 0)</f>
        <v>0</v>
      </c>
      <c r="Z36" s="70" cm="1">
        <f t="array" ref="Z36">_xlfn.BYROW(B80, _xlfn.LAMBDA(_xlpm.party,
   SUMIFS(ledger!J:J, ledger!B:B, _xlpm.party, ledger!E:E, "&lt;&gt;*RD*", ledger!D:D, "Black-Chamki", ledger!C:C, "&lt;&gt;January Closing CF")
))+ _xlfn.IFNA(K115, 0)</f>
        <v>0</v>
      </c>
      <c r="AA36" s="70" cm="1">
        <f t="array" ref="AA36">_xlfn.BYROW(B80, _xlfn.LAMBDA(_xlpm.party,
   SUMIFS(ledger!J:J, ledger!B:B, _xlpm.party, ledger!E:E, "&lt;&gt;*RD*", ledger!D:D, "Kataan", ledger!C:C, "&lt;&gt;January Closing CF")
))+ _xlfn.IFNA(L115, 0)</f>
        <v>97477.139722019027</v>
      </c>
      <c r="AB36" s="70" cm="1">
        <f t="array" ref="AB36">_xlfn.BYROW(B80, _xlfn.LAMBDA(_xlpm.party,
   SUMIFS(ledger!J:J, ledger!B:B, _xlpm.party, ledger!E:E, "&lt;&gt;*RD*", ledger!D:D, "Munaar", ledger!C:C, "&lt;&gt;January Closing CF")
))+ _xlfn.IFNA(M115, 0)</f>
        <v>0</v>
      </c>
      <c r="AC36" s="39">
        <f t="shared" ref="AC36" si="3">V36+W36+X36+Y36+Z36+AA36+AB36</f>
        <v>1012980.9802487199</v>
      </c>
      <c r="AD36" s="22">
        <f>(SUMIF(Table14[Party],Q36,Table14[Credit]))+_xlfn.IFNA(O115,0)</f>
        <v>1012980.4930504755</v>
      </c>
      <c r="AE36" s="33">
        <f t="shared" si="2"/>
        <v>0.48719824443105608</v>
      </c>
    </row>
    <row r="37" spans="2:33" x14ac:dyDescent="0.3">
      <c r="R37" s="22" cm="1">
        <f t="array" ref="R37">_xlfn.BYROW(A82,_xlfn.LAMBDA(_xlpm.party,SUMIFS(ledger!G:G,ledger!B:B,_xlpm.party,ledger!E:E,"&lt;&gt;*RD*")))+_xlfn.IFNA(C116,0)</f>
        <v>0</v>
      </c>
      <c r="S37" s="22" cm="1">
        <f t="array" ref="S37">_xlfn.BYROW(A82, _xlfn.LAMBDA(_xlpm.party, SUMIFS(ledger!G:G, ledger!B:B, _xlpm.party, ledger!E:E, "&lt;&gt;*RD*") / 1.0936 ))+_xlfn.IFNA(D116,0)</f>
        <v>0</v>
      </c>
      <c r="T37" s="22" cm="1">
        <f t="array" ref="T37">(_xlfn.BYROW(A82,_xlfn.LAMBDA(_xlpm.party,SUMIFS(ledger!G:G,ledger!B:B,_xlpm.party,ledger!E:E,"&lt;&gt;*RD*",ledger!D:D,"Chamki")+SUMIFS(ledger!G:G, ledger!B:B, _xlpm.party, ledger!E:E, "&lt;&gt;*RD*", ledger!D:D, "Crinkle")))/1.0936)+_xlfn.IFNA(E116,0)</f>
        <v>0</v>
      </c>
      <c r="U37" s="70" cm="1">
        <f t="array" ref="U37">(_xlfn.BYROW(A82,_xlfn.LAMBDA(_xlpm.party,SUMIFS(ledger!G:G,ledger!B:B,_xlpm.party,ledger!E:E,"&lt;&gt;*RD*",ledger!D:D,"Silky")))/1.0936)+_xlfn.IFNA(F116,0)</f>
        <v>0</v>
      </c>
      <c r="V37" s="22" cm="1">
        <f t="array" ref="V37">(_xlfn.BYROW(A82,_xlfn.LAMBDA(_xlpm.party,
(SUMIFS(ledger!J:J,ledger!B:B,_xlpm.party,ledger!E:E,"&lt;&gt;*RD*",ledger!D:D,"Chamki",ledger!C:C,"&lt;&gt;January Closing CF")+
SUMIFS(ledger!J:J,ledger!B:B,_xlpm.party,ledger!E:E,"&lt;&gt;*RD*",ledger!D:D,"Crinkle",ledger!C:C,"&lt;&gt;January Closing CF")
)+_xlfn.IFNA(G116,0))))</f>
        <v>0</v>
      </c>
      <c r="W37" s="70" cm="1">
        <f t="array" ref="W37">_xlfn.BYROW(A82, _xlfn.LAMBDA(_xlpm.party,
   SUMIFS(ledger!J:J, ledger!B:B, _xlpm.party, ledger!E:E, "&lt;&gt;*RD*", ledger!D:D, "Silky", ledger!C:C, "&lt;&gt;January Closing CF")
)) + _xlfn.IFNA(H116, 0)</f>
        <v>0</v>
      </c>
      <c r="X37" s="70" cm="1">
        <f t="array" ref="X37">_xlfn.BYROW(A82, _xlfn.LAMBDA(_xlpm.party,
   SUMIFS(ledger!J:J, ledger!B:B, _xlpm.party, ledger!E:E, "&lt;&gt;*RD*", ledger!D:D, "Slub", ledger!C:C, "&lt;&gt;January Closing CF")
))+ _xlfn.IFNA(I116, 0)</f>
        <v>0</v>
      </c>
      <c r="Y37" s="70" cm="1">
        <f t="array" ref="Y37">_xlfn.BYROW(A82, _xlfn.LAMBDA(_xlpm.party,
   SUMIFS(ledger!J:J, ledger!B:B, _xlpm.party, ledger!E:E, "&lt;&gt;*RD*", ledger!D:D, "Satin", ledger!C:C, "&lt;&gt;January Closing CF")
))+ _xlfn.IFNA(J116, 0)</f>
        <v>0</v>
      </c>
      <c r="Z37" s="70" cm="1">
        <f t="array" ref="Z37">_xlfn.BYROW(A82, _xlfn.LAMBDA(_xlpm.party,
   SUMIFS(ledger!J:J, ledger!B:B, _xlpm.party, ledger!E:E, "&lt;&gt;*RD*", ledger!D:D, "Black-Chamki", ledger!C:C, "&lt;&gt;January Closing CF")
))+ _xlfn.IFNA(K116, 0)</f>
        <v>0</v>
      </c>
      <c r="AA37" s="70" cm="1">
        <f t="array" ref="AA37">_xlfn.BYROW(A82, _xlfn.LAMBDA(_xlpm.party,
   SUMIFS(ledger!J:J, ledger!B:B, _xlpm.party, ledger!E:E, "&lt;&gt;*RD*", ledger!D:D, "Kataan", ledger!C:C, "&lt;&gt;January Closing CF")
))+ _xlfn.IFNA(L116, 0)</f>
        <v>0</v>
      </c>
      <c r="AB37" s="70" cm="1">
        <f t="array" ref="AB37">_xlfn.BYROW(A82, _xlfn.LAMBDA(_xlpm.party,
   SUMIFS(ledger!J:J, ledger!B:B, _xlpm.party, ledger!E:E, "&lt;&gt;*RD*", ledger!D:D, "Munaar", ledger!C:C, "&lt;&gt;January Closing CF")
))+ _xlfn.IFNA(M116, 0)</f>
        <v>0</v>
      </c>
      <c r="AC37" s="39">
        <f t="shared" ref="AC37" si="4">V37+W37+X37+Y37+Z37+AA37+AB37</f>
        <v>0</v>
      </c>
      <c r="AD37" s="22">
        <f>(SUMIF(Table14[Party],Q37,Table14[Credit]))+_xlfn.IFNA(O116,0)</f>
        <v>0</v>
      </c>
      <c r="AE37" s="33">
        <f t="shared" ref="AE37" si="5">AC37-AD37</f>
        <v>0</v>
      </c>
    </row>
    <row r="38" spans="2:33" x14ac:dyDescent="0.3">
      <c r="R38" s="22"/>
      <c r="S38" s="22"/>
      <c r="T38" s="22"/>
      <c r="U38" s="70"/>
      <c r="V38" s="22"/>
      <c r="W38" s="70"/>
      <c r="X38" s="70"/>
      <c r="Y38" s="70"/>
      <c r="Z38" s="70"/>
      <c r="AA38" s="70"/>
      <c r="AB38" s="70"/>
      <c r="AC38" s="39"/>
      <c r="AD38" s="22"/>
      <c r="AE38" s="33"/>
    </row>
    <row r="39" spans="2:33" x14ac:dyDescent="0.3">
      <c r="R39" s="22"/>
      <c r="S39" s="22"/>
      <c r="T39" s="22"/>
      <c r="U39" s="70"/>
      <c r="V39" s="22"/>
      <c r="W39" s="70"/>
      <c r="X39" s="70"/>
      <c r="Y39" s="70"/>
      <c r="Z39" s="70"/>
      <c r="AA39" s="70"/>
      <c r="AB39" s="70"/>
      <c r="AC39" s="39"/>
      <c r="AD39" s="22"/>
      <c r="AE39" s="33"/>
    </row>
    <row r="40" spans="2:33" x14ac:dyDescent="0.3">
      <c r="R40" s="22"/>
      <c r="S40" s="22"/>
      <c r="T40" s="22"/>
      <c r="U40" s="70"/>
      <c r="V40" s="22"/>
      <c r="W40" s="70"/>
      <c r="X40" s="70"/>
      <c r="Y40" s="70"/>
      <c r="Z40" s="70"/>
      <c r="AA40" s="70"/>
      <c r="AB40" s="70"/>
      <c r="AC40" s="39"/>
      <c r="AD40" s="22"/>
      <c r="AE40" s="33"/>
    </row>
    <row r="41" spans="2:33" x14ac:dyDescent="0.3">
      <c r="R41" s="22"/>
      <c r="S41" s="22"/>
      <c r="T41" s="22"/>
      <c r="U41" s="70"/>
      <c r="V41" s="22"/>
      <c r="W41" s="70"/>
      <c r="X41" s="70"/>
      <c r="Y41" s="70"/>
      <c r="Z41" s="70"/>
      <c r="AA41" s="70"/>
      <c r="AB41" s="70"/>
      <c r="AC41" s="39"/>
      <c r="AD41" s="22"/>
      <c r="AE41" s="33"/>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80">_xlfn.UNIQUE(Table1[Party Name])</f>
        <v>BSC</v>
      </c>
      <c r="C49" s="22" cm="1">
        <f t="array" ref="C49:C80">_xlfn.BYROW(_xlfn.ANCHORARRAY(B49),_xlfn.LAMBDA(_xlpm.party,SUMIFS(ledger!G:G,ledger!B:B,_xlpm.party,ledger!E:E,"&lt;&gt;*RD*")))</f>
        <v>255645</v>
      </c>
      <c r="D49" s="22" cm="1">
        <f t="array" ref="D49:D80">_xlfn.BYROW(_xlfn.ANCHORARRAY(B49), _xlfn.LAMBDA(_xlpm.party, SUMIFS(ledger!G:G, ledger!B:B, _xlpm.party, ledger!E:E, "&lt;&gt;*RD*") / 1.0936 ))</f>
        <v>233764.63057790784</v>
      </c>
      <c r="E49" s="63" cm="1">
        <f t="array" ref="E49:E80">(_xlfn.BYROW(_xlfn.ANCHORARRAY(B49),_xlfn.LAMBDA(_xlpm.party,SUMIFS(ledger!G:G,ledger!B:B,_xlpm.party,ledger!E:E,"&lt;&gt;*RD*",ledger!D:D,"Chamki")+SUMIFS(ledger!G:G, ledger!B:B, _xlpm.party, ledger!E:E, "&lt;&gt;*RD*", ledger!D:D, "Crinkle")))/1.0936)</f>
        <v>165285.29626920263</v>
      </c>
      <c r="F49" s="63" cm="1">
        <f t="array" ref="F49:F80">(_xlfn.BYROW(_xlfn.ANCHORARRAY(B49),_xlfn.LAMBDA(_xlpm.party,SUMIFS(ledger!G:G,ledger!B:B,_xlpm.party,ledger!E:E,"&lt;&gt;*RD*",ledger!D:D,"Silky")))/1.0936)</f>
        <v>5813.8258961228976</v>
      </c>
      <c r="G49" s="22" cm="1">
        <f t="array" ref="G49">(_xlfn.BYROW(B49,_xlfn.LAMBDA(_xlpm.party,
(SUMIFS(ledger!J:J,ledger!B:B,_xlpm.party,ledger!E:E,"&lt;&gt;*RD*",ledger!D:D,"Chamki",ledger!C:C,"&lt;&gt;January Closing CF")+
SUMIFS(ledger!J:J,ledger!B:B,_xlpm.party,ledger!E:E,"&lt;&gt;*RD*",ledger!D:D,"Crinkle",ledger!C:C,"&lt;&gt;January Closing CF")
))))</f>
        <v>1652852.9626920263</v>
      </c>
      <c r="H49" s="22" cm="1">
        <f t="array" ref="H49">_xlfn.BYROW(B49, _xlfn.LAMBDA(_xlpm.party,
   SUMIFS(ledger!J:J, ledger!B:B, _xlpm.party, ledger!E:E, "&lt;&gt;*RD*", ledger!D:D, "Silky", ledger!C:C, "&lt;&gt;January Closing CF")
))</f>
        <v>75579.736649597675</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689320.59253840533</v>
      </c>
      <c r="M49" s="70" cm="1">
        <f t="array" ref="M49">_xlfn.BYROW(B49, _xlfn.LAMBDA(_xlpm.party,
   SUMIFS(ledger!J:J, ledger!B:B, _xlpm.party, ledger!E:E, "&lt;&gt;*RD*", ledger!D:D, "Munaar", ledger!C:C, "&lt;&gt;January Closing CF")
))</f>
        <v>0</v>
      </c>
      <c r="N49" s="39">
        <f t="shared" ref="N49:N79" si="6">SUM(G49:M49)</f>
        <v>2417753.2918800293</v>
      </c>
      <c r="O49" s="22">
        <f>(SUMIF(Table14[Party],B49,Table14[Credit]))</f>
        <v>0</v>
      </c>
      <c r="P49" s="37">
        <f t="shared" ref="P49:P80" si="7">N49-O49</f>
        <v>2417753.2918800293</v>
      </c>
      <c r="Q49" s="21">
        <v>10</v>
      </c>
      <c r="R49" s="21">
        <v>12</v>
      </c>
    </row>
    <row r="50" spans="1:23" x14ac:dyDescent="0.3">
      <c r="B50" s="24" t="str">
        <v>Ejaz Sahab</v>
      </c>
      <c r="C50" s="22">
        <v>15320</v>
      </c>
      <c r="D50" s="22">
        <v>14008.778346744697</v>
      </c>
      <c r="E50" s="63">
        <v>0</v>
      </c>
      <c r="F50" s="63">
        <v>14008.778346744697</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182114.11850768107</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39">
        <f t="shared" si="6"/>
        <v>182114.11850768107</v>
      </c>
      <c r="O50" s="22">
        <f>(SUMIF(Table14[Party],B50,Table14[Credit]))</f>
        <v>329454</v>
      </c>
      <c r="P50" s="37">
        <f t="shared" si="7"/>
        <v>-147339.88149231893</v>
      </c>
      <c r="Q50" s="21">
        <v>10</v>
      </c>
      <c r="R50" s="21">
        <v>12</v>
      </c>
    </row>
    <row r="51" spans="1:23" x14ac:dyDescent="0.3">
      <c r="B51" s="24" t="str">
        <v>Arshad</v>
      </c>
      <c r="C51" s="22">
        <v>46011</v>
      </c>
      <c r="D51" s="22">
        <v>42072.970007315293</v>
      </c>
      <c r="E51" s="63">
        <v>22724.030724213608</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227240.30724213607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39">
        <f t="shared" si="6"/>
        <v>478776.51792245801</v>
      </c>
      <c r="O51" s="22">
        <f>(SUMIF(Table14[Party],B51,Table14[Credit]))</f>
        <v>400000</v>
      </c>
      <c r="P51" s="37">
        <f t="shared" si="7"/>
        <v>78776.517922458006</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39">
        <f t="shared" si="6"/>
        <v>0</v>
      </c>
      <c r="O52" s="22">
        <f>(SUMIF(Table14[Party],B52,Table14[Credit]))</f>
        <v>0</v>
      </c>
      <c r="P52" s="37">
        <f t="shared" si="7"/>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39">
        <f t="shared" si="6"/>
        <v>0</v>
      </c>
      <c r="O53" s="22">
        <f>(SUMIF(Table14[Party],B53,Table14[Credit]))</f>
        <v>0</v>
      </c>
      <c r="P53" s="37">
        <f t="shared" si="7"/>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(SUMIFS(ledger!J:J,ledger!B:B,_xlpm.party,ledger!E:E,"&lt;&gt;*RD*",ledger!D:D,"Chamki",ledger!C:C,"&lt;&gt;January Closing CF")+
SUMIFS(ledger!J:J,ledger!B:B,_xlpm.party,ledger!E:E,"&lt;&gt;*RD*",ledger!D:D,"Crinkle",ledger!C:C,"&lt;&gt;January Closing CF")
))))</f>
        <v>0</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39">
        <f t="shared" si="6"/>
        <v>0</v>
      </c>
      <c r="O54" s="22">
        <f>(SUMIF(Table14[Party],B54,Table14[Credit]))</f>
        <v>0</v>
      </c>
      <c r="P54" s="37">
        <f t="shared" si="7"/>
        <v>0</v>
      </c>
      <c r="Q54" s="21">
        <v>10</v>
      </c>
      <c r="R54" s="21">
        <v>12</v>
      </c>
    </row>
    <row r="55" spans="1:23" x14ac:dyDescent="0.3">
      <c r="B55" s="24" t="str">
        <v>Raaz Fabrics</v>
      </c>
      <c r="C55" s="22">
        <v>5269</v>
      </c>
      <c r="D55" s="22">
        <v>4818.0321872713976</v>
      </c>
      <c r="E55" s="63">
        <v>4818.0321872713976</v>
      </c>
      <c r="F55" s="63">
        <v>0</v>
      </c>
      <c r="G55" s="22" cm="1">
        <f t="array" ref="G55">(_xlfn.BYROW(B55,_xlfn.LAMBDA(_xlpm.party,
(SUMIFS(ledger!J:J,ledger!B:B,_xlpm.party,ledger!E:E,"&lt;&gt;*RD*",ledger!D:D,"Chamki",ledger!C:C,"&lt;&gt;January Closing CF")+
SUMIFS(ledger!J:J,ledger!B:B,_xlpm.party,ledger!E:E,"&lt;&gt;*RD*",ledger!D:D,"Crinkle",ledger!C:C,"&lt;&gt;January Closing CF")
))))</f>
        <v>48180.321872713976</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39">
        <f t="shared" si="6"/>
        <v>48180.321872713976</v>
      </c>
      <c r="O55" s="22">
        <f>(SUMIF(Table14[Party],B55,Table14[Credit]))</f>
        <v>0</v>
      </c>
      <c r="P55" s="37">
        <f t="shared" si="7"/>
        <v>48180.321872713976</v>
      </c>
      <c r="Q55" s="21">
        <v>10</v>
      </c>
      <c r="R55" s="21">
        <v>12</v>
      </c>
    </row>
    <row r="56" spans="1:23"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39">
        <f t="shared" si="6"/>
        <v>0</v>
      </c>
      <c r="O56" s="22">
        <f>(SUMIF(Table14[Party],B56,Table14[Credit]))</f>
        <v>0</v>
      </c>
      <c r="P56" s="37">
        <f t="shared" si="7"/>
        <v>0</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39">
        <f t="shared" si="6"/>
        <v>0</v>
      </c>
      <c r="O57" s="22">
        <f>(SUMIF(Table14[Party],B57,Table14[Credit]))</f>
        <v>0</v>
      </c>
      <c r="P57" s="37">
        <f t="shared" si="7"/>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39">
        <f t="shared" si="6"/>
        <v>0</v>
      </c>
      <c r="O58" s="22">
        <f>(SUMIF(Table14[Party],B58,Table14[Credit]))</f>
        <v>0</v>
      </c>
      <c r="P58" s="37">
        <f t="shared" si="7"/>
        <v>0</v>
      </c>
      <c r="Q58" s="21">
        <v>12</v>
      </c>
      <c r="R58" s="21">
        <v>12</v>
      </c>
      <c r="U58" s="4" t="s">
        <v>21</v>
      </c>
      <c r="V58" s="5">
        <v>233764.63057790784</v>
      </c>
      <c r="W58" s="18">
        <v>1659405.6327724946</v>
      </c>
    </row>
    <row r="59" spans="1:23" x14ac:dyDescent="0.3">
      <c r="B59" s="24" t="str">
        <v>Hafiz Qureshi</v>
      </c>
      <c r="C59" s="22">
        <v>75055</v>
      </c>
      <c r="D59" s="22">
        <v>68631.126554498915</v>
      </c>
      <c r="E59" s="63">
        <v>68631.126554498915</v>
      </c>
      <c r="F59" s="63">
        <v>0</v>
      </c>
      <c r="G59" s="22" cm="1">
        <f t="array" ref="G59">(_xlfn.BYROW(B59,_xlfn.LAMBDA(_xlpm.party,
(SUMIFS(ledger!J:J,ledger!B:B,_xlpm.party,ledger!E:E,"&lt;&gt;*RD*",ledger!D:D,"Chamki",ledger!C:C,"&lt;&gt;January Closing CF")+
SUMIFS(ledger!J:J,ledger!B:B,_xlpm.party,ledger!E:E,"&lt;&gt;*RD*",ledger!D:D,"Crinkle",ledger!C:C,"&lt;&gt;January Closing CF")
))))</f>
        <v>686311.26554498915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39">
        <f t="shared" si="6"/>
        <v>686311.26554498915</v>
      </c>
      <c r="O59" s="22">
        <f>(SUMIF(Table14[Party],B59,Table14[Credit]))</f>
        <v>492180</v>
      </c>
      <c r="P59" s="37">
        <f t="shared" si="7"/>
        <v>194131.26554498915</v>
      </c>
      <c r="Q59" s="21">
        <v>10</v>
      </c>
      <c r="R59" s="21">
        <v>12</v>
      </c>
      <c r="U59" s="4" t="s">
        <v>22</v>
      </c>
      <c r="V59" s="5">
        <v>14008.778346744697</v>
      </c>
      <c r="W59" s="18">
        <v>168105.34016093635</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39">
        <f t="shared" si="6"/>
        <v>0</v>
      </c>
      <c r="O60" s="22">
        <f>(SUMIF(Table14[Party],B60,Table14[Credit]))</f>
        <v>0</v>
      </c>
      <c r="P60" s="37">
        <f t="shared" si="7"/>
        <v>0</v>
      </c>
      <c r="Q60" s="21">
        <v>10</v>
      </c>
      <c r="R60" s="21">
        <v>12</v>
      </c>
      <c r="U60" s="4" t="s">
        <v>9</v>
      </c>
      <c r="V60" s="5">
        <v>42072.970007315293</v>
      </c>
      <c r="W60" s="18">
        <v>459427.5786393563</v>
      </c>
    </row>
    <row r="61" spans="1:23"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39">
        <f t="shared" si="6"/>
        <v>0</v>
      </c>
      <c r="O61" s="22">
        <f>(SUMIF(Table14[Party],B61,Table14[Credit]))</f>
        <v>0</v>
      </c>
      <c r="P61" s="37">
        <f t="shared" si="7"/>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39">
        <f t="shared" si="6"/>
        <v>0</v>
      </c>
      <c r="O62" s="22">
        <f>(SUMIF(Table14[Party],B62,Table14[Credit]))</f>
        <v>0</v>
      </c>
      <c r="P62" s="37">
        <f t="shared" si="7"/>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39">
        <f t="shared" si="6"/>
        <v>0</v>
      </c>
      <c r="O63" s="22">
        <f>(SUMIF(Table14[Party],B63,Table14[Credit]))</f>
        <v>0</v>
      </c>
      <c r="P63" s="37">
        <f t="shared" si="7"/>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39">
        <f t="shared" si="6"/>
        <v>0</v>
      </c>
      <c r="O64" s="22">
        <f>(SUMIF(Table14[Party],B64,Table14[Credit]))</f>
        <v>0</v>
      </c>
      <c r="P64" s="37">
        <f t="shared" si="7"/>
        <v>0</v>
      </c>
      <c r="Q64" s="21">
        <v>10</v>
      </c>
      <c r="R64" s="21">
        <v>12</v>
      </c>
      <c r="U64" s="4" t="s">
        <v>26</v>
      </c>
      <c r="V64" s="5">
        <v>4818.0321872713976</v>
      </c>
      <c r="W64" s="18">
        <v>48180.321872713976</v>
      </c>
    </row>
    <row r="65" spans="2:23" x14ac:dyDescent="0.3">
      <c r="B65" s="81"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39">
        <f t="shared" si="6"/>
        <v>662588.69787856634</v>
      </c>
      <c r="O65" s="22">
        <f>(SUMIF(Table14[Party],B65,Table14[Credit]))</f>
        <v>704000</v>
      </c>
      <c r="P65" s="37">
        <f t="shared" si="7"/>
        <v>-41411.302121433662</v>
      </c>
      <c r="Q65" s="21">
        <v>10</v>
      </c>
      <c r="R65" s="21">
        <v>13</v>
      </c>
      <c r="U65" s="4" t="s">
        <v>152</v>
      </c>
      <c r="V65" s="5">
        <v>0</v>
      </c>
      <c r="W65" s="18">
        <v>0</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39">
        <f t="shared" si="6"/>
        <v>0</v>
      </c>
      <c r="O66" s="22">
        <f>(SUMIF(Table14[Party],B66,Table14[Credit]))</f>
        <v>0</v>
      </c>
      <c r="P66" s="37">
        <f t="shared" si="7"/>
        <v>0</v>
      </c>
      <c r="Q66" s="21">
        <v>10</v>
      </c>
      <c r="R66" s="21">
        <v>12</v>
      </c>
      <c r="U66" s="4" t="s">
        <v>35</v>
      </c>
      <c r="V66" s="5">
        <v>0</v>
      </c>
      <c r="W66" s="18">
        <v>0</v>
      </c>
    </row>
    <row r="67" spans="2:23" x14ac:dyDescent="0.3">
      <c r="B67" s="81" t="str">
        <v>Amjad sohail</v>
      </c>
      <c r="C67" s="22">
        <v>2212</v>
      </c>
      <c r="D67" s="22">
        <v>2022.6773957571327</v>
      </c>
      <c r="E67" s="63">
        <v>2022.6773957571327</v>
      </c>
      <c r="F67" s="63">
        <v>0</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0</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39">
        <f t="shared" si="6"/>
        <v>20226.773957571328</v>
      </c>
      <c r="O67" s="22">
        <f>(SUMIF(Table14[Party],B67,Table14[Credit]))</f>
        <v>0</v>
      </c>
      <c r="P67" s="37">
        <f t="shared" si="7"/>
        <v>20226.773957571328</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39">
        <f t="shared" si="6"/>
        <v>0</v>
      </c>
      <c r="O68" s="22">
        <f>(SUMIF(Table14[Party],B68,Table14[Credit]))</f>
        <v>0</v>
      </c>
      <c r="P68" s="37">
        <f t="shared" si="7"/>
        <v>0</v>
      </c>
      <c r="Q68" s="21">
        <v>10</v>
      </c>
      <c r="R68" s="21">
        <v>12</v>
      </c>
      <c r="U68" s="4" t="s">
        <v>27</v>
      </c>
      <c r="V68" s="5">
        <v>68631.126554498915</v>
      </c>
      <c r="W68" s="18">
        <v>686311.26554498915</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39">
        <f t="shared" si="6"/>
        <v>0</v>
      </c>
      <c r="O69" s="22">
        <f>(SUMIF(Table14[Party],B69,Table14[Credit]))</f>
        <v>20340</v>
      </c>
      <c r="P69" s="37">
        <f t="shared" si="7"/>
        <v>-20340</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39">
        <f t="shared" si="6"/>
        <v>0</v>
      </c>
      <c r="O70" s="22">
        <f>(SUMIF(Table14[Party],B70,Table14[Credit]))</f>
        <v>0</v>
      </c>
      <c r="P70" s="37">
        <f t="shared" si="7"/>
        <v>0</v>
      </c>
      <c r="U70" s="4" t="s">
        <v>170</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0</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39">
        <f t="shared" si="6"/>
        <v>0</v>
      </c>
      <c r="O71" s="22">
        <f>(SUMIF(Table14[Party],B71,Table14[Credit]))</f>
        <v>30000</v>
      </c>
      <c r="P71" s="37">
        <f t="shared" si="7"/>
        <v>-30000</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39">
        <f t="shared" si="6"/>
        <v>0</v>
      </c>
      <c r="O72" s="22">
        <f>(SUMIF(Table14[Party],B72,Table14[Credit]))</f>
        <v>0</v>
      </c>
      <c r="P72" s="37">
        <f t="shared" si="7"/>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39">
        <f t="shared" si="6"/>
        <v>0</v>
      </c>
      <c r="O73" s="22">
        <f>(SUMIF(Table14[Party],B73,Table14[Credit]))</f>
        <v>0</v>
      </c>
      <c r="P73" s="37">
        <f t="shared" si="7"/>
        <v>0</v>
      </c>
      <c r="U73" s="4" t="s">
        <v>175</v>
      </c>
      <c r="V73" s="5">
        <v>50968.361375274326</v>
      </c>
      <c r="W73" s="18">
        <v>611620.33650329197</v>
      </c>
    </row>
    <row r="74" spans="2:23" x14ac:dyDescent="0.3">
      <c r="B74" s="81"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39">
        <f t="shared" si="6"/>
        <v>0</v>
      </c>
      <c r="O74" s="22">
        <f>(SUMIF(Table14[Party],B74,Table14[Credit]))</f>
        <v>0</v>
      </c>
      <c r="P74" s="37">
        <f t="shared" si="7"/>
        <v>0</v>
      </c>
      <c r="U74" s="4" t="s">
        <v>219</v>
      </c>
      <c r="V74" s="5">
        <v>0</v>
      </c>
      <c r="W74" s="18">
        <v>0</v>
      </c>
    </row>
    <row r="75" spans="2:23" x14ac:dyDescent="0.3">
      <c r="B75" s="81" t="str">
        <v>Shani Badshah</v>
      </c>
      <c r="C75">
        <v>0</v>
      </c>
      <c r="D75">
        <v>0</v>
      </c>
      <c r="E75">
        <v>0</v>
      </c>
      <c r="F75">
        <v>0</v>
      </c>
      <c r="G75" s="22" cm="1">
        <f t="array" ref="G75">(_xlfn.BYROW(B75,_xlfn.LAMBDA(_xlpm.party,
(SUMIFS(ledger!J:J,ledger!B:B,_xlpm.party,ledger!E:E,"&lt;&gt;*RD*",ledger!D:D,"Chamki",ledger!C:C,"&lt;&gt;January Closing CF")+
SUMIFS(ledger!J:J,ledger!B:B,_xlpm.party,ledger!E:E,"&lt;&gt;*RD*",ledger!D:D,"Crinkle",ledger!C:C,"&lt;&gt;January Closing CF")
))))</f>
        <v>0</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39">
        <f t="shared" si="6"/>
        <v>0</v>
      </c>
      <c r="O75" s="22">
        <f>(SUMIF(Table14[Party],B75,Table14[Credit]))</f>
        <v>500000</v>
      </c>
      <c r="P75" s="37">
        <f t="shared" si="7"/>
        <v>-500000</v>
      </c>
      <c r="U75" s="4" t="s">
        <v>28</v>
      </c>
      <c r="V75" s="14">
        <v>414263.89904901246</v>
      </c>
      <c r="W75" s="14">
        <v>3633050.4754937822</v>
      </c>
    </row>
    <row r="76" spans="2:23"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39">
        <f t="shared" si="6"/>
        <v>0</v>
      </c>
      <c r="O76" s="22">
        <f>SUMIF(Table14[Party], B76, Table14[Credit])</f>
        <v>0</v>
      </c>
      <c r="P76" s="37">
        <f t="shared" si="7"/>
        <v>0</v>
      </c>
    </row>
    <row r="77" spans="2:23"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39">
        <f t="shared" si="6"/>
        <v>0</v>
      </c>
      <c r="O77" s="22">
        <f>SUMIF(Table14[Party], B77, Table14[Credit])</f>
        <v>0</v>
      </c>
      <c r="P77" s="37">
        <f t="shared" si="7"/>
        <v>0</v>
      </c>
    </row>
    <row r="78" spans="2:23" x14ac:dyDescent="0.3">
      <c r="B78" t="str">
        <v>Hafiz Shawl</v>
      </c>
      <c r="C78">
        <v>0</v>
      </c>
      <c r="D78">
        <v>0</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39">
        <f t="shared" si="6"/>
        <v>0</v>
      </c>
      <c r="O78" s="22">
        <f>SUMIF(Table14[Party], B78, Table14[Credit])</f>
        <v>0</v>
      </c>
      <c r="P78" s="37">
        <f t="shared" si="7"/>
        <v>0</v>
      </c>
    </row>
    <row r="79" spans="2:23" x14ac:dyDescent="0.3">
      <c r="B79" t="str">
        <v>Zahid Ejaz</v>
      </c>
      <c r="C79">
        <v>3905</v>
      </c>
      <c r="D79">
        <v>3570.7754206291152</v>
      </c>
      <c r="E79">
        <v>3570.7754206291152</v>
      </c>
      <c r="F79">
        <v>0</v>
      </c>
      <c r="G79" s="22" cm="1">
        <f t="array" ref="G79">(_xlfn.BYROW(B79,_xlfn.LAMBDA(_xlpm.party,
(SUMIFS(ledger!J:J,ledger!B:B,_xlpm.party,ledger!E:E,"&lt;&gt;*RD*",ledger!D:D,"Chamki",ledger!C:C,"&lt;&gt;January Closing CF")+
SUMIFS(ledger!J:J,ledger!B:B,_xlpm.party,ledger!E:E,"&lt;&gt;*RD*",ledger!D:D,"Crinkle",ledger!C:C,"&lt;&gt;January Closing CF")
))))</f>
        <v>39278.529626920266</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39">
        <f t="shared" si="6"/>
        <v>39278.529626920266</v>
      </c>
      <c r="O79" s="22">
        <f>SUMIF(Table14[Party], B79, Table14[Credit])</f>
        <v>39278</v>
      </c>
      <c r="P79" s="37">
        <f t="shared" si="7"/>
        <v>0.52962692026630975</v>
      </c>
    </row>
    <row r="80" spans="2:23" x14ac:dyDescent="0.3">
      <c r="B80" t="str">
        <v>Faizan Kamoki</v>
      </c>
      <c r="C80">
        <v>86706</v>
      </c>
      <c r="D80">
        <v>79284.930504754942</v>
      </c>
      <c r="E80">
        <v>0</v>
      </c>
      <c r="F80">
        <v>70423.372348207762</v>
      </c>
      <c r="O80" s="22">
        <f>SUMIF(Table14[Party], B80, Table14[Credit])</f>
        <v>1012980.4930504755</v>
      </c>
      <c r="P80" s="37">
        <f t="shared" si="7"/>
        <v>-1012980.4930504755</v>
      </c>
    </row>
    <row r="82" spans="1:18" x14ac:dyDescent="0.3">
      <c r="A82" t="s">
        <v>154</v>
      </c>
    </row>
    <row r="83" spans="1: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1:18" x14ac:dyDescent="0.3">
      <c r="B84" s="24" t="str" cm="1">
        <f t="array" ref="B84:B115">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N84" s="39">
        <f>G84+H84+I84+J84+K84+L84+M84</f>
        <v>35007560.19019752</v>
      </c>
      <c r="O84" s="22">
        <f>_xlfn.XLOOKUP($B49,[1]Billing!$Q$5:$Q$40,[1]Billing!$AD$5:$AD$40)</f>
        <v>19750734</v>
      </c>
      <c r="P84" s="37">
        <f>N84-O84</f>
        <v>15256826.19019752</v>
      </c>
      <c r="Q84" s="21">
        <v>10</v>
      </c>
      <c r="R84" s="21">
        <v>13</v>
      </c>
    </row>
    <row r="85" spans="1:18"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G85+H85+I85+J85+K85+L85+M85</f>
        <v>6396773.0431602057</v>
      </c>
      <c r="O85" s="22">
        <f>_xlfn.XLOOKUP($B50,[1]Billing!$Q$5:$Q$40,[1]Billing!$AD$5:$AD$40)</f>
        <v>6067319</v>
      </c>
      <c r="P85" s="37">
        <f t="shared" ref="P85:P115" si="8">N85-O85</f>
        <v>329454.04316020571</v>
      </c>
      <c r="Q85" s="21">
        <v>10</v>
      </c>
      <c r="R85" s="21">
        <v>13</v>
      </c>
    </row>
    <row r="86" spans="1:18"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ref="N86:N115" si="9">G86+H86+I86+J86+K86+L86+M86</f>
        <v>8603994.1477688365</v>
      </c>
      <c r="O86" s="22">
        <f>_xlfn.XLOOKUP($B51,[1]Billing!$Q$5:$Q$40,[1]Billing!$AD$5:$AD$40)</f>
        <v>8492501</v>
      </c>
      <c r="P86" s="37">
        <f t="shared" si="8"/>
        <v>111493.14776883647</v>
      </c>
      <c r="Q86" s="21">
        <v>10</v>
      </c>
      <c r="R86" s="21">
        <v>13</v>
      </c>
    </row>
    <row r="87" spans="1: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9"/>
        <v>1354241.9972933433</v>
      </c>
      <c r="O87" s="22">
        <f>_xlfn.XLOOKUP($B52,[1]Billing!$Q$5:$Q$40,[1]Billing!$AD$5:$AD$40)</f>
        <v>1353710</v>
      </c>
      <c r="P87" s="37">
        <f t="shared" si="8"/>
        <v>531.99729334330186</v>
      </c>
      <c r="Q87" s="21">
        <v>10.5</v>
      </c>
      <c r="R87" s="21">
        <v>13</v>
      </c>
    </row>
    <row r="88" spans="1: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9"/>
        <v>11478764.23847842</v>
      </c>
      <c r="O88" s="22">
        <f>_xlfn.XLOOKUP($B53,[1]Billing!$Q$5:$Q$40,[1]Billing!$AD$5:$AD$40)</f>
        <v>11478764</v>
      </c>
      <c r="P88" s="37">
        <f t="shared" si="8"/>
        <v>0.23847842030227184</v>
      </c>
      <c r="Q88" s="21">
        <v>10</v>
      </c>
      <c r="R88" s="21">
        <v>13</v>
      </c>
    </row>
    <row r="89" spans="1:18"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N89" s="39">
        <f t="shared" si="9"/>
        <v>9816608.449158743</v>
      </c>
      <c r="O89" s="22">
        <f>_xlfn.XLOOKUP($B54,[1]Billing!$Q$5:$Q$40,[1]Billing!$AD$5:$AD$40)</f>
        <v>9609871</v>
      </c>
      <c r="P89" s="37">
        <f t="shared" si="8"/>
        <v>206737.44915874302</v>
      </c>
      <c r="Q89" s="21">
        <v>10</v>
      </c>
      <c r="R89" s="21">
        <v>13</v>
      </c>
    </row>
    <row r="90" spans="1: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9"/>
        <v>1626380.7607900514</v>
      </c>
      <c r="O90" s="22">
        <f>_xlfn.XLOOKUP($B55,[1]Billing!$Q$5:$Q$40,[1]Billing!$AD$5:$AD$40)</f>
        <v>1526321</v>
      </c>
      <c r="P90" s="37">
        <f t="shared" si="8"/>
        <v>100059.76079005143</v>
      </c>
      <c r="Q90" s="21">
        <v>10</v>
      </c>
      <c r="R90" s="21">
        <v>13</v>
      </c>
    </row>
    <row r="91" spans="1:18"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9"/>
        <v>7403071.5069495253</v>
      </c>
      <c r="O91" s="22">
        <f>_xlfn.XLOOKUP($B56,[1]Billing!$Q$5:$Q$40,[1]Billing!$AD$5:$AD$40)</f>
        <v>7402540</v>
      </c>
      <c r="P91" s="37">
        <f t="shared" si="8"/>
        <v>531.50694952532649</v>
      </c>
      <c r="Q91" s="21">
        <v>10</v>
      </c>
      <c r="R91" s="21">
        <v>13</v>
      </c>
    </row>
    <row r="92" spans="1:18"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9"/>
        <v>1909464.1550841257</v>
      </c>
      <c r="O92" s="22">
        <f>_xlfn.XLOOKUP($B57,[1]Billing!$Q$5:$Q$40,[1]Billing!$AD$5:$AD$40)</f>
        <v>1908190</v>
      </c>
      <c r="P92" s="37">
        <f t="shared" si="8"/>
        <v>1274.1550841256976</v>
      </c>
      <c r="Q92" s="21">
        <v>10</v>
      </c>
      <c r="R92" s="21">
        <v>13</v>
      </c>
    </row>
    <row r="93" spans="1: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9"/>
        <v>255724.21360643749</v>
      </c>
      <c r="O93" s="22">
        <f>_xlfn.XLOOKUP($B58,[1]Billing!$Q$5:$Q$40,[1]Billing!$AD$5:$AD$40)</f>
        <v>130000</v>
      </c>
      <c r="P93" s="37">
        <f t="shared" si="8"/>
        <v>125724.21360643749</v>
      </c>
      <c r="Q93" s="21">
        <v>12</v>
      </c>
      <c r="R93" s="21">
        <v>13</v>
      </c>
    </row>
    <row r="94" spans="1:18"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9"/>
        <v>4157159.8390636435</v>
      </c>
      <c r="O94" s="22">
        <f>_xlfn.XLOOKUP($B59,[1]Billing!$Q$5:$Q$40,[1]Billing!$AD$5:$AD$40)</f>
        <v>4146179</v>
      </c>
      <c r="P94" s="37">
        <f t="shared" si="8"/>
        <v>10980.839063643478</v>
      </c>
      <c r="Q94" s="21">
        <v>10</v>
      </c>
      <c r="R94" s="21">
        <v>13</v>
      </c>
    </row>
    <row r="95" spans="1: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9"/>
        <v>6637699.3416239955</v>
      </c>
      <c r="O95" s="22">
        <f>_xlfn.XLOOKUP($B60,[1]Billing!$Q$5:$Q$40,[1]Billing!$AD$5:$AD$40)</f>
        <v>6545761</v>
      </c>
      <c r="P95" s="37">
        <f t="shared" si="8"/>
        <v>91938.341623995453</v>
      </c>
      <c r="Q95" s="21">
        <v>10</v>
      </c>
      <c r="R95" s="21">
        <v>13</v>
      </c>
    </row>
    <row r="96" spans="1:18"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9"/>
        <v>1214045.3547915143</v>
      </c>
      <c r="O96" s="22">
        <f>_xlfn.XLOOKUP($B61,[1]Billing!$Q$5:$Q$40,[1]Billing!$AD$5:$AD$40)</f>
        <v>1214045</v>
      </c>
      <c r="P96" s="37">
        <f t="shared" si="8"/>
        <v>0.35479151434265077</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9"/>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9"/>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9"/>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9"/>
        <v>6091484.0892465264</v>
      </c>
      <c r="O100" s="22">
        <f>_xlfn.XLOOKUP($B65,[1]Billing!$Q$5:$Q$40,[1]Billing!$AD$5:$AD$40)</f>
        <v>6024187</v>
      </c>
      <c r="P100" s="37">
        <f t="shared" si="8"/>
        <v>67297.089246526361</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9"/>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9"/>
        <v>4213776.5179224582</v>
      </c>
      <c r="O102" s="22">
        <f>_xlfn.XLOOKUP($B67,[1]Billing!$Q$5:$Q$40,[1]Billing!$AD$5:$AD$40)</f>
        <v>4417830</v>
      </c>
      <c r="P102" s="37">
        <f t="shared" si="8"/>
        <v>-204053.48207754176</v>
      </c>
      <c r="Q102" s="21">
        <v>10</v>
      </c>
      <c r="R102" s="21">
        <v>13</v>
      </c>
    </row>
    <row r="103" spans="2:18" x14ac:dyDescent="0.3">
      <c r="B103" s="81"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N103" s="39">
        <f t="shared" si="9"/>
        <v>3269779.6269202633</v>
      </c>
      <c r="O103" s="22">
        <f>_xlfn.XLOOKUP($B68,[1]Billing!$Q$5:$Q$40,[1]Billing!$AD$5:$AD$40)</f>
        <v>3296025</v>
      </c>
      <c r="P103" s="37">
        <f t="shared" si="8"/>
        <v>-26245.373079736717</v>
      </c>
      <c r="Q103" s="21">
        <v>10</v>
      </c>
      <c r="R103" s="21">
        <v>13</v>
      </c>
    </row>
    <row r="104" spans="2:18" x14ac:dyDescent="0.3">
      <c r="B104" s="81"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9"/>
        <v>3656896.4886613023</v>
      </c>
      <c r="O104" s="22">
        <f>_xlfn.XLOOKUP($B69,[1]Billing!$Q$5:$Q$40,[1]Billing!$AD$5:$AD$40)</f>
        <v>3625137</v>
      </c>
      <c r="P104" s="37">
        <f t="shared" si="8"/>
        <v>31759.488661302254</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9"/>
        <v>424323.335771763</v>
      </c>
      <c r="O105" s="22">
        <f>_xlfn.XLOOKUP($B70,[1]Billing!$Q$5:$Q$40,[1]Billing!$AD$5:$AD$40)</f>
        <v>424323</v>
      </c>
      <c r="P105" s="37">
        <f t="shared" si="8"/>
        <v>0.33577176299877465</v>
      </c>
    </row>
    <row r="106" spans="2:18" x14ac:dyDescent="0.3">
      <c r="B106" s="81"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9"/>
        <v>1454844.5501097296</v>
      </c>
      <c r="O106" s="22">
        <f>_xlfn.XLOOKUP($B71,[1]Billing!$Q$5:$Q$40,[1]Billing!$AD$5:$AD$40)</f>
        <v>1415500</v>
      </c>
      <c r="P106" s="37">
        <f t="shared" si="8"/>
        <v>39344.550109729636</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9"/>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9"/>
        <v>385138.07607900514</v>
      </c>
      <c r="O108" s="22">
        <f>_xlfn.XLOOKUP($B73,[1]Billing!$Q$5:$Q$40,[1]Billing!$AD$5:$AD$40)</f>
        <v>250000</v>
      </c>
      <c r="P108" s="37">
        <f t="shared" si="8"/>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9"/>
        <v>151504.2062911485</v>
      </c>
      <c r="O109" s="22">
        <f>_xlfn.XLOOKUP($B74,[1]Billing!$Q$5:$Q$40,[1]Billing!$AD$5:$AD$40)</f>
        <v>0</v>
      </c>
      <c r="P109" s="37">
        <f t="shared" si="8"/>
        <v>151504.2062911485</v>
      </c>
    </row>
    <row r="110" spans="2:18" x14ac:dyDescent="0.3">
      <c r="B110" s="81"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si="9"/>
        <v>2089305.9619604978</v>
      </c>
      <c r="O110" s="22">
        <f>_xlfn.XLOOKUP($B75,[1]Billing!$Q$5:$Q$40,[1]Billing!$AD$5:$AD$40)</f>
        <v>1300000</v>
      </c>
      <c r="P110" s="37">
        <f t="shared" si="8"/>
        <v>789305.96196049778</v>
      </c>
    </row>
    <row r="111" spans="2:18"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595924.46964155091</v>
      </c>
      <c r="O111" s="22">
        <f>_xlfn.XLOOKUP($B76,[1]Billing!$Q$5:$Q$40,[1]Billing!$AD$5:$AD$40)</f>
        <v>550000</v>
      </c>
      <c r="P111" s="37">
        <f t="shared" si="8"/>
        <v>45924.46964155091</v>
      </c>
    </row>
    <row r="112" spans="2:18"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636460.3145574251</v>
      </c>
      <c r="O112" s="22">
        <f>_xlfn.XLOOKUP($B77,[1]Billing!$Q$5:$Q$40,[1]Billing!$AD$5:$AD$40)</f>
        <v>636000</v>
      </c>
      <c r="P112" s="37">
        <f t="shared" si="8"/>
        <v>460.3145574250957</v>
      </c>
    </row>
    <row r="113" spans="2:16"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15855.888807607902</v>
      </c>
      <c r="O113" s="22">
        <f>_xlfn.XLOOKUP($B78,[1]Billing!$Q$5:$Q$40,[1]Billing!$AD$5:$AD$40)</f>
        <v>15855</v>
      </c>
      <c r="P113" s="37">
        <f t="shared" si="8"/>
        <v>0.8888076079019811</v>
      </c>
    </row>
    <row r="114" spans="2:16"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N114" s="39" t="e">
        <f t="shared" si="9"/>
        <v>#N/A</v>
      </c>
      <c r="O114" s="22" t="e">
        <f>_xlfn.XLOOKUP($B79,[1]Billing!$Q$5:$Q$40,[1]Billing!$AD$5:$AD$40)</f>
        <v>#N/A</v>
      </c>
      <c r="P114" s="37" t="e">
        <f t="shared" si="8"/>
        <v>#N/A</v>
      </c>
    </row>
    <row r="115" spans="2:16"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N115" s="39" t="e">
        <f t="shared" si="9"/>
        <v>#N/A</v>
      </c>
      <c r="O115" s="22" t="e">
        <f>_xlfn.XLOOKUP($B80,[1]Billing!$Q$5:$Q$40,[1]Billing!$AD$5:$AD$40)</f>
        <v>#N/A</v>
      </c>
      <c r="P115" s="37" t="e">
        <f t="shared" si="8"/>
        <v>#N/A</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5"/>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5">_xlfn.UNIQUE(Table1[Party Name])</f>
        <v>BSC</v>
      </c>
    </row>
    <row r="5" spans="2:10" x14ac:dyDescent="0.3">
      <c r="J5" t="str">
        <v>Ejaz Sahab</v>
      </c>
    </row>
    <row r="6" spans="2:10" ht="21" x14ac:dyDescent="0.4">
      <c r="B6" s="64" t="s">
        <v>229</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Billing!$Q$5), INDEX(Billing!U5:U25, _xlfn.SEQUENCE(ROWS(_xlfn.ANCHORARRAY(Billing!$Q$5)))),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1800000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289305.96196049778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2567210</v>
      </c>
      <c r="D4" t="s">
        <v>189</v>
      </c>
      <c r="E4" s="43">
        <f ca="1">Table12[[#This Row],[Amount]]/Table1[[#Totals],[tiyar/meters]]</f>
        <v>5.1432429002202005</v>
      </c>
    </row>
    <row r="5" spans="1:5" x14ac:dyDescent="0.3">
      <c r="B5" t="s">
        <v>48</v>
      </c>
      <c r="C5" s="11">
        <f>SUM(Table8[Price])+(301660)</f>
        <v>436660</v>
      </c>
      <c r="E5" s="43">
        <f ca="1">Table12[[#This Row],[Amount]]/Table1[[#Totals],[tiyar/meters]]</f>
        <v>0.87482069827172415</v>
      </c>
    </row>
    <row r="6" spans="1:5" x14ac:dyDescent="0.3">
      <c r="B6" t="s">
        <v>49</v>
      </c>
      <c r="C6" s="11">
        <f>SUM(Table2[Price])</f>
        <v>138000</v>
      </c>
      <c r="D6" t="s">
        <v>188</v>
      </c>
      <c r="E6" s="43">
        <f ca="1">Table12[[#This Row],[Amount]]/Table1[[#Totals],[tiyar/meters]]</f>
        <v>0.27647427371753291</v>
      </c>
    </row>
    <row r="7" spans="1:5" x14ac:dyDescent="0.3">
      <c r="B7" t="s">
        <v>50</v>
      </c>
      <c r="C7" s="11">
        <f>SUMIFS(Table14[Debit], Table14[Party],Table12[[#This Row],[Type]])</f>
        <v>820</v>
      </c>
      <c r="E7" s="43">
        <f ca="1">Table12[[#This Row],[Amount]]/Table1[[#Totals],[tiyar/meters]]</f>
        <v>1.6428181481766449E-3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172630</v>
      </c>
      <c r="E9" s="43">
        <f ca="1">Table12[[#This Row],[Amount]]/Table1[[#Totals],[tiyar/meters]]</f>
        <v>0.34585328892650513</v>
      </c>
    </row>
    <row r="10" spans="1:5" x14ac:dyDescent="0.3">
      <c r="B10" t="s">
        <v>53</v>
      </c>
      <c r="C10" s="11">
        <f>Table5[[#Totals],[Amount]]</f>
        <v>0</v>
      </c>
      <c r="E10" s="43">
        <f ca="1">Table12[[#This Row],[Amount]]/Table1[[#Totals],[tiyar/meters]]</f>
        <v>0</v>
      </c>
    </row>
    <row r="11" spans="1:5" x14ac:dyDescent="0.3">
      <c r="B11" t="s">
        <v>54</v>
      </c>
      <c r="C11" s="11">
        <f>Table13[[#Totals],[Debit]]</f>
        <v>45528</v>
      </c>
      <c r="E11" s="43">
        <f ca="1">Table12[[#This Row],[Amount]]/Table1[[#Totals],[tiyar/meters]]</f>
        <v>9.1212469085593037E-2</v>
      </c>
    </row>
    <row r="12" spans="1:5" x14ac:dyDescent="0.3">
      <c r="B12" t="s">
        <v>55</v>
      </c>
      <c r="C12" s="11">
        <f>Table15[[#Totals],[Amount]]</f>
        <v>374150</v>
      </c>
      <c r="E12" s="43">
        <f ca="1">Table12[[#This Row],[Amount]]/Table1[[#Totals],[tiyar/meters]]</f>
        <v>0.74958586602474597</v>
      </c>
    </row>
    <row r="13" spans="1:5" x14ac:dyDescent="0.3">
      <c r="C13" s="11"/>
      <c r="E13" s="43">
        <f ca="1">Table12[[#This Row],[Amount]]/Table1[[#Totals],[tiyar/meters]]</f>
        <v>0</v>
      </c>
    </row>
    <row r="14" spans="1:5" x14ac:dyDescent="0.3">
      <c r="C14" s="14">
        <f>SUM(Table12[Amount])</f>
        <v>3734998</v>
      </c>
      <c r="E14" s="43">
        <f ca="1">SUM(Table12[cost per meter])</f>
        <v>7.4828323143944768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21" sqref="C2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4535229.5171909286</v>
      </c>
    </row>
    <row r="4" spans="1:3" x14ac:dyDescent="0.3">
      <c r="B4" s="11" t="s">
        <v>44</v>
      </c>
      <c r="C4" s="11">
        <f>Table12[[#Totals],[Amount]]</f>
        <v>3734998</v>
      </c>
    </row>
    <row r="5" spans="1:3" x14ac:dyDescent="0.3">
      <c r="A5" s="6"/>
      <c r="B5" s="15" t="s">
        <v>68</v>
      </c>
      <c r="C5" s="15">
        <f>C3-C4</f>
        <v>800231.51719092857</v>
      </c>
    </row>
    <row r="10" spans="1:3" ht="15" thickBot="1" x14ac:dyDescent="0.35">
      <c r="B10" t="s">
        <v>66</v>
      </c>
      <c r="C10" s="14" t="s">
        <v>67</v>
      </c>
    </row>
    <row r="11" spans="1:3" x14ac:dyDescent="0.3">
      <c r="B11" s="56" t="s">
        <v>0</v>
      </c>
      <c r="C11" s="57">
        <f>C3</f>
        <v>4535229.5171909286</v>
      </c>
    </row>
    <row r="12" spans="1:3" x14ac:dyDescent="0.3">
      <c r="B12" s="58" t="s">
        <v>69</v>
      </c>
      <c r="C12" s="59">
        <f>SUM(Table14[Credit])</f>
        <v>13098361.493050475</v>
      </c>
    </row>
    <row r="13" spans="1:3" ht="15" thickBot="1" x14ac:dyDescent="0.35">
      <c r="B13" s="74" t="s">
        <v>93</v>
      </c>
      <c r="C13" s="73">
        <f>(C11-C12)</f>
        <v>-8563131.9758595452</v>
      </c>
    </row>
    <row r="14" spans="1:3" ht="15" thickBot="1" x14ac:dyDescent="0.35">
      <c r="B14" s="58"/>
      <c r="C14" s="59"/>
    </row>
    <row r="15" spans="1:3" x14ac:dyDescent="0.3">
      <c r="B15" s="56" t="s">
        <v>44</v>
      </c>
      <c r="C15" s="57">
        <f>C4</f>
        <v>3734998</v>
      </c>
    </row>
    <row r="16" spans="1:3" x14ac:dyDescent="0.3">
      <c r="B16" s="58" t="s">
        <v>70</v>
      </c>
      <c r="C16" s="59">
        <f>SUM(Table14[Debit])</f>
        <v>12872219</v>
      </c>
    </row>
    <row r="17" spans="2:6" ht="15" thickBot="1" x14ac:dyDescent="0.35">
      <c r="B17" s="74" t="s">
        <v>71</v>
      </c>
      <c r="C17" s="73">
        <f>C15-C16</f>
        <v>-9137221</v>
      </c>
    </row>
    <row r="18" spans="2:6" ht="15" thickBot="1" x14ac:dyDescent="0.35">
      <c r="B18" s="58"/>
      <c r="C18" s="59"/>
    </row>
    <row r="19" spans="2:6" ht="15" thickBot="1" x14ac:dyDescent="0.35">
      <c r="B19" s="75" t="s">
        <v>72</v>
      </c>
      <c r="C19" s="76">
        <f>Table18[[#Totals],[amount]]</f>
        <v>226142.49305047467</v>
      </c>
    </row>
    <row r="20" spans="2:6" ht="15" thickBot="1" x14ac:dyDescent="0.35">
      <c r="B20" s="71"/>
      <c r="C20" s="72"/>
    </row>
    <row r="21" spans="2:6" ht="15" thickBot="1" x14ac:dyDescent="0.35">
      <c r="B21" s="60" t="s">
        <v>73</v>
      </c>
      <c r="C21" s="61">
        <f>(C13-C17)+C19</f>
        <v>800231.5171909295</v>
      </c>
      <c r="E21" s="79" t="s">
        <v>74</v>
      </c>
      <c r="F21" s="80">
        <f>C5*0.05</f>
        <v>40011.575859546429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45528</v>
      </c>
      <c r="E44">
        <f>SUBTOTAL(109,Table13[Credit])</f>
        <v>0</v>
      </c>
      <c r="F44">
        <f>Table13[[#Totals],[Debit]]-Table13[[#Totals],[Credit]]</f>
        <v>45528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91" zoomScale="107" zoomScaleNormal="107" workbookViewId="0">
      <selection activeCell="E111" sqref="E111"/>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46072</v>
      </c>
      <c r="B2" s="81" t="s">
        <v>21</v>
      </c>
      <c r="C2" s="108" t="s">
        <v>292</v>
      </c>
      <c r="D2" s="108" t="s">
        <v>85</v>
      </c>
      <c r="E2" s="109"/>
      <c r="F2" s="37"/>
      <c r="G2" s="37"/>
      <c r="H2" s="110" t="e">
        <f>_xlfn.XLOOKUP(Table1[[#This Row],[Shipment Number]], 'pivot '!A:A,'pivot '!G:G, "NF")</f>
        <v>#DIV/0!</v>
      </c>
      <c r="I2" s="110">
        <f>_xlfn.XLOOKUP(Table1[[#This Row],[Party Name]],
[1]Billing!$Q$5:$Q$40,
[1]Billing!$T$5:$T$40)</f>
        <v>2767584.0182882226</v>
      </c>
      <c r="J2" s="110">
        <f>_xlfn.XLOOKUP(Table1[[#This Row],[Party Name]],
[1]Billing!$Q$5:$Q$40,
[1]Billing!$V$5:$V$40)</f>
        <v>27675840.182882231</v>
      </c>
      <c r="K2" s="108"/>
      <c r="M2" s="10" t="str" cm="1">
        <f t="array" ref="M2:M33">_xlfn.UNIQUE(Table1[Party Name])</f>
        <v>BSC</v>
      </c>
    </row>
    <row r="3" spans="1:28" x14ac:dyDescent="0.3">
      <c r="A3" s="107">
        <v>46072</v>
      </c>
      <c r="B3" s="81" t="s">
        <v>22</v>
      </c>
      <c r="C3" s="108" t="s">
        <v>292</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46072</v>
      </c>
      <c r="B4" s="81" t="s">
        <v>9</v>
      </c>
      <c r="C4" s="108" t="s">
        <v>292</v>
      </c>
      <c r="D4" s="108" t="s">
        <v>85</v>
      </c>
      <c r="E4" s="109"/>
      <c r="F4" s="37"/>
      <c r="G4" s="37"/>
      <c r="H4" s="110" t="e">
        <f>_xlfn.XLOOKUP(Table1[[#This Row],[Shipment Number]], 'pivot '!A:A,'pivot '!G:G, "NF")</f>
        <v>#DIV/0!</v>
      </c>
      <c r="I4" s="110">
        <f>_xlfn.XLOOKUP(Table1[[#This Row],[Party Name]],
[1]Billing!$Q$5:$Q$40,
[1]Billing!$T$5:$T$40)</f>
        <v>671848.9392831017</v>
      </c>
      <c r="J4" s="110">
        <f>_xlfn.XLOOKUP(Table1[[#This Row],[Party Name]],
[1]Billing!$Q$5:$Q$40,
[1]Billing!$V$5:$V$40)</f>
        <v>6718489.3928310173</v>
      </c>
      <c r="K4" s="108"/>
      <c r="M4" s="10" t="str">
        <v>Arshad</v>
      </c>
    </row>
    <row r="5" spans="1:28" x14ac:dyDescent="0.3">
      <c r="A5" s="107">
        <v>46072</v>
      </c>
      <c r="B5" s="81" t="s">
        <v>23</v>
      </c>
      <c r="C5" s="108" t="s">
        <v>292</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46072</v>
      </c>
      <c r="B6" s="81" t="s">
        <v>24</v>
      </c>
      <c r="C6" s="108" t="s">
        <v>292</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46072</v>
      </c>
      <c r="B7" s="81" t="s">
        <v>25</v>
      </c>
      <c r="C7" s="108" t="s">
        <v>292</v>
      </c>
      <c r="D7" s="108" t="s">
        <v>85</v>
      </c>
      <c r="E7" s="109"/>
      <c r="F7" s="37"/>
      <c r="G7" s="37"/>
      <c r="H7" s="110" t="e">
        <f>_xlfn.XLOOKUP(Table1[[#This Row],[Shipment Number]], 'pivot '!A:A,'pivot '!G:G, "NF")</f>
        <v>#DIV/0!</v>
      </c>
      <c r="I7" s="110">
        <f>_xlfn.XLOOKUP(Table1[[#This Row],[Party Name]],
[1]Billing!$Q$5:$Q$40,
[1]Billing!$T$5:$T$40)</f>
        <v>942295.17190929048</v>
      </c>
      <c r="J7" s="110">
        <f>_xlfn.XLOOKUP(Table1[[#This Row],[Party Name]],
[1]Billing!$Q$5:$Q$40,
[1]Billing!$V$5:$V$40)</f>
        <v>9422951.7190929055</v>
      </c>
      <c r="K7" s="108"/>
      <c r="M7" s="10" t="str">
        <v>Sajad Khan</v>
      </c>
      <c r="X7"/>
      <c r="Y7"/>
      <c r="Z7"/>
      <c r="AA7"/>
      <c r="AB7"/>
    </row>
    <row r="8" spans="1:28" x14ac:dyDescent="0.3">
      <c r="A8" s="107">
        <v>46072</v>
      </c>
      <c r="B8" s="81" t="s">
        <v>26</v>
      </c>
      <c r="C8" s="108" t="s">
        <v>292</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46072</v>
      </c>
      <c r="B9" s="81" t="s">
        <v>152</v>
      </c>
      <c r="C9" s="108" t="s">
        <v>292</v>
      </c>
      <c r="D9" s="108" t="s">
        <v>85</v>
      </c>
      <c r="E9" s="109"/>
      <c r="F9" s="37"/>
      <c r="G9" s="37"/>
      <c r="H9" s="110" t="e">
        <f>_xlfn.XLOOKUP(Table1[[#This Row],[Shipment Number]], 'pivot '!A:A,'pivot '!G:G, "NF")</f>
        <v>#DIV/0!</v>
      </c>
      <c r="I9" s="110">
        <f>_xlfn.XLOOKUP(Table1[[#This Row],[Party Name]],
[1]Billing!$Q$5:$Q$40,
[1]Billing!$T$5:$T$40)</f>
        <v>501118.32479882962</v>
      </c>
      <c r="J9" s="110">
        <f>_xlfn.XLOOKUP(Table1[[#This Row],[Party Name]],
[1]Billing!$Q$5:$Q$40,
[1]Billing!$V$5:$V$40)</f>
        <v>5011183.2479882967</v>
      </c>
      <c r="K9" s="108"/>
      <c r="M9" s="10" t="str">
        <v>Azam</v>
      </c>
      <c r="X9"/>
      <c r="Y9"/>
      <c r="Z9"/>
      <c r="AA9"/>
      <c r="AB9"/>
    </row>
    <row r="10" spans="1:28" x14ac:dyDescent="0.3">
      <c r="A10" s="107">
        <v>46072</v>
      </c>
      <c r="B10" s="81" t="s">
        <v>35</v>
      </c>
      <c r="C10" s="108" t="s">
        <v>292</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46072</v>
      </c>
      <c r="B11" s="81" t="s">
        <v>148</v>
      </c>
      <c r="C11" s="108" t="s">
        <v>292</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46072</v>
      </c>
      <c r="B12" s="81" t="s">
        <v>27</v>
      </c>
      <c r="C12" s="108" t="s">
        <v>292</v>
      </c>
      <c r="D12" s="108" t="s">
        <v>85</v>
      </c>
      <c r="E12" s="109"/>
      <c r="F12" s="37"/>
      <c r="G12" s="37"/>
      <c r="H12" s="110" t="e">
        <f>_xlfn.XLOOKUP(Table1[[#This Row],[Shipment Number]], 'pivot '!A:A,'pivot '!G:G, "NF")</f>
        <v>#DIV/0!</v>
      </c>
      <c r="I12" s="110">
        <f>_xlfn.XLOOKUP(Table1[[#This Row],[Party Name]],
[1]Billing!$Q$5:$Q$40,
[1]Billing!$T$5:$T$40)</f>
        <v>415715.98390636436</v>
      </c>
      <c r="J12" s="110">
        <f>_xlfn.XLOOKUP(Table1[[#This Row],[Party Name]],
[1]Billing!$Q$5:$Q$40,
[1]Billing!$V$5:$V$40)</f>
        <v>4157159.8390636435</v>
      </c>
      <c r="K12" s="108"/>
      <c r="M12" s="10" t="str">
        <v>Hafiz Qureshi</v>
      </c>
      <c r="P12"/>
      <c r="Q12"/>
      <c r="R12"/>
      <c r="S12"/>
      <c r="T12"/>
      <c r="U12"/>
      <c r="V12"/>
      <c r="W12"/>
      <c r="X12"/>
      <c r="Y12"/>
    </row>
    <row r="13" spans="1:28" x14ac:dyDescent="0.3">
      <c r="A13" s="107">
        <v>46072</v>
      </c>
      <c r="B13" s="81" t="s">
        <v>166</v>
      </c>
      <c r="C13" s="108" t="s">
        <v>292</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46072</v>
      </c>
      <c r="B14" s="81" t="s">
        <v>219</v>
      </c>
      <c r="C14" s="108" t="s">
        <v>292</v>
      </c>
      <c r="D14" s="108" t="s">
        <v>85</v>
      </c>
      <c r="E14" s="37"/>
      <c r="F14" s="37"/>
      <c r="G14" s="37"/>
      <c r="H14" s="110" t="e">
        <f>_xlfn.XLOOKUP(Table1[[#This Row],[Shipment Number]], 'pivot '!A:A,'pivot '!G:G, "NF")</f>
        <v>#DIV/0!</v>
      </c>
      <c r="I14" s="110">
        <f>_xlfn.XLOOKUP(Table1[[#This Row],[Party Name]],
[1]Billing!$Q$5:$Q$40,
[1]Billing!$T$5:$T$40)</f>
        <v>121404.53547915144</v>
      </c>
      <c r="J14" s="110">
        <f>_xlfn.XLOOKUP(Table1[[#This Row],[Party Name]],
[1]Billing!$Q$5:$Q$40,
[1]Billing!$V$5:$V$40)</f>
        <v>1214045.3547915143</v>
      </c>
      <c r="K14" s="108"/>
      <c r="M14" s="10" t="str">
        <v>Gauhar Kashif</v>
      </c>
      <c r="P14"/>
      <c r="Q14"/>
      <c r="R14"/>
      <c r="S14"/>
      <c r="T14"/>
      <c r="U14"/>
      <c r="V14"/>
      <c r="W14"/>
      <c r="X14"/>
      <c r="Y14"/>
    </row>
    <row r="15" spans="1:28" x14ac:dyDescent="0.3">
      <c r="A15" s="107">
        <v>46072</v>
      </c>
      <c r="B15" s="81" t="s">
        <v>170</v>
      </c>
      <c r="C15" s="108" t="s">
        <v>292</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46072</v>
      </c>
      <c r="B16" s="81" t="s">
        <v>171</v>
      </c>
      <c r="C16" s="108" t="s">
        <v>292</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46072</v>
      </c>
      <c r="B17" s="81" t="s">
        <v>173</v>
      </c>
      <c r="C17" s="108" t="s">
        <v>292</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46072</v>
      </c>
      <c r="B18" s="81" t="s">
        <v>175</v>
      </c>
      <c r="C18" s="108" t="s">
        <v>292</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30000</v>
      </c>
      <c r="K18" s="108"/>
      <c r="M18" s="10" t="str">
        <v>Faizan</v>
      </c>
      <c r="P18"/>
      <c r="Q18"/>
      <c r="R18"/>
      <c r="S18"/>
      <c r="T18"/>
      <c r="U18"/>
      <c r="V18"/>
      <c r="W18"/>
      <c r="X18"/>
      <c r="Y18"/>
    </row>
    <row r="19" spans="1:25" x14ac:dyDescent="0.3">
      <c r="A19" s="107">
        <v>46072</v>
      </c>
      <c r="B19" s="81" t="s">
        <v>177</v>
      </c>
      <c r="C19" s="108" t="s">
        <v>292</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46072</v>
      </c>
      <c r="B20" s="81" t="s">
        <v>178</v>
      </c>
      <c r="C20" s="108" t="s">
        <v>292</v>
      </c>
      <c r="D20" s="108" t="s">
        <v>85</v>
      </c>
      <c r="E20" s="37"/>
      <c r="F20" s="37"/>
      <c r="G20" s="37"/>
      <c r="H20" s="110" t="e">
        <f>_xlfn.XLOOKUP(Table1[[#This Row],[Shipment Number]], 'pivot '!A:A,'pivot '!G:G, "NF")</f>
        <v>#DIV/0!</v>
      </c>
      <c r="I20" s="110">
        <f>_xlfn.XLOOKUP(Table1[[#This Row],[Party Name]],
[1]Billing!$Q$5:$Q$40,
[1]Billing!$T$5:$T$40)</f>
        <v>360797.36649597657</v>
      </c>
      <c r="J20" s="110">
        <f>_xlfn.XLOOKUP(Table1[[#This Row],[Party Name]],
[1]Billing!$Q$5:$Q$40,
[1]Billing!$V$5:$V$40)</f>
        <v>3607973.6649597664</v>
      </c>
      <c r="K20" s="108"/>
      <c r="M20" s="10" t="str">
        <v>Amjad sohail</v>
      </c>
      <c r="P20"/>
      <c r="Q20"/>
      <c r="R20"/>
      <c r="S20"/>
      <c r="T20"/>
      <c r="U20"/>
      <c r="V20"/>
      <c r="W20"/>
      <c r="X20"/>
      <c r="Y20"/>
    </row>
    <row r="21" spans="1:25" x14ac:dyDescent="0.3">
      <c r="A21" s="107">
        <v>46072</v>
      </c>
      <c r="B21" s="81" t="s">
        <v>183</v>
      </c>
      <c r="C21" s="108" t="s">
        <v>292</v>
      </c>
      <c r="D21" s="108" t="s">
        <v>85</v>
      </c>
      <c r="E21" s="37"/>
      <c r="F21" s="37"/>
      <c r="G21" s="37"/>
      <c r="H21" s="110" t="e">
        <f>_xlfn.XLOOKUP(Table1[[#This Row],[Shipment Number]], 'pivot '!A:A,'pivot '!G:G, "NF")</f>
        <v>#DIV/0!</v>
      </c>
      <c r="I21" s="110">
        <f>_xlfn.XLOOKUP(Table1[[#This Row],[Party Name]],
[1]Billing!$Q$5:$Q$40,
[1]Billing!$T$5:$T$40)</f>
        <v>72939.831748354074</v>
      </c>
      <c r="J21" s="110">
        <f>_xlfn.XLOOKUP(Table1[[#This Row],[Party Name]],
[1]Billing!$Q$5:$Q$40,
[1]Billing!$V$5:$V$40)</f>
        <v>729398.31748354062</v>
      </c>
      <c r="K21" s="108"/>
      <c r="M21" s="10" t="str">
        <v>Salman Zaffar</v>
      </c>
      <c r="P21"/>
      <c r="Q21"/>
      <c r="R21"/>
      <c r="S21"/>
      <c r="T21"/>
      <c r="U21"/>
      <c r="V21"/>
      <c r="W21"/>
      <c r="X21"/>
      <c r="Y21"/>
    </row>
    <row r="22" spans="1:25" x14ac:dyDescent="0.3">
      <c r="A22" s="107">
        <v>46072</v>
      </c>
      <c r="B22" s="81" t="s">
        <v>190</v>
      </c>
      <c r="C22" s="108" t="s">
        <v>292</v>
      </c>
      <c r="D22" s="108" t="s">
        <v>85</v>
      </c>
      <c r="E22" s="37"/>
      <c r="F22" s="37"/>
      <c r="G22" s="37"/>
      <c r="H22" s="110" t="e">
        <f>_xlfn.XLOOKUP(Table1[[#This Row],[Shipment Number]], 'pivot '!A:A,'pivot '!G:G, "NF")</f>
        <v>#DIV/0!</v>
      </c>
      <c r="I22" s="110">
        <f>_xlfn.XLOOKUP(Table1[[#This Row],[Party Name]],
[1]Billing!$Q$5:$Q$40,
[1]Billing!$T$5:$T$40)</f>
        <v>310998.53694220923</v>
      </c>
      <c r="J22" s="110">
        <f>_xlfn.XLOOKUP(Table1[[#This Row],[Party Name]],
[1]Billing!$Q$5:$Q$40,
[1]Billing!$V$5:$V$40)</f>
        <v>3109985.3694220926</v>
      </c>
      <c r="K22" s="108"/>
      <c r="M22" s="10" t="str">
        <v>Shahid Qasayi</v>
      </c>
      <c r="P22"/>
      <c r="Q22"/>
      <c r="R22"/>
      <c r="S22"/>
      <c r="T22"/>
      <c r="U22"/>
      <c r="V22"/>
      <c r="W22"/>
      <c r="X22"/>
      <c r="Y22"/>
    </row>
    <row r="23" spans="1:25" x14ac:dyDescent="0.3">
      <c r="A23" s="107">
        <v>46072</v>
      </c>
      <c r="B23" s="81" t="s">
        <v>193</v>
      </c>
      <c r="C23" s="108" t="s">
        <v>292</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46072</v>
      </c>
      <c r="B24" s="81" t="s">
        <v>192</v>
      </c>
      <c r="C24" s="108" t="s">
        <v>292</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46072</v>
      </c>
      <c r="B25" s="81" t="s">
        <v>197</v>
      </c>
      <c r="C25" s="108" t="s">
        <v>292</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46072</v>
      </c>
      <c r="B26" s="81" t="s">
        <v>202</v>
      </c>
      <c r="C26" s="108" t="s">
        <v>292</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46072</v>
      </c>
      <c r="B27" s="117" t="s">
        <v>204</v>
      </c>
      <c r="C27" s="108" t="s">
        <v>292</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46072</v>
      </c>
      <c r="B28" s="121" t="s">
        <v>229</v>
      </c>
      <c r="C28" s="108" t="s">
        <v>292</v>
      </c>
      <c r="D28" s="118" t="s">
        <v>85</v>
      </c>
      <c r="E28" s="84"/>
      <c r="F28" s="84"/>
      <c r="G28" s="84"/>
      <c r="H28" s="126" t="e">
        <f>_xlfn.XLOOKUP(Table1[[#This Row],[Shipment Number]], 'pivot '!A:A,'pivot '!G:G, "NF")</f>
        <v>#DIV/0!</v>
      </c>
      <c r="I28" s="110">
        <f>_xlfn.XLOOKUP(Table1[[#This Row],[Party Name]],
[1]Billing!$Q$5:$Q$40,
[1]Billing!$T$5:$T$40)</f>
        <v>96185.076810534025</v>
      </c>
      <c r="J28" s="110">
        <f>_xlfn.XLOOKUP(Table1[[#This Row],[Party Name]],
[1]Billing!$Q$5:$Q$40,
[1]Billing!$V$5:$V$40)</f>
        <v>961850.76810534031</v>
      </c>
      <c r="K28" s="125"/>
      <c r="M28" s="10" t="str">
        <v>Shani Badshah</v>
      </c>
      <c r="P28"/>
      <c r="Q28"/>
      <c r="R28"/>
      <c r="S28"/>
      <c r="T28"/>
      <c r="U28"/>
      <c r="V28"/>
      <c r="W28"/>
      <c r="X28"/>
      <c r="Y28"/>
    </row>
    <row r="29" spans="1:25" x14ac:dyDescent="0.3">
      <c r="A29" s="107">
        <v>46072</v>
      </c>
      <c r="B29" s="81" t="s">
        <v>21</v>
      </c>
      <c r="C29" s="108" t="s">
        <v>292</v>
      </c>
      <c r="D29" s="112" t="s">
        <v>86</v>
      </c>
      <c r="E29" s="13"/>
      <c r="F29" s="13"/>
      <c r="G29" s="13"/>
      <c r="H29" s="113" t="e">
        <f>_xlfn.XLOOKUP(Table1[[#This Row],[Shipment Number]], 'pivot '!A:A,'pivot '!G:G, "NF")</f>
        <v>#DIV/0!</v>
      </c>
      <c r="I29" s="113">
        <f>_xlfn.XLOOKUP(Table1[[#This Row],[Party Name]],
[1]Billing!$Q$5:$Q$40,
[1]Billing!$U$5:$U$40)</f>
        <v>561031.45574250189</v>
      </c>
      <c r="J29" s="113">
        <f>_xlfn.XLOOKUP(Table1[[#This Row],[Party Name]],
[1]Billing!$Q$5:$Q$40,
[1]Billing!$W$5:$W$40)</f>
        <v>7205053.0358449165</v>
      </c>
      <c r="K29" s="112"/>
      <c r="M29" s="10" t="str">
        <v>Rehman Ali</v>
      </c>
      <c r="P29"/>
      <c r="Q29"/>
      <c r="R29"/>
      <c r="S29"/>
      <c r="T29"/>
      <c r="U29"/>
      <c r="V29"/>
      <c r="W29"/>
      <c r="X29"/>
      <c r="Y29"/>
    </row>
    <row r="30" spans="1:25" x14ac:dyDescent="0.3">
      <c r="A30" s="107">
        <v>46072</v>
      </c>
      <c r="B30" s="81" t="s">
        <v>22</v>
      </c>
      <c r="C30" s="108" t="s">
        <v>292</v>
      </c>
      <c r="D30" s="108" t="s">
        <v>86</v>
      </c>
      <c r="E30" s="37"/>
      <c r="F30" s="37"/>
      <c r="G30" s="37"/>
      <c r="H30" s="110" t="e">
        <f>_xlfn.XLOOKUP(Table1[[#This Row],[Shipment Number]], 'pivot '!A:A,'pivot '!G:G, "NF")</f>
        <v>#DIV/0!</v>
      </c>
      <c r="I30" s="113">
        <f>_xlfn.XLOOKUP(Table1[[#This Row],[Party Name]],
[1]Billing!$Q$5:$Q$40,
[1]Billing!$U$5:$U$40)</f>
        <v>382650.87783467449</v>
      </c>
      <c r="J30" s="113">
        <f>_xlfn.XLOOKUP(Table1[[#This Row],[Party Name]],
[1]Billing!$Q$5:$Q$40,
[1]Billing!$W$5:$W$40)</f>
        <v>4915317.3006583769</v>
      </c>
      <c r="K30" s="108"/>
      <c r="M30" s="10" t="str">
        <v>Ahmad Shafique</v>
      </c>
      <c r="P30"/>
      <c r="Q30"/>
      <c r="R30"/>
      <c r="S30"/>
      <c r="T30"/>
      <c r="U30"/>
      <c r="V30"/>
      <c r="W30"/>
      <c r="X30"/>
      <c r="Y30"/>
    </row>
    <row r="31" spans="1:25" x14ac:dyDescent="0.3">
      <c r="A31" s="107">
        <v>46072</v>
      </c>
      <c r="B31" s="81" t="s">
        <v>9</v>
      </c>
      <c r="C31" s="108" t="s">
        <v>292</v>
      </c>
      <c r="D31" s="112" t="s">
        <v>86</v>
      </c>
      <c r="E31" s="37"/>
      <c r="F31" s="37"/>
      <c r="G31" s="37"/>
      <c r="H31" s="110" t="e">
        <f>_xlfn.XLOOKUP(Table1[[#This Row],[Shipment Number]], 'pivot '!A:A,'pivot '!G:G, "NF")</f>
        <v>#DIV/0!</v>
      </c>
      <c r="I31" s="113">
        <f>_xlfn.XLOOKUP(Table1[[#This Row],[Party Name]],
[1]Billing!$Q$5:$Q$40,
[1]Billing!$U$5:$U$40)</f>
        <v>146176.84711046086</v>
      </c>
      <c r="J31" s="113">
        <f>_xlfn.XLOOKUP(Table1[[#This Row],[Party Name]],
[1]Billing!$Q$5:$Q$40,
[1]Billing!$W$5:$W$40)</f>
        <v>1885504.7549378201</v>
      </c>
      <c r="K31" s="108"/>
      <c r="M31" s="10" t="str">
        <v>Hafiz Shawl</v>
      </c>
      <c r="P31"/>
      <c r="Q31"/>
      <c r="R31"/>
      <c r="S31"/>
      <c r="T31"/>
      <c r="U31"/>
      <c r="V31"/>
      <c r="W31"/>
      <c r="X31"/>
      <c r="Y31"/>
    </row>
    <row r="32" spans="1:25" x14ac:dyDescent="0.3">
      <c r="A32" s="107">
        <v>46072</v>
      </c>
      <c r="B32" s="81" t="s">
        <v>23</v>
      </c>
      <c r="C32" s="108" t="s">
        <v>292</v>
      </c>
      <c r="D32" s="108" t="s">
        <v>86</v>
      </c>
      <c r="E32" s="37"/>
      <c r="F32" s="37"/>
      <c r="G32" s="37"/>
      <c r="H32" s="110" t="e">
        <f>_xlfn.XLOOKUP(Table1[[#This Row],[Shipment Number]], 'pivot '!A:A,'pivot '!G:G, "NF")</f>
        <v>#DIV/0!</v>
      </c>
      <c r="I32" s="113">
        <f>_xlfn.XLOOKUP(Table1[[#This Row],[Party Name]],
[1]Billing!$Q$5:$Q$40,
[1]Billing!$U$5:$U$40)</f>
        <v>0</v>
      </c>
      <c r="J32" s="113">
        <f>_xlfn.XLOOKUP(Table1[[#This Row],[Party Name]],
[1]Billing!$Q$5:$Q$40,
[1]Billing!$W$5:$W$40)</f>
        <v>0</v>
      </c>
      <c r="K32" s="108"/>
      <c r="M32" s="10" t="str">
        <v>Zahid Ejaz</v>
      </c>
      <c r="P32"/>
      <c r="Q32"/>
      <c r="R32"/>
      <c r="S32"/>
      <c r="T32"/>
      <c r="U32"/>
      <c r="V32"/>
      <c r="W32"/>
      <c r="X32"/>
      <c r="Y32"/>
    </row>
    <row r="33" spans="1:25" x14ac:dyDescent="0.3">
      <c r="A33" s="107">
        <v>46072</v>
      </c>
      <c r="B33" s="81" t="s">
        <v>24</v>
      </c>
      <c r="C33" s="108" t="s">
        <v>292</v>
      </c>
      <c r="D33" s="112" t="s">
        <v>86</v>
      </c>
      <c r="E33" s="37"/>
      <c r="F33" s="37"/>
      <c r="G33" s="37"/>
      <c r="H33" s="110" t="e">
        <f>_xlfn.XLOOKUP(Table1[[#This Row],[Shipment Number]], 'pivot '!A:A,'pivot '!G:G, "NF")</f>
        <v>#DIV/0!</v>
      </c>
      <c r="I33" s="113">
        <f>_xlfn.XLOOKUP(Table1[[#This Row],[Party Name]],
[1]Billing!$Q$5:$Q$40,
[1]Billing!$U$5:$U$40)</f>
        <v>485823.88441843458</v>
      </c>
      <c r="J33" s="113">
        <f>_xlfn.XLOOKUP(Table1[[#This Row],[Party Name]],
[1]Billing!$Q$5:$Q$40,
[1]Billing!$W$5:$W$40)</f>
        <v>5829886.6130212145</v>
      </c>
      <c r="K33" s="108"/>
      <c r="M33" s="10" t="str">
        <v>Faizan Kamoki</v>
      </c>
      <c r="P33"/>
      <c r="Q33"/>
      <c r="R33"/>
      <c r="S33"/>
      <c r="T33"/>
      <c r="U33"/>
      <c r="V33"/>
      <c r="W33"/>
      <c r="X33"/>
      <c r="Y33"/>
    </row>
    <row r="34" spans="1:25" x14ac:dyDescent="0.3">
      <c r="A34" s="107">
        <v>46072</v>
      </c>
      <c r="B34" s="81" t="s">
        <v>25</v>
      </c>
      <c r="C34" s="108" t="s">
        <v>292</v>
      </c>
      <c r="D34" s="108"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46072</v>
      </c>
      <c r="B35" s="81" t="s">
        <v>26</v>
      </c>
      <c r="C35" s="108" t="s">
        <v>292</v>
      </c>
      <c r="D35" s="112" t="s">
        <v>86</v>
      </c>
      <c r="E35" s="37"/>
      <c r="F35" s="37"/>
      <c r="G35" s="37"/>
      <c r="H35" s="110" t="e">
        <f>_xlfn.XLOOKUP(Table1[[#This Row],[Shipment Number]], 'pivot '!A:A,'pivot '!G:G, "NF")</f>
        <v>#DIV/0!</v>
      </c>
      <c r="I35" s="113">
        <f>_xlfn.XLOOKUP(Table1[[#This Row],[Party Name]],
[1]Billing!$Q$5:$Q$40,
[1]Billing!$U$5:$U$40)</f>
        <v>0</v>
      </c>
      <c r="J35" s="113">
        <f>_xlfn.XLOOKUP(Table1[[#This Row],[Party Name]],
[1]Billing!$Q$5:$Q$40,
[1]Billing!$W$5:$W$40)</f>
        <v>0</v>
      </c>
      <c r="K35" s="108"/>
      <c r="P35"/>
      <c r="Q35"/>
      <c r="R35"/>
      <c r="S35"/>
      <c r="T35"/>
      <c r="U35"/>
      <c r="V35"/>
      <c r="W35"/>
      <c r="X35"/>
      <c r="Y35"/>
    </row>
    <row r="36" spans="1:25" x14ac:dyDescent="0.3">
      <c r="A36" s="107">
        <v>46072</v>
      </c>
      <c r="B36" s="81" t="s">
        <v>152</v>
      </c>
      <c r="C36" s="108" t="s">
        <v>292</v>
      </c>
      <c r="D36" s="108" t="s">
        <v>86</v>
      </c>
      <c r="E36" s="37"/>
      <c r="F36" s="37"/>
      <c r="G36" s="37"/>
      <c r="H36" s="110" t="e">
        <f>_xlfn.XLOOKUP(Table1[[#This Row],[Shipment Number]], 'pivot '!A:A,'pivot '!G:G, "NF")</f>
        <v>#DIV/0!</v>
      </c>
      <c r="I36" s="113">
        <f>_xlfn.XLOOKUP(Table1[[#This Row],[Party Name]],
[1]Billing!$Q$5:$Q$40,
[1]Billing!$U$5:$U$40)</f>
        <v>183991.40453547917</v>
      </c>
      <c r="J36" s="113">
        <f>_xlfn.XLOOKUP(Table1[[#This Row],[Party Name]],
[1]Billing!$Q$5:$Q$40,
[1]Billing!$W$5:$W$40)</f>
        <v>2391888.2589612291</v>
      </c>
      <c r="K36" s="108"/>
      <c r="P36"/>
      <c r="Q36"/>
      <c r="R36"/>
      <c r="S36"/>
      <c r="T36"/>
      <c r="U36"/>
      <c r="V36"/>
      <c r="W36"/>
      <c r="X36"/>
      <c r="Y36"/>
    </row>
    <row r="37" spans="1:25" x14ac:dyDescent="0.3">
      <c r="A37" s="107">
        <v>46072</v>
      </c>
      <c r="B37" s="81" t="s">
        <v>35</v>
      </c>
      <c r="C37" s="108" t="s">
        <v>292</v>
      </c>
      <c r="D37" s="112" t="s">
        <v>86</v>
      </c>
      <c r="E37" s="37"/>
      <c r="F37" s="37"/>
      <c r="G37" s="37"/>
      <c r="H37" s="110" t="e">
        <f>_xlfn.XLOOKUP(Table1[[#This Row],[Shipment Number]], 'pivot '!A:A,'pivot '!G:G, "NF")</f>
        <v>#DIV/0!</v>
      </c>
      <c r="I37" s="113">
        <f>_xlfn.XLOOKUP(Table1[[#This Row],[Party Name]],
[1]Billing!$Q$5:$Q$40,
[1]Billing!$U$5:$U$40)</f>
        <v>112548.46378931969</v>
      </c>
      <c r="J37" s="113">
        <f>_xlfn.XLOOKUP(Table1[[#This Row],[Party Name]],
[1]Billing!$Q$5:$Q$40,
[1]Billing!$W$5:$W$40)</f>
        <v>1448134.6013167519</v>
      </c>
      <c r="K37" s="108"/>
      <c r="P37"/>
      <c r="Q37"/>
      <c r="R37"/>
      <c r="S37"/>
      <c r="T37"/>
      <c r="U37"/>
      <c r="V37"/>
      <c r="W37"/>
      <c r="X37"/>
      <c r="Y37"/>
    </row>
    <row r="38" spans="1:25" x14ac:dyDescent="0.3">
      <c r="A38" s="107">
        <v>46072</v>
      </c>
      <c r="B38" s="81" t="s">
        <v>148</v>
      </c>
      <c r="C38" s="108" t="s">
        <v>292</v>
      </c>
      <c r="D38" s="108"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46072</v>
      </c>
      <c r="B39" s="81" t="s">
        <v>27</v>
      </c>
      <c r="C39" s="108" t="s">
        <v>292</v>
      </c>
      <c r="D39" s="112" t="s">
        <v>86</v>
      </c>
      <c r="E39" s="37"/>
      <c r="F39" s="37"/>
      <c r="G39" s="37"/>
      <c r="H39" s="110" t="e">
        <f>_xlfn.XLOOKUP(Table1[[#This Row],[Shipment Number]], 'pivot '!A:A,'pivot '!G:G, "NF")</f>
        <v>#DIV/0!</v>
      </c>
      <c r="I39" s="113">
        <f>_xlfn.XLOOKUP(Table1[[#This Row],[Party Name]],
[1]Billing!$Q$5:$Q$40,
[1]Billing!$U$5:$U$40)</f>
        <v>0</v>
      </c>
      <c r="J39" s="113">
        <f>_xlfn.XLOOKUP(Table1[[#This Row],[Party Name]],
[1]Billing!$Q$5:$Q$40,
[1]Billing!$W$5:$W$40)</f>
        <v>0</v>
      </c>
      <c r="K39" s="108"/>
      <c r="P39"/>
      <c r="Q39"/>
      <c r="R39"/>
      <c r="S39"/>
      <c r="T39"/>
      <c r="U39"/>
      <c r="V39"/>
      <c r="W39"/>
      <c r="X39"/>
      <c r="Y39"/>
    </row>
    <row r="40" spans="1:25" x14ac:dyDescent="0.3">
      <c r="A40" s="107">
        <v>46072</v>
      </c>
      <c r="B40" s="81" t="s">
        <v>166</v>
      </c>
      <c r="C40" s="108" t="s">
        <v>292</v>
      </c>
      <c r="D40" s="108" t="s">
        <v>86</v>
      </c>
      <c r="E40" s="37"/>
      <c r="F40" s="37"/>
      <c r="G40" s="37"/>
      <c r="H40" s="110" t="e">
        <f>_xlfn.XLOOKUP(Table1[[#This Row],[Shipment Number]], 'pivot '!A:A,'pivot '!G:G, "NF")</f>
        <v>#DIV/0!</v>
      </c>
      <c r="I40" s="113">
        <f>_xlfn.XLOOKUP(Table1[[#This Row],[Party Name]],
[1]Billing!$Q$5:$Q$40,
[1]Billing!$U$5:$U$40)</f>
        <v>141474.94513533285</v>
      </c>
      <c r="J40" s="113">
        <f>_xlfn.XLOOKUP(Table1[[#This Row],[Party Name]],
[1]Billing!$Q$5:$Q$40,
[1]Billing!$W$5:$W$40)</f>
        <v>1776019.5683979518</v>
      </c>
      <c r="K40" s="108"/>
      <c r="P40"/>
      <c r="Q40"/>
      <c r="R40"/>
      <c r="S40"/>
      <c r="T40"/>
      <c r="U40"/>
      <c r="V40"/>
      <c r="W40"/>
      <c r="X40"/>
      <c r="Y40"/>
    </row>
    <row r="41" spans="1:25" x14ac:dyDescent="0.3">
      <c r="A41" s="107">
        <v>46072</v>
      </c>
      <c r="B41" s="81" t="s">
        <v>219</v>
      </c>
      <c r="C41" s="108" t="s">
        <v>292</v>
      </c>
      <c r="D41" s="112"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46072</v>
      </c>
      <c r="B42" s="81" t="s">
        <v>170</v>
      </c>
      <c r="C42" s="108" t="s">
        <v>292</v>
      </c>
      <c r="D42" s="108"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46072</v>
      </c>
      <c r="B43" s="81" t="s">
        <v>171</v>
      </c>
      <c r="C43" s="108" t="s">
        <v>292</v>
      </c>
      <c r="D43" s="112" t="s">
        <v>86</v>
      </c>
      <c r="E43" s="37"/>
      <c r="F43" s="37"/>
      <c r="G43" s="37"/>
      <c r="H43" s="110" t="e">
        <f>_xlfn.XLOOKUP(Table1[[#This Row],[Shipment Number]], 'pivot '!A:A,'pivot '!G:G, "NF")</f>
        <v>#DIV/0!</v>
      </c>
      <c r="I43" s="113">
        <f>_xlfn.XLOOKUP(Table1[[#This Row],[Party Name]],
[1]Billing!$Q$5:$Q$40,
[1]Billing!$U$5:$U$40)</f>
        <v>0</v>
      </c>
      <c r="J43" s="113">
        <f>_xlfn.XLOOKUP(Table1[[#This Row],[Party Name]],
[1]Billing!$Q$5:$Q$40,
[1]Billing!$W$5:$W$40)</f>
        <v>0</v>
      </c>
      <c r="K43" s="108"/>
      <c r="P43"/>
      <c r="Q43"/>
      <c r="R43"/>
      <c r="S43"/>
      <c r="T43"/>
      <c r="U43"/>
      <c r="V43"/>
      <c r="W43"/>
      <c r="X43"/>
      <c r="Y43"/>
    </row>
    <row r="44" spans="1:25" x14ac:dyDescent="0.3">
      <c r="A44" s="107">
        <v>46072</v>
      </c>
      <c r="B44" s="81" t="s">
        <v>173</v>
      </c>
      <c r="C44" s="108" t="s">
        <v>292</v>
      </c>
      <c r="D44" s="108" t="s">
        <v>86</v>
      </c>
      <c r="E44" s="37"/>
      <c r="F44" s="37"/>
      <c r="G44" s="37"/>
      <c r="H44" s="110" t="e">
        <f>_xlfn.XLOOKUP(Table1[[#This Row],[Shipment Number]], 'pivot '!A:A,'pivot '!G:G, "NF")</f>
        <v>#DIV/0!</v>
      </c>
      <c r="I44" s="113">
        <f>_xlfn.XLOOKUP(Table1[[#This Row],[Party Name]],
[1]Billing!$Q$5:$Q$40,
[1]Billing!$U$5:$U$40)</f>
        <v>9232.809070958303</v>
      </c>
      <c r="J44" s="113">
        <f>_xlfn.XLOOKUP(Table1[[#This Row],[Party Name]],
[1]Billing!$Q$5:$Q$40,
[1]Billing!$W$5:$W$40)</f>
        <v>120026.51792245793</v>
      </c>
      <c r="K44" s="108"/>
      <c r="P44"/>
      <c r="Q44"/>
      <c r="R44"/>
      <c r="S44"/>
      <c r="T44"/>
      <c r="U44"/>
      <c r="V44"/>
      <c r="W44"/>
      <c r="X44"/>
      <c r="Y44"/>
    </row>
    <row r="45" spans="1:25" x14ac:dyDescent="0.3">
      <c r="A45" s="107">
        <v>46072</v>
      </c>
      <c r="B45" s="81" t="s">
        <v>175</v>
      </c>
      <c r="C45" s="108" t="s">
        <v>292</v>
      </c>
      <c r="D45" s="112" t="s">
        <v>86</v>
      </c>
      <c r="E45" s="37"/>
      <c r="F45" s="37"/>
      <c r="G45" s="37"/>
      <c r="H45" s="110" t="e">
        <f>_xlfn.XLOOKUP(Table1[[#This Row],[Shipment Number]], 'pivot '!A:A,'pivot '!G:G, "NF")</f>
        <v>#DIV/0!</v>
      </c>
      <c r="I45" s="113">
        <f>_xlfn.XLOOKUP(Table1[[#This Row],[Party Name]],
[1]Billing!$Q$5:$Q$40,
[1]Billing!$U$5:$U$40)</f>
        <v>462841.07534747623</v>
      </c>
      <c r="J45" s="113">
        <f>_xlfn.XLOOKUP(Table1[[#This Row],[Party Name]],
[1]Billing!$Q$5:$Q$40,
[1]Billing!$W$5:$W$40)</f>
        <v>6016933.9795171916</v>
      </c>
      <c r="K45" s="108"/>
      <c r="P45"/>
      <c r="Q45"/>
      <c r="R45"/>
      <c r="S45"/>
      <c r="T45"/>
      <c r="U45"/>
      <c r="V45"/>
      <c r="W45"/>
      <c r="X45"/>
      <c r="Y45"/>
    </row>
    <row r="46" spans="1:25" x14ac:dyDescent="0.3">
      <c r="A46" s="107">
        <v>46072</v>
      </c>
      <c r="B46" s="81" t="s">
        <v>177</v>
      </c>
      <c r="C46" s="108" t="s">
        <v>292</v>
      </c>
      <c r="D46" s="108" t="s">
        <v>86</v>
      </c>
      <c r="E46" s="37"/>
      <c r="F46" s="37"/>
      <c r="G46" s="37"/>
      <c r="H46" s="110" t="e">
        <f>_xlfn.XLOOKUP(Table1[[#This Row],[Shipment Number]], 'pivot '!A:A,'pivot '!G:G, "NF")</f>
        <v>#DIV/0!</v>
      </c>
      <c r="I46" s="113">
        <f>_xlfn.XLOOKUP(Table1[[#This Row],[Party Name]],
[1]Billing!$Q$5:$Q$40,
[1]Billing!$U$5:$U$40)</f>
        <v>7565.8376005852242</v>
      </c>
      <c r="J46" s="113">
        <f>_xlfn.XLOOKUP(Table1[[#This Row],[Party Name]],
[1]Billing!$Q$5:$Q$40,
[1]Billing!$W$5:$W$40)</f>
        <v>98355.888807607917</v>
      </c>
      <c r="K46" s="108"/>
      <c r="P46"/>
      <c r="Q46"/>
      <c r="R46"/>
      <c r="S46"/>
      <c r="T46"/>
      <c r="U46"/>
      <c r="V46"/>
      <c r="W46"/>
      <c r="X46"/>
      <c r="Y46"/>
    </row>
    <row r="47" spans="1:25" x14ac:dyDescent="0.3">
      <c r="A47" s="107">
        <v>46072</v>
      </c>
      <c r="B47" s="81" t="s">
        <v>178</v>
      </c>
      <c r="C47" s="108" t="s">
        <v>292</v>
      </c>
      <c r="D47" s="112" t="s">
        <v>86</v>
      </c>
      <c r="E47" s="37"/>
      <c r="F47" s="37"/>
      <c r="G47" s="37"/>
      <c r="H47" s="110" t="e">
        <f>_xlfn.XLOOKUP(Table1[[#This Row],[Shipment Number]], 'pivot '!A:A,'pivot '!G:G, "NF")</f>
        <v>#DIV/0!</v>
      </c>
      <c r="I47" s="113">
        <f>_xlfn.XLOOKUP(Table1[[#This Row],[Party Name]],
[1]Billing!$Q$5:$Q$40,
[1]Billing!$U$5:$U$40)</f>
        <v>46600.219458668624</v>
      </c>
      <c r="J47" s="113">
        <f>_xlfn.XLOOKUP(Table1[[#This Row],[Party Name]],
[1]Billing!$Q$5:$Q$40,
[1]Billing!$W$5:$W$40)</f>
        <v>605802.85296269215</v>
      </c>
      <c r="K47" s="108"/>
      <c r="P47"/>
      <c r="Q47"/>
      <c r="R47"/>
      <c r="S47"/>
      <c r="T47"/>
      <c r="U47"/>
      <c r="V47"/>
      <c r="W47"/>
      <c r="X47"/>
      <c r="Y47"/>
    </row>
    <row r="48" spans="1:25" x14ac:dyDescent="0.3">
      <c r="A48" s="107">
        <v>46072</v>
      </c>
      <c r="B48" s="81" t="s">
        <v>183</v>
      </c>
      <c r="C48" s="108" t="s">
        <v>292</v>
      </c>
      <c r="D48" s="108" t="s">
        <v>86</v>
      </c>
      <c r="E48" s="37"/>
      <c r="F48" s="37"/>
      <c r="G48" s="37"/>
      <c r="H48" s="110" t="e">
        <f>_xlfn.XLOOKUP(Table1[[#This Row],[Shipment Number]], 'pivot '!A:A,'pivot '!G:G, "NF")</f>
        <v>#DIV/0!</v>
      </c>
      <c r="I48" s="113">
        <f>_xlfn.XLOOKUP(Table1[[#This Row],[Party Name]],
[1]Billing!$Q$5:$Q$40,
[1]Billing!$U$5:$U$40)</f>
        <v>31409.107534747625</v>
      </c>
      <c r="J48" s="113">
        <f>_xlfn.XLOOKUP(Table1[[#This Row],[Party Name]],
[1]Billing!$Q$5:$Q$40,
[1]Billing!$W$5:$W$40)</f>
        <v>408318.39795171918</v>
      </c>
      <c r="K48" s="108"/>
      <c r="P48"/>
      <c r="Q48"/>
      <c r="R48"/>
      <c r="S48"/>
      <c r="T48"/>
      <c r="U48"/>
      <c r="V48"/>
      <c r="W48"/>
      <c r="X48"/>
      <c r="Y48"/>
    </row>
    <row r="49" spans="1:25" x14ac:dyDescent="0.3">
      <c r="A49" s="107">
        <v>46072</v>
      </c>
      <c r="B49" s="125" t="s">
        <v>228</v>
      </c>
      <c r="C49" s="108" t="s">
        <v>292</v>
      </c>
      <c r="D49" s="125" t="s">
        <v>86</v>
      </c>
      <c r="E49" s="84"/>
      <c r="F49" s="84"/>
      <c r="G49" s="84"/>
      <c r="H49" s="126" t="e">
        <f>_xlfn.XLOOKUP(Table1[[#This Row],[Shipment Number]], 'pivot '!A:A,'pivot '!G:G, "NF")</f>
        <v>#DIV/0!</v>
      </c>
      <c r="I49" s="113">
        <f>_xlfn.XLOOKUP(Table1[[#This Row],[Party Name]],
[1]Billing!$Q$5:$Q$40,
[1]Billing!$U$5:$U$40)</f>
        <v>45840.343818580841</v>
      </c>
      <c r="J49" s="113">
        <f>_xlfn.XLOOKUP(Table1[[#This Row],[Party Name]],
[1]Billing!$Q$5:$Q$40,
[1]Billing!$W$5:$W$40)</f>
        <v>595924.46964155091</v>
      </c>
      <c r="K49" s="125"/>
      <c r="P49"/>
      <c r="Q49"/>
      <c r="R49"/>
      <c r="S49"/>
      <c r="T49"/>
      <c r="U49"/>
      <c r="V49"/>
      <c r="W49"/>
      <c r="X49"/>
      <c r="Y49"/>
    </row>
    <row r="50" spans="1:25" x14ac:dyDescent="0.3">
      <c r="A50" s="107">
        <v>46072</v>
      </c>
      <c r="B50" s="125" t="s">
        <v>229</v>
      </c>
      <c r="C50" s="108" t="s">
        <v>292</v>
      </c>
      <c r="D50" s="125" t="s">
        <v>86</v>
      </c>
      <c r="E50" s="84"/>
      <c r="F50" s="84"/>
      <c r="G50" s="84"/>
      <c r="H50" s="126" t="e">
        <f>_xlfn.XLOOKUP(Table1[[#This Row],[Shipment Number]], 'pivot '!A:A,'pivot '!G:G, "NF")</f>
        <v>#DIV/0!</v>
      </c>
      <c r="I50" s="113">
        <f>_xlfn.XLOOKUP(Table1[[#This Row],[Party Name]],
[1]Billing!$Q$5:$Q$40,
[1]Billing!$U$5:$U$40)</f>
        <v>86727.322604242872</v>
      </c>
      <c r="J50" s="113">
        <f>_xlfn.XLOOKUP(Table1[[#This Row],[Party Name]],
[1]Billing!$Q$5:$Q$40,
[1]Billing!$W$5:$W$40)</f>
        <v>1127455.1938551574</v>
      </c>
      <c r="K50" s="125"/>
      <c r="P50"/>
      <c r="Q50"/>
      <c r="R50"/>
      <c r="S50"/>
      <c r="T50"/>
      <c r="U50"/>
      <c r="V50"/>
      <c r="W50"/>
      <c r="X50"/>
      <c r="Y50"/>
    </row>
    <row r="51" spans="1:25" x14ac:dyDescent="0.3">
      <c r="A51" s="107">
        <v>46072</v>
      </c>
      <c r="B51" s="125" t="s">
        <v>245</v>
      </c>
      <c r="C51" s="108" t="s">
        <v>292</v>
      </c>
      <c r="D51" s="125" t="s">
        <v>86</v>
      </c>
      <c r="E51" s="84"/>
      <c r="F51" s="84"/>
      <c r="G51" s="84"/>
      <c r="H51" s="126" t="e">
        <f>_xlfn.XLOOKUP(Table1[[#This Row],[Shipment Number]], 'pivot '!A:A,'pivot '!G:G, "NF")</f>
        <v>#DIV/0!</v>
      </c>
      <c r="I51" s="113">
        <f>_xlfn.XLOOKUP(Table1[[#This Row],[Party Name]],
[1]Billing!$Q$5:$Q$40,
[1]Billing!$U$5:$U$40)</f>
        <v>48958.485735186543</v>
      </c>
      <c r="J51" s="113">
        <f>_xlfn.XLOOKUP(Table1[[#This Row],[Party Name]],
[1]Billing!$Q$5:$Q$40,
[1]Billing!$W$5:$W$40)</f>
        <v>636460.3145574251</v>
      </c>
      <c r="K51" s="125"/>
      <c r="P51"/>
      <c r="Q51"/>
      <c r="R51"/>
      <c r="S51"/>
      <c r="T51"/>
      <c r="U51"/>
      <c r="V51"/>
      <c r="W51"/>
      <c r="X51"/>
      <c r="Y51"/>
    </row>
    <row r="52" spans="1:25" x14ac:dyDescent="0.3">
      <c r="A52" s="107">
        <v>46072</v>
      </c>
      <c r="B52" s="125" t="s">
        <v>250</v>
      </c>
      <c r="C52" s="108" t="s">
        <v>292</v>
      </c>
      <c r="D52" s="125" t="s">
        <v>86</v>
      </c>
      <c r="E52" s="84"/>
      <c r="F52" s="84"/>
      <c r="G52" s="84"/>
      <c r="H52" s="126" t="e">
        <f>_xlfn.XLOOKUP(Table1[[#This Row],[Shipment Number]], 'pivot '!A:A,'pivot '!G:G, "NF")</f>
        <v>#DIV/0!</v>
      </c>
      <c r="I52" s="113">
        <f>_xlfn.XLOOKUP(Table1[[#This Row],[Party Name]],
[1]Billing!$Q$5:$Q$40,
[1]Billing!$U$5:$U$40)</f>
        <v>1321.3240673006585</v>
      </c>
      <c r="J52" s="113">
        <f>_xlfn.XLOOKUP(Table1[[#This Row],[Party Name]],
[1]Billing!$Q$5:$Q$40,
[1]Billing!$W$5:$W$40)</f>
        <v>15855.888807607902</v>
      </c>
      <c r="K52" s="125"/>
      <c r="P52"/>
      <c r="Q52"/>
      <c r="R52"/>
      <c r="S52"/>
      <c r="T52"/>
      <c r="U52"/>
      <c r="V52"/>
      <c r="W52"/>
      <c r="X52"/>
      <c r="Y52"/>
    </row>
    <row r="53" spans="1:25" x14ac:dyDescent="0.3">
      <c r="A53" s="107">
        <v>46072</v>
      </c>
      <c r="B53" s="81" t="s">
        <v>190</v>
      </c>
      <c r="C53" s="108" t="s">
        <v>292</v>
      </c>
      <c r="D53" s="112"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46072</v>
      </c>
      <c r="B54" s="81" t="s">
        <v>193</v>
      </c>
      <c r="C54" s="108" t="s">
        <v>292</v>
      </c>
      <c r="D54" s="108" t="s">
        <v>86</v>
      </c>
      <c r="E54" s="37"/>
      <c r="F54" s="37"/>
      <c r="G54" s="37"/>
      <c r="H54" s="110" t="e">
        <f>_xlfn.XLOOKUP(Table1[[#This Row],[Shipment Number]], 'pivot '!A:A,'pivot '!G:G, "NF")</f>
        <v>#DIV/0!</v>
      </c>
      <c r="I54" s="113">
        <f>_xlfn.XLOOKUP(Table1[[#This Row],[Party Name]],
[1]Billing!$Q$5:$Q$40,
[1]Billing!$U$5:$U$40)</f>
        <v>0</v>
      </c>
      <c r="J54" s="113">
        <f>_xlfn.XLOOKUP(Table1[[#This Row],[Party Name]],
[1]Billing!$Q$5:$Q$40,
[1]Billing!$W$5:$W$40)</f>
        <v>0</v>
      </c>
      <c r="K54" s="108"/>
      <c r="P54"/>
      <c r="Q54"/>
      <c r="R54"/>
      <c r="S54"/>
      <c r="T54"/>
      <c r="U54"/>
      <c r="V54"/>
      <c r="W54"/>
      <c r="X54"/>
      <c r="Y54"/>
    </row>
    <row r="55" spans="1:25" x14ac:dyDescent="0.3">
      <c r="A55" s="107">
        <v>46072</v>
      </c>
      <c r="B55" s="81" t="s">
        <v>192</v>
      </c>
      <c r="C55" s="108" t="s">
        <v>292</v>
      </c>
      <c r="D55" s="112" t="s">
        <v>86</v>
      </c>
      <c r="E55" s="37"/>
      <c r="F55" s="37"/>
      <c r="G55" s="37"/>
      <c r="H55" s="110" t="e">
        <f>_xlfn.XLOOKUP(Table1[[#This Row],[Shipment Number]], 'pivot '!A:A,'pivot '!G:G, "NF")</f>
        <v>#DIV/0!</v>
      </c>
      <c r="I55" s="113">
        <f>_xlfn.XLOOKUP(Table1[[#This Row],[Party Name]],
[1]Billing!$Q$5:$Q$40,
[1]Billing!$U$5:$U$40)</f>
        <v>111911.11923920995</v>
      </c>
      <c r="J55" s="113">
        <f>_xlfn.XLOOKUP(Table1[[#This Row],[Party Name]],
[1]Billing!$Q$5:$Q$40,
[1]Billing!$W$5:$W$40)</f>
        <v>1454844.5501097296</v>
      </c>
      <c r="K55" s="108"/>
      <c r="P55"/>
      <c r="Q55"/>
      <c r="R55"/>
      <c r="S55"/>
      <c r="T55"/>
      <c r="U55"/>
      <c r="V55"/>
      <c r="W55"/>
      <c r="X55"/>
      <c r="Y55"/>
    </row>
    <row r="56" spans="1:25" x14ac:dyDescent="0.3">
      <c r="A56" s="107">
        <v>46072</v>
      </c>
      <c r="B56" s="81" t="s">
        <v>197</v>
      </c>
      <c r="C56" s="108" t="s">
        <v>292</v>
      </c>
      <c r="D56" s="108" t="s">
        <v>86</v>
      </c>
      <c r="E56" s="37"/>
      <c r="F56" s="37"/>
      <c r="G56" s="37"/>
      <c r="H56" s="110" t="e">
        <f>_xlfn.XLOOKUP(Table1[[#This Row],[Shipment Number]], 'pivot '!A:A,'pivot '!G:G, "NF")</f>
        <v>#DIV/0!</v>
      </c>
      <c r="I56" s="113">
        <f>_xlfn.XLOOKUP(Table1[[#This Row],[Party Name]],
[1]Billing!$Q$5:$Q$40,
[1]Billing!$U$5:$U$40)</f>
        <v>0</v>
      </c>
      <c r="J56" s="113">
        <f>_xlfn.XLOOKUP(Table1[[#This Row],[Party Name]],
[1]Billing!$Q$5:$Q$40,
[1]Billing!$W$5:$W$40)</f>
        <v>0</v>
      </c>
      <c r="K56" s="108"/>
      <c r="P56"/>
      <c r="Q56"/>
      <c r="R56"/>
      <c r="S56"/>
      <c r="T56"/>
      <c r="U56"/>
      <c r="V56"/>
      <c r="W56"/>
      <c r="X56"/>
      <c r="Y56"/>
    </row>
    <row r="57" spans="1:25" x14ac:dyDescent="0.3">
      <c r="A57" s="107">
        <v>46072</v>
      </c>
      <c r="B57" s="81" t="s">
        <v>202</v>
      </c>
      <c r="C57" s="108" t="s">
        <v>292</v>
      </c>
      <c r="D57" s="112" t="s">
        <v>86</v>
      </c>
      <c r="E57" s="37"/>
      <c r="F57" s="37"/>
      <c r="G57" s="37"/>
      <c r="H57" s="110" t="e">
        <f>_xlfn.XLOOKUP(Table1[[#This Row],[Shipment Number]], 'pivot '!A:A,'pivot '!G:G, "NF")</f>
        <v>#DIV/0!</v>
      </c>
      <c r="I57" s="113">
        <f>_xlfn.XLOOKUP(Table1[[#This Row],[Party Name]],
[1]Billing!$Q$5:$Q$40,
[1]Billing!$U$5:$U$40)</f>
        <v>29626.005852231167</v>
      </c>
      <c r="J57" s="113">
        <f>_xlfn.XLOOKUP(Table1[[#This Row],[Party Name]],
[1]Billing!$Q$5:$Q$40,
[1]Billing!$W$5:$W$40)</f>
        <v>385138.07607900514</v>
      </c>
      <c r="K57" s="108"/>
      <c r="P57"/>
      <c r="Q57"/>
      <c r="R57"/>
      <c r="S57"/>
      <c r="T57"/>
      <c r="U57"/>
      <c r="V57"/>
      <c r="W57"/>
      <c r="X57"/>
      <c r="Y57"/>
    </row>
    <row r="58" spans="1:25" x14ac:dyDescent="0.3">
      <c r="A58" s="107">
        <v>46072</v>
      </c>
      <c r="B58" s="81" t="s">
        <v>204</v>
      </c>
      <c r="C58" s="108" t="s">
        <v>292</v>
      </c>
      <c r="D58" s="108" t="s">
        <v>86</v>
      </c>
      <c r="E58" s="37"/>
      <c r="F58" s="37"/>
      <c r="G58" s="37"/>
      <c r="H58" s="110" t="e">
        <f>_xlfn.XLOOKUP(Table1[[#This Row],[Shipment Number]], 'pivot '!A:A,'pivot '!G:G, "NF")</f>
        <v>#DIV/0!</v>
      </c>
      <c r="I58" s="113">
        <f>_xlfn.XLOOKUP(Table1[[#This Row],[Party Name]],
[1]Billing!$Q$5:$Q$40,
[1]Billing!$U$5:$U$40)</f>
        <v>0</v>
      </c>
      <c r="J58" s="113">
        <f>_xlfn.XLOOKUP(Table1[[#This Row],[Party Name]],
[1]Billing!$Q$5:$Q$40,
[1]Billing!$W$5:$W$40)</f>
        <v>0</v>
      </c>
      <c r="K58" s="108"/>
      <c r="P58"/>
      <c r="Q58"/>
      <c r="R58"/>
      <c r="S58"/>
      <c r="T58"/>
      <c r="U58"/>
      <c r="V58"/>
      <c r="W58"/>
    </row>
    <row r="59" spans="1:25" x14ac:dyDescent="0.3">
      <c r="A59" s="107">
        <v>46072</v>
      </c>
      <c r="B59" s="24" t="s">
        <v>25</v>
      </c>
      <c r="C59" s="108" t="s">
        <v>292</v>
      </c>
      <c r="D59" s="108" t="s">
        <v>184</v>
      </c>
      <c r="E59" s="37"/>
      <c r="F59" s="37"/>
      <c r="G59" s="37"/>
      <c r="H59" s="110" t="e">
        <f>_xlfn.XLOOKUP(Table1[[#This Row],[Shipment Number]], 'pivot '!A:A,'pivot '!G:G, "NF")</f>
        <v>#DIV/0!</v>
      </c>
      <c r="I59" s="110"/>
      <c r="J59" s="110">
        <f>_xlfn.XLOOKUP(Table1[[#This Row],[Party Name]],
[1]Billing!$Q$5:$Q$40,
[1]Billing!$X$5:$X$40)</f>
        <v>71359.729334308722</v>
      </c>
      <c r="K59" s="108"/>
      <c r="P59"/>
      <c r="Q59"/>
      <c r="R59"/>
      <c r="S59"/>
      <c r="T59"/>
      <c r="U59"/>
    </row>
    <row r="60" spans="1:25" x14ac:dyDescent="0.3">
      <c r="A60" s="107">
        <v>46072</v>
      </c>
      <c r="B60" s="24" t="s">
        <v>175</v>
      </c>
      <c r="C60" s="108" t="s">
        <v>292</v>
      </c>
      <c r="D60" s="108" t="s">
        <v>184</v>
      </c>
      <c r="E60" s="37"/>
      <c r="F60" s="37"/>
      <c r="G60" s="37"/>
      <c r="H60" s="110" t="e">
        <f>_xlfn.XLOOKUP(Table1[[#This Row],[Shipment Number]], 'pivot '!A:A,'pivot '!G:G, "NF")</f>
        <v>#DIV/0!</v>
      </c>
      <c r="I60" s="110"/>
      <c r="J60" s="110">
        <f>_xlfn.XLOOKUP(Table1[[#This Row],[Party Name]],
[1]Billing!$Q$5:$Q$40,
[1]Billing!$X$5:$X$40)</f>
        <v>44550.109729334312</v>
      </c>
      <c r="K60" s="108"/>
      <c r="M60"/>
      <c r="P60"/>
      <c r="Q60"/>
      <c r="R60"/>
      <c r="S60"/>
      <c r="T60"/>
      <c r="U60"/>
    </row>
    <row r="61" spans="1:25" x14ac:dyDescent="0.3">
      <c r="A61" s="107">
        <v>46072</v>
      </c>
      <c r="B61" s="24" t="s">
        <v>177</v>
      </c>
      <c r="C61" s="108" t="s">
        <v>292</v>
      </c>
      <c r="D61" s="108" t="s">
        <v>185</v>
      </c>
      <c r="E61" s="37"/>
      <c r="F61" s="37"/>
      <c r="G61" s="37"/>
      <c r="H61" s="110" t="e">
        <f>_xlfn.XLOOKUP(Table1[[#This Row],[Shipment Number]], 'pivot '!A:A,'pivot '!G:G, "NF")</f>
        <v>#DIV/0!</v>
      </c>
      <c r="I61" s="110"/>
      <c r="J61" s="110">
        <f>_xlfn.XLOOKUP(Table1[[#This Row],[Party Name]],
[1]Billing!$Q$5:$Q$40,
[1]Billing!$Y$5:$Y$40)</f>
        <v>94656.181419166067</v>
      </c>
      <c r="K61" s="108"/>
      <c r="M61"/>
      <c r="P61"/>
      <c r="Q61"/>
      <c r="R61"/>
      <c r="S61"/>
    </row>
    <row r="62" spans="1:25" x14ac:dyDescent="0.3">
      <c r="A62" s="107">
        <v>46072</v>
      </c>
      <c r="B62" s="108" t="s">
        <v>24</v>
      </c>
      <c r="C62" s="108" t="s">
        <v>292</v>
      </c>
      <c r="D62" s="108" t="s">
        <v>185</v>
      </c>
      <c r="E62" s="37"/>
      <c r="F62" s="37"/>
      <c r="G62" s="37"/>
      <c r="H62" s="110" t="e">
        <f>_xlfn.XLOOKUP(Table1[[#This Row],[Shipment Number]], 'pivot '!A:A,'pivot '!G:G, "NF")</f>
        <v>#DIV/0!</v>
      </c>
      <c r="I62" s="110"/>
      <c r="J62" s="110">
        <f>_xlfn.XLOOKUP(Table1[[#This Row],[Party Name]],
[1]Billing!$Q$5:$Q$40,
[1]Billing!$Y$5:$Y$40)</f>
        <v>239959.76591075349</v>
      </c>
      <c r="K62" s="108"/>
      <c r="M62"/>
      <c r="P62"/>
      <c r="Q62"/>
      <c r="R62"/>
      <c r="S62"/>
    </row>
    <row r="63" spans="1:25" x14ac:dyDescent="0.3">
      <c r="A63" s="107">
        <v>46072</v>
      </c>
      <c r="B63" s="24" t="s">
        <v>183</v>
      </c>
      <c r="C63" s="108" t="s">
        <v>292</v>
      </c>
      <c r="D63" s="108" t="s">
        <v>199</v>
      </c>
      <c r="E63" s="37"/>
      <c r="F63" s="37"/>
      <c r="G63" s="37"/>
      <c r="H63" s="110" t="e">
        <f>_xlfn.XLOOKUP(Table1[[#This Row],[Shipment Number]], 'pivot '!A:A,'pivot '!G:G, "NF")</f>
        <v>#DIV/0!</v>
      </c>
      <c r="I63" s="110"/>
      <c r="J63" s="110">
        <f>_xlfn.XLOOKUP(Table1[[#This Row],[Party Name]],
[1]Billing!$Q$5:$Q$40,
[1]Billing!$Z$5:$Z$40)</f>
        <v>161653.2553035845</v>
      </c>
      <c r="K63" s="108"/>
      <c r="S63"/>
    </row>
    <row r="64" spans="1:25" x14ac:dyDescent="0.3">
      <c r="A64" s="107">
        <v>46072</v>
      </c>
      <c r="B64" s="108" t="s">
        <v>190</v>
      </c>
      <c r="C64" s="108" t="s">
        <v>292</v>
      </c>
      <c r="D64" s="108" t="s">
        <v>199</v>
      </c>
      <c r="E64" s="37"/>
      <c r="F64" s="37"/>
      <c r="G64" s="37"/>
      <c r="H64" s="110" t="e">
        <f>_xlfn.XLOOKUP(Table1[[#This Row],[Shipment Number]], 'pivot '!A:A,'pivot '!G:G, "NF")</f>
        <v>#DIV/0!</v>
      </c>
      <c r="I64" s="110"/>
      <c r="J64" s="110">
        <f>_xlfn.XLOOKUP(Table1[[#This Row],[Party Name]],
[1]Billing!$Q$5:$Q$40,
[1]Billing!$Z$5:$Z$40)</f>
        <v>23767.373811265548</v>
      </c>
      <c r="K64" s="108"/>
      <c r="S64"/>
    </row>
    <row r="65" spans="1:19" x14ac:dyDescent="0.3">
      <c r="A65" s="107">
        <v>46072</v>
      </c>
      <c r="B65" s="121" t="s">
        <v>25</v>
      </c>
      <c r="C65" s="108" t="s">
        <v>292</v>
      </c>
      <c r="D65" s="108" t="s">
        <v>199</v>
      </c>
      <c r="E65" s="84"/>
      <c r="F65" s="84"/>
      <c r="G65" s="84"/>
      <c r="H65" s="126" t="e">
        <f>_xlfn.XLOOKUP(Table1[[#This Row],[Shipment Number]], 'pivot '!A:A,'pivot '!G:G, "NF")</f>
        <v>#DIV/0!</v>
      </c>
      <c r="I65" s="126"/>
      <c r="J65" s="110">
        <f>_xlfn.XLOOKUP(Table1[[#This Row],[Party Name]],
[1]Billing!$Q$5:$Q$40,
[1]Billing!$Z$5:$Z$40)</f>
        <v>322297.00073152891</v>
      </c>
      <c r="K65" s="125"/>
      <c r="S65"/>
    </row>
    <row r="66" spans="1:19" x14ac:dyDescent="0.3">
      <c r="A66" s="107">
        <v>46072</v>
      </c>
      <c r="B66" s="108" t="s">
        <v>183</v>
      </c>
      <c r="C66" s="108" t="s">
        <v>292</v>
      </c>
      <c r="D66" s="108" t="s">
        <v>207</v>
      </c>
      <c r="E66" s="37"/>
      <c r="F66" s="37"/>
      <c r="G66" s="37"/>
      <c r="H66" s="110" t="e">
        <f>_xlfn.XLOOKUP(Table1[[#This Row],[Shipment Number]], 'pivot '!A:A,'pivot '!G:G, "NF")</f>
        <v>#DIV/0!</v>
      </c>
      <c r="I66" s="110"/>
      <c r="J66" s="110">
        <f>_xlfn.XLOOKUP(Table1[[#This Row],[Party Name]],
[1]Billing!$Q$5:$Q$40,
[1]Billing!$AA$5:$AA$40)</f>
        <v>1970409.6561814193</v>
      </c>
      <c r="K66" s="108"/>
      <c r="S66"/>
    </row>
    <row r="67" spans="1:19" x14ac:dyDescent="0.3">
      <c r="A67" s="107">
        <v>46072</v>
      </c>
      <c r="B67" s="24" t="s">
        <v>190</v>
      </c>
      <c r="C67" s="108" t="s">
        <v>292</v>
      </c>
      <c r="D67" s="108" t="s">
        <v>207</v>
      </c>
      <c r="E67" s="37"/>
      <c r="F67" s="37"/>
      <c r="G67" s="37"/>
      <c r="H67" s="110" t="e">
        <f>_xlfn.XLOOKUP(Table1[[#This Row],[Shipment Number]], 'pivot '!A:A,'pivot '!G:G, "NF")</f>
        <v>#DIV/0!</v>
      </c>
      <c r="I67" s="110"/>
      <c r="J67" s="110">
        <f>_xlfn.XLOOKUP(Table1[[#This Row],[Party Name]],
[1]Billing!$Q$5:$Q$40,
[1]Billing!$AA$5:$AA$40)</f>
        <v>523143.74542794435</v>
      </c>
      <c r="K67" s="108"/>
      <c r="S67"/>
    </row>
    <row r="68" spans="1:19" x14ac:dyDescent="0.3">
      <c r="A68" s="107">
        <v>46072</v>
      </c>
      <c r="B68" s="121" t="s">
        <v>21</v>
      </c>
      <c r="C68" s="108" t="s">
        <v>292</v>
      </c>
      <c r="D68" s="108" t="s">
        <v>207</v>
      </c>
      <c r="E68" s="11"/>
      <c r="F68" s="11"/>
      <c r="G68" s="11"/>
      <c r="H68" s="119" t="e">
        <f>_xlfn.XLOOKUP(Table1[[#This Row],[Shipment Number]], 'pivot '!A:A,'pivot '!G:G, "NF")</f>
        <v>#DIV/0!</v>
      </c>
      <c r="I68" s="120"/>
      <c r="J68" s="110">
        <f>_xlfn.XLOOKUP(Table1[[#This Row],[Party Name]],
[1]Billing!$Q$5:$Q$40,
[1]Billing!$AA$5:$AA$40)</f>
        <v>126666.9714703731</v>
      </c>
      <c r="K68" s="118"/>
      <c r="S68"/>
    </row>
    <row r="69" spans="1:19" x14ac:dyDescent="0.3">
      <c r="A69" s="107">
        <v>46072</v>
      </c>
      <c r="B69" s="24" t="s">
        <v>204</v>
      </c>
      <c r="C69" s="108" t="s">
        <v>292</v>
      </c>
      <c r="D69" s="108" t="s">
        <v>205</v>
      </c>
      <c r="E69" s="37"/>
      <c r="F69" s="37"/>
      <c r="G69" s="37"/>
      <c r="H69" s="110" t="e">
        <f>_xlfn.XLOOKUP(Table1[[#This Row],[Shipment Number]], 'pivot '!A:A,'pivot '!G:G, "NF")</f>
        <v>#DIV/0!</v>
      </c>
      <c r="I69" s="110"/>
      <c r="J69" s="110">
        <f>_xlfn.XLOOKUP(Table1[[#This Row],[Party Name]],
[1]Billing!$Q$5:$Q$40,
[1]Billing!$AB$5:$AB$40)</f>
        <v>151504.2062911485</v>
      </c>
      <c r="K69" s="108"/>
      <c r="S69"/>
    </row>
    <row r="70" spans="1:19" x14ac:dyDescent="0.3">
      <c r="A70" s="124">
        <v>46072</v>
      </c>
      <c r="B70" s="121" t="s">
        <v>175</v>
      </c>
      <c r="C70" s="118">
        <v>1509</v>
      </c>
      <c r="D70" s="118" t="s">
        <v>86</v>
      </c>
      <c r="E70" s="11">
        <v>2100</v>
      </c>
      <c r="F70" s="11">
        <v>51893</v>
      </c>
      <c r="G70" s="11">
        <v>35712</v>
      </c>
      <c r="H70" s="119">
        <f>_xlfn.XLOOKUP(Table1[[#This Row],[Shipment Number]], 'pivot '!A:A,'pivot '!G:G, "NF")</f>
        <v>1.7818176338343648</v>
      </c>
      <c r="I70" s="120">
        <f>Table1[[#This Row],[Tiyaar/gaz]]/1.0936</f>
        <v>32655.449890270669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8"/>
      <c r="S70"/>
    </row>
    <row r="71" spans="1:19" x14ac:dyDescent="0.3">
      <c r="A71" s="124">
        <v>46072</v>
      </c>
      <c r="B71" s="121" t="s">
        <v>175</v>
      </c>
      <c r="C71" s="118">
        <v>1510</v>
      </c>
      <c r="D71" s="118" t="s">
        <v>86</v>
      </c>
      <c r="E71" s="11">
        <v>2100</v>
      </c>
      <c r="F71" s="11">
        <v>51893</v>
      </c>
      <c r="G71" s="11">
        <v>20027</v>
      </c>
      <c r="H71" s="119">
        <f>_xlfn.XLOOKUP(Table1[[#This Row],[Shipment Number]], 'pivot '!A:A,'pivot '!G:G, "NF")</f>
        <v>1.7818176338343648</v>
      </c>
      <c r="I71" s="120">
        <f>Table1[[#This Row],[Tiyaar/gaz]]/1.0936</f>
        <v>18312.91148500366</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8"/>
      <c r="S71"/>
    </row>
    <row r="72" spans="1:19" x14ac:dyDescent="0.3">
      <c r="A72" s="124">
        <v>46073</v>
      </c>
      <c r="B72" s="121" t="s">
        <v>21</v>
      </c>
      <c r="C72" s="118">
        <v>1511</v>
      </c>
      <c r="D72" s="118" t="s">
        <v>207</v>
      </c>
      <c r="E72" s="11">
        <v>2080</v>
      </c>
      <c r="F72" s="11">
        <v>53024</v>
      </c>
      <c r="G72" s="11">
        <v>30060</v>
      </c>
      <c r="H72" s="119">
        <f>_xlfn.XLOOKUP(Table1[[#This Row],[Shipment Number]], 'pivot '!A:A,'pivot '!G:G, "NF")</f>
        <v>25.742036069628114</v>
      </c>
      <c r="I72" s="120">
        <f>Table1[[#This Row],[Tiyaar/gaz]]/1.0936</f>
        <v>27487.198244330655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8"/>
      <c r="S72"/>
    </row>
    <row r="73" spans="1:19" x14ac:dyDescent="0.3">
      <c r="A73" s="124">
        <v>46073</v>
      </c>
      <c r="B73" s="121" t="s">
        <v>27</v>
      </c>
      <c r="C73" s="118">
        <v>1512</v>
      </c>
      <c r="D73" s="118" t="s">
        <v>85</v>
      </c>
      <c r="E73" s="11">
        <v>2058</v>
      </c>
      <c r="F73" s="11">
        <v>25007</v>
      </c>
      <c r="G73" s="11">
        <v>19622</v>
      </c>
      <c r="H73" s="119">
        <f>_xlfn.XLOOKUP(Table1[[#This Row],[Shipment Number]], 'pivot '!A:A,'pivot '!G:G, "NF")</f>
        <v>1.6332486157716346</v>
      </c>
      <c r="I73" s="120">
        <f>Table1[[#This Row],[Tiyaar/gaz]]/1.0936</f>
        <v>17942.574981711779</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8"/>
    </row>
    <row r="74" spans="1:19" x14ac:dyDescent="0.3">
      <c r="A74" s="124">
        <v>46073</v>
      </c>
      <c r="B74" s="121" t="s">
        <v>27</v>
      </c>
      <c r="C74" s="118">
        <v>1513</v>
      </c>
      <c r="D74" s="118" t="s">
        <v>85</v>
      </c>
      <c r="E74" s="11">
        <v>2058</v>
      </c>
      <c r="F74" s="11">
        <v>25007</v>
      </c>
      <c r="G74" s="11">
        <v>7279</v>
      </c>
      <c r="H74" s="119">
        <f>_xlfn.XLOOKUP(Table1[[#This Row],[Shipment Number]], 'pivot '!A:A,'pivot '!G:G, "NF")</f>
        <v>1.6332486157716346</v>
      </c>
      <c r="I74" s="120">
        <f>Table1[[#This Row],[Tiyaar/gaz]]/1.0936</f>
        <v>6655.9985369422102</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8"/>
    </row>
    <row r="75" spans="1:19" x14ac:dyDescent="0.3">
      <c r="A75" s="124">
        <v>46073</v>
      </c>
      <c r="B75" s="121" t="s">
        <v>21</v>
      </c>
      <c r="C75" s="118">
        <v>1514</v>
      </c>
      <c r="D75" s="118" t="s">
        <v>207</v>
      </c>
      <c r="E75" s="11">
        <v>2080</v>
      </c>
      <c r="F75" s="11">
        <v>53024</v>
      </c>
      <c r="G75" s="11">
        <v>10650</v>
      </c>
      <c r="H75" s="119">
        <f>_xlfn.XLOOKUP(Table1[[#This Row],[Shipment Number]], 'pivot '!A:A,'pivot '!G:G, "NF")</f>
        <v>25.742036069628114</v>
      </c>
      <c r="I75" s="120">
        <f>Table1[[#This Row],[Tiyaar/gaz]]/1.0936</f>
        <v>9738.4784198975867</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8"/>
    </row>
    <row r="76" spans="1:19" x14ac:dyDescent="0.3">
      <c r="A76" s="124">
        <v>46074</v>
      </c>
      <c r="B76" s="121" t="s">
        <v>233</v>
      </c>
      <c r="C76" s="118">
        <v>1515</v>
      </c>
      <c r="D76" s="118" t="s">
        <v>234</v>
      </c>
      <c r="E76" s="11">
        <v>2069</v>
      </c>
      <c r="F76" s="11">
        <v>3875</v>
      </c>
      <c r="G76" s="11">
        <v>3905</v>
      </c>
      <c r="H76" s="119">
        <f>_xlfn.XLOOKUP(Table1[[#This Row],[Shipment Number]], 'pivot '!A:A,'pivot '!G:G, "NF")</f>
        <v>7.8509568869905735</v>
      </c>
      <c r="I76" s="120">
        <f>Table1[[#This Row],[Tiyaar/gaz]]/1.0936</f>
        <v>3570.7754206291152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8"/>
    </row>
    <row r="77" spans="1:19" x14ac:dyDescent="0.3">
      <c r="A77" s="124">
        <v>46074</v>
      </c>
      <c r="B77" s="121" t="s">
        <v>21</v>
      </c>
      <c r="C77" s="118">
        <v>1516</v>
      </c>
      <c r="D77" s="118" t="s">
        <v>234</v>
      </c>
      <c r="E77" s="11">
        <v>1809</v>
      </c>
      <c r="F77" s="11">
        <v>13927</v>
      </c>
      <c r="G77" s="11">
        <v>6913</v>
      </c>
      <c r="H77" s="119">
        <f>_xlfn.XLOOKUP(Table1[[#This Row],[Shipment Number]], 'pivot '!A:A,'pivot '!G:G, "NF")</f>
        <v>54.611014092764712</v>
      </c>
      <c r="I77" s="120">
        <f>Table1[[#This Row],[Tiyaar/gaz]]/1.0936</f>
        <v>6321.3240673006585</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8"/>
    </row>
    <row r="78" spans="1:19" x14ac:dyDescent="0.3">
      <c r="A78" s="124">
        <v>46074</v>
      </c>
      <c r="B78" s="121" t="s">
        <v>27</v>
      </c>
      <c r="C78" s="118">
        <v>1517</v>
      </c>
      <c r="D78" s="118" t="s">
        <v>85</v>
      </c>
      <c r="E78" s="11">
        <v>2060</v>
      </c>
      <c r="F78" s="11">
        <v>25162</v>
      </c>
      <c r="G78" s="11">
        <v>26931</v>
      </c>
      <c r="H78" s="119">
        <f>_xlfn.XLOOKUP(Table1[[#This Row],[Shipment Number]], 'pivot '!A:A,'pivot '!G:G, "NF")</f>
        <v>2.1301730695844441</v>
      </c>
      <c r="I78" s="120">
        <f>Table1[[#This Row],[Tiyaar/gaz]]/1.0936</f>
        <v>24626.005852231167</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8"/>
    </row>
    <row r="79" spans="1:19" x14ac:dyDescent="0.3">
      <c r="A79" s="124">
        <v>46074</v>
      </c>
      <c r="B79" s="121" t="s">
        <v>9</v>
      </c>
      <c r="C79" s="118">
        <v>1518</v>
      </c>
      <c r="D79" s="118" t="s">
        <v>85</v>
      </c>
      <c r="E79" s="11">
        <v>2085</v>
      </c>
      <c r="F79" s="11">
        <v>25013</v>
      </c>
      <c r="G79" s="11">
        <v>2608</v>
      </c>
      <c r="H79" s="119">
        <f>_xlfn.XLOOKUP(Table1[[#This Row],[Shipment Number]], 'pivot '!A:A,'pivot '!G:G, "NF")</f>
        <v>90.465820977188429</v>
      </c>
      <c r="I79" s="120">
        <f>Table1[[#This Row],[Tiyaar/gaz]]/1.0936</f>
        <v>2384.7841989758599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8"/>
    </row>
    <row r="80" spans="1:19" x14ac:dyDescent="0.3">
      <c r="A80" s="124">
        <v>46074</v>
      </c>
      <c r="B80" s="121" t="s">
        <v>9</v>
      </c>
      <c r="C80" s="118">
        <v>1519</v>
      </c>
      <c r="D80" s="118" t="s">
        <v>85</v>
      </c>
      <c r="E80" s="11">
        <v>2078</v>
      </c>
      <c r="F80" s="11">
        <v>25072</v>
      </c>
      <c r="G80" s="11">
        <v>22243</v>
      </c>
      <c r="H80" s="119">
        <f>_xlfn.XLOOKUP(Table1[[#This Row],[Shipment Number]], 'pivot '!A:A,'pivot '!G:G, "NF")</f>
        <v>18.876649149498448</v>
      </c>
      <c r="I80" s="120">
        <f>Table1[[#This Row],[Tiyaar/gaz]]/1.0936</f>
        <v>20339.246525237748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8"/>
    </row>
    <row r="81" spans="1:17" x14ac:dyDescent="0.3">
      <c r="A81" s="124">
        <v>46074</v>
      </c>
      <c r="B81" s="121" t="s">
        <v>21</v>
      </c>
      <c r="C81" s="118">
        <v>1520</v>
      </c>
      <c r="D81" s="118" t="s">
        <v>85</v>
      </c>
      <c r="E81" s="11">
        <v>2040</v>
      </c>
      <c r="F81" s="11">
        <v>13976</v>
      </c>
      <c r="G81" s="11">
        <v>10555</v>
      </c>
      <c r="H81" s="119">
        <f>_xlfn.XLOOKUP(Table1[[#This Row],[Shipment Number]], 'pivot '!A:A,'pivot '!G:G, "NF")</f>
        <v>30.941547198269447</v>
      </c>
      <c r="I81" s="120">
        <f>Table1[[#This Row],[Tiyaar/gaz]]/1.0936</f>
        <v>9651.6093635698617</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8"/>
    </row>
    <row r="82" spans="1:17" x14ac:dyDescent="0.3">
      <c r="A82" s="124">
        <v>46074</v>
      </c>
      <c r="B82" s="121" t="s">
        <v>21</v>
      </c>
      <c r="C82" s="118">
        <v>1521</v>
      </c>
      <c r="D82" s="118" t="s">
        <v>85</v>
      </c>
      <c r="E82" s="11">
        <v>2049</v>
      </c>
      <c r="F82" s="11">
        <v>55052</v>
      </c>
      <c r="G82" s="11">
        <v>12715</v>
      </c>
      <c r="H82" s="119">
        <f>_xlfn.XLOOKUP(Table1[[#This Row],[Shipment Number]], 'pivot '!A:A,'pivot '!G:G, "NF")</f>
        <v>42.745492842811217</v>
      </c>
      <c r="I82" s="120">
        <f>Table1[[#This Row],[Tiyaar/gaz]]/1.0936</f>
        <v>11626.737381126555</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8"/>
    </row>
    <row r="83" spans="1:17" x14ac:dyDescent="0.3">
      <c r="A83" s="124">
        <v>46076</v>
      </c>
      <c r="B83" s="121" t="s">
        <v>21</v>
      </c>
      <c r="C83" s="118">
        <v>1522</v>
      </c>
      <c r="D83" s="118" t="s">
        <v>85</v>
      </c>
      <c r="E83" s="11">
        <v>2049</v>
      </c>
      <c r="F83" s="11">
        <v>55052</v>
      </c>
      <c r="G83" s="11">
        <v>21755</v>
      </c>
      <c r="H83" s="119">
        <f>_xlfn.XLOOKUP(Table1[[#This Row],[Shipment Number]], 'pivot '!A:A,'pivot '!G:G, "NF")</f>
        <v>42.745492842811217</v>
      </c>
      <c r="I83" s="120">
        <f>Table1[[#This Row],[Tiyaar/gaz]]/1.0936</f>
        <v>19893.013899049016</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8"/>
    </row>
    <row r="84" spans="1:17" x14ac:dyDescent="0.3">
      <c r="A84" s="124">
        <v>46076</v>
      </c>
      <c r="B84" s="121" t="s">
        <v>21</v>
      </c>
      <c r="C84" s="118">
        <v>1523</v>
      </c>
      <c r="D84" s="118" t="s">
        <v>85</v>
      </c>
      <c r="E84" s="11">
        <v>2095</v>
      </c>
      <c r="F84" s="11">
        <v>101030</v>
      </c>
      <c r="G84" s="11">
        <v>50792</v>
      </c>
      <c r="H84" s="119">
        <f>_xlfn.XLOOKUP(Table1[[#This Row],[Shipment Number]], 'pivot '!A:A,'pivot '!G:G, "NF")</f>
        <v>1.8467502355583747</v>
      </c>
      <c r="I84" s="120">
        <f>Table1[[#This Row],[Tiyaar/gaz]]/1.0936</f>
        <v>46444.769568397955</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8"/>
    </row>
    <row r="85" spans="1:17" x14ac:dyDescent="0.3">
      <c r="A85" s="124">
        <v>46076</v>
      </c>
      <c r="B85" s="121" t="s">
        <v>21</v>
      </c>
      <c r="C85" s="118">
        <v>1524</v>
      </c>
      <c r="D85" s="118" t="s">
        <v>207</v>
      </c>
      <c r="E85" s="11">
        <v>2082</v>
      </c>
      <c r="F85" s="11">
        <v>83635</v>
      </c>
      <c r="G85" s="11">
        <v>25471</v>
      </c>
      <c r="H85" s="119">
        <f>_xlfn.XLOOKUP(Table1[[#This Row],[Shipment Number]], 'pivot '!A:A,'pivot '!G:G, "NF")</f>
        <v>72.151652276987008</v>
      </c>
      <c r="I85" s="120">
        <f>Table1[[#This Row],[Tiyaar/gaz]]/1.0936</f>
        <v>23290.96561814192</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8"/>
    </row>
    <row r="86" spans="1:17" x14ac:dyDescent="0.3">
      <c r="A86" s="124">
        <v>46076</v>
      </c>
      <c r="B86" s="121" t="s">
        <v>21</v>
      </c>
      <c r="C86" s="118">
        <v>1525</v>
      </c>
      <c r="D86" s="118" t="s">
        <v>207</v>
      </c>
      <c r="E86" s="11">
        <v>2080</v>
      </c>
      <c r="F86" s="11">
        <v>53024</v>
      </c>
      <c r="G86" s="11">
        <v>2350</v>
      </c>
      <c r="H86" s="119">
        <f>_xlfn.XLOOKUP(Table1[[#This Row],[Shipment Number]], 'pivot '!A:A,'pivot '!G:G, "NF")</f>
        <v>25.742036069628114</v>
      </c>
      <c r="I86" s="120">
        <f>Table1[[#This Row],[Tiyaar/gaz]]/1.0936</f>
        <v>2148.8661302121436</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8"/>
    </row>
    <row r="87" spans="1:17" x14ac:dyDescent="0.3">
      <c r="A87" s="124">
        <v>46076</v>
      </c>
      <c r="B87" s="121" t="s">
        <v>21</v>
      </c>
      <c r="C87" s="118">
        <v>1526</v>
      </c>
      <c r="D87" s="118" t="s">
        <v>85</v>
      </c>
      <c r="E87" s="11">
        <v>2095</v>
      </c>
      <c r="F87" s="11">
        <v>101030</v>
      </c>
      <c r="G87" s="11">
        <v>22068</v>
      </c>
      <c r="H87" s="119">
        <f>_xlfn.XLOOKUP(Table1[[#This Row],[Shipment Number]], 'pivot '!A:A,'pivot '!G:G, "NF")</f>
        <v>1.8467502355583747</v>
      </c>
      <c r="I87" s="120">
        <f>Table1[[#This Row],[Tiyaar/gaz]]/1.0936</f>
        <v>20179.224579370886</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8"/>
    </row>
    <row r="88" spans="1:17" x14ac:dyDescent="0.3">
      <c r="A88" s="124">
        <v>46076</v>
      </c>
      <c r="B88" s="121" t="s">
        <v>21</v>
      </c>
      <c r="C88" s="118">
        <v>1527</v>
      </c>
      <c r="D88" s="118" t="s">
        <v>85</v>
      </c>
      <c r="E88" s="11">
        <v>2035</v>
      </c>
      <c r="F88" s="11"/>
      <c r="G88" s="11">
        <v>3059</v>
      </c>
      <c r="H88" s="119" t="e">
        <f>_xlfn.XLOOKUP(Table1[[#This Row],[Shipment Number]], 'pivot '!A:A,'pivot '!G:G, "NF")</f>
        <v>#DIV/0!</v>
      </c>
      <c r="I88" s="120">
        <f>Table1[[#This Row],[Tiyaar/gaz]]/1.0936</f>
        <v>2797.1836137527434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8"/>
    </row>
    <row r="89" spans="1:17" x14ac:dyDescent="0.3">
      <c r="A89" s="124">
        <v>46076</v>
      </c>
      <c r="B89" s="121" t="s">
        <v>21</v>
      </c>
      <c r="C89" s="118">
        <v>1528</v>
      </c>
      <c r="D89" s="118" t="s">
        <v>85</v>
      </c>
      <c r="E89" s="11">
        <v>2095</v>
      </c>
      <c r="F89" s="11">
        <v>101030</v>
      </c>
      <c r="G89" s="11">
        <v>35586</v>
      </c>
      <c r="H89" s="119">
        <f>_xlfn.XLOOKUP(Table1[[#This Row],[Shipment Number]], 'pivot '!A:A,'pivot '!G:G, "NF")</f>
        <v>1.8467502355583747</v>
      </c>
      <c r="I89" s="120">
        <f>Table1[[#This Row],[Tiyaar/gaz]]/1.0936</f>
        <v>32540.234089246529</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8"/>
    </row>
    <row r="90" spans="1:17" x14ac:dyDescent="0.3">
      <c r="A90" s="124">
        <v>46076</v>
      </c>
      <c r="B90" s="121" t="s">
        <v>318</v>
      </c>
      <c r="C90" s="118">
        <v>1529</v>
      </c>
      <c r="D90" s="118" t="s">
        <v>207</v>
      </c>
      <c r="E90" s="11">
        <v>2102</v>
      </c>
      <c r="F90" s="11">
        <v>9391</v>
      </c>
      <c r="G90" s="11">
        <v>9691</v>
      </c>
      <c r="H90" s="119">
        <f>_xlfn.XLOOKUP(Table1[[#This Row],[Shipment Number]], 'pivot '!A:A,'pivot '!G:G, "NF")</f>
        <v>5.6377578900310539</v>
      </c>
      <c r="I90" s="120">
        <f>Table1[[#This Row],[Tiyaar/gaz]]/1.0936</f>
        <v>8861.5581565471839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8"/>
    </row>
    <row r="91" spans="1:17" x14ac:dyDescent="0.3">
      <c r="A91" s="124">
        <v>46077</v>
      </c>
      <c r="B91" s="121" t="s">
        <v>21</v>
      </c>
      <c r="C91" s="118">
        <v>1530</v>
      </c>
      <c r="D91" s="118" t="s">
        <v>85</v>
      </c>
      <c r="E91" s="11">
        <v>2089</v>
      </c>
      <c r="F91" s="11">
        <v>7943</v>
      </c>
      <c r="G91" s="11">
        <v>5405</v>
      </c>
      <c r="H91" s="119">
        <f>_xlfn.XLOOKUP(Table1[[#This Row],[Shipment Number]], 'pivot '!A:A,'pivot '!G:G, "NF")</f>
        <v>37.776758158278611</v>
      </c>
      <c r="I91" s="120">
        <f>Table1[[#This Row],[Tiyaar/gaz]]/1.0936</f>
        <v>4942.39209948793</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8"/>
    </row>
    <row r="92" spans="1:17" x14ac:dyDescent="0.3">
      <c r="A92" s="124">
        <v>46077</v>
      </c>
      <c r="B92" s="121" t="s">
        <v>318</v>
      </c>
      <c r="C92" s="118">
        <v>1531</v>
      </c>
      <c r="D92" s="118" t="s">
        <v>86</v>
      </c>
      <c r="E92" s="11">
        <v>2101</v>
      </c>
      <c r="F92" s="11">
        <v>72930</v>
      </c>
      <c r="G92" s="11">
        <v>24947</v>
      </c>
      <c r="H92" s="119">
        <f>_xlfn.XLOOKUP(Table1[[#This Row],[Shipment Number]], 'pivot '!A:A,'pivot '!G:G, "NF")</f>
        <v>3.4370322936956512</v>
      </c>
      <c r="I92" s="120">
        <f>Table1[[#This Row],[Tiyaar/gaz]]/1.0936</f>
        <v>22811.814191660571</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8"/>
    </row>
    <row r="93" spans="1:17" x14ac:dyDescent="0.3">
      <c r="A93" s="124">
        <v>46077</v>
      </c>
      <c r="B93" s="121" t="s">
        <v>318</v>
      </c>
      <c r="C93" s="118">
        <v>1532</v>
      </c>
      <c r="D93" s="118" t="s">
        <v>86</v>
      </c>
      <c r="E93" s="11">
        <v>2101</v>
      </c>
      <c r="F93" s="11">
        <v>72930</v>
      </c>
      <c r="G93" s="11">
        <v>30659</v>
      </c>
      <c r="H93" s="119">
        <f>_xlfn.XLOOKUP(Table1[[#This Row],[Shipment Number]], 'pivot '!A:A,'pivot '!G:G, "NF")</f>
        <v>3.4370322936956512</v>
      </c>
      <c r="I93" s="120">
        <f>Table1[[#This Row],[Tiyaar/gaz]]/1.0936</f>
        <v>28034.930504754939</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8"/>
    </row>
    <row r="94" spans="1:17" x14ac:dyDescent="0.3">
      <c r="A94" s="124">
        <v>46077</v>
      </c>
      <c r="B94" s="121" t="s">
        <v>318</v>
      </c>
      <c r="C94" s="118">
        <v>1533</v>
      </c>
      <c r="D94" s="118" t="s">
        <v>86</v>
      </c>
      <c r="E94" s="11">
        <v>2101</v>
      </c>
      <c r="F94" s="11">
        <v>72930</v>
      </c>
      <c r="G94" s="11">
        <v>21409</v>
      </c>
      <c r="H94" s="119">
        <f>_xlfn.XLOOKUP(Table1[[#This Row],[Shipment Number]], 'pivot '!A:A,'pivot '!G:G, "NF")</f>
        <v>3.4370322936956512</v>
      </c>
      <c r="I94" s="120">
        <f>Table1[[#This Row],[Tiyaar/gaz]]/1.0936</f>
        <v>19576.627651792249</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8"/>
    </row>
    <row r="95" spans="1:17" x14ac:dyDescent="0.3">
      <c r="A95" s="124">
        <v>46078</v>
      </c>
      <c r="B95" s="121" t="s">
        <v>21</v>
      </c>
      <c r="C95" s="118">
        <v>1534</v>
      </c>
      <c r="D95" s="118" t="s">
        <v>86</v>
      </c>
      <c r="E95" s="11">
        <v>2084</v>
      </c>
      <c r="F95" s="11">
        <v>5816</v>
      </c>
      <c r="G95" s="11">
        <v>6358</v>
      </c>
      <c r="H95" s="119">
        <f>_xlfn.XLOOKUP(Table1[[#This Row],[Shipment Number]], 'pivot '!A:A,'pivot '!G:G, "NF")</f>
        <v>3.7381428423373109E-2</v>
      </c>
      <c r="I95" s="120">
        <f>Table1[[#This Row],[Tiyaar/gaz]]/1.0936</f>
        <v>5813.8258961228976</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8"/>
    </row>
    <row r="96" spans="1:17" x14ac:dyDescent="0.3">
      <c r="A96" s="124">
        <v>46078</v>
      </c>
      <c r="B96" s="121" t="s">
        <v>178</v>
      </c>
      <c r="C96" s="118">
        <v>1535</v>
      </c>
      <c r="D96" s="118" t="s">
        <v>85</v>
      </c>
      <c r="E96" s="11">
        <v>2103</v>
      </c>
      <c r="F96" s="11">
        <v>2069</v>
      </c>
      <c r="G96" s="11">
        <v>2212</v>
      </c>
      <c r="H96" s="119">
        <f>_xlfn.XLOOKUP(Table1[[#This Row],[Shipment Number]], 'pivot '!A:A,'pivot '!G:G, "NF")</f>
        <v>2.2388885569293109</v>
      </c>
      <c r="I96" s="120">
        <f>Table1[[#This Row],[Tiyaar/gaz]]/1.0936</f>
        <v>2022.6773957571327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8"/>
      <c r="O96"/>
      <c r="P96"/>
      <c r="Q96"/>
    </row>
    <row r="97" spans="1:18" x14ac:dyDescent="0.3">
      <c r="A97" s="124">
        <v>46078</v>
      </c>
      <c r="B97" s="121" t="s">
        <v>21</v>
      </c>
      <c r="C97" s="118">
        <v>1536</v>
      </c>
      <c r="D97" s="118" t="s">
        <v>85</v>
      </c>
      <c r="E97" s="11">
        <v>2096</v>
      </c>
      <c r="F97" s="11">
        <v>100801</v>
      </c>
      <c r="G97" s="11">
        <v>11908</v>
      </c>
      <c r="H97" s="119">
        <f>_xlfn.XLOOKUP(Table1[[#This Row],[Shipment Number]], 'pivot '!A:A,'pivot '!G:G, "NF")</f>
        <v>89.197718665588127</v>
      </c>
      <c r="I97" s="120">
        <f>Table1[[#This Row],[Tiyaar/gaz]]/1.0936</f>
        <v>10888.807607900513</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8"/>
      <c r="O97"/>
      <c r="P97"/>
      <c r="Q97"/>
    </row>
    <row r="98" spans="1:18" x14ac:dyDescent="0.3">
      <c r="A98" s="124">
        <v>46078</v>
      </c>
      <c r="B98" s="121" t="s">
        <v>22</v>
      </c>
      <c r="C98" s="118">
        <v>1537</v>
      </c>
      <c r="D98" s="118" t="s">
        <v>86</v>
      </c>
      <c r="E98" s="11">
        <v>2105</v>
      </c>
      <c r="F98" s="11">
        <v>14584</v>
      </c>
      <c r="G98" s="11">
        <v>15320</v>
      </c>
      <c r="H98" s="119">
        <f>_xlfn.XLOOKUP(Table1[[#This Row],[Shipment Number]], 'pivot '!A:A,'pivot '!G:G, "NF")</f>
        <v>3.9441967447565958</v>
      </c>
      <c r="I98" s="120">
        <f>Table1[[#This Row],[Tiyaar/gaz]]/1.0936</f>
        <v>14008.778346744697</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8"/>
      <c r="L98"/>
      <c r="M98"/>
      <c r="O98"/>
      <c r="P98"/>
      <c r="Q98"/>
    </row>
    <row r="99" spans="1:18" x14ac:dyDescent="0.3">
      <c r="A99" s="124">
        <v>46078</v>
      </c>
      <c r="B99" s="121" t="s">
        <v>9</v>
      </c>
      <c r="C99" s="118">
        <v>1538</v>
      </c>
      <c r="D99" s="118" t="s">
        <v>86</v>
      </c>
      <c r="E99" s="11">
        <v>2104</v>
      </c>
      <c r="F99" s="11">
        <v>20046</v>
      </c>
      <c r="G99" s="11">
        <v>21160</v>
      </c>
      <c r="H99" s="119">
        <f>_xlfn.XLOOKUP(Table1[[#This Row],[Shipment Number]], 'pivot '!A:A,'pivot '!G:G, "NF")</f>
        <v>3.4773057811948433</v>
      </c>
      <c r="I99" s="120">
        <f>Table1[[#This Row],[Tiyaar/gaz]]/1.0936</f>
        <v>19348.939283101685</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8"/>
      <c r="M99"/>
      <c r="P99"/>
      <c r="Q99"/>
      <c r="R99"/>
    </row>
    <row r="100" spans="1:18" x14ac:dyDescent="0.3">
      <c r="A100" s="124">
        <v>46079</v>
      </c>
      <c r="B100" s="121" t="s">
        <v>27</v>
      </c>
      <c r="C100" s="118">
        <v>1539</v>
      </c>
      <c r="D100" s="118" t="s">
        <v>85</v>
      </c>
      <c r="E100" s="11">
        <v>2088</v>
      </c>
      <c r="F100" s="11">
        <v>19717</v>
      </c>
      <c r="G100" s="11">
        <v>21223</v>
      </c>
      <c r="H100" s="119">
        <f>_xlfn.XLOOKUP(Table1[[#This Row],[Shipment Number]], 'pivot '!A:A,'pivot '!G:G, "NF")</f>
        <v>1.5745438778021281</v>
      </c>
      <c r="I100" s="120">
        <f>Table1[[#This Row],[Tiyaar/gaz]]/1.0936</f>
        <v>19406.547183613755</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8"/>
      <c r="M100"/>
      <c r="P100"/>
      <c r="Q100"/>
      <c r="R100"/>
    </row>
    <row r="101" spans="1:18" x14ac:dyDescent="0.3">
      <c r="A101" s="124">
        <v>46079</v>
      </c>
      <c r="B101" s="121" t="s">
        <v>26</v>
      </c>
      <c r="C101" s="118">
        <v>1540</v>
      </c>
      <c r="D101" s="118" t="s">
        <v>85</v>
      </c>
      <c r="E101" s="11">
        <v>1996</v>
      </c>
      <c r="F101" s="11">
        <v>24005</v>
      </c>
      <c r="G101" s="11">
        <v>5269</v>
      </c>
      <c r="H101" s="119">
        <f>_xlfn.XLOOKUP(Table1[[#This Row],[Shipment Number]], 'pivot '!A:A,'pivot '!G:G, "NF")</f>
        <v>79.929047334841087</v>
      </c>
      <c r="I101" s="120">
        <f>Table1[[#This Row],[Tiyaar/gaz]]/1.0936</f>
        <v>4818.0321872713976</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48180.321872713976</v>
      </c>
      <c r="K101" s="118"/>
      <c r="M101"/>
      <c r="P101"/>
      <c r="Q101"/>
      <c r="R101"/>
    </row>
    <row r="102" spans="1:18" x14ac:dyDescent="0.3">
      <c r="A102"/>
      <c r="B102"/>
      <c r="C102"/>
      <c r="D102"/>
      <c r="E102" s="14"/>
      <c r="F102" s="14"/>
      <c r="G102" s="14"/>
      <c r="H102" s="43"/>
      <c r="I102" s="94" cm="1">
        <f t="array" aca="1" ref="I102" ca="1">SUMPRODUCT( SUBTOTAL(109, OFFSET(Table1[tiyar/meters], ROW(Table1[tiyar/meters])-MIN(ROW(Table1[tiyar/meters])), 0, 1)), --(Table1[Bill Number]&lt;&gt;"January Closing CF") )</f>
        <v>499142.28237015376</v>
      </c>
      <c r="J102" s="43" cm="1">
        <f t="array" aca="1" ref="J102" ca="1">SUMPRODUCT( SUBTOTAL(109, OFFSET(Table1[billing], ROW(Table1[billing])-MIN(ROW(Table1[billing])), 0, 1)), --(Table1[Bill Number]&lt;&gt;"January Closing CF") )</f>
        <v>5548210.4974396499</v>
      </c>
      <c r="K102" s="14">
        <f>SUMIFS(Table1[billing], Table1[Bill Number], "&lt;&gt;January Closing CF")</f>
        <v>5548210.4974396499</v>
      </c>
      <c r="M102"/>
      <c r="P102"/>
      <c r="Q102"/>
      <c r="R102"/>
    </row>
    <row r="103" spans="1:18" x14ac:dyDescent="0.3">
      <c r="M103"/>
      <c r="P103"/>
      <c r="Q103"/>
      <c r="R103"/>
    </row>
    <row r="104" spans="1:18" x14ac:dyDescent="0.3">
      <c r="M104"/>
      <c r="P104"/>
      <c r="Q104"/>
      <c r="R104"/>
    </row>
    <row r="105" spans="1:18" x14ac:dyDescent="0.3">
      <c r="M105"/>
      <c r="P105"/>
      <c r="Q105"/>
      <c r="R105"/>
    </row>
    <row r="106" spans="1:18" x14ac:dyDescent="0.3">
      <c r="P106"/>
      <c r="Q106"/>
      <c r="R106"/>
    </row>
    <row r="107" spans="1:18" x14ac:dyDescent="0.3">
      <c r="L107"/>
      <c r="P107"/>
      <c r="Q107"/>
      <c r="R107"/>
    </row>
    <row r="108" spans="1:18" x14ac:dyDescent="0.3">
      <c r="L108"/>
      <c r="P108"/>
      <c r="Q108"/>
      <c r="R108"/>
    </row>
    <row r="109" spans="1:18" x14ac:dyDescent="0.3">
      <c r="L109"/>
      <c r="O109"/>
      <c r="P109"/>
      <c r="Q109"/>
    </row>
    <row r="110" spans="1:18" x14ac:dyDescent="0.3">
      <c r="L110"/>
      <c r="O110"/>
      <c r="P110"/>
      <c r="Q110"/>
    </row>
    <row r="111" spans="1:18" x14ac:dyDescent="0.3">
      <c r="L111"/>
      <c r="O111"/>
      <c r="P111"/>
      <c r="Q111"/>
    </row>
    <row r="112" spans="1: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02">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231</v>
      </c>
      <c r="D1" t="s">
        <v>232</v>
      </c>
      <c r="E1" t="s">
        <v>78</v>
      </c>
    </row>
    <row r="2" spans="1:5" x14ac:dyDescent="0.3">
      <c r="A2" s="1">
        <v>46046</v>
      </c>
      <c r="B2" t="s">
        <v>233</v>
      </c>
      <c r="C2">
        <v>2069</v>
      </c>
      <c r="D2">
        <v>3875</v>
      </c>
      <c r="E2" t="s">
        <v>234</v>
      </c>
    </row>
    <row r="3" spans="1:5" x14ac:dyDescent="0.3">
      <c r="A3" s="1">
        <v>46048</v>
      </c>
      <c r="B3" t="s">
        <v>235</v>
      </c>
      <c r="C3">
        <v>2070</v>
      </c>
      <c r="D3">
        <v>60945</v>
      </c>
      <c r="E3" t="s">
        <v>236</v>
      </c>
    </row>
    <row r="4" spans="1:5" x14ac:dyDescent="0.3">
      <c r="A4" s="1">
        <v>46048</v>
      </c>
      <c r="C4">
        <v>2071</v>
      </c>
    </row>
    <row r="5" spans="1:5" x14ac:dyDescent="0.3">
      <c r="A5" s="1">
        <v>46048</v>
      </c>
      <c r="B5" t="s">
        <v>235</v>
      </c>
      <c r="C5">
        <v>2072</v>
      </c>
      <c r="D5">
        <v>15104</v>
      </c>
      <c r="E5" t="s">
        <v>236</v>
      </c>
    </row>
    <row r="6" spans="1:5" x14ac:dyDescent="0.3">
      <c r="A6" s="1">
        <v>46049</v>
      </c>
      <c r="B6" t="s">
        <v>9</v>
      </c>
      <c r="C6">
        <v>2073</v>
      </c>
      <c r="D6">
        <v>20111</v>
      </c>
      <c r="E6" t="s">
        <v>236</v>
      </c>
    </row>
    <row r="7" spans="1:5" x14ac:dyDescent="0.3">
      <c r="A7" s="1">
        <v>46049</v>
      </c>
      <c r="B7" t="s">
        <v>237</v>
      </c>
      <c r="C7">
        <v>2074</v>
      </c>
      <c r="D7">
        <v>1519</v>
      </c>
      <c r="E7" t="s">
        <v>236</v>
      </c>
    </row>
    <row r="8" spans="1:5" x14ac:dyDescent="0.3">
      <c r="A8" s="1">
        <v>46049</v>
      </c>
      <c r="B8" t="s">
        <v>237</v>
      </c>
      <c r="C8">
        <v>2075</v>
      </c>
      <c r="D8">
        <v>1519</v>
      </c>
      <c r="E8" t="s">
        <v>236</v>
      </c>
    </row>
    <row r="9" spans="1:5" x14ac:dyDescent="0.3">
      <c r="A9" s="1">
        <v>46053</v>
      </c>
      <c r="B9" t="s">
        <v>238</v>
      </c>
      <c r="C9">
        <v>2076</v>
      </c>
      <c r="D9">
        <v>50784</v>
      </c>
      <c r="E9" t="s">
        <v>86</v>
      </c>
    </row>
    <row r="10" spans="1:5" x14ac:dyDescent="0.3">
      <c r="A10" s="1">
        <v>46053</v>
      </c>
      <c r="B10" t="s">
        <v>239</v>
      </c>
      <c r="C10">
        <v>2077</v>
      </c>
      <c r="D10">
        <v>62470</v>
      </c>
      <c r="E10" t="s">
        <v>86</v>
      </c>
    </row>
    <row r="11" spans="1:5" x14ac:dyDescent="0.3">
      <c r="A11" s="1">
        <v>46053</v>
      </c>
      <c r="B11" t="s">
        <v>9</v>
      </c>
      <c r="C11">
        <v>2078</v>
      </c>
      <c r="D11">
        <v>25072</v>
      </c>
      <c r="E11" t="s">
        <v>236</v>
      </c>
    </row>
    <row r="12" spans="1:5" x14ac:dyDescent="0.3">
      <c r="A12" s="1">
        <v>46053</v>
      </c>
      <c r="B12" t="s">
        <v>21</v>
      </c>
      <c r="C12">
        <v>2079</v>
      </c>
      <c r="D12">
        <v>7968</v>
      </c>
      <c r="E12" t="s">
        <v>240</v>
      </c>
    </row>
    <row r="13" spans="1:5" x14ac:dyDescent="0.3">
      <c r="A13" s="1">
        <v>46056</v>
      </c>
      <c r="B13" t="s">
        <v>21</v>
      </c>
      <c r="C13">
        <v>2080</v>
      </c>
      <c r="D13">
        <v>53024</v>
      </c>
      <c r="E13" t="s">
        <v>241</v>
      </c>
    </row>
    <row r="14" spans="1:5" x14ac:dyDescent="0.3">
      <c r="A14" s="1">
        <v>46056</v>
      </c>
      <c r="B14" t="s">
        <v>21</v>
      </c>
      <c r="C14">
        <v>2081</v>
      </c>
      <c r="D14">
        <v>68014</v>
      </c>
      <c r="E14" t="s">
        <v>241</v>
      </c>
    </row>
    <row r="15" spans="1:5" x14ac:dyDescent="0.3">
      <c r="A15" s="1">
        <v>46056</v>
      </c>
      <c r="B15" t="s">
        <v>21</v>
      </c>
      <c r="C15">
        <v>2082</v>
      </c>
      <c r="D15">
        <v>83635</v>
      </c>
      <c r="E15" t="s">
        <v>241</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236</v>
      </c>
    </row>
    <row r="19" spans="1:5" x14ac:dyDescent="0.3">
      <c r="A19" s="1">
        <v>46057</v>
      </c>
      <c r="B19" t="s">
        <v>237</v>
      </c>
      <c r="C19">
        <v>2086</v>
      </c>
      <c r="D19" t="s">
        <v>242</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B2" zoomScale="145" zoomScaleNormal="90" workbookViewId="0">
      <selection activeCell="H3" sqref="H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46073</v>
      </c>
      <c r="B2" s="4" t="s">
        <v>96</v>
      </c>
      <c r="C2" s="82" t="s">
        <v>95</v>
      </c>
      <c r="D2" s="83"/>
      <c r="E2" s="83"/>
      <c r="F2" s="83"/>
      <c r="G2" s="83">
        <f>D2*E2</f>
        <v>0</v>
      </c>
      <c r="H2" s="11"/>
      <c r="I2" s="84">
        <v>0</v>
      </c>
    </row>
    <row r="3" spans="1:16" x14ac:dyDescent="0.3">
      <c r="A3" s="85">
        <v>46073</v>
      </c>
      <c r="B3" s="4" t="s">
        <v>225</v>
      </c>
      <c r="C3" s="82" t="s">
        <v>95</v>
      </c>
      <c r="D3" s="83"/>
      <c r="E3" s="83"/>
      <c r="F3" s="83"/>
      <c r="G3" s="83">
        <f>D3*E3</f>
        <v>0</v>
      </c>
      <c r="H3" s="11">
        <v>0</v>
      </c>
      <c r="I3" s="84">
        <v>1271575</v>
      </c>
    </row>
    <row r="4" spans="1:16" x14ac:dyDescent="0.3">
      <c r="A4" s="85">
        <v>46073</v>
      </c>
      <c r="B4" s="4" t="s">
        <v>218</v>
      </c>
      <c r="C4" s="82" t="s">
        <v>95</v>
      </c>
      <c r="D4" s="11"/>
      <c r="E4" s="11"/>
      <c r="F4" s="11"/>
      <c r="G4" s="11">
        <f>D4*E4</f>
        <v>0</v>
      </c>
      <c r="H4" s="11">
        <v>0</v>
      </c>
      <c r="I4" s="84">
        <v>224850</v>
      </c>
    </row>
    <row r="5" spans="1:16" ht="15" thickBot="1" x14ac:dyDescent="0.35">
      <c r="A5" s="85">
        <v>46073</v>
      </c>
      <c r="B5" s="4" t="s">
        <v>149</v>
      </c>
      <c r="C5" s="82" t="s">
        <v>95</v>
      </c>
      <c r="D5" s="11"/>
      <c r="E5" s="11"/>
      <c r="F5" s="11"/>
      <c r="G5" s="11">
        <f t="shared" ref="G5:G6" si="0">D5*E5</f>
        <v>0</v>
      </c>
      <c r="H5" s="11"/>
      <c r="I5" s="84">
        <v>35680</v>
      </c>
    </row>
    <row r="6" spans="1:16" ht="15" thickTop="1" x14ac:dyDescent="0.3">
      <c r="A6" s="85">
        <v>46073</v>
      </c>
      <c r="B6" s="4" t="s">
        <v>169</v>
      </c>
      <c r="C6" s="82" t="s">
        <v>95</v>
      </c>
      <c r="D6" s="11"/>
      <c r="E6" s="11"/>
      <c r="F6" s="11"/>
      <c r="G6" s="11">
        <f t="shared" si="0"/>
        <v>0</v>
      </c>
      <c r="H6" s="11"/>
      <c r="I6" s="84">
        <v>1347239</v>
      </c>
      <c r="K6" s="17">
        <f>SUM(Table3[Total])</f>
        <v>1757210</v>
      </c>
      <c r="L6" s="3" t="s">
        <v>2</v>
      </c>
      <c r="M6" t="s">
        <v>87</v>
      </c>
    </row>
    <row r="7" spans="1:16" x14ac:dyDescent="0.3">
      <c r="A7" s="85">
        <v>46073</v>
      </c>
      <c r="B7" s="4" t="s">
        <v>172</v>
      </c>
      <c r="C7" s="82" t="s">
        <v>95</v>
      </c>
      <c r="D7" s="11"/>
      <c r="E7" s="11"/>
      <c r="F7" s="11"/>
      <c r="G7" s="11">
        <f>D7*E7</f>
        <v>0</v>
      </c>
      <c r="H7" s="11"/>
      <c r="I7" s="84">
        <v>97520</v>
      </c>
    </row>
    <row r="8" spans="1:16" x14ac:dyDescent="0.3">
      <c r="A8" s="85">
        <v>46073</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46073</v>
      </c>
      <c r="B9" s="4" t="s">
        <v>196</v>
      </c>
      <c r="C9" s="82" t="s">
        <v>95</v>
      </c>
      <c r="D9" s="11"/>
      <c r="E9" s="11"/>
      <c r="F9" s="11"/>
      <c r="G9" s="11">
        <f t="shared" si="1"/>
        <v>0</v>
      </c>
      <c r="H9" s="11"/>
      <c r="I9" s="84">
        <v>664986</v>
      </c>
      <c r="K9" s="11"/>
      <c r="L9" s="26" t="s">
        <v>103</v>
      </c>
      <c r="M9" s="14"/>
      <c r="N9" s="14">
        <v>0</v>
      </c>
      <c r="O9" s="14"/>
      <c r="P9" s="14">
        <v>0</v>
      </c>
    </row>
    <row r="10" spans="1:16" x14ac:dyDescent="0.3">
      <c r="A10" s="85">
        <v>46073</v>
      </c>
      <c r="B10" s="4" t="s">
        <v>198</v>
      </c>
      <c r="C10" s="82" t="s">
        <v>95</v>
      </c>
      <c r="D10" s="11"/>
      <c r="E10" s="11"/>
      <c r="F10" s="11"/>
      <c r="G10" s="11"/>
      <c r="H10" s="11"/>
      <c r="I10" s="84">
        <v>79266</v>
      </c>
      <c r="K10" s="11"/>
      <c r="L10" s="42" t="s">
        <v>103</v>
      </c>
      <c r="M10" s="14"/>
      <c r="N10" s="14">
        <v>0</v>
      </c>
      <c r="O10" s="14"/>
      <c r="P10" s="14">
        <v>0</v>
      </c>
    </row>
    <row r="11" spans="1:16" x14ac:dyDescent="0.3">
      <c r="A11" s="85">
        <v>46073</v>
      </c>
      <c r="B11" s="4" t="s">
        <v>213</v>
      </c>
      <c r="C11" s="82" t="s">
        <v>95</v>
      </c>
      <c r="D11" s="11"/>
      <c r="E11" s="11"/>
      <c r="F11" s="11"/>
      <c r="G11" s="11"/>
      <c r="H11" s="11"/>
      <c r="I11" s="84">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260</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28"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225</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46076</v>
      </c>
      <c r="B22" t="s">
        <v>169</v>
      </c>
      <c r="D22" s="11">
        <v>228</v>
      </c>
      <c r="E22" s="11">
        <v>830</v>
      </c>
      <c r="F22" s="11"/>
      <c r="G22" s="11">
        <f t="shared" si="2"/>
        <v>189240</v>
      </c>
      <c r="H22" s="11"/>
      <c r="I22" s="11">
        <f>(D22*E22)-Table3[[#This Row],[Paid]]</f>
        <v>189240</v>
      </c>
      <c r="L22" s="26" t="s">
        <v>28</v>
      </c>
      <c r="M22" s="14">
        <v>2345</v>
      </c>
      <c r="N22" s="14">
        <v>1757210</v>
      </c>
      <c r="O22" s="14">
        <v>0</v>
      </c>
      <c r="P22" s="14">
        <v>5804736</v>
      </c>
    </row>
    <row r="23" spans="1:16" x14ac:dyDescent="0.3">
      <c r="A23" s="1">
        <v>46072</v>
      </c>
      <c r="B23" t="s">
        <v>169</v>
      </c>
      <c r="D23" s="11">
        <v>300</v>
      </c>
      <c r="E23" s="11">
        <v>580</v>
      </c>
      <c r="F23" s="11"/>
      <c r="G23" s="11">
        <f t="shared" si="2"/>
        <v>174000</v>
      </c>
      <c r="H23" s="11"/>
      <c r="I23" s="11">
        <f>(D23*E23)-Table3[[#This Row],[Paid]]</f>
        <v>174000</v>
      </c>
    </row>
    <row r="24" spans="1:16" x14ac:dyDescent="0.3">
      <c r="A24" s="1"/>
      <c r="D24" s="11"/>
      <c r="E24" s="11"/>
      <c r="F24" s="11"/>
      <c r="G24" s="11">
        <f t="shared" si="2"/>
        <v>0</v>
      </c>
      <c r="H24" s="11"/>
      <c r="I24" s="11">
        <f>(D24*E24)-Table3[[#This Row],[Paid]]</f>
        <v>0</v>
      </c>
    </row>
    <row r="25" spans="1:16" x14ac:dyDescent="0.3">
      <c r="A25" s="1"/>
      <c r="D25" s="11"/>
      <c r="E25" s="11"/>
      <c r="F25" s="11"/>
      <c r="G25" s="11">
        <f t="shared" si="2"/>
        <v>0</v>
      </c>
      <c r="H25" s="11"/>
      <c r="I25" s="11">
        <f>(D25*E25)-Table3[[#This Row],[Paid]]</f>
        <v>0</v>
      </c>
    </row>
    <row r="26" spans="1:16" x14ac:dyDescent="0.3">
      <c r="A26" s="1"/>
      <c r="D26" s="11"/>
      <c r="E26" s="11"/>
      <c r="F26" s="11"/>
      <c r="G26" s="11">
        <f t="shared" si="2"/>
        <v>0</v>
      </c>
      <c r="H26" s="11"/>
      <c r="I26" s="11">
        <f>(D26*E26)-Table3[[#This Row],[Paid]]</f>
        <v>0</v>
      </c>
    </row>
    <row r="27" spans="1:16" x14ac:dyDescent="0.3">
      <c r="A27" s="1"/>
      <c r="D27" s="11"/>
      <c r="E27" s="11"/>
      <c r="F27" s="11"/>
      <c r="G27" s="11">
        <f t="shared" si="2"/>
        <v>0</v>
      </c>
      <c r="H27" s="11"/>
      <c r="I27" s="11">
        <f>(D27*E27)-Table3[[#This Row],[Paid]]</f>
        <v>0</v>
      </c>
    </row>
    <row r="28" spans="1:16" x14ac:dyDescent="0.3">
      <c r="A28" s="1"/>
      <c r="D28" s="11"/>
      <c r="E28" s="11"/>
      <c r="F28" s="11"/>
      <c r="G28" s="11">
        <f t="shared" si="2"/>
        <v>0</v>
      </c>
      <c r="H28" s="11"/>
      <c r="I28" s="11">
        <f>(D28*E28)-Table3[[#This Row],[Paid]]</f>
        <v>0</v>
      </c>
    </row>
    <row r="29" spans="1:16" x14ac:dyDescent="0.3">
      <c r="A29" s="1"/>
      <c r="D29" s="11"/>
      <c r="E29" s="11"/>
      <c r="F29" s="11"/>
      <c r="G29" s="11"/>
      <c r="H29" s="11"/>
      <c r="I29" s="11">
        <f>(D29*E29)-Table3[[#This Row],[Paid]]</f>
        <v>0</v>
      </c>
      <c r="K29" s="14"/>
    </row>
    <row r="30" spans="1:16" x14ac:dyDescent="0.3">
      <c r="A30" s="1"/>
      <c r="D30" s="11"/>
      <c r="E30" s="11"/>
      <c r="F30" s="11"/>
      <c r="G30" s="11"/>
      <c r="H30" s="11"/>
      <c r="I30" s="11">
        <f>(D30*E30)-Table3[[#This Row],[Paid]]</f>
        <v>0</v>
      </c>
    </row>
    <row r="31" spans="1:16" x14ac:dyDescent="0.3">
      <c r="A31" s="1"/>
      <c r="D31" s="11"/>
      <c r="E31" s="11"/>
      <c r="F31" s="11"/>
      <c r="G31" s="11"/>
      <c r="H31" s="11"/>
      <c r="I31" s="11">
        <f>(D31*E31)-Table3[[#This Row],[Paid]]</f>
        <v>0</v>
      </c>
    </row>
    <row r="32" spans="1:16" x14ac:dyDescent="0.3">
      <c r="A32" s="1"/>
      <c r="D32" s="11"/>
      <c r="E32" s="11"/>
      <c r="F32" s="11"/>
      <c r="G32" s="11"/>
      <c r="H32" s="11"/>
      <c r="I32" s="11">
        <f>(D32*E32)-Table3[[#This Row],[Paid]]</f>
        <v>0</v>
      </c>
    </row>
    <row r="33" spans="1:9" x14ac:dyDescent="0.3">
      <c r="A33" s="1"/>
      <c r="D33" s="11"/>
      <c r="E33" s="122"/>
      <c r="F33" s="11"/>
      <c r="G33" s="11"/>
      <c r="H33" s="11"/>
      <c r="I33" s="11">
        <f>(D33*E33)-Table3[[#This Row],[Paid]]</f>
        <v>0</v>
      </c>
    </row>
    <row r="34" spans="1:9" x14ac:dyDescent="0.3">
      <c r="A34" s="1"/>
      <c r="D34" s="11"/>
      <c r="E34" s="11"/>
      <c r="F34" s="11"/>
      <c r="G34" s="11"/>
      <c r="H34" s="11"/>
      <c r="I34" s="11">
        <f>(D34*E34)-Table3[[#This Row],[Paid]]</f>
        <v>0</v>
      </c>
    </row>
    <row r="35" spans="1:9" x14ac:dyDescent="0.3">
      <c r="A35" s="1"/>
      <c r="D35" s="11"/>
      <c r="E35" s="11"/>
      <c r="F35" s="11"/>
      <c r="G35" s="11"/>
      <c r="H35" s="11"/>
      <c r="I35" s="11">
        <f>(D35*E35)-Table3[[#This Row],[Paid]]</f>
        <v>0</v>
      </c>
    </row>
    <row r="36" spans="1:9" x14ac:dyDescent="0.3">
      <c r="A36" s="1"/>
      <c r="D36" s="11"/>
      <c r="E36" s="11"/>
      <c r="F36" s="11"/>
      <c r="G36" s="11"/>
      <c r="H36" s="11"/>
      <c r="I36" s="11"/>
    </row>
    <row r="37" spans="1:9" x14ac:dyDescent="0.3">
      <c r="A37" s="1"/>
      <c r="D37" s="11"/>
      <c r="E37" s="11"/>
      <c r="F37" s="11"/>
      <c r="G37" s="11"/>
      <c r="H37" s="11"/>
      <c r="I37" s="11"/>
    </row>
    <row r="38" spans="1:9" x14ac:dyDescent="0.3">
      <c r="A38" s="1"/>
      <c r="D38" s="11"/>
      <c r="E38" s="11"/>
      <c r="F38" s="11"/>
      <c r="G38" s="11"/>
      <c r="H38" s="11"/>
      <c r="I38" s="11"/>
    </row>
    <row r="39" spans="1:9" x14ac:dyDescent="0.3">
      <c r="A39" s="1"/>
      <c r="D39" s="11"/>
      <c r="E39" s="11"/>
      <c r="F39" s="11"/>
      <c r="G39" s="11"/>
      <c r="H39" s="11"/>
      <c r="I39" s="11"/>
    </row>
    <row r="40" spans="1:9" x14ac:dyDescent="0.3">
      <c r="A40" s="1"/>
      <c r="D40" s="11"/>
      <c r="E40" s="11"/>
      <c r="F40" s="11"/>
      <c r="G40" s="11"/>
      <c r="H40" s="11"/>
      <c r="I40" s="11"/>
    </row>
    <row r="41" spans="1:9" x14ac:dyDescent="0.3">
      <c r="A41" s="1"/>
      <c r="D41" s="11"/>
      <c r="E41" s="11"/>
      <c r="F41" s="11"/>
      <c r="G41" s="11"/>
      <c r="H41" s="11"/>
      <c r="I41" s="11"/>
    </row>
    <row r="42" spans="1:9" x14ac:dyDescent="0.3">
      <c r="A42" s="1"/>
      <c r="D42" s="11"/>
      <c r="E42" s="11"/>
      <c r="F42" s="11"/>
      <c r="G42" s="11"/>
      <c r="H42" s="11"/>
      <c r="I42" s="11"/>
    </row>
    <row r="43" spans="1:9" x14ac:dyDescent="0.3">
      <c r="A43" s="1"/>
      <c r="D43" s="11"/>
      <c r="E43" s="11"/>
      <c r="F43" s="11"/>
      <c r="G43" s="11"/>
      <c r="H43" s="11"/>
      <c r="I43" s="11"/>
    </row>
    <row r="44" spans="1:9" x14ac:dyDescent="0.3">
      <c r="A44" s="1"/>
      <c r="D44" s="11"/>
      <c r="E44" s="11"/>
      <c r="F44" s="11"/>
      <c r="G44" s="11"/>
      <c r="H44" s="11"/>
      <c r="I44" s="11"/>
    </row>
    <row r="45" spans="1:9" x14ac:dyDescent="0.3">
      <c r="A45" s="1"/>
      <c r="D45" s="11"/>
      <c r="E45" s="11"/>
      <c r="F45" s="11"/>
      <c r="G45" s="11"/>
      <c r="H45" s="11"/>
      <c r="I45" s="11"/>
    </row>
    <row r="46" spans="1:9" x14ac:dyDescent="0.3">
      <c r="A46" s="1"/>
      <c r="D46" s="11"/>
      <c r="E46" s="11"/>
      <c r="F46" s="11"/>
      <c r="G46" s="11"/>
      <c r="H46" s="11"/>
      <c r="I46" s="11"/>
    </row>
    <row r="47" spans="1:9" x14ac:dyDescent="0.3">
      <c r="A47" s="1"/>
      <c r="D47" s="11"/>
      <c r="E47" s="11"/>
      <c r="F47" s="11"/>
      <c r="G47" s="11"/>
      <c r="H47" s="11"/>
      <c r="I47" s="11"/>
    </row>
    <row r="48" spans="1:9" x14ac:dyDescent="0.3">
      <c r="A48" s="1"/>
      <c r="D48" s="11"/>
      <c r="E48" s="11"/>
      <c r="F48" s="11"/>
      <c r="G48" s="11"/>
      <c r="H48" s="11"/>
      <c r="I48" s="11"/>
    </row>
    <row r="49" spans="1:9" x14ac:dyDescent="0.3">
      <c r="A49" s="1"/>
      <c r="D49" s="11"/>
      <c r="E49" s="11"/>
      <c r="F49" s="11"/>
      <c r="G49" s="11"/>
      <c r="H49" s="11"/>
      <c r="I49" s="11"/>
    </row>
    <row r="50" spans="1:9" x14ac:dyDescent="0.3">
      <c r="A50" s="1"/>
      <c r="D50" s="11"/>
      <c r="E50" s="11"/>
      <c r="F50" s="11"/>
      <c r="G50" s="11"/>
      <c r="H50" s="11"/>
      <c r="I50" s="11"/>
    </row>
    <row r="51" spans="1:9" x14ac:dyDescent="0.3">
      <c r="A51" s="1"/>
      <c r="D51" s="11"/>
      <c r="E51" s="11"/>
      <c r="F51" s="11"/>
      <c r="G51" s="11"/>
      <c r="H51" s="11"/>
      <c r="I51" s="11"/>
    </row>
    <row r="52" spans="1:9" x14ac:dyDescent="0.3">
      <c r="A52" s="1"/>
      <c r="D52" s="11"/>
      <c r="E52" s="11"/>
      <c r="F52" s="11"/>
      <c r="G52" s="11"/>
      <c r="H52" s="11"/>
      <c r="I52" s="11"/>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f t="shared" ref="G77:G82" si="3">D77*E77</f>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si="3"/>
        <v>0</v>
      </c>
      <c r="H82" s="11"/>
      <c r="I82" s="11">
        <f>(D82*E82)-Table3[[#This Row],[Paid]]</f>
        <v>0</v>
      </c>
    </row>
    <row r="83" spans="1:9" x14ac:dyDescent="0.3">
      <c r="A83" s="1"/>
      <c r="D83" s="11"/>
      <c r="E83" s="11"/>
      <c r="F83" s="11"/>
      <c r="G83" s="11">
        <f t="shared" ref="G83:G121" si="4">D83*E83</f>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 t="shared" si="4"/>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1757210</v>
      </c>
      <c r="H123" s="14">
        <f>SUBTOTAL(109,Table3[Paid])</f>
        <v>0</v>
      </c>
      <c r="I123" s="14">
        <f>SUBTOTAL(109,Table3[balance])</f>
        <v>5804736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abSelected="1" topLeftCell="A98" zoomScale="72" workbookViewId="0">
      <selection activeCell="G127" sqref="G12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7620182</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220</v>
      </c>
      <c r="C4" s="96">
        <v>6825308</v>
      </c>
      <c r="D4" s="11"/>
      <c r="E4" s="81" t="s">
        <v>224</v>
      </c>
      <c r="F4" s="88" t="s">
        <v>108</v>
      </c>
      <c r="J4" s="45" t="s">
        <v>70</v>
      </c>
      <c r="K4" s="46">
        <f>Table14[[#Totals],[Debit]]</f>
        <v>12872219</v>
      </c>
      <c r="M4" s="45" t="s">
        <v>107</v>
      </c>
      <c r="N4" s="51">
        <f>SUMIFS(Table14[Withdrawal],Table14[Party],"Cash",Table14[Mode],"Transfer")</f>
        <v>0</v>
      </c>
    </row>
    <row r="5" spans="1:16" x14ac:dyDescent="0.3">
      <c r="A5" s="115">
        <v>46042</v>
      </c>
      <c r="B5" s="81" t="s">
        <v>221</v>
      </c>
      <c r="C5" s="11">
        <v>783072</v>
      </c>
      <c r="D5" s="87"/>
      <c r="E5" s="81" t="s">
        <v>224</v>
      </c>
      <c r="F5" s="88" t="s">
        <v>108</v>
      </c>
      <c r="J5" s="45" t="s">
        <v>69</v>
      </c>
      <c r="K5" s="46">
        <f>Table14[[#Totals],[Credit]]</f>
        <v>13098361.493050475</v>
      </c>
      <c r="M5" s="45" t="s">
        <v>108</v>
      </c>
      <c r="N5" s="46">
        <f>(SUMIFS(Table14[Credit],Table14[Mode],"Bank")-SUMIFS(Table14[Debit],Table14[Mode],"Bank")-SUMIFS(Table14[Withdrawal],Table14[Mode],"Transfer"))</f>
        <v>837058.49305047467</v>
      </c>
      <c r="O5">
        <v>360000</v>
      </c>
    </row>
    <row r="6" spans="1:16" x14ac:dyDescent="0.3">
      <c r="A6" s="115">
        <v>46014</v>
      </c>
      <c r="B6" s="81" t="s">
        <v>212</v>
      </c>
      <c r="C6" s="11"/>
      <c r="D6" s="11">
        <v>658663</v>
      </c>
      <c r="E6" s="81" t="s">
        <v>224</v>
      </c>
      <c r="F6" s="88" t="s">
        <v>108</v>
      </c>
      <c r="J6" s="52" t="s">
        <v>43</v>
      </c>
      <c r="K6" s="53">
        <f>(K5-K4)</f>
        <v>226142.49305047467</v>
      </c>
      <c r="M6" s="45" t="s">
        <v>109</v>
      </c>
      <c r="N6" s="46">
        <f>((SUMIFS(Table14[Credit],Table14[Mode],"Cash")-SUMIFS(Table14[Debit],Table14[Mode],"Cash"))+SUMIFS(Table14[Withdrawal],Table14[Party],"Cash",Table14[Mode],"Transfer"))</f>
        <v>-610916</v>
      </c>
      <c r="O6">
        <v>50000</v>
      </c>
    </row>
    <row r="7" spans="1:16" x14ac:dyDescent="0.3">
      <c r="A7" s="115">
        <v>46073</v>
      </c>
      <c r="B7" t="s">
        <v>226</v>
      </c>
      <c r="C7" s="11"/>
      <c r="D7" s="11">
        <v>200000</v>
      </c>
      <c r="E7" t="s">
        <v>256</v>
      </c>
      <c r="F7" s="111" t="s">
        <v>108</v>
      </c>
      <c r="M7" s="48" t="s">
        <v>5</v>
      </c>
      <c r="N7" s="49">
        <f>SUM(N5:N6)</f>
        <v>226142.49305047467</v>
      </c>
      <c r="O7" s="90">
        <f>SUM(O5,O6)</f>
        <v>410000</v>
      </c>
      <c r="P7" s="14">
        <f>Table18[[#Totals],[amount]]-Table18[[#Totals],[Actual]]</f>
        <v>-183857.50694952533</v>
      </c>
    </row>
    <row r="8" spans="1:16" x14ac:dyDescent="0.3">
      <c r="A8" s="38">
        <v>46073</v>
      </c>
      <c r="B8" t="s">
        <v>55</v>
      </c>
      <c r="C8" s="11">
        <v>8315</v>
      </c>
      <c r="D8" s="11"/>
      <c r="E8" t="s">
        <v>252</v>
      </c>
      <c r="F8" s="111" t="s">
        <v>108</v>
      </c>
    </row>
    <row r="9" spans="1:16" x14ac:dyDescent="0.3">
      <c r="A9" s="115">
        <v>46073</v>
      </c>
      <c r="B9" t="s">
        <v>55</v>
      </c>
      <c r="C9" s="11">
        <v>1100</v>
      </c>
      <c r="D9" s="11"/>
      <c r="E9" t="s">
        <v>257</v>
      </c>
      <c r="F9" s="111" t="s">
        <v>108</v>
      </c>
    </row>
    <row r="10" spans="1:16" x14ac:dyDescent="0.3">
      <c r="A10" s="38">
        <v>46073</v>
      </c>
      <c r="B10" t="s">
        <v>55</v>
      </c>
      <c r="C10" s="11">
        <v>240</v>
      </c>
      <c r="D10" s="11"/>
      <c r="F10" s="111" t="s">
        <v>108</v>
      </c>
    </row>
    <row r="11" spans="1:16" x14ac:dyDescent="0.3">
      <c r="A11" s="115">
        <v>46073</v>
      </c>
      <c r="B11" t="s">
        <v>55</v>
      </c>
      <c r="C11" s="11">
        <v>4550</v>
      </c>
      <c r="D11" s="11"/>
      <c r="E11" t="s">
        <v>258</v>
      </c>
      <c r="F11" s="111" t="s">
        <v>108</v>
      </c>
    </row>
    <row r="12" spans="1:16" x14ac:dyDescent="0.3">
      <c r="A12" s="38">
        <v>46073</v>
      </c>
      <c r="B12" t="s">
        <v>55</v>
      </c>
      <c r="C12" s="11">
        <v>10750</v>
      </c>
      <c r="D12" s="11"/>
      <c r="E12" t="s">
        <v>259</v>
      </c>
      <c r="F12" s="111" t="s">
        <v>108</v>
      </c>
    </row>
    <row r="13" spans="1:16" x14ac:dyDescent="0.3">
      <c r="A13" s="115">
        <v>46073</v>
      </c>
      <c r="B13" t="s">
        <v>260</v>
      </c>
      <c r="C13" s="11">
        <v>64290</v>
      </c>
      <c r="D13" s="11"/>
      <c r="E13" t="s">
        <v>243</v>
      </c>
      <c r="F13" s="111" t="s">
        <v>108</v>
      </c>
    </row>
    <row r="14" spans="1:16" x14ac:dyDescent="0.3">
      <c r="A14" s="38">
        <v>46073</v>
      </c>
      <c r="B14" t="s">
        <v>220</v>
      </c>
      <c r="C14" s="11"/>
      <c r="D14" s="11">
        <v>947000</v>
      </c>
      <c r="E14" t="s">
        <v>261</v>
      </c>
      <c r="F14" s="111" t="s">
        <v>108</v>
      </c>
    </row>
    <row r="15" spans="1:16" x14ac:dyDescent="0.3">
      <c r="A15" s="115">
        <v>46073</v>
      </c>
      <c r="B15" t="s">
        <v>175</v>
      </c>
      <c r="C15" s="11"/>
      <c r="D15" s="11">
        <v>694000</v>
      </c>
      <c r="E15" t="s">
        <v>262</v>
      </c>
      <c r="F15" s="111" t="s">
        <v>108</v>
      </c>
    </row>
    <row r="16" spans="1:16" x14ac:dyDescent="0.3">
      <c r="A16" s="38">
        <v>46073</v>
      </c>
      <c r="B16" t="s">
        <v>55</v>
      </c>
      <c r="C16" s="11">
        <v>2850</v>
      </c>
      <c r="D16" s="11"/>
      <c r="E16" t="s">
        <v>263</v>
      </c>
      <c r="F16" s="111" t="s">
        <v>108</v>
      </c>
    </row>
    <row r="17" spans="1:6" x14ac:dyDescent="0.3">
      <c r="A17" s="115">
        <v>46073</v>
      </c>
      <c r="B17" t="s">
        <v>220</v>
      </c>
      <c r="C17" s="11"/>
      <c r="D17" s="11">
        <v>450000</v>
      </c>
      <c r="E17" t="s">
        <v>264</v>
      </c>
      <c r="F17" s="111" t="s">
        <v>108</v>
      </c>
    </row>
    <row r="18" spans="1:6" x14ac:dyDescent="0.3">
      <c r="A18" s="38">
        <v>46073</v>
      </c>
      <c r="B18" t="s">
        <v>51</v>
      </c>
      <c r="C18" s="96">
        <v>2222081</v>
      </c>
      <c r="D18" s="96"/>
      <c r="E18" t="s">
        <v>216</v>
      </c>
      <c r="F18" s="111" t="s">
        <v>108</v>
      </c>
    </row>
    <row r="19" spans="1:6" x14ac:dyDescent="0.3">
      <c r="A19" s="115">
        <v>46073</v>
      </c>
      <c r="B19" t="s">
        <v>55</v>
      </c>
      <c r="C19" s="11">
        <v>1000</v>
      </c>
      <c r="D19" s="11"/>
      <c r="F19" s="111" t="s">
        <v>108</v>
      </c>
    </row>
    <row r="20" spans="1:6" x14ac:dyDescent="0.3">
      <c r="A20" s="38">
        <v>46073</v>
      </c>
      <c r="B20" t="s">
        <v>55</v>
      </c>
      <c r="C20" s="11">
        <v>26300</v>
      </c>
      <c r="D20" s="11"/>
      <c r="E20" t="s">
        <v>265</v>
      </c>
      <c r="F20" s="111" t="s">
        <v>108</v>
      </c>
    </row>
    <row r="21" spans="1:6" x14ac:dyDescent="0.3">
      <c r="A21" s="115">
        <v>46073</v>
      </c>
      <c r="B21" t="s">
        <v>220</v>
      </c>
      <c r="C21" s="11"/>
      <c r="D21" s="11">
        <v>130000</v>
      </c>
      <c r="E21" t="s">
        <v>266</v>
      </c>
      <c r="F21" s="111" t="s">
        <v>108</v>
      </c>
    </row>
    <row r="22" spans="1:6" x14ac:dyDescent="0.3">
      <c r="A22" s="38">
        <v>46073</v>
      </c>
      <c r="B22" t="s">
        <v>229</v>
      </c>
      <c r="C22" s="11"/>
      <c r="D22" s="11">
        <v>100000</v>
      </c>
      <c r="F22" s="111" t="s">
        <v>108</v>
      </c>
    </row>
    <row r="23" spans="1:6" x14ac:dyDescent="0.3">
      <c r="A23" s="115">
        <v>46073</v>
      </c>
      <c r="B23" t="s">
        <v>220</v>
      </c>
      <c r="C23" s="11">
        <v>100000</v>
      </c>
      <c r="D23" s="11"/>
      <c r="E23" t="s">
        <v>267</v>
      </c>
      <c r="F23" s="111" t="s">
        <v>108</v>
      </c>
    </row>
    <row r="24" spans="1:6" x14ac:dyDescent="0.3">
      <c r="A24" s="38">
        <v>46073</v>
      </c>
      <c r="B24" t="s">
        <v>54</v>
      </c>
      <c r="C24" s="11">
        <v>6600</v>
      </c>
      <c r="D24" s="11"/>
      <c r="F24" s="111" t="s">
        <v>108</v>
      </c>
    </row>
    <row r="25" spans="1:6" x14ac:dyDescent="0.3">
      <c r="A25" s="115">
        <v>46073</v>
      </c>
      <c r="B25" t="s">
        <v>226</v>
      </c>
      <c r="C25" s="11"/>
      <c r="D25" s="11">
        <v>100000</v>
      </c>
      <c r="E25" t="s">
        <v>268</v>
      </c>
      <c r="F25" s="111" t="s">
        <v>108</v>
      </c>
    </row>
    <row r="26" spans="1:6" x14ac:dyDescent="0.3">
      <c r="A26" s="38">
        <v>46073</v>
      </c>
      <c r="B26" t="s">
        <v>255</v>
      </c>
      <c r="C26" s="11">
        <v>100000</v>
      </c>
      <c r="D26" s="11"/>
      <c r="E26" t="s">
        <v>269</v>
      </c>
      <c r="F26" s="111" t="s">
        <v>108</v>
      </c>
    </row>
    <row r="27" spans="1:6" x14ac:dyDescent="0.3">
      <c r="A27" s="115">
        <v>46073</v>
      </c>
      <c r="B27" t="s">
        <v>212</v>
      </c>
      <c r="C27" s="11">
        <v>800</v>
      </c>
      <c r="D27" s="11"/>
      <c r="F27" s="111" t="s">
        <v>108</v>
      </c>
    </row>
    <row r="28" spans="1:6" x14ac:dyDescent="0.3">
      <c r="A28" s="38">
        <v>46073</v>
      </c>
      <c r="B28" t="s">
        <v>223</v>
      </c>
      <c r="C28" s="11">
        <v>100050</v>
      </c>
      <c r="D28" s="11"/>
      <c r="F28" s="111" t="s">
        <v>108</v>
      </c>
    </row>
    <row r="29" spans="1:6" x14ac:dyDescent="0.3">
      <c r="A29" s="115">
        <v>46073</v>
      </c>
      <c r="B29" t="s">
        <v>175</v>
      </c>
      <c r="C29" s="11"/>
      <c r="D29" s="11">
        <v>10000</v>
      </c>
      <c r="E29" t="s">
        <v>54</v>
      </c>
      <c r="F29" s="111" t="s">
        <v>108</v>
      </c>
    </row>
    <row r="30" spans="1:6" x14ac:dyDescent="0.3">
      <c r="A30" s="38">
        <v>46073</v>
      </c>
      <c r="B30" t="s">
        <v>54</v>
      </c>
      <c r="C30" s="11">
        <v>10000</v>
      </c>
      <c r="D30" s="11"/>
      <c r="E30" t="s">
        <v>270</v>
      </c>
      <c r="F30" s="111" t="s">
        <v>108</v>
      </c>
    </row>
    <row r="31" spans="1:6" x14ac:dyDescent="0.3">
      <c r="A31" s="115">
        <v>46074</v>
      </c>
      <c r="B31" t="s">
        <v>117</v>
      </c>
      <c r="C31" s="11">
        <v>78000</v>
      </c>
      <c r="D31" s="11"/>
      <c r="E31" t="s">
        <v>61</v>
      </c>
      <c r="F31" s="111" t="s">
        <v>108</v>
      </c>
    </row>
    <row r="32" spans="1:6" x14ac:dyDescent="0.3">
      <c r="A32" s="38">
        <v>46074</v>
      </c>
      <c r="B32" t="s">
        <v>55</v>
      </c>
      <c r="C32" s="11">
        <v>1300</v>
      </c>
      <c r="D32" s="11"/>
      <c r="E32" t="s">
        <v>271</v>
      </c>
      <c r="F32" s="111" t="s">
        <v>108</v>
      </c>
    </row>
    <row r="33" spans="1:6" x14ac:dyDescent="0.3">
      <c r="A33" s="115">
        <v>46074</v>
      </c>
      <c r="B33" t="s">
        <v>55</v>
      </c>
      <c r="C33" s="11">
        <v>800</v>
      </c>
      <c r="D33" s="11"/>
      <c r="F33" s="111" t="s">
        <v>108</v>
      </c>
    </row>
    <row r="34" spans="1:6" x14ac:dyDescent="0.3">
      <c r="A34" s="38">
        <v>46074</v>
      </c>
      <c r="B34" t="s">
        <v>229</v>
      </c>
      <c r="C34" s="11"/>
      <c r="D34" s="11">
        <v>100000</v>
      </c>
      <c r="E34" t="s">
        <v>272</v>
      </c>
      <c r="F34" s="111" t="s">
        <v>108</v>
      </c>
    </row>
    <row r="35" spans="1:6" x14ac:dyDescent="0.3">
      <c r="A35" s="115">
        <v>46074</v>
      </c>
      <c r="B35" t="s">
        <v>248</v>
      </c>
      <c r="C35" s="11">
        <v>820</v>
      </c>
      <c r="D35" s="11"/>
      <c r="E35" t="s">
        <v>273</v>
      </c>
      <c r="F35" s="111" t="s">
        <v>108</v>
      </c>
    </row>
    <row r="36" spans="1:6" x14ac:dyDescent="0.3">
      <c r="A36" s="38">
        <v>46074</v>
      </c>
      <c r="B36" t="s">
        <v>247</v>
      </c>
      <c r="C36" s="11"/>
      <c r="D36" s="11">
        <v>350000</v>
      </c>
      <c r="F36" s="111" t="s">
        <v>108</v>
      </c>
    </row>
    <row r="37" spans="1:6" x14ac:dyDescent="0.3">
      <c r="A37" s="115">
        <v>46074</v>
      </c>
      <c r="B37" t="s">
        <v>55</v>
      </c>
      <c r="C37" s="11">
        <v>125000</v>
      </c>
      <c r="D37" s="11"/>
      <c r="E37" t="s">
        <v>274</v>
      </c>
      <c r="F37" s="111" t="s">
        <v>108</v>
      </c>
    </row>
    <row r="38" spans="1:6" x14ac:dyDescent="0.3">
      <c r="A38" s="38">
        <v>46074</v>
      </c>
      <c r="B38" t="s">
        <v>233</v>
      </c>
      <c r="C38" s="11"/>
      <c r="D38" s="11">
        <v>39278</v>
      </c>
      <c r="E38" t="s">
        <v>234</v>
      </c>
      <c r="F38" s="111" t="s">
        <v>108</v>
      </c>
    </row>
    <row r="39" spans="1:6" x14ac:dyDescent="0.3">
      <c r="A39" s="115">
        <v>46074</v>
      </c>
      <c r="B39" t="s">
        <v>55</v>
      </c>
      <c r="C39" s="11">
        <v>950</v>
      </c>
      <c r="D39" s="11"/>
      <c r="E39" t="s">
        <v>263</v>
      </c>
      <c r="F39" s="111" t="s">
        <v>108</v>
      </c>
    </row>
    <row r="40" spans="1:6" x14ac:dyDescent="0.3">
      <c r="A40" s="38">
        <v>46074</v>
      </c>
      <c r="B40" t="s">
        <v>226</v>
      </c>
      <c r="C40" s="11"/>
      <c r="D40" s="11">
        <v>29454</v>
      </c>
      <c r="E40" t="s">
        <v>275</v>
      </c>
      <c r="F40" s="111" t="s">
        <v>108</v>
      </c>
    </row>
    <row r="41" spans="1:6" x14ac:dyDescent="0.3">
      <c r="A41" s="115">
        <v>46074</v>
      </c>
      <c r="B41" t="s">
        <v>276</v>
      </c>
      <c r="C41" s="11">
        <v>100000</v>
      </c>
      <c r="D41" s="11"/>
      <c r="E41" t="s">
        <v>277</v>
      </c>
      <c r="F41" s="111" t="s">
        <v>108</v>
      </c>
    </row>
    <row r="42" spans="1:6" x14ac:dyDescent="0.3">
      <c r="A42" s="38">
        <v>46074</v>
      </c>
      <c r="B42" t="s">
        <v>222</v>
      </c>
      <c r="C42" s="96">
        <v>5000</v>
      </c>
      <c r="D42" s="96"/>
      <c r="E42" t="s">
        <v>278</v>
      </c>
      <c r="F42" s="111" t="s">
        <v>108</v>
      </c>
    </row>
    <row r="43" spans="1:6" x14ac:dyDescent="0.3">
      <c r="A43" s="115">
        <v>46074</v>
      </c>
      <c r="B43" t="s">
        <v>9</v>
      </c>
      <c r="C43" s="11"/>
      <c r="D43" s="11">
        <v>200000</v>
      </c>
      <c r="E43" t="s">
        <v>279</v>
      </c>
      <c r="F43" s="111" t="s">
        <v>108</v>
      </c>
    </row>
    <row r="44" spans="1:6" x14ac:dyDescent="0.3">
      <c r="A44" s="38">
        <v>46074</v>
      </c>
      <c r="B44" t="s">
        <v>280</v>
      </c>
      <c r="C44" s="11">
        <v>40000</v>
      </c>
      <c r="D44" s="11"/>
      <c r="E44" t="s">
        <v>281</v>
      </c>
      <c r="F44" s="111" t="s">
        <v>108</v>
      </c>
    </row>
    <row r="45" spans="1:6" x14ac:dyDescent="0.3">
      <c r="A45" s="115">
        <v>46074</v>
      </c>
      <c r="B45" t="s">
        <v>94</v>
      </c>
      <c r="C45" s="11">
        <v>150000</v>
      </c>
      <c r="D45" s="11"/>
      <c r="E45" t="s">
        <v>282</v>
      </c>
      <c r="F45" s="111" t="s">
        <v>108</v>
      </c>
    </row>
    <row r="46" spans="1:6" x14ac:dyDescent="0.3">
      <c r="A46" s="38">
        <v>46074</v>
      </c>
      <c r="B46" t="s">
        <v>169</v>
      </c>
      <c r="C46" s="11">
        <v>151000</v>
      </c>
      <c r="D46" s="11"/>
      <c r="E46" t="s">
        <v>283</v>
      </c>
      <c r="F46" s="111" t="s">
        <v>108</v>
      </c>
    </row>
    <row r="47" spans="1:6" x14ac:dyDescent="0.3">
      <c r="A47" s="115">
        <v>46075</v>
      </c>
      <c r="B47" t="s">
        <v>222</v>
      </c>
      <c r="C47" s="11">
        <v>5000</v>
      </c>
      <c r="D47" s="11"/>
      <c r="E47" t="s">
        <v>284</v>
      </c>
      <c r="F47" s="111" t="s">
        <v>108</v>
      </c>
    </row>
    <row r="48" spans="1:6" x14ac:dyDescent="0.3">
      <c r="A48" s="38">
        <v>46075</v>
      </c>
      <c r="B48" t="s">
        <v>285</v>
      </c>
      <c r="C48" s="11">
        <v>40000</v>
      </c>
      <c r="D48" s="11"/>
      <c r="E48" t="s">
        <v>286</v>
      </c>
      <c r="F48" s="111" t="s">
        <v>108</v>
      </c>
    </row>
    <row r="49" spans="1:6" x14ac:dyDescent="0.3">
      <c r="A49" s="115">
        <v>46075</v>
      </c>
      <c r="B49" t="s">
        <v>222</v>
      </c>
      <c r="C49" s="11">
        <v>1000</v>
      </c>
      <c r="D49" s="11"/>
      <c r="E49" t="s">
        <v>253</v>
      </c>
      <c r="F49" s="111" t="s">
        <v>108</v>
      </c>
    </row>
    <row r="50" spans="1:6" x14ac:dyDescent="0.3">
      <c r="A50" s="38">
        <v>46075</v>
      </c>
      <c r="B50" t="s">
        <v>222</v>
      </c>
      <c r="C50" s="11">
        <v>1000</v>
      </c>
      <c r="D50" s="11"/>
      <c r="E50" t="s">
        <v>246</v>
      </c>
      <c r="F50" s="111" t="s">
        <v>108</v>
      </c>
    </row>
    <row r="51" spans="1:6" x14ac:dyDescent="0.3">
      <c r="A51" s="115">
        <v>46075</v>
      </c>
      <c r="B51" t="s">
        <v>55</v>
      </c>
      <c r="C51" s="11">
        <v>2000</v>
      </c>
      <c r="D51" s="11"/>
      <c r="E51" t="s">
        <v>287</v>
      </c>
      <c r="F51" s="111" t="s">
        <v>108</v>
      </c>
    </row>
    <row r="52" spans="1:6" x14ac:dyDescent="0.3">
      <c r="A52" s="38">
        <v>46075</v>
      </c>
      <c r="B52" t="s">
        <v>55</v>
      </c>
      <c r="C52" s="11">
        <v>8000</v>
      </c>
      <c r="D52" s="11"/>
      <c r="E52" t="s">
        <v>288</v>
      </c>
      <c r="F52" s="111" t="s">
        <v>108</v>
      </c>
    </row>
    <row r="53" spans="1:6" x14ac:dyDescent="0.3">
      <c r="A53" s="115">
        <v>46075</v>
      </c>
      <c r="B53" t="s">
        <v>220</v>
      </c>
      <c r="C53" s="11"/>
      <c r="D53" s="11">
        <v>6000</v>
      </c>
      <c r="E53" t="s">
        <v>288</v>
      </c>
      <c r="F53" s="111" t="s">
        <v>108</v>
      </c>
    </row>
    <row r="54" spans="1:6" x14ac:dyDescent="0.3">
      <c r="A54" s="38">
        <v>46075</v>
      </c>
      <c r="B54" t="s">
        <v>54</v>
      </c>
      <c r="C54" s="11">
        <v>6000</v>
      </c>
      <c r="D54" s="11"/>
      <c r="E54" t="s">
        <v>289</v>
      </c>
      <c r="F54" s="111" t="s">
        <v>108</v>
      </c>
    </row>
    <row r="55" spans="1:6" x14ac:dyDescent="0.3">
      <c r="A55" s="115">
        <v>46074</v>
      </c>
      <c r="B55" t="s">
        <v>165</v>
      </c>
      <c r="C55" s="11">
        <v>2500</v>
      </c>
      <c r="D55" s="11"/>
      <c r="E55" t="s">
        <v>290</v>
      </c>
      <c r="F55" s="111" t="s">
        <v>108</v>
      </c>
    </row>
    <row r="56" spans="1:6" x14ac:dyDescent="0.3">
      <c r="A56" s="38">
        <v>46074</v>
      </c>
      <c r="B56" t="s">
        <v>212</v>
      </c>
      <c r="C56" s="11"/>
      <c r="D56" s="11">
        <v>5000</v>
      </c>
      <c r="E56" t="s">
        <v>291</v>
      </c>
      <c r="F56" s="111" t="s">
        <v>108</v>
      </c>
    </row>
    <row r="57" spans="1:6" x14ac:dyDescent="0.3">
      <c r="A57" s="115">
        <v>46074</v>
      </c>
      <c r="B57" t="s">
        <v>251</v>
      </c>
      <c r="C57" s="11">
        <v>7200</v>
      </c>
      <c r="D57" s="11"/>
      <c r="E57" t="s">
        <v>249</v>
      </c>
      <c r="F57" s="111" t="s">
        <v>108</v>
      </c>
    </row>
    <row r="58" spans="1:6" x14ac:dyDescent="0.3">
      <c r="A58" s="38">
        <v>46076</v>
      </c>
      <c r="B58" t="s">
        <v>212</v>
      </c>
      <c r="C58" s="96">
        <f>1280+1430+760</f>
        <v>3470</v>
      </c>
      <c r="D58" s="96"/>
      <c r="F58" s="111" t="s">
        <v>108</v>
      </c>
    </row>
    <row r="59" spans="1:6" x14ac:dyDescent="0.3">
      <c r="A59" s="38">
        <v>46076</v>
      </c>
      <c r="B59" t="s">
        <v>212</v>
      </c>
      <c r="C59" s="96"/>
      <c r="D59" s="96">
        <v>5000</v>
      </c>
      <c r="E59" t="s">
        <v>291</v>
      </c>
      <c r="F59" s="111" t="s">
        <v>108</v>
      </c>
    </row>
    <row r="60" spans="1:6" x14ac:dyDescent="0.3">
      <c r="A60" s="38">
        <v>46076</v>
      </c>
      <c r="B60" t="s">
        <v>251</v>
      </c>
      <c r="C60" s="96">
        <v>5000</v>
      </c>
      <c r="D60" s="96"/>
      <c r="E60" t="s">
        <v>249</v>
      </c>
      <c r="F60" s="111" t="s">
        <v>108</v>
      </c>
    </row>
    <row r="61" spans="1:6" x14ac:dyDescent="0.3">
      <c r="A61" s="38">
        <v>46076</v>
      </c>
      <c r="B61" t="s">
        <v>54</v>
      </c>
      <c r="C61" s="11">
        <v>5000</v>
      </c>
      <c r="D61" s="11"/>
      <c r="E61" t="s">
        <v>295</v>
      </c>
      <c r="F61" s="111" t="s">
        <v>108</v>
      </c>
    </row>
    <row r="62" spans="1:6" x14ac:dyDescent="0.3">
      <c r="A62" s="38">
        <v>46076</v>
      </c>
      <c r="B62" t="s">
        <v>220</v>
      </c>
      <c r="C62" s="11"/>
      <c r="D62" s="11"/>
      <c r="E62" t="s">
        <v>297</v>
      </c>
      <c r="F62" s="111" t="s">
        <v>108</v>
      </c>
    </row>
    <row r="63" spans="1:6" x14ac:dyDescent="0.3">
      <c r="A63" s="38">
        <v>46076</v>
      </c>
      <c r="B63" t="s">
        <v>55</v>
      </c>
      <c r="C63" s="11">
        <v>1470</v>
      </c>
      <c r="D63" s="11"/>
      <c r="E63" t="s">
        <v>296</v>
      </c>
      <c r="F63" s="111" t="s">
        <v>108</v>
      </c>
    </row>
    <row r="64" spans="1:6" x14ac:dyDescent="0.3">
      <c r="A64" s="38">
        <v>46076</v>
      </c>
      <c r="B64" t="s">
        <v>94</v>
      </c>
      <c r="C64" s="11">
        <v>28500</v>
      </c>
      <c r="D64" s="11"/>
      <c r="E64" t="s">
        <v>243</v>
      </c>
      <c r="F64" s="111" t="s">
        <v>108</v>
      </c>
    </row>
    <row r="65" spans="1:6" x14ac:dyDescent="0.3">
      <c r="A65" s="38">
        <v>46076</v>
      </c>
      <c r="B65" t="s">
        <v>212</v>
      </c>
      <c r="C65" s="11">
        <v>150</v>
      </c>
      <c r="D65" s="11"/>
      <c r="E65" t="s">
        <v>298</v>
      </c>
      <c r="F65" s="111" t="s">
        <v>108</v>
      </c>
    </row>
    <row r="66" spans="1:6" x14ac:dyDescent="0.3">
      <c r="A66" s="38">
        <v>46076</v>
      </c>
      <c r="B66" t="s">
        <v>299</v>
      </c>
      <c r="C66" s="11">
        <v>10000</v>
      </c>
      <c r="D66" s="11"/>
      <c r="E66" t="s">
        <v>300</v>
      </c>
      <c r="F66" s="111" t="s">
        <v>108</v>
      </c>
    </row>
    <row r="67" spans="1:6" x14ac:dyDescent="0.3">
      <c r="A67" s="38">
        <v>46076</v>
      </c>
      <c r="B67" t="s">
        <v>55</v>
      </c>
      <c r="C67" s="11">
        <v>27000</v>
      </c>
      <c r="D67" s="11"/>
      <c r="E67" t="s">
        <v>301</v>
      </c>
      <c r="F67" s="111" t="s">
        <v>108</v>
      </c>
    </row>
    <row r="68" spans="1:6" x14ac:dyDescent="0.3">
      <c r="A68" s="38">
        <v>46076</v>
      </c>
      <c r="B68" t="s">
        <v>176</v>
      </c>
      <c r="C68" s="11">
        <v>7800</v>
      </c>
      <c r="D68" s="11"/>
      <c r="E68" t="s">
        <v>302</v>
      </c>
      <c r="F68" s="111" t="s">
        <v>108</v>
      </c>
    </row>
    <row r="69" spans="1:6" x14ac:dyDescent="0.3">
      <c r="A69" s="38">
        <v>46076</v>
      </c>
      <c r="B69" t="s">
        <v>222</v>
      </c>
      <c r="C69" s="11">
        <v>12000</v>
      </c>
      <c r="D69" s="11"/>
      <c r="E69" t="s">
        <v>303</v>
      </c>
      <c r="F69" s="111" t="s">
        <v>108</v>
      </c>
    </row>
    <row r="70" spans="1:6" x14ac:dyDescent="0.3">
      <c r="A70" s="38">
        <v>46076</v>
      </c>
      <c r="B70" t="s">
        <v>220</v>
      </c>
      <c r="C70" s="11"/>
      <c r="D70" s="11"/>
      <c r="F70" s="111" t="s">
        <v>108</v>
      </c>
    </row>
    <row r="71" spans="1:6" x14ac:dyDescent="0.3">
      <c r="A71" s="38">
        <v>46076</v>
      </c>
      <c r="B71" t="s">
        <v>304</v>
      </c>
      <c r="C71" s="11">
        <v>101000</v>
      </c>
      <c r="D71" s="11"/>
      <c r="E71" t="s">
        <v>305</v>
      </c>
      <c r="F71" s="111" t="s">
        <v>108</v>
      </c>
    </row>
    <row r="72" spans="1:6" x14ac:dyDescent="0.3">
      <c r="A72" s="38">
        <v>46077</v>
      </c>
      <c r="B72" t="s">
        <v>247</v>
      </c>
      <c r="C72" s="11"/>
      <c r="D72" s="11">
        <v>142180</v>
      </c>
      <c r="F72" s="111" t="s">
        <v>108</v>
      </c>
    </row>
    <row r="73" spans="1:6" x14ac:dyDescent="0.3">
      <c r="A73" s="38">
        <v>46077</v>
      </c>
      <c r="B73" t="s">
        <v>229</v>
      </c>
      <c r="C73" s="11"/>
      <c r="D73" s="11">
        <v>110000</v>
      </c>
      <c r="F73" s="111" t="s">
        <v>108</v>
      </c>
    </row>
    <row r="74" spans="1:6" x14ac:dyDescent="0.3">
      <c r="A74" s="38">
        <v>46077</v>
      </c>
      <c r="B74" t="s">
        <v>54</v>
      </c>
      <c r="C74" s="11">
        <v>1000</v>
      </c>
      <c r="D74" s="11"/>
      <c r="E74" t="s">
        <v>306</v>
      </c>
      <c r="F74" s="111" t="s">
        <v>108</v>
      </c>
    </row>
    <row r="75" spans="1:6" x14ac:dyDescent="0.3">
      <c r="A75" s="38">
        <v>46077</v>
      </c>
      <c r="B75" t="s">
        <v>251</v>
      </c>
      <c r="C75" s="11">
        <v>6175</v>
      </c>
      <c r="D75" s="11"/>
      <c r="E75" t="s">
        <v>249</v>
      </c>
      <c r="F75" s="111" t="s">
        <v>108</v>
      </c>
    </row>
    <row r="76" spans="1:6" x14ac:dyDescent="0.3">
      <c r="A76" s="38">
        <v>46077</v>
      </c>
      <c r="B76" t="s">
        <v>55</v>
      </c>
      <c r="C76" s="11">
        <v>9500</v>
      </c>
      <c r="D76" s="11"/>
      <c r="E76" t="s">
        <v>307</v>
      </c>
      <c r="F76" s="111" t="s">
        <v>108</v>
      </c>
    </row>
    <row r="77" spans="1:6" x14ac:dyDescent="0.3">
      <c r="A77" s="38">
        <v>46077</v>
      </c>
      <c r="B77" t="s">
        <v>176</v>
      </c>
      <c r="C77" s="11">
        <v>27200</v>
      </c>
      <c r="D77" s="11"/>
      <c r="E77" t="s">
        <v>308</v>
      </c>
      <c r="F77" s="111" t="s">
        <v>108</v>
      </c>
    </row>
    <row r="78" spans="1:6" x14ac:dyDescent="0.3">
      <c r="A78" s="38">
        <v>46077</v>
      </c>
      <c r="B78" t="s">
        <v>318</v>
      </c>
      <c r="C78" s="11"/>
      <c r="D78" s="11">
        <v>500000</v>
      </c>
      <c r="E78" t="s">
        <v>309</v>
      </c>
      <c r="F78" s="111" t="s">
        <v>108</v>
      </c>
    </row>
    <row r="79" spans="1:6" x14ac:dyDescent="0.3">
      <c r="A79" s="38">
        <v>46077</v>
      </c>
      <c r="B79" t="s">
        <v>54</v>
      </c>
      <c r="C79" s="11">
        <v>300</v>
      </c>
      <c r="D79" s="11"/>
      <c r="E79" t="s">
        <v>310</v>
      </c>
      <c r="F79" s="111" t="s">
        <v>108</v>
      </c>
    </row>
    <row r="80" spans="1:6" x14ac:dyDescent="0.3">
      <c r="A80" s="38">
        <v>46077</v>
      </c>
      <c r="B80" t="s">
        <v>55</v>
      </c>
      <c r="C80" s="11">
        <v>900</v>
      </c>
      <c r="D80" s="11"/>
      <c r="E80" t="s">
        <v>311</v>
      </c>
      <c r="F80" s="111" t="s">
        <v>108</v>
      </c>
    </row>
    <row r="81" spans="1:6" x14ac:dyDescent="0.3">
      <c r="A81" s="38">
        <v>46077</v>
      </c>
      <c r="B81" t="s">
        <v>223</v>
      </c>
      <c r="C81" s="11">
        <v>150000</v>
      </c>
      <c r="D81" s="11"/>
      <c r="E81" t="s">
        <v>312</v>
      </c>
      <c r="F81" s="111" t="s">
        <v>108</v>
      </c>
    </row>
    <row r="82" spans="1:6" x14ac:dyDescent="0.3">
      <c r="A82" s="38">
        <v>46077</v>
      </c>
      <c r="B82" t="s">
        <v>94</v>
      </c>
      <c r="C82" s="11">
        <v>150000</v>
      </c>
      <c r="D82" s="11"/>
      <c r="E82" t="s">
        <v>313</v>
      </c>
      <c r="F82" s="111" t="s">
        <v>108</v>
      </c>
    </row>
    <row r="83" spans="1:6" x14ac:dyDescent="0.3">
      <c r="A83" s="38">
        <v>46077</v>
      </c>
      <c r="B83" t="s">
        <v>169</v>
      </c>
      <c r="C83" s="11">
        <v>201500</v>
      </c>
      <c r="D83" s="11"/>
      <c r="E83" t="s">
        <v>314</v>
      </c>
      <c r="F83" s="111" t="s">
        <v>108</v>
      </c>
    </row>
    <row r="84" spans="1:6" x14ac:dyDescent="0.3">
      <c r="A84" s="38">
        <v>46077</v>
      </c>
      <c r="B84" t="s">
        <v>54</v>
      </c>
      <c r="C84" s="11">
        <v>2200</v>
      </c>
      <c r="D84" s="11"/>
      <c r="E84" t="s">
        <v>290</v>
      </c>
      <c r="F84" s="111" t="s">
        <v>108</v>
      </c>
    </row>
    <row r="85" spans="1:6" x14ac:dyDescent="0.3">
      <c r="A85" s="38">
        <v>46077</v>
      </c>
      <c r="B85" t="s">
        <v>55</v>
      </c>
      <c r="C85" s="11">
        <v>8315</v>
      </c>
      <c r="D85" s="11"/>
      <c r="E85" t="s">
        <v>252</v>
      </c>
      <c r="F85" s="111" t="s">
        <v>108</v>
      </c>
    </row>
    <row r="86" spans="1:6" x14ac:dyDescent="0.3">
      <c r="A86" s="38">
        <v>46077</v>
      </c>
      <c r="B86" t="s">
        <v>55</v>
      </c>
      <c r="C86" s="11">
        <v>20000</v>
      </c>
      <c r="D86" s="11"/>
      <c r="E86" t="s">
        <v>315</v>
      </c>
      <c r="F86" s="111" t="s">
        <v>108</v>
      </c>
    </row>
    <row r="87" spans="1:6" x14ac:dyDescent="0.3">
      <c r="A87" s="38">
        <v>46077</v>
      </c>
      <c r="B87" t="s">
        <v>220</v>
      </c>
      <c r="C87" s="11"/>
      <c r="D87" s="11">
        <v>45000</v>
      </c>
      <c r="E87" t="s">
        <v>316</v>
      </c>
      <c r="F87" s="111" t="s">
        <v>108</v>
      </c>
    </row>
    <row r="88" spans="1:6" x14ac:dyDescent="0.3">
      <c r="A88" s="38">
        <v>46077</v>
      </c>
      <c r="B88" t="s">
        <v>220</v>
      </c>
      <c r="C88" s="11"/>
      <c r="D88" s="11">
        <v>19700</v>
      </c>
      <c r="E88" t="s">
        <v>317</v>
      </c>
      <c r="F88" s="111" t="s">
        <v>108</v>
      </c>
    </row>
    <row r="89" spans="1:6" x14ac:dyDescent="0.3">
      <c r="A89" s="38">
        <v>46077</v>
      </c>
      <c r="B89" t="s">
        <v>318</v>
      </c>
      <c r="C89" s="11"/>
      <c r="D89" s="11">
        <f>SUM(ledger!I90,ledger!I92:I94)*0.1</f>
        <v>7928.4930504754948</v>
      </c>
      <c r="E89" t="s">
        <v>319</v>
      </c>
      <c r="F89" s="111" t="s">
        <v>108</v>
      </c>
    </row>
    <row r="90" spans="1:6" x14ac:dyDescent="0.3">
      <c r="A90" s="38">
        <v>46077</v>
      </c>
      <c r="B90" t="s">
        <v>54</v>
      </c>
      <c r="C90" s="11">
        <v>7928</v>
      </c>
      <c r="D90" s="11"/>
      <c r="E90" t="s">
        <v>270</v>
      </c>
      <c r="F90" s="111" t="s">
        <v>108</v>
      </c>
    </row>
    <row r="91" spans="1:6" x14ac:dyDescent="0.3">
      <c r="A91" s="38">
        <v>46078</v>
      </c>
      <c r="B91" t="s">
        <v>260</v>
      </c>
      <c r="C91" s="11">
        <v>21200</v>
      </c>
      <c r="D91" s="11"/>
      <c r="E91" t="s">
        <v>321</v>
      </c>
      <c r="F91" s="111" t="s">
        <v>108</v>
      </c>
    </row>
    <row r="92" spans="1:6" x14ac:dyDescent="0.3">
      <c r="A92" s="38">
        <v>46078</v>
      </c>
      <c r="B92" t="s">
        <v>260</v>
      </c>
      <c r="C92" s="11">
        <v>34000</v>
      </c>
      <c r="D92" s="11"/>
      <c r="E92" t="s">
        <v>109</v>
      </c>
      <c r="F92" s="111" t="s">
        <v>108</v>
      </c>
    </row>
    <row r="93" spans="1:6" x14ac:dyDescent="0.3">
      <c r="A93" s="38">
        <v>46078</v>
      </c>
      <c r="B93" t="s">
        <v>318</v>
      </c>
      <c r="C93" s="11"/>
      <c r="D93" s="11">
        <v>505052</v>
      </c>
      <c r="E93" t="s">
        <v>322</v>
      </c>
      <c r="F93" s="111" t="s">
        <v>108</v>
      </c>
    </row>
    <row r="94" spans="1:6" x14ac:dyDescent="0.3">
      <c r="A94" s="38">
        <v>46078</v>
      </c>
      <c r="B94" t="s">
        <v>304</v>
      </c>
      <c r="C94" s="11">
        <v>100000</v>
      </c>
      <c r="D94" s="11"/>
      <c r="E94" t="s">
        <v>323</v>
      </c>
      <c r="F94" s="111" t="s">
        <v>108</v>
      </c>
    </row>
    <row r="95" spans="1:6" x14ac:dyDescent="0.3">
      <c r="A95" s="38">
        <v>46078</v>
      </c>
      <c r="B95" t="s">
        <v>285</v>
      </c>
      <c r="C95" s="11">
        <v>16630</v>
      </c>
      <c r="D95" s="11"/>
      <c r="E95" t="s">
        <v>324</v>
      </c>
      <c r="F95" s="111" t="s">
        <v>108</v>
      </c>
    </row>
    <row r="96" spans="1:6" x14ac:dyDescent="0.3">
      <c r="A96" s="38">
        <v>46078</v>
      </c>
      <c r="B96" t="s">
        <v>55</v>
      </c>
      <c r="C96" s="11">
        <v>2810</v>
      </c>
      <c r="D96" s="11"/>
      <c r="E96" t="s">
        <v>325</v>
      </c>
      <c r="F96" s="111" t="s">
        <v>108</v>
      </c>
    </row>
    <row r="97" spans="1:13" x14ac:dyDescent="0.3">
      <c r="A97" s="38">
        <v>46078</v>
      </c>
      <c r="B97" t="s">
        <v>280</v>
      </c>
      <c r="C97" s="11">
        <v>50000</v>
      </c>
      <c r="D97" s="11"/>
      <c r="E97" t="s">
        <v>326</v>
      </c>
      <c r="F97" s="111" t="s">
        <v>108</v>
      </c>
    </row>
    <row r="98" spans="1:13" x14ac:dyDescent="0.3">
      <c r="A98" s="38">
        <v>46078</v>
      </c>
      <c r="B98" s="129" t="s">
        <v>55</v>
      </c>
      <c r="C98" s="96">
        <v>51500</v>
      </c>
      <c r="D98" s="96"/>
      <c r="E98" s="129" t="s">
        <v>327</v>
      </c>
      <c r="F98" s="130" t="s">
        <v>108</v>
      </c>
      <c r="G98" s="129"/>
    </row>
    <row r="99" spans="1:13" x14ac:dyDescent="0.3">
      <c r="A99" s="38">
        <v>46078</v>
      </c>
      <c r="B99" t="s">
        <v>192</v>
      </c>
      <c r="C99" s="11"/>
      <c r="D99" s="11">
        <v>30000</v>
      </c>
      <c r="E99" t="s">
        <v>328</v>
      </c>
      <c r="F99" s="111" t="s">
        <v>108</v>
      </c>
    </row>
    <row r="100" spans="1:13" x14ac:dyDescent="0.3">
      <c r="A100" s="38">
        <v>46078</v>
      </c>
      <c r="B100" t="s">
        <v>54</v>
      </c>
      <c r="C100" s="11">
        <v>1500</v>
      </c>
      <c r="D100" s="11"/>
      <c r="E100" t="s">
        <v>329</v>
      </c>
      <c r="F100" s="111" t="s">
        <v>108</v>
      </c>
    </row>
    <row r="101" spans="1:13" x14ac:dyDescent="0.3">
      <c r="A101" s="38">
        <v>46078</v>
      </c>
      <c r="B101" t="s">
        <v>54</v>
      </c>
      <c r="C101" s="11">
        <v>5000</v>
      </c>
      <c r="D101" s="11"/>
      <c r="E101" t="s">
        <v>295</v>
      </c>
      <c r="F101" s="111" t="s">
        <v>108</v>
      </c>
    </row>
    <row r="102" spans="1:13" x14ac:dyDescent="0.3">
      <c r="A102" s="38">
        <v>46078</v>
      </c>
      <c r="B102" t="s">
        <v>221</v>
      </c>
      <c r="C102" s="11">
        <v>2000</v>
      </c>
      <c r="D102" s="11"/>
      <c r="E102" t="s">
        <v>330</v>
      </c>
      <c r="F102" s="111" t="s">
        <v>108</v>
      </c>
    </row>
    <row r="103" spans="1:13" x14ac:dyDescent="0.3">
      <c r="A103" s="38">
        <v>46078</v>
      </c>
      <c r="B103" t="s">
        <v>222</v>
      </c>
      <c r="C103" s="11">
        <v>1000</v>
      </c>
      <c r="D103" s="11"/>
      <c r="E103" t="s">
        <v>331</v>
      </c>
      <c r="F103" s="111" t="s">
        <v>108</v>
      </c>
    </row>
    <row r="104" spans="1:13" x14ac:dyDescent="0.3">
      <c r="A104" s="38">
        <v>46079</v>
      </c>
      <c r="B104" t="s">
        <v>222</v>
      </c>
      <c r="C104" s="11">
        <v>10000</v>
      </c>
      <c r="D104" s="11"/>
      <c r="E104" t="s">
        <v>278</v>
      </c>
      <c r="F104" s="111" t="s">
        <v>108</v>
      </c>
    </row>
    <row r="105" spans="1:13" x14ac:dyDescent="0.3">
      <c r="A105" s="38">
        <v>46079</v>
      </c>
      <c r="B105" t="s">
        <v>222</v>
      </c>
      <c r="C105" s="11">
        <v>15000</v>
      </c>
      <c r="D105" s="11"/>
      <c r="E105" t="s">
        <v>332</v>
      </c>
      <c r="F105" s="111" t="s">
        <v>108</v>
      </c>
      <c r="I105">
        <v>15400</v>
      </c>
      <c r="K105">
        <v>4300</v>
      </c>
      <c r="L105">
        <v>4300</v>
      </c>
      <c r="M105">
        <v>4300</v>
      </c>
    </row>
    <row r="106" spans="1:13" x14ac:dyDescent="0.3">
      <c r="A106" s="38">
        <v>46079</v>
      </c>
      <c r="B106" t="s">
        <v>251</v>
      </c>
      <c r="C106" s="11">
        <v>10000</v>
      </c>
      <c r="D106" s="11"/>
      <c r="E106" t="s">
        <v>333</v>
      </c>
      <c r="F106" s="111" t="s">
        <v>108</v>
      </c>
      <c r="I106">
        <v>4300</v>
      </c>
      <c r="K106">
        <v>1200</v>
      </c>
      <c r="L106">
        <v>1200</v>
      </c>
      <c r="M106">
        <v>1200</v>
      </c>
    </row>
    <row r="107" spans="1:13" x14ac:dyDescent="0.3">
      <c r="A107" s="38">
        <v>46079</v>
      </c>
      <c r="B107" t="s">
        <v>285</v>
      </c>
      <c r="C107" s="11">
        <v>16000</v>
      </c>
      <c r="D107" s="11"/>
      <c r="E107" t="s">
        <v>334</v>
      </c>
      <c r="F107" s="111" t="s">
        <v>108</v>
      </c>
      <c r="I107">
        <v>13400</v>
      </c>
      <c r="K107">
        <v>22700</v>
      </c>
      <c r="L107">
        <v>22700</v>
      </c>
      <c r="M107">
        <v>22700</v>
      </c>
    </row>
    <row r="108" spans="1:13" x14ac:dyDescent="0.3">
      <c r="A108" s="38">
        <v>46079</v>
      </c>
      <c r="B108" t="s">
        <v>9</v>
      </c>
      <c r="C108" s="11"/>
      <c r="D108" s="11">
        <v>200000</v>
      </c>
      <c r="E108" t="s">
        <v>335</v>
      </c>
      <c r="F108" s="111" t="s">
        <v>108</v>
      </c>
      <c r="I108">
        <v>14900</v>
      </c>
      <c r="K108">
        <v>15000</v>
      </c>
      <c r="L108">
        <v>15000</v>
      </c>
      <c r="M108">
        <v>15000</v>
      </c>
    </row>
    <row r="109" spans="1:13" x14ac:dyDescent="0.3">
      <c r="A109" s="38">
        <v>46079</v>
      </c>
      <c r="B109" t="s">
        <v>220</v>
      </c>
      <c r="C109" s="11">
        <v>150000</v>
      </c>
      <c r="D109" s="11"/>
      <c r="E109" t="s">
        <v>336</v>
      </c>
      <c r="F109" s="111" t="s">
        <v>108</v>
      </c>
      <c r="I109">
        <v>15000</v>
      </c>
      <c r="K109">
        <v>15150</v>
      </c>
      <c r="L109">
        <v>15150</v>
      </c>
      <c r="M109">
        <v>15150</v>
      </c>
    </row>
    <row r="110" spans="1:13" x14ac:dyDescent="0.3">
      <c r="A110" s="38">
        <v>46079</v>
      </c>
      <c r="B110" t="s">
        <v>285</v>
      </c>
      <c r="C110" s="11">
        <v>50000</v>
      </c>
      <c r="D110" s="11"/>
      <c r="E110" t="s">
        <v>337</v>
      </c>
      <c r="F110" s="111" t="s">
        <v>108</v>
      </c>
      <c r="I110">
        <v>11650</v>
      </c>
      <c r="K110">
        <v>22400</v>
      </c>
      <c r="L110">
        <v>22400</v>
      </c>
      <c r="M110">
        <v>22400</v>
      </c>
    </row>
    <row r="111" spans="1:13" x14ac:dyDescent="0.3">
      <c r="A111" s="38">
        <v>46079</v>
      </c>
      <c r="B111" t="s">
        <v>280</v>
      </c>
      <c r="C111" s="11">
        <v>50000</v>
      </c>
      <c r="D111" s="11"/>
      <c r="E111" t="s">
        <v>338</v>
      </c>
      <c r="F111" s="111" t="s">
        <v>108</v>
      </c>
      <c r="I111">
        <v>22700</v>
      </c>
      <c r="K111">
        <v>25000</v>
      </c>
      <c r="L111">
        <v>25000</v>
      </c>
      <c r="M111">
        <v>25000</v>
      </c>
    </row>
    <row r="112" spans="1:13" x14ac:dyDescent="0.3">
      <c r="A112" s="38">
        <v>46079</v>
      </c>
      <c r="B112" t="s">
        <v>223</v>
      </c>
      <c r="C112" s="11">
        <v>100295</v>
      </c>
      <c r="D112" s="11"/>
      <c r="E112" t="s">
        <v>339</v>
      </c>
      <c r="F112" s="111" t="s">
        <v>108</v>
      </c>
      <c r="I112">
        <v>17000</v>
      </c>
      <c r="K112">
        <v>20880</v>
      </c>
      <c r="L112">
        <v>20880</v>
      </c>
      <c r="M112">
        <v>20880</v>
      </c>
    </row>
    <row r="113" spans="1:13" x14ac:dyDescent="0.3">
      <c r="A113" s="38">
        <v>46079</v>
      </c>
      <c r="B113" t="s">
        <v>55</v>
      </c>
      <c r="C113" s="11">
        <v>15000</v>
      </c>
      <c r="D113" s="11"/>
      <c r="E113" t="s">
        <v>340</v>
      </c>
      <c r="F113" s="111" t="s">
        <v>108</v>
      </c>
      <c r="I113">
        <v>15000</v>
      </c>
      <c r="K113">
        <v>20000</v>
      </c>
      <c r="L113">
        <v>20000</v>
      </c>
      <c r="M113">
        <v>20000</v>
      </c>
    </row>
    <row r="114" spans="1:13" x14ac:dyDescent="0.3">
      <c r="A114" s="38">
        <v>46079</v>
      </c>
      <c r="B114" t="s">
        <v>229</v>
      </c>
      <c r="C114" s="11"/>
      <c r="D114" s="11">
        <v>115000</v>
      </c>
      <c r="F114" s="111" t="s">
        <v>108</v>
      </c>
      <c r="I114">
        <v>1200</v>
      </c>
      <c r="K114">
        <v>150000</v>
      </c>
      <c r="L114">
        <v>150000</v>
      </c>
      <c r="M114">
        <v>150000</v>
      </c>
    </row>
    <row r="115" spans="1:13" x14ac:dyDescent="0.3">
      <c r="A115" s="38">
        <v>46077</v>
      </c>
      <c r="B115" t="s">
        <v>115</v>
      </c>
      <c r="C115" s="11">
        <v>100000</v>
      </c>
      <c r="D115" s="11"/>
      <c r="E115" t="s">
        <v>341</v>
      </c>
      <c r="F115" s="111" t="s">
        <v>108</v>
      </c>
      <c r="I115">
        <v>25600</v>
      </c>
      <c r="K115">
        <v>45200</v>
      </c>
      <c r="L115">
        <v>45200</v>
      </c>
      <c r="M115">
        <v>45200</v>
      </c>
    </row>
    <row r="116" spans="1:13" x14ac:dyDescent="0.3">
      <c r="A116" s="38">
        <v>46078</v>
      </c>
      <c r="B116" t="s">
        <v>115</v>
      </c>
      <c r="C116" s="11">
        <v>150000</v>
      </c>
      <c r="D116" s="11"/>
      <c r="E116" t="s">
        <v>342</v>
      </c>
      <c r="F116" s="111" t="s">
        <v>108</v>
      </c>
      <c r="I116">
        <v>15300</v>
      </c>
      <c r="K116">
        <v>44800</v>
      </c>
      <c r="L116">
        <v>44800</v>
      </c>
      <c r="M116">
        <v>44800</v>
      </c>
    </row>
    <row r="117" spans="1:13" x14ac:dyDescent="0.3">
      <c r="A117" s="38">
        <v>46077</v>
      </c>
      <c r="B117" t="s">
        <v>220</v>
      </c>
      <c r="C117" s="11"/>
      <c r="D117" s="11">
        <v>100000</v>
      </c>
      <c r="E117" t="s">
        <v>115</v>
      </c>
      <c r="F117" s="111" t="s">
        <v>108</v>
      </c>
      <c r="G117" s="129"/>
      <c r="I117">
        <v>16650</v>
      </c>
      <c r="K117">
        <v>5200</v>
      </c>
      <c r="L117">
        <v>5200</v>
      </c>
      <c r="M117">
        <v>5200</v>
      </c>
    </row>
    <row r="118" spans="1:13" x14ac:dyDescent="0.3">
      <c r="A118" s="38">
        <v>46078</v>
      </c>
      <c r="B118" t="s">
        <v>220</v>
      </c>
      <c r="C118" s="11"/>
      <c r="D118" s="11">
        <v>150000</v>
      </c>
      <c r="E118" t="s">
        <v>115</v>
      </c>
      <c r="F118" s="111" t="s">
        <v>108</v>
      </c>
      <c r="I118">
        <v>20000</v>
      </c>
      <c r="K118">
        <v>39400</v>
      </c>
      <c r="L118">
        <v>39400</v>
      </c>
      <c r="M118">
        <v>39400</v>
      </c>
    </row>
    <row r="119" spans="1:13" x14ac:dyDescent="0.3">
      <c r="A119" s="127">
        <v>46078</v>
      </c>
      <c r="B119" t="s">
        <v>55</v>
      </c>
      <c r="C119" s="11">
        <v>25000</v>
      </c>
      <c r="D119" s="11"/>
      <c r="E119" t="s">
        <v>301</v>
      </c>
      <c r="F119" s="111" t="s">
        <v>108</v>
      </c>
      <c r="I119">
        <v>5200</v>
      </c>
      <c r="K119">
        <v>21600</v>
      </c>
      <c r="L119">
        <v>21600</v>
      </c>
      <c r="M119">
        <v>21600</v>
      </c>
    </row>
    <row r="120" spans="1:13" x14ac:dyDescent="0.3">
      <c r="A120" s="127">
        <v>46078</v>
      </c>
      <c r="B120" t="s">
        <v>220</v>
      </c>
      <c r="C120" s="11"/>
      <c r="D120" s="11">
        <f>25000+19500</f>
        <v>44500</v>
      </c>
      <c r="E120" t="s">
        <v>343</v>
      </c>
      <c r="F120" s="111" t="s">
        <v>108</v>
      </c>
      <c r="I120">
        <v>46400</v>
      </c>
      <c r="K120">
        <v>46400</v>
      </c>
      <c r="L120">
        <v>46400</v>
      </c>
      <c r="M120">
        <v>46400</v>
      </c>
    </row>
    <row r="121" spans="1:13" x14ac:dyDescent="0.3">
      <c r="A121" s="127">
        <v>46078</v>
      </c>
      <c r="B121" t="s">
        <v>55</v>
      </c>
      <c r="C121" s="11">
        <v>19500</v>
      </c>
      <c r="D121" s="11"/>
      <c r="F121" s="111" t="s">
        <v>108</v>
      </c>
      <c r="I121">
        <v>16300</v>
      </c>
      <c r="K121">
        <v>8400</v>
      </c>
      <c r="L121">
        <v>8400</v>
      </c>
      <c r="M121">
        <v>8400</v>
      </c>
    </row>
    <row r="122" spans="1:13" x14ac:dyDescent="0.3">
      <c r="A122" s="127">
        <v>46078</v>
      </c>
      <c r="B122" t="s">
        <v>190</v>
      </c>
      <c r="C122" s="11"/>
      <c r="D122" s="11">
        <v>20340</v>
      </c>
      <c r="E122" t="s">
        <v>344</v>
      </c>
      <c r="F122" s="111" t="s">
        <v>108</v>
      </c>
      <c r="I122">
        <v>21700</v>
      </c>
      <c r="K122">
        <v>35000</v>
      </c>
      <c r="L122">
        <v>35000</v>
      </c>
      <c r="M122">
        <v>35000</v>
      </c>
    </row>
    <row r="123" spans="1:13" x14ac:dyDescent="0.3">
      <c r="A123" s="127">
        <v>46078</v>
      </c>
      <c r="B123" t="s">
        <v>220</v>
      </c>
      <c r="C123" s="11">
        <v>20340</v>
      </c>
      <c r="D123" s="11"/>
      <c r="E123" t="s">
        <v>345</v>
      </c>
      <c r="F123" s="111" t="s">
        <v>108</v>
      </c>
      <c r="I123">
        <v>6000</v>
      </c>
      <c r="K123">
        <v>80000</v>
      </c>
      <c r="L123">
        <v>80000</v>
      </c>
      <c r="M123">
        <v>80000</v>
      </c>
    </row>
    <row r="124" spans="1:13" x14ac:dyDescent="0.3">
      <c r="A124" s="127">
        <v>46078</v>
      </c>
      <c r="B124" t="s">
        <v>229</v>
      </c>
      <c r="C124" s="11"/>
      <c r="D124" s="11">
        <v>75000</v>
      </c>
      <c r="E124" t="s">
        <v>346</v>
      </c>
      <c r="F124" s="111" t="s">
        <v>108</v>
      </c>
      <c r="I124">
        <v>45000</v>
      </c>
      <c r="K124">
        <v>9500</v>
      </c>
      <c r="L124">
        <v>9500</v>
      </c>
      <c r="M124">
        <v>9500</v>
      </c>
    </row>
    <row r="125" spans="1:13" x14ac:dyDescent="0.3">
      <c r="A125" s="127">
        <v>46078</v>
      </c>
      <c r="B125" t="s">
        <v>220</v>
      </c>
      <c r="C125" s="11">
        <v>75000</v>
      </c>
      <c r="D125" s="11"/>
      <c r="E125" t="s">
        <v>267</v>
      </c>
      <c r="F125" s="111" t="s">
        <v>108</v>
      </c>
      <c r="I125">
        <v>21600</v>
      </c>
      <c r="K125">
        <v>34000</v>
      </c>
      <c r="L125">
        <v>34000</v>
      </c>
      <c r="M125">
        <v>34000</v>
      </c>
    </row>
    <row r="126" spans="1:13" x14ac:dyDescent="0.3">
      <c r="A126" s="128">
        <v>46079</v>
      </c>
      <c r="B126" s="129" t="s">
        <v>212</v>
      </c>
      <c r="C126" s="96">
        <v>860</v>
      </c>
      <c r="D126" s="96"/>
      <c r="E126" s="129"/>
      <c r="F126" s="130" t="s">
        <v>108</v>
      </c>
      <c r="G126" s="129"/>
      <c r="I126">
        <v>39400</v>
      </c>
      <c r="K126">
        <v>21700</v>
      </c>
      <c r="L126">
        <v>21700</v>
      </c>
      <c r="M126">
        <v>21700</v>
      </c>
    </row>
    <row r="127" spans="1:13" x14ac:dyDescent="0.3">
      <c r="A127" s="127">
        <v>46079</v>
      </c>
      <c r="B127" t="s">
        <v>212</v>
      </c>
      <c r="C127" s="11">
        <v>300</v>
      </c>
      <c r="D127" s="11"/>
      <c r="E127" t="s">
        <v>347</v>
      </c>
      <c r="F127" s="111" t="s">
        <v>108</v>
      </c>
      <c r="I127">
        <v>8400</v>
      </c>
      <c r="K127">
        <v>17000</v>
      </c>
      <c r="L127">
        <v>17000</v>
      </c>
      <c r="M127">
        <v>17000</v>
      </c>
    </row>
    <row r="128" spans="1:13" x14ac:dyDescent="0.3">
      <c r="A128" s="127"/>
      <c r="C128" s="11"/>
      <c r="D128" s="11"/>
      <c r="F128" s="111"/>
      <c r="I128">
        <v>45200</v>
      </c>
      <c r="K128">
        <v>25600</v>
      </c>
      <c r="L128">
        <v>25600</v>
      </c>
      <c r="M128">
        <v>25600</v>
      </c>
    </row>
    <row r="129" spans="1:13" x14ac:dyDescent="0.3">
      <c r="A129" s="127"/>
      <c r="C129" s="11"/>
      <c r="D129" s="11"/>
      <c r="F129" s="111"/>
      <c r="I129">
        <v>34000</v>
      </c>
      <c r="K129">
        <v>14900</v>
      </c>
      <c r="L129">
        <v>14900</v>
      </c>
      <c r="M129">
        <v>14900</v>
      </c>
    </row>
    <row r="130" spans="1:13" x14ac:dyDescent="0.3">
      <c r="A130" s="128"/>
      <c r="B130" s="129"/>
      <c r="C130" s="96"/>
      <c r="D130" s="96"/>
      <c r="E130" s="129"/>
      <c r="F130" s="130"/>
      <c r="G130" s="129"/>
      <c r="I130">
        <v>22400</v>
      </c>
      <c r="K130">
        <v>11650</v>
      </c>
      <c r="L130">
        <v>11650</v>
      </c>
      <c r="M130">
        <v>11650</v>
      </c>
    </row>
    <row r="131" spans="1:13" x14ac:dyDescent="0.3">
      <c r="A131" s="38"/>
      <c r="C131" s="14">
        <f>SUBTOTAL(109,Table14[Debit])</f>
        <v>12872219</v>
      </c>
      <c r="D131" s="14">
        <f>SUBTOTAL(109,Table14[Credit])</f>
        <v>13098361.493050475</v>
      </c>
      <c r="F131" s="54">
        <f>(Table14[[#Totals],[Credit]]-Table14[[#Totals],[Debit]])</f>
        <v>226142.49305047467</v>
      </c>
      <c r="I131">
        <v>5700</v>
      </c>
      <c r="K131">
        <v>15300</v>
      </c>
      <c r="L131">
        <v>15400</v>
      </c>
      <c r="M131">
        <v>15400</v>
      </c>
    </row>
    <row r="132" spans="1:13" x14ac:dyDescent="0.3">
      <c r="I132">
        <v>80000</v>
      </c>
      <c r="K132">
        <v>15000</v>
      </c>
      <c r="L132">
        <v>16300</v>
      </c>
      <c r="M132">
        <v>16300</v>
      </c>
    </row>
    <row r="133" spans="1:13" x14ac:dyDescent="0.3">
      <c r="I133">
        <v>2500</v>
      </c>
      <c r="K133">
        <v>6000</v>
      </c>
      <c r="L133">
        <v>15300</v>
      </c>
      <c r="M133">
        <v>15300</v>
      </c>
    </row>
    <row r="134" spans="1:13" x14ac:dyDescent="0.3">
      <c r="I134">
        <v>9500</v>
      </c>
      <c r="K134">
        <v>16550</v>
      </c>
      <c r="L134">
        <v>15000</v>
      </c>
      <c r="M134">
        <v>15000</v>
      </c>
    </row>
    <row r="135" spans="1:13" x14ac:dyDescent="0.3">
      <c r="I135">
        <v>20880</v>
      </c>
      <c r="K135">
        <v>13400</v>
      </c>
      <c r="L135">
        <v>6000</v>
      </c>
      <c r="M135">
        <v>6000</v>
      </c>
    </row>
    <row r="136" spans="1:13" x14ac:dyDescent="0.3">
      <c r="I136">
        <v>150000</v>
      </c>
      <c r="K136">
        <v>11650</v>
      </c>
      <c r="L136">
        <v>16550</v>
      </c>
      <c r="M136">
        <v>16550</v>
      </c>
    </row>
    <row r="137" spans="1:13" x14ac:dyDescent="0.3">
      <c r="K137">
        <v>2500</v>
      </c>
      <c r="L137">
        <v>13400</v>
      </c>
      <c r="M137">
        <v>13400</v>
      </c>
    </row>
    <row r="138" spans="1:13" x14ac:dyDescent="0.3">
      <c r="K138">
        <v>5700</v>
      </c>
      <c r="L138">
        <v>11650</v>
      </c>
      <c r="M138">
        <v>11650</v>
      </c>
    </row>
    <row r="139" spans="1:13" x14ac:dyDescent="0.3">
      <c r="L139">
        <v>2500</v>
      </c>
      <c r="M139">
        <v>2500</v>
      </c>
    </row>
    <row r="140" spans="1:13" x14ac:dyDescent="0.3">
      <c r="L140">
        <v>5700</v>
      </c>
      <c r="M140">
        <v>5700</v>
      </c>
    </row>
    <row r="141" spans="1:13" x14ac:dyDescent="0.3">
      <c r="L141">
        <v>5000</v>
      </c>
      <c r="M141">
        <v>5000</v>
      </c>
    </row>
    <row r="163" spans="10:12" x14ac:dyDescent="0.3">
      <c r="J163" s="3" t="s">
        <v>6</v>
      </c>
      <c r="K163" t="s">
        <v>118</v>
      </c>
      <c r="L163" t="s">
        <v>119</v>
      </c>
    </row>
    <row r="164" spans="10:12" x14ac:dyDescent="0.3">
      <c r="J164" s="4" t="s">
        <v>222</v>
      </c>
      <c r="K164" s="14"/>
      <c r="L164" s="14">
        <v>50000</v>
      </c>
    </row>
    <row r="165" spans="10:12" x14ac:dyDescent="0.3">
      <c r="J165" s="4" t="s">
        <v>9</v>
      </c>
      <c r="K165" s="14">
        <v>400000</v>
      </c>
      <c r="L165" s="14"/>
    </row>
    <row r="166" spans="10:12" x14ac:dyDescent="0.3">
      <c r="J166" s="4" t="s">
        <v>117</v>
      </c>
      <c r="K166" s="14"/>
      <c r="L166" s="14">
        <v>78000</v>
      </c>
    </row>
    <row r="167" spans="10:12" x14ac:dyDescent="0.3">
      <c r="J167" s="4" t="s">
        <v>94</v>
      </c>
      <c r="K167" s="14"/>
      <c r="L167" s="14">
        <v>328500</v>
      </c>
    </row>
    <row r="168" spans="10:12" x14ac:dyDescent="0.3">
      <c r="J168" s="4" t="s">
        <v>248</v>
      </c>
      <c r="K168" s="14"/>
      <c r="L168" s="14">
        <v>820</v>
      </c>
    </row>
    <row r="169" spans="10:12" x14ac:dyDescent="0.3">
      <c r="J169" s="4" t="s">
        <v>55</v>
      </c>
      <c r="K169" s="14"/>
      <c r="L169" s="14">
        <v>374150</v>
      </c>
    </row>
    <row r="170" spans="10:12" x14ac:dyDescent="0.3">
      <c r="J170" s="4" t="s">
        <v>285</v>
      </c>
      <c r="K170" s="14"/>
      <c r="L170" s="14">
        <v>122630</v>
      </c>
    </row>
    <row r="171" spans="10:12" x14ac:dyDescent="0.3">
      <c r="J171" s="4" t="s">
        <v>54</v>
      </c>
      <c r="K171" s="14"/>
      <c r="L171" s="14">
        <v>45528</v>
      </c>
    </row>
    <row r="172" spans="10:12" x14ac:dyDescent="0.3">
      <c r="J172" s="4" t="s">
        <v>221</v>
      </c>
      <c r="K172" s="14"/>
      <c r="L172" s="14">
        <v>785072</v>
      </c>
    </row>
    <row r="173" spans="10:12" x14ac:dyDescent="0.3">
      <c r="J173" s="4" t="s">
        <v>212</v>
      </c>
      <c r="K173" s="14">
        <v>668663</v>
      </c>
      <c r="L173" s="14">
        <v>5280</v>
      </c>
    </row>
    <row r="174" spans="10:12" x14ac:dyDescent="0.3">
      <c r="J174" s="4" t="s">
        <v>226</v>
      </c>
      <c r="K174" s="14">
        <v>329454</v>
      </c>
      <c r="L174" s="14"/>
    </row>
    <row r="175" spans="10:12" x14ac:dyDescent="0.3">
      <c r="J175" s="4" t="s">
        <v>103</v>
      </c>
      <c r="K175" s="14"/>
      <c r="L175" s="14"/>
    </row>
    <row r="176" spans="10:12" x14ac:dyDescent="0.3">
      <c r="J176" s="4" t="s">
        <v>247</v>
      </c>
      <c r="K176" s="14">
        <v>492180</v>
      </c>
      <c r="L176" s="14"/>
    </row>
    <row r="177" spans="10:12" x14ac:dyDescent="0.3">
      <c r="J177" s="4" t="s">
        <v>115</v>
      </c>
      <c r="K177" s="14"/>
      <c r="L177" s="14">
        <v>250000</v>
      </c>
    </row>
    <row r="178" spans="10:12" x14ac:dyDescent="0.3">
      <c r="J178" s="4" t="s">
        <v>169</v>
      </c>
      <c r="K178" s="14"/>
      <c r="L178" s="14">
        <v>352500</v>
      </c>
    </row>
    <row r="179" spans="10:12" x14ac:dyDescent="0.3">
      <c r="J179" s="4" t="s">
        <v>276</v>
      </c>
      <c r="K179" s="14"/>
      <c r="L179" s="14">
        <v>100000</v>
      </c>
    </row>
    <row r="180" spans="10:12" x14ac:dyDescent="0.3">
      <c r="J180" s="4" t="s">
        <v>220</v>
      </c>
      <c r="K180" s="14">
        <v>1892200</v>
      </c>
      <c r="L180" s="14">
        <v>7170648</v>
      </c>
    </row>
    <row r="181" spans="10:12" x14ac:dyDescent="0.3">
      <c r="J181" s="4" t="s">
        <v>165</v>
      </c>
      <c r="K181" s="14"/>
      <c r="L181" s="14">
        <v>2500</v>
      </c>
    </row>
    <row r="182" spans="10:12" x14ac:dyDescent="0.3">
      <c r="J182" s="4" t="s">
        <v>175</v>
      </c>
      <c r="K182" s="14">
        <v>704000</v>
      </c>
      <c r="L182" s="14"/>
    </row>
    <row r="183" spans="10:12" x14ac:dyDescent="0.3">
      <c r="J183" s="4" t="s">
        <v>176</v>
      </c>
      <c r="K183" s="14"/>
      <c r="L183" s="14">
        <v>35000</v>
      </c>
    </row>
    <row r="184" spans="10:12" x14ac:dyDescent="0.3">
      <c r="J184" s="4" t="s">
        <v>51</v>
      </c>
      <c r="K184" s="14"/>
      <c r="L184" s="14">
        <v>2222081</v>
      </c>
    </row>
    <row r="185" spans="10:12" x14ac:dyDescent="0.3">
      <c r="J185" s="4" t="s">
        <v>299</v>
      </c>
      <c r="K185" s="14"/>
      <c r="L185" s="14">
        <v>10000</v>
      </c>
    </row>
    <row r="186" spans="10:12" x14ac:dyDescent="0.3">
      <c r="J186" s="4" t="s">
        <v>192</v>
      </c>
      <c r="K186" s="14">
        <v>30000</v>
      </c>
      <c r="L186" s="14"/>
    </row>
    <row r="187" spans="10:12" x14ac:dyDescent="0.3">
      <c r="J187" s="4" t="s">
        <v>190</v>
      </c>
      <c r="K187" s="14">
        <v>20340</v>
      </c>
      <c r="L187" s="14"/>
    </row>
    <row r="188" spans="10:12" x14ac:dyDescent="0.3">
      <c r="J188" s="4" t="s">
        <v>304</v>
      </c>
      <c r="K188" s="14"/>
      <c r="L188" s="14">
        <v>201000</v>
      </c>
    </row>
    <row r="189" spans="10:12" x14ac:dyDescent="0.3">
      <c r="J189" s="4" t="s">
        <v>280</v>
      </c>
      <c r="K189" s="14"/>
      <c r="L189" s="14">
        <v>140000</v>
      </c>
    </row>
    <row r="190" spans="10:12" x14ac:dyDescent="0.3">
      <c r="J190" s="4" t="s">
        <v>211</v>
      </c>
      <c r="K190" s="14">
        <v>7009266</v>
      </c>
      <c r="L190" s="14"/>
    </row>
    <row r="191" spans="10:12" x14ac:dyDescent="0.3">
      <c r="J191" s="4" t="s">
        <v>223</v>
      </c>
      <c r="K191" s="14"/>
      <c r="L191" s="14">
        <v>350345</v>
      </c>
    </row>
    <row r="192" spans="10:12" x14ac:dyDescent="0.3">
      <c r="J192" s="4" t="s">
        <v>229</v>
      </c>
      <c r="K192" s="14">
        <v>500000</v>
      </c>
      <c r="L192" s="14"/>
    </row>
    <row r="193" spans="10:12" x14ac:dyDescent="0.3">
      <c r="J193" s="4" t="s">
        <v>251</v>
      </c>
      <c r="K193" s="14"/>
      <c r="L193" s="14">
        <v>28375</v>
      </c>
    </row>
    <row r="194" spans="10:12" x14ac:dyDescent="0.3">
      <c r="J194" s="4" t="s">
        <v>255</v>
      </c>
      <c r="K194" s="14"/>
      <c r="L194" s="14">
        <v>100000</v>
      </c>
    </row>
    <row r="195" spans="10:12" x14ac:dyDescent="0.3">
      <c r="J195" s="4" t="s">
        <v>260</v>
      </c>
      <c r="K195" s="14"/>
      <c r="L195" s="14">
        <v>119490</v>
      </c>
    </row>
    <row r="196" spans="10:12" x14ac:dyDescent="0.3">
      <c r="J196" s="4" t="s">
        <v>233</v>
      </c>
      <c r="K196" s="14">
        <v>39278</v>
      </c>
      <c r="L196" s="14"/>
    </row>
    <row r="197" spans="10:12" x14ac:dyDescent="0.3">
      <c r="J197" s="4" t="s">
        <v>318</v>
      </c>
      <c r="K197" s="14">
        <v>1012980.4930504755</v>
      </c>
      <c r="L197" s="14"/>
    </row>
    <row r="198" spans="10:12" x14ac:dyDescent="0.3">
      <c r="J198" s="4" t="s">
        <v>28</v>
      </c>
      <c r="K198" s="14">
        <v>13098361.493050475</v>
      </c>
      <c r="L198" s="14">
        <v>12871919</v>
      </c>
    </row>
    <row r="328" spans="10:12" x14ac:dyDescent="0.3">
      <c r="J328">
        <v>1000</v>
      </c>
      <c r="K328">
        <v>1000</v>
      </c>
      <c r="L328">
        <v>26000</v>
      </c>
    </row>
    <row r="329" spans="10:12" x14ac:dyDescent="0.3">
      <c r="J329">
        <v>22100</v>
      </c>
      <c r="K329">
        <v>22100</v>
      </c>
      <c r="L329">
        <v>44000</v>
      </c>
    </row>
    <row r="330" spans="10:12" x14ac:dyDescent="0.3">
      <c r="J330">
        <v>15000</v>
      </c>
      <c r="K330">
        <v>15000</v>
      </c>
      <c r="L330">
        <v>40000</v>
      </c>
    </row>
    <row r="331" spans="10:12" x14ac:dyDescent="0.3">
      <c r="J331">
        <v>15350</v>
      </c>
      <c r="K331">
        <v>15350</v>
      </c>
      <c r="L331">
        <v>35200</v>
      </c>
    </row>
    <row r="332" spans="10:12" x14ac:dyDescent="0.3">
      <c r="J332">
        <v>13000</v>
      </c>
      <c r="K332">
        <v>13000</v>
      </c>
      <c r="L332">
        <v>22000</v>
      </c>
    </row>
    <row r="333" spans="10:12" x14ac:dyDescent="0.3">
      <c r="J333">
        <v>24500</v>
      </c>
      <c r="K333">
        <v>24500</v>
      </c>
      <c r="L333">
        <v>15000</v>
      </c>
    </row>
    <row r="334" spans="10:12" x14ac:dyDescent="0.3">
      <c r="J334">
        <v>18650</v>
      </c>
      <c r="K334">
        <v>18650</v>
      </c>
      <c r="L334">
        <v>32000</v>
      </c>
    </row>
    <row r="335" spans="10:12" x14ac:dyDescent="0.3">
      <c r="J335">
        <v>32000</v>
      </c>
      <c r="K335">
        <v>32000</v>
      </c>
      <c r="L335">
        <v>24500</v>
      </c>
    </row>
    <row r="336" spans="10:12" x14ac:dyDescent="0.3">
      <c r="J336">
        <v>7000</v>
      </c>
      <c r="K336">
        <v>7000</v>
      </c>
      <c r="L336">
        <v>22100</v>
      </c>
    </row>
    <row r="337" spans="10:12" x14ac:dyDescent="0.3">
      <c r="J337">
        <v>8800</v>
      </c>
      <c r="K337">
        <v>8800</v>
      </c>
      <c r="L337">
        <v>12650</v>
      </c>
    </row>
    <row r="338" spans="10:12" x14ac:dyDescent="0.3">
      <c r="J338">
        <v>15000</v>
      </c>
      <c r="K338">
        <v>15000</v>
      </c>
      <c r="L338">
        <v>7000</v>
      </c>
    </row>
    <row r="339" spans="10:12" x14ac:dyDescent="0.3">
      <c r="J339">
        <v>12600</v>
      </c>
      <c r="K339">
        <v>12600</v>
      </c>
      <c r="L339">
        <v>15000</v>
      </c>
    </row>
    <row r="340" spans="10:12" x14ac:dyDescent="0.3">
      <c r="J340">
        <v>13650</v>
      </c>
      <c r="K340">
        <v>13650</v>
      </c>
      <c r="L340">
        <v>15650</v>
      </c>
    </row>
    <row r="341" spans="10:12" x14ac:dyDescent="0.3">
      <c r="J341">
        <v>20000</v>
      </c>
      <c r="K341">
        <v>20000</v>
      </c>
      <c r="L341">
        <v>13000</v>
      </c>
    </row>
    <row r="342" spans="10:12" x14ac:dyDescent="0.3">
      <c r="J342">
        <v>26000</v>
      </c>
      <c r="K342">
        <v>26000</v>
      </c>
      <c r="L342">
        <v>18650</v>
      </c>
    </row>
    <row r="343" spans="10:12" x14ac:dyDescent="0.3">
      <c r="J343">
        <v>3850</v>
      </c>
      <c r="K343">
        <v>3850</v>
      </c>
      <c r="L343">
        <v>22650</v>
      </c>
    </row>
    <row r="344" spans="10:12" x14ac:dyDescent="0.3">
      <c r="J344">
        <v>44000</v>
      </c>
      <c r="K344">
        <v>44000</v>
      </c>
      <c r="L344">
        <v>13650</v>
      </c>
    </row>
    <row r="345" spans="10:12" x14ac:dyDescent="0.3">
      <c r="J345">
        <v>35200</v>
      </c>
      <c r="K345">
        <v>35200</v>
      </c>
      <c r="L345">
        <v>8800</v>
      </c>
    </row>
    <row r="346" spans="10:12" x14ac:dyDescent="0.3">
      <c r="J346">
        <v>18150</v>
      </c>
      <c r="K346">
        <v>18150</v>
      </c>
      <c r="L346">
        <v>1000</v>
      </c>
    </row>
    <row r="347" spans="10:12" x14ac:dyDescent="0.3">
      <c r="J347">
        <v>22650</v>
      </c>
      <c r="K347">
        <v>22650</v>
      </c>
      <c r="L347">
        <v>20000</v>
      </c>
    </row>
    <row r="348" spans="10:12" x14ac:dyDescent="0.3">
      <c r="J348">
        <v>22650</v>
      </c>
      <c r="L348">
        <v>13650</v>
      </c>
    </row>
    <row r="349" spans="10:12" x14ac:dyDescent="0.3">
      <c r="J349">
        <v>600</v>
      </c>
      <c r="K349">
        <v>600</v>
      </c>
      <c r="L349">
        <v>15350</v>
      </c>
    </row>
    <row r="350" spans="10:12" x14ac:dyDescent="0.3">
      <c r="J350">
        <v>15670</v>
      </c>
      <c r="K350">
        <v>15670</v>
      </c>
      <c r="L350">
        <v>3850</v>
      </c>
    </row>
    <row r="351" spans="10:12" x14ac:dyDescent="0.3">
      <c r="J351">
        <v>13650</v>
      </c>
      <c r="K351">
        <v>13650</v>
      </c>
      <c r="L351">
        <v>18150</v>
      </c>
    </row>
    <row r="352" spans="10:12" x14ac:dyDescent="0.3">
      <c r="J352">
        <v>22000</v>
      </c>
      <c r="K352">
        <v>22000</v>
      </c>
      <c r="L352">
        <v>45000</v>
      </c>
    </row>
    <row r="353" spans="10:12" x14ac:dyDescent="0.3">
      <c r="J353">
        <v>40000</v>
      </c>
      <c r="K353">
        <v>40000</v>
      </c>
      <c r="L353">
        <v>185000</v>
      </c>
    </row>
    <row r="354" spans="10:12" x14ac:dyDescent="0.3">
      <c r="J354">
        <v>185000</v>
      </c>
      <c r="K354">
        <v>185000</v>
      </c>
      <c r="L354">
        <v>600</v>
      </c>
    </row>
    <row r="355" spans="10:12" x14ac:dyDescent="0.3">
      <c r="J355">
        <v>45000</v>
      </c>
      <c r="K355">
        <v>45000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3" zoomScale="107" zoomScaleNormal="210" workbookViewId="0">
      <selection activeCell="A25" sqref="A25"/>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46072</v>
      </c>
      <c r="B2" s="82" t="s">
        <v>64</v>
      </c>
      <c r="C2" s="82"/>
      <c r="D2" s="82"/>
      <c r="E2" s="82"/>
      <c r="F2" s="97" t="s">
        <v>115</v>
      </c>
      <c r="G2" s="82">
        <f>SUMIFS(Table14[Debit], Table14[Date], Table8[[#This Row],[Date]], Table14[Party], Table8[[#This Row],[Party]])</f>
        <v>0</v>
      </c>
      <c r="H2" s="82">
        <v>764250</v>
      </c>
      <c r="I2" s="82" t="s">
        <v>186</v>
      </c>
      <c r="K2" t="s">
        <v>75</v>
      </c>
      <c r="L2" t="s">
        <v>45</v>
      </c>
      <c r="M2" t="s">
        <v>36</v>
      </c>
      <c r="N2" t="s">
        <v>5</v>
      </c>
    </row>
    <row r="3" spans="1:14" x14ac:dyDescent="0.3">
      <c r="A3" s="95">
        <v>46072</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46072</v>
      </c>
      <c r="B4" s="82" t="s">
        <v>64</v>
      </c>
      <c r="F4" s="81" t="s">
        <v>182</v>
      </c>
      <c r="G4" s="82">
        <f>SUMIFS(Table14[Debit], Table14[Date], Table8[[#This Row],[Date]], Table14[Party], Table8[[#This Row],[Party]])</f>
        <v>0</v>
      </c>
      <c r="H4" s="82">
        <v>0</v>
      </c>
      <c r="I4" s="82" t="s">
        <v>186</v>
      </c>
      <c r="K4" s="1"/>
      <c r="N4" s="11"/>
    </row>
    <row r="5" spans="1:14" x14ac:dyDescent="0.3">
      <c r="A5" s="95">
        <v>46072</v>
      </c>
      <c r="B5" s="82" t="s">
        <v>64</v>
      </c>
      <c r="F5" t="s">
        <v>194</v>
      </c>
      <c r="G5" s="82">
        <f>SUMIFS(Table14[Debit], Table14[Date], Table8[[#This Row],[Date]], Table14[Party], Table8[[#This Row],[Party]])</f>
        <v>0</v>
      </c>
      <c r="H5" s="82">
        <v>0</v>
      </c>
      <c r="I5" s="82" t="s">
        <v>186</v>
      </c>
      <c r="K5" s="1"/>
      <c r="N5" s="14">
        <f>SUM(Table7[Total])</f>
        <v>75750</v>
      </c>
    </row>
    <row r="6" spans="1:14" x14ac:dyDescent="0.3">
      <c r="A6" s="85">
        <v>46072</v>
      </c>
      <c r="B6" s="82" t="s">
        <v>64</v>
      </c>
      <c r="F6" t="s">
        <v>230</v>
      </c>
      <c r="G6" s="82">
        <f>SUMIFS(Table14[Debit], Table14[Date], Table8[[#This Row],[Date]], Table14[Party], Table8[[#This Row],[Party]])</f>
        <v>0</v>
      </c>
      <c r="H6" t="s">
        <v>293</v>
      </c>
      <c r="I6" s="82" t="s">
        <v>186</v>
      </c>
    </row>
    <row r="7" spans="1:14" x14ac:dyDescent="0.3">
      <c r="A7" s="95">
        <v>46072</v>
      </c>
      <c r="B7" s="82" t="s">
        <v>64</v>
      </c>
      <c r="F7" t="s">
        <v>254</v>
      </c>
      <c r="G7" s="82">
        <f>SUMIFS(Table14[Debit], Table14[Date], Table8[[#This Row],[Date]], Table14[Party], Table8[[#This Row],[Party]])</f>
        <v>0</v>
      </c>
      <c r="H7">
        <v>0</v>
      </c>
      <c r="I7" s="82" t="s">
        <v>186</v>
      </c>
      <c r="K7" s="3" t="s">
        <v>110</v>
      </c>
      <c r="L7" t="s">
        <v>87</v>
      </c>
    </row>
    <row r="8" spans="1:14" x14ac:dyDescent="0.3">
      <c r="A8" s="85">
        <v>46072</v>
      </c>
      <c r="B8" s="82" t="s">
        <v>64</v>
      </c>
      <c r="F8" t="s">
        <v>255</v>
      </c>
      <c r="G8" s="82">
        <f>SUMIFS(Table14[Debit], Table14[Date], Table8[[#This Row],[Date]], Table14[Party], Table8[[#This Row],[Party]])</f>
        <v>0</v>
      </c>
      <c r="H8">
        <v>0</v>
      </c>
      <c r="I8" s="82" t="s">
        <v>186</v>
      </c>
    </row>
    <row r="9" spans="1:14" x14ac:dyDescent="0.3">
      <c r="A9" s="95">
        <v>46072</v>
      </c>
      <c r="B9" s="82" t="s">
        <v>64</v>
      </c>
      <c r="F9" t="s">
        <v>244</v>
      </c>
      <c r="G9" s="82">
        <f>SUMIFS(Table14[Debit], Table14[Date], Table8[[#This Row],[Date]], Table14[Party], Table8[[#This Row],[Party]])</f>
        <v>0</v>
      </c>
      <c r="H9">
        <v>0</v>
      </c>
      <c r="I9" s="82" t="s">
        <v>186</v>
      </c>
      <c r="K9" s="3" t="s">
        <v>6</v>
      </c>
      <c r="L9" t="s">
        <v>127</v>
      </c>
      <c r="M9" t="s">
        <v>128</v>
      </c>
    </row>
    <row r="10" spans="1:14" x14ac:dyDescent="0.3">
      <c r="A10" s="1"/>
      <c r="K10" s="4" t="s">
        <v>103</v>
      </c>
      <c r="L10" s="131"/>
      <c r="M10" s="131">
        <v>0</v>
      </c>
    </row>
    <row r="11" spans="1:14" x14ac:dyDescent="0.3">
      <c r="A11" s="1"/>
      <c r="K11" s="26">
        <v>46072</v>
      </c>
      <c r="L11" s="131"/>
      <c r="M11" s="131">
        <v>764250</v>
      </c>
    </row>
    <row r="12" spans="1:14" x14ac:dyDescent="0.3">
      <c r="A12" s="1"/>
      <c r="K12" s="26">
        <v>46073</v>
      </c>
      <c r="L12" s="131">
        <v>100000</v>
      </c>
      <c r="M12" s="131">
        <v>0</v>
      </c>
    </row>
    <row r="13" spans="1:14" x14ac:dyDescent="0.3">
      <c r="A13" s="1"/>
      <c r="K13" s="26">
        <v>46075</v>
      </c>
      <c r="L13" s="131"/>
      <c r="M13" s="131">
        <v>0</v>
      </c>
    </row>
    <row r="14" spans="1:14" x14ac:dyDescent="0.3">
      <c r="A14" s="123"/>
      <c r="K14" s="26">
        <v>46076</v>
      </c>
      <c r="L14" s="131">
        <v>7800</v>
      </c>
      <c r="M14" s="131">
        <v>0</v>
      </c>
    </row>
    <row r="15" spans="1:14" x14ac:dyDescent="0.3">
      <c r="A15" s="123"/>
      <c r="K15" s="26">
        <v>46077</v>
      </c>
      <c r="L15" s="131">
        <v>27200</v>
      </c>
      <c r="M15" s="131">
        <v>0</v>
      </c>
    </row>
    <row r="16" spans="1:14" x14ac:dyDescent="0.3">
      <c r="A16" s="123"/>
      <c r="K16" s="4" t="s">
        <v>28</v>
      </c>
      <c r="L16" s="131">
        <v>135000</v>
      </c>
      <c r="M16" s="131">
        <v>764250</v>
      </c>
    </row>
    <row r="17" spans="1:12" x14ac:dyDescent="0.3">
      <c r="A17" s="123"/>
    </row>
    <row r="18" spans="1:12" x14ac:dyDescent="0.3">
      <c r="A18" s="123"/>
    </row>
    <row r="19" spans="1:12" x14ac:dyDescent="0.3">
      <c r="A19" s="123"/>
    </row>
    <row r="20" spans="1:12" x14ac:dyDescent="0.3">
      <c r="A20" s="123"/>
    </row>
    <row r="21" spans="1:12" x14ac:dyDescent="0.3">
      <c r="A21" s="123">
        <v>46073</v>
      </c>
      <c r="B21" t="s">
        <v>64</v>
      </c>
      <c r="E21">
        <f>SUMIFS(Table14[Debit], Table14[Date], Table8[[#This Row],[Date]], Table14[Party], Table8[[#This Row],[Party]])</f>
        <v>100000</v>
      </c>
      <c r="F21" t="s">
        <v>255</v>
      </c>
      <c r="G21">
        <f>SUMIFS(Table14[Debit], Table14[Date], Table8[[#This Row],[Date]], Table14[Party], Table8[[#This Row],[Party]])</f>
        <v>100000</v>
      </c>
      <c r="H21">
        <f>Table8[[#This Row],[Price]]-Table8[[#This Row],[Paid]]</f>
        <v>0</v>
      </c>
    </row>
    <row r="22" spans="1:12" x14ac:dyDescent="0.3">
      <c r="A22" s="123">
        <v>46075</v>
      </c>
      <c r="B22" t="s">
        <v>64</v>
      </c>
      <c r="F22" t="s">
        <v>230</v>
      </c>
      <c r="G22">
        <f>SUMIFS(Table14[Debit], Table14[Date], Table8[[#This Row],[Date]], Table14[Party], Table8[[#This Row],[Party]])</f>
        <v>0</v>
      </c>
      <c r="H22">
        <f>Table8[[#This Row],[Price]]-Table8[[#This Row],[Paid]]</f>
        <v>0</v>
      </c>
    </row>
    <row r="23" spans="1:12" x14ac:dyDescent="0.3">
      <c r="A23" s="123">
        <v>46076</v>
      </c>
      <c r="B23" t="s">
        <v>64</v>
      </c>
      <c r="E23">
        <v>7800</v>
      </c>
      <c r="F23" t="s">
        <v>176</v>
      </c>
      <c r="G23">
        <f>SUMIFS(Table14[Debit], Table14[Date], Table8[[#This Row],[Date]], Table14[Party], Table8[[#This Row],[Party]])</f>
        <v>7800</v>
      </c>
      <c r="H23">
        <f>Table8[[#This Row],[Price]]-Table8[[#This Row],[Paid]]</f>
        <v>0</v>
      </c>
    </row>
    <row r="24" spans="1:12" x14ac:dyDescent="0.3">
      <c r="A24" s="123">
        <v>46077</v>
      </c>
      <c r="B24" t="s">
        <v>320</v>
      </c>
      <c r="E24">
        <v>27200</v>
      </c>
      <c r="F24" t="s">
        <v>176</v>
      </c>
      <c r="G24">
        <f>SUMIFS(Table14[Debit], Table14[Date], Table8[[#This Row],[Date]], Table14[Party], Table8[[#This Row],[Party]])</f>
        <v>27200</v>
      </c>
      <c r="H24">
        <f>Table8[[#This Row],[Price]]-Table8[[#This Row],[Paid]]</f>
        <v>0</v>
      </c>
    </row>
    <row r="25" spans="1:12" x14ac:dyDescent="0.3">
      <c r="G25">
        <f>SUMIFS(Table14[Debit], Table14[Date], Table8[[#This Row],[Date]], Table14[Party], Table8[[#This Row],[Party]])</f>
        <v>0</v>
      </c>
      <c r="H25">
        <f>Table8[[#This Row],[Price]]-Table8[[#This Row],[Paid]]</f>
        <v>0</v>
      </c>
    </row>
    <row r="26" spans="1:12" x14ac:dyDescent="0.3">
      <c r="E26">
        <f>SUBTOTAL(109,Table8[Price])</f>
        <v>135000</v>
      </c>
      <c r="H26">
        <f>SUBTOTAL(109,Table8[Balance])</f>
        <v>764250</v>
      </c>
    </row>
    <row r="32" spans="1:12"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zoomScale="104" workbookViewId="0">
      <selection activeCell="G23" sqref="G2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46073</v>
      </c>
      <c r="B5" s="85" t="s">
        <v>117</v>
      </c>
      <c r="C5" s="82" t="s">
        <v>211</v>
      </c>
      <c r="D5" s="82"/>
      <c r="E5" s="82"/>
      <c r="F5" s="82">
        <f>Table2[[#This Row],[Quantity]]*200*Table2[[#This Row],[Boxes]]</f>
        <v>0</v>
      </c>
      <c r="G5" s="82">
        <f>SUMIFS(Table14[Debit], Table14[Date], Table2[[#This Row],[Date]], Table14[Party], Table2[[#This Row],[Party Name]])</f>
        <v>0</v>
      </c>
      <c r="H5" s="82">
        <v>0</v>
      </c>
      <c r="J5" s="4" t="s">
        <v>103</v>
      </c>
      <c r="K5" s="131">
        <v>0</v>
      </c>
      <c r="L5" s="131">
        <v>0</v>
      </c>
      <c r="M5" s="131">
        <v>0</v>
      </c>
    </row>
    <row r="6" spans="1:13" x14ac:dyDescent="0.3">
      <c r="A6" s="85">
        <v>46073</v>
      </c>
      <c r="B6" s="85" t="s">
        <v>116</v>
      </c>
      <c r="C6" s="82" t="s">
        <v>211</v>
      </c>
      <c r="D6" s="82"/>
      <c r="E6" s="82"/>
      <c r="F6" s="82">
        <f>Table2[[#This Row],[Quantity]]*200*Table2[[#This Row],[Boxes]]</f>
        <v>0</v>
      </c>
      <c r="G6" s="82">
        <f>SUMIFS(Table14[Debit], Table14[Date], Table2[[#This Row],[Date]], Table14[Party], Table2[[#This Row],[Party Name]])</f>
        <v>0</v>
      </c>
      <c r="H6" s="82">
        <v>0</v>
      </c>
      <c r="J6" s="4" t="s">
        <v>116</v>
      </c>
      <c r="K6" s="131">
        <v>0</v>
      </c>
      <c r="L6" s="131">
        <v>0</v>
      </c>
      <c r="M6" s="131">
        <v>0</v>
      </c>
    </row>
    <row r="7" spans="1:13" x14ac:dyDescent="0.3">
      <c r="A7" s="85">
        <v>46073</v>
      </c>
      <c r="B7" s="85" t="s">
        <v>165</v>
      </c>
      <c r="C7" s="82" t="s">
        <v>211</v>
      </c>
      <c r="F7" s="82">
        <f>Table2[[#This Row],[Quantity]]*200*Table2[[#This Row],[Boxes]]</f>
        <v>0</v>
      </c>
      <c r="G7" s="82">
        <f>SUMIFS(Table14[Debit], Table14[Date], Table2[[#This Row],[Date]], Table14[Party], Table2[[#This Row],[Party Name]])</f>
        <v>0</v>
      </c>
      <c r="H7" s="81">
        <v>120000</v>
      </c>
      <c r="J7" s="4" t="s">
        <v>117</v>
      </c>
      <c r="K7" s="131">
        <v>78000</v>
      </c>
      <c r="L7" s="131">
        <v>78000</v>
      </c>
      <c r="M7" s="131">
        <v>0</v>
      </c>
    </row>
    <row r="8" spans="1:13" x14ac:dyDescent="0.3">
      <c r="A8" s="85">
        <v>46073</v>
      </c>
      <c r="B8" s="95" t="s">
        <v>191</v>
      </c>
      <c r="C8" s="82" t="s">
        <v>211</v>
      </c>
      <c r="F8" s="82">
        <f>Table2[[#This Row],[Quantity]]*200*Table2[[#This Row],[Boxes]]</f>
        <v>0</v>
      </c>
      <c r="G8" s="82">
        <f>SUMIFS(Table14[Debit], Table14[Date], Table2[[#This Row],[Date]], Table14[Party], Table2[[#This Row],[Party Name]])</f>
        <v>0</v>
      </c>
      <c r="H8" s="81">
        <v>0</v>
      </c>
      <c r="J8" s="4" t="s">
        <v>165</v>
      </c>
      <c r="K8" s="131">
        <v>60000</v>
      </c>
      <c r="L8" s="131">
        <v>2500</v>
      </c>
      <c r="M8" s="131">
        <v>177500</v>
      </c>
    </row>
    <row r="9" spans="1:13" x14ac:dyDescent="0.3">
      <c r="A9" s="85">
        <v>46073</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s="131">
        <v>0</v>
      </c>
      <c r="L9" s="131">
        <v>0</v>
      </c>
      <c r="M9" s="131">
        <v>0</v>
      </c>
    </row>
    <row r="10" spans="1:13" x14ac:dyDescent="0.3">
      <c r="A10" s="85">
        <v>46073</v>
      </c>
      <c r="B10" s="1" t="s">
        <v>227</v>
      </c>
      <c r="C10" t="s">
        <v>211</v>
      </c>
      <c r="H10" t="s">
        <v>294</v>
      </c>
      <c r="J10" s="4" t="s">
        <v>195</v>
      </c>
      <c r="K10" s="131">
        <v>0</v>
      </c>
      <c r="L10" s="131">
        <v>0</v>
      </c>
      <c r="M10" s="131">
        <v>0</v>
      </c>
    </row>
    <row r="11" spans="1:13" x14ac:dyDescent="0.3">
      <c r="A11" s="1"/>
      <c r="B11" s="1"/>
      <c r="J11" s="4" t="s">
        <v>227</v>
      </c>
      <c r="K11" s="131"/>
      <c r="L11" s="131"/>
      <c r="M11" s="131">
        <v>0</v>
      </c>
    </row>
    <row r="12" spans="1:13" x14ac:dyDescent="0.3">
      <c r="A12" s="1"/>
      <c r="B12" s="1"/>
      <c r="J12" s="4" t="s">
        <v>28</v>
      </c>
      <c r="K12" s="131">
        <v>138000</v>
      </c>
      <c r="L12" s="131">
        <v>80500</v>
      </c>
      <c r="M12" s="131">
        <v>177500</v>
      </c>
    </row>
    <row r="13" spans="1:13" x14ac:dyDescent="0.3">
      <c r="A13" s="1"/>
      <c r="B13" s="1"/>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c r="B24" s="1"/>
      <c r="F24">
        <f>Table2[[#This Row],[Quantity]]*200*Table2[[#This Row],[Boxes]]</f>
        <v>0</v>
      </c>
      <c r="G24">
        <f>SUMIFS(Table14[Debit], Table14[Date], Table2[[#This Row],[Date]], Table14[Party], Table2[[#This Row],[Party Name]])</f>
        <v>0</v>
      </c>
      <c r="H24">
        <f>Table2[[#This Row],[Price]]-Table2[[#This Row],[Paid]]</f>
        <v>0</v>
      </c>
      <c r="I24" t="s">
        <v>57</v>
      </c>
      <c r="J24" t="s">
        <v>174</v>
      </c>
      <c r="K24" t="s">
        <v>203</v>
      </c>
    </row>
    <row r="25" spans="1:11" x14ac:dyDescent="0.3">
      <c r="A25" s="1"/>
      <c r="B25" s="1"/>
      <c r="F25">
        <f>Table2[[#This Row],[Quantity]]*200*Table2[[#This Row],[Boxes]]</f>
        <v>0</v>
      </c>
      <c r="G25">
        <f>SUMIFS(Table14[Debit], Table14[Date], Table2[[#This Row],[Date]], Table14[Party], Table2[[#This Row],[Party Name]])</f>
        <v>0</v>
      </c>
      <c r="H25">
        <f>Table2[[#This Row],[Price]]-Table2[[#This Row],[Paid]]</f>
        <v>0</v>
      </c>
      <c r="I25" t="s">
        <v>61</v>
      </c>
      <c r="J25">
        <f>7800*60</f>
        <v>468000</v>
      </c>
      <c r="K25">
        <f>2*7800</f>
        <v>15600</v>
      </c>
    </row>
    <row r="26" spans="1:11" x14ac:dyDescent="0.3">
      <c r="A26" s="1"/>
      <c r="F26">
        <f>SUBTOTAL(109,Table2[Price])</f>
        <v>138000</v>
      </c>
      <c r="G26">
        <f>SUBTOTAL(109,Table2[Paid])</f>
        <v>80500</v>
      </c>
      <c r="H26">
        <f>SUBTOTAL(109,Table2[Balance])</f>
        <v>177500</v>
      </c>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753968</v>
      </c>
      <c r="C2" s="32">
        <f>GETPIVOTDATA("Sum of Tiyaar/gaz",$A$3)</f>
        <v>545862</v>
      </c>
      <c r="D2" s="31">
        <f>((B2*48)+((C2/1.0936)*10))/C2</f>
        <v>75.443769347750049</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2035</v>
      </c>
      <c r="B5" s="14"/>
      <c r="C5" s="14">
        <v>3059</v>
      </c>
      <c r="D5" s="28">
        <f t="shared" ref="D5:D38" si="1">I5</f>
        <v>9.1441111923920992</v>
      </c>
      <c r="E5" s="11">
        <f t="shared" ref="E5:E38" si="2">B5 * 1.0936</f>
        <v>0</v>
      </c>
      <c r="F5" s="11">
        <f t="shared" si="0"/>
        <v>3059</v>
      </c>
      <c r="G5" s="78" t="e">
        <f>100- (F5/E5 *100)</f>
        <v>#DIV/0!</v>
      </c>
      <c r="H5" s="28">
        <f t="shared" ref="H5:H38" si="3">F5/1.0936</f>
        <v>2797.1836137527434</v>
      </c>
      <c r="I5" s="28">
        <f>((B5*48)+(H5*10))/C5</f>
        <v>9.1441111923920992</v>
      </c>
      <c r="J5" s="28"/>
      <c r="K5" s="28"/>
      <c r="L5" s="28"/>
    </row>
    <row r="6" spans="1:12" x14ac:dyDescent="0.3">
      <c r="A6" s="16">
        <v>2040</v>
      </c>
      <c r="B6" s="14">
        <v>13976</v>
      </c>
      <c r="C6" s="14">
        <v>10555</v>
      </c>
      <c r="D6" s="28">
        <f t="shared" si="1"/>
        <v>72.701477369559328</v>
      </c>
      <c r="E6" s="11">
        <f t="shared" si="2"/>
        <v>15284.153599999998</v>
      </c>
      <c r="F6" s="11">
        <f t="shared" si="0"/>
        <v>10555</v>
      </c>
      <c r="G6" s="78">
        <f t="shared" ref="G6:G18" si="4">100- (F6/E6 *100)</f>
        <v>30.941547198269447</v>
      </c>
      <c r="H6" s="28">
        <f t="shared" si="3"/>
        <v>9651.6093635698617</v>
      </c>
      <c r="I6" s="28">
        <f>((B6*48)+(H6*10))/C6</f>
        <v>72.701477369559328</v>
      </c>
      <c r="J6" s="28"/>
      <c r="K6" s="28"/>
      <c r="L6" s="28"/>
    </row>
    <row r="7" spans="1:12" x14ac:dyDescent="0.3">
      <c r="A7" s="16">
        <v>2080</v>
      </c>
      <c r="B7" s="14">
        <v>53024</v>
      </c>
      <c r="C7" s="14">
        <v>43060</v>
      </c>
      <c r="D7" s="28">
        <f t="shared" si="1"/>
        <v>68.251217555606232</v>
      </c>
      <c r="E7" s="11">
        <f t="shared" si="2"/>
        <v>57987.046399999992</v>
      </c>
      <c r="F7" s="11">
        <f t="shared" si="0"/>
        <v>43060</v>
      </c>
      <c r="G7" s="78">
        <f t="shared" si="4"/>
        <v>25.742036069628114</v>
      </c>
      <c r="H7" s="28">
        <f t="shared" si="3"/>
        <v>39374.542794440385</v>
      </c>
      <c r="I7" s="28">
        <f>((B7*48)+(H7*10))/C7</f>
        <v>68.251217555606232</v>
      </c>
      <c r="J7" s="28"/>
      <c r="K7" s="28"/>
      <c r="L7" s="28"/>
    </row>
    <row r="8" spans="1:12" x14ac:dyDescent="0.3">
      <c r="A8" s="16">
        <v>2049</v>
      </c>
      <c r="B8" s="14">
        <v>55052</v>
      </c>
      <c r="C8" s="14">
        <v>34470</v>
      </c>
      <c r="D8" s="28">
        <f t="shared" si="1"/>
        <v>85.804859669328565</v>
      </c>
      <c r="E8" s="11">
        <f t="shared" si="2"/>
        <v>60204.867199999993</v>
      </c>
      <c r="F8" s="11">
        <f t="shared" si="0"/>
        <v>34470</v>
      </c>
      <c r="G8" s="78">
        <f t="shared" si="4"/>
        <v>42.745492842811217</v>
      </c>
      <c r="H8" s="28">
        <f t="shared" si="3"/>
        <v>31519.751280175569</v>
      </c>
      <c r="I8" s="28">
        <f t="shared" ref="I8:I38" si="5">((B8*48)+(H8*10))/C8</f>
        <v>85.804859669328565</v>
      </c>
      <c r="J8" s="28"/>
      <c r="K8" s="28"/>
      <c r="L8" s="28"/>
    </row>
    <row r="9" spans="1:12" x14ac:dyDescent="0.3">
      <c r="A9" s="16">
        <v>2078</v>
      </c>
      <c r="B9" s="14">
        <v>25072</v>
      </c>
      <c r="C9" s="14">
        <v>22243</v>
      </c>
      <c r="D9" s="28">
        <f t="shared" si="1"/>
        <v>63.249043081076181</v>
      </c>
      <c r="E9" s="11">
        <f t="shared" si="2"/>
        <v>27418.739199999996</v>
      </c>
      <c r="F9" s="11">
        <f t="shared" si="0"/>
        <v>22243</v>
      </c>
      <c r="G9" s="78">
        <f t="shared" si="4"/>
        <v>18.876649149498448</v>
      </c>
      <c r="H9" s="28">
        <f t="shared" si="3"/>
        <v>20339.246525237748</v>
      </c>
      <c r="I9" s="28">
        <f t="shared" si="5"/>
        <v>63.249043081076181</v>
      </c>
      <c r="J9" s="28"/>
      <c r="K9" s="28"/>
      <c r="L9" s="28"/>
    </row>
    <row r="10" spans="1:12" x14ac:dyDescent="0.3">
      <c r="A10" s="16">
        <v>2089</v>
      </c>
      <c r="B10" s="14">
        <v>7943</v>
      </c>
      <c r="C10" s="14">
        <v>5405</v>
      </c>
      <c r="D10" s="28">
        <f t="shared" si="1"/>
        <v>79.683241627174709</v>
      </c>
      <c r="E10" s="11">
        <f t="shared" si="2"/>
        <v>8686.4647999999997</v>
      </c>
      <c r="F10" s="11">
        <f t="shared" si="0"/>
        <v>5405</v>
      </c>
      <c r="G10" s="78">
        <f t="shared" si="4"/>
        <v>37.776758158278611</v>
      </c>
      <c r="H10" s="28">
        <f t="shared" si="3"/>
        <v>4942.39209948793</v>
      </c>
      <c r="I10" s="28">
        <f t="shared" si="5"/>
        <v>79.683241627174709</v>
      </c>
      <c r="J10" s="28"/>
      <c r="K10" s="28"/>
      <c r="L10" s="28"/>
    </row>
    <row r="11" spans="1:12" x14ac:dyDescent="0.3">
      <c r="A11" s="16">
        <v>2085</v>
      </c>
      <c r="B11" s="14">
        <v>25013</v>
      </c>
      <c r="C11" s="14">
        <v>2608</v>
      </c>
      <c r="D11" s="28"/>
      <c r="E11" s="11">
        <f t="shared" si="2"/>
        <v>27354.216799999998</v>
      </c>
      <c r="F11" s="11">
        <f t="shared" si="0"/>
        <v>2608</v>
      </c>
      <c r="G11" s="78">
        <f t="shared" si="4"/>
        <v>90.465820977188429</v>
      </c>
      <c r="H11" s="28">
        <f t="shared" si="3"/>
        <v>2384.7841989758599</v>
      </c>
      <c r="I11" s="28">
        <f t="shared" si="5"/>
        <v>469.50607438257617</v>
      </c>
      <c r="J11" s="28"/>
      <c r="K11" s="28"/>
      <c r="L11" s="28"/>
    </row>
    <row r="12" spans="1:12" x14ac:dyDescent="0.3">
      <c r="A12" s="16">
        <v>2096</v>
      </c>
      <c r="B12" s="14">
        <v>100801</v>
      </c>
      <c r="C12" s="14">
        <v>11908</v>
      </c>
      <c r="D12" s="28">
        <f t="shared" si="1"/>
        <v>415.46322439360137</v>
      </c>
      <c r="E12" s="11">
        <f t="shared" si="2"/>
        <v>110235.9736</v>
      </c>
      <c r="F12" s="11">
        <f t="shared" si="0"/>
        <v>11908</v>
      </c>
      <c r="G12" s="78">
        <f t="shared" si="4"/>
        <v>89.197718665588127</v>
      </c>
      <c r="H12" s="28">
        <f t="shared" si="3"/>
        <v>10888.807607900513</v>
      </c>
      <c r="I12" s="28">
        <f t="shared" si="5"/>
        <v>415.46322439360137</v>
      </c>
    </row>
    <row r="13" spans="1:12" x14ac:dyDescent="0.3">
      <c r="A13" s="16">
        <v>2100</v>
      </c>
      <c r="B13" s="14">
        <v>51893</v>
      </c>
      <c r="C13" s="14">
        <v>55739</v>
      </c>
      <c r="D13" s="28">
        <f t="shared" si="1"/>
        <v>53.832103441983946</v>
      </c>
      <c r="E13" s="11">
        <f t="shared" si="2"/>
        <v>56750.184799999995</v>
      </c>
      <c r="F13" s="11">
        <f t="shared" si="0"/>
        <v>55739</v>
      </c>
      <c r="G13" s="78">
        <f t="shared" si="4"/>
        <v>1.7818176338343648</v>
      </c>
      <c r="H13" s="28">
        <f t="shared" si="3"/>
        <v>50968.361375274326</v>
      </c>
      <c r="I13" s="28">
        <f t="shared" si="5"/>
        <v>53.832103441983946</v>
      </c>
    </row>
    <row r="14" spans="1:12" x14ac:dyDescent="0.3">
      <c r="A14" s="16">
        <v>2058</v>
      </c>
      <c r="B14" s="14">
        <v>25007</v>
      </c>
      <c r="C14" s="14">
        <v>26901</v>
      </c>
      <c r="D14" s="28">
        <f t="shared" si="1"/>
        <v>53.76460857167168</v>
      </c>
      <c r="E14" s="11">
        <f t="shared" si="2"/>
        <v>27347.655199999997</v>
      </c>
      <c r="F14" s="11">
        <f t="shared" si="0"/>
        <v>26901</v>
      </c>
      <c r="G14" s="78">
        <f t="shared" si="4"/>
        <v>1.6332486157716346</v>
      </c>
      <c r="H14" s="28">
        <f t="shared" si="3"/>
        <v>24598.57351865399</v>
      </c>
      <c r="I14" s="28">
        <f t="shared" si="5"/>
        <v>53.76460857167168</v>
      </c>
    </row>
    <row r="15" spans="1:12" x14ac:dyDescent="0.3">
      <c r="A15" s="16">
        <v>2069</v>
      </c>
      <c r="B15" s="14">
        <v>3875</v>
      </c>
      <c r="C15" s="14">
        <v>3905</v>
      </c>
      <c r="D15" s="28">
        <f t="shared" si="1"/>
        <v>56.775353189831286</v>
      </c>
      <c r="E15" s="11">
        <f>B15 * 1.0936</f>
        <v>4237.7</v>
      </c>
      <c r="F15" s="11">
        <f t="shared" si="0"/>
        <v>3905</v>
      </c>
      <c r="G15" s="78">
        <f t="shared" si="4"/>
        <v>7.8509568869905735</v>
      </c>
      <c r="H15" s="28">
        <f t="shared" si="3"/>
        <v>3570.7754206291152</v>
      </c>
      <c r="I15" s="28">
        <f>((B15*48)+(H15*10))/C15</f>
        <v>56.775353189831286</v>
      </c>
    </row>
    <row r="16" spans="1:12" x14ac:dyDescent="0.3">
      <c r="A16" s="16">
        <v>1809</v>
      </c>
      <c r="B16" s="14">
        <v>13927</v>
      </c>
      <c r="C16" s="14">
        <v>6913</v>
      </c>
      <c r="D16" s="28">
        <f t="shared" si="1"/>
        <v>105.84539862187279</v>
      </c>
      <c r="E16" s="11">
        <f t="shared" si="2"/>
        <v>15230.5672</v>
      </c>
      <c r="F16" s="11">
        <f t="shared" si="0"/>
        <v>6913</v>
      </c>
      <c r="G16" s="78">
        <f t="shared" si="4"/>
        <v>54.611014092764712</v>
      </c>
      <c r="H16" s="28">
        <f t="shared" si="3"/>
        <v>6321.3240673006585</v>
      </c>
      <c r="I16" s="28">
        <f>((B16*48)+(H16*10))/C16</f>
        <v>105.84539862187279</v>
      </c>
    </row>
    <row r="17" spans="1:9" x14ac:dyDescent="0.3">
      <c r="A17" s="16">
        <v>2060</v>
      </c>
      <c r="B17" s="14">
        <v>25162</v>
      </c>
      <c r="C17" s="14">
        <v>26931</v>
      </c>
      <c r="D17" s="28">
        <f t="shared" si="1"/>
        <v>53.991164773766727</v>
      </c>
      <c r="E17" s="11">
        <f t="shared" si="2"/>
        <v>27517.163199999999</v>
      </c>
      <c r="F17" s="11">
        <f t="shared" si="0"/>
        <v>26931</v>
      </c>
      <c r="G17" s="78">
        <f t="shared" si="4"/>
        <v>2.1301730695844441</v>
      </c>
      <c r="H17" s="28">
        <f t="shared" si="3"/>
        <v>24626.005852231167</v>
      </c>
      <c r="I17" s="28">
        <f>((B17*48)+(H17*10))/C17</f>
        <v>53.991164773766727</v>
      </c>
    </row>
    <row r="18" spans="1:9" x14ac:dyDescent="0.3">
      <c r="A18" s="16">
        <v>2095</v>
      </c>
      <c r="B18" s="14">
        <v>101030</v>
      </c>
      <c r="C18" s="14">
        <v>108446</v>
      </c>
      <c r="D18" s="28">
        <f t="shared" si="1"/>
        <v>53.861666473361431</v>
      </c>
      <c r="E18" s="11">
        <f t="shared" si="2"/>
        <v>110486.408</v>
      </c>
      <c r="F18" s="11">
        <f t="shared" si="0"/>
        <v>108446</v>
      </c>
      <c r="G18" s="78">
        <f t="shared" si="4"/>
        <v>1.8467502355583747</v>
      </c>
      <c r="H18" s="28">
        <f t="shared" si="3"/>
        <v>99164.22823701537</v>
      </c>
      <c r="I18" s="28">
        <f>((B18*48)+(H18*10))/C18</f>
        <v>53.861666473361431</v>
      </c>
    </row>
    <row r="19" spans="1:9" x14ac:dyDescent="0.3">
      <c r="A19" s="16">
        <v>2082</v>
      </c>
      <c r="B19" s="14">
        <v>83635</v>
      </c>
      <c r="C19" s="14">
        <v>25471</v>
      </c>
      <c r="D19" s="28">
        <f t="shared" si="1"/>
        <v>166.75394198034704</v>
      </c>
      <c r="E19" s="11">
        <f t="shared" si="2"/>
        <v>91463.23599999999</v>
      </c>
      <c r="F19" s="11">
        <f t="shared" si="0"/>
        <v>25471</v>
      </c>
      <c r="G19" s="78">
        <f t="shared" ref="G19:G38" si="6">100- (F19/E19 *100)</f>
        <v>72.151652276987008</v>
      </c>
      <c r="H19" s="28">
        <f t="shared" si="3"/>
        <v>23290.96561814192</v>
      </c>
      <c r="I19" s="28">
        <f t="shared" si="5"/>
        <v>166.75394198034704</v>
      </c>
    </row>
    <row r="20" spans="1:9" x14ac:dyDescent="0.3">
      <c r="A20" s="16">
        <v>2102</v>
      </c>
      <c r="B20" s="14">
        <v>9391</v>
      </c>
      <c r="C20" s="14">
        <v>9691</v>
      </c>
      <c r="D20" s="28">
        <f t="shared" si="1"/>
        <v>55.65819642611411</v>
      </c>
      <c r="E20" s="11">
        <f>B20 * 1.0936</f>
        <v>10269.997599999999</v>
      </c>
      <c r="F20" s="11">
        <f t="shared" si="0"/>
        <v>9691</v>
      </c>
      <c r="G20" s="78">
        <f t="shared" si="6"/>
        <v>5.6377578900310539</v>
      </c>
      <c r="H20" s="28">
        <f t="shared" si="3"/>
        <v>8861.5581565471839</v>
      </c>
      <c r="I20" s="28">
        <f t="shared" si="5"/>
        <v>55.65819642611411</v>
      </c>
    </row>
    <row r="21" spans="1:9" x14ac:dyDescent="0.3">
      <c r="A21" s="16">
        <v>2101</v>
      </c>
      <c r="B21" s="14">
        <v>72930</v>
      </c>
      <c r="C21" s="14">
        <v>77015</v>
      </c>
      <c r="D21" s="28">
        <f t="shared" si="1"/>
        <v>54.598113659443975</v>
      </c>
      <c r="E21" s="11">
        <f t="shared" si="2"/>
        <v>79756.247999999992</v>
      </c>
      <c r="F21" s="11">
        <f t="shared" si="0"/>
        <v>77015</v>
      </c>
      <c r="G21" s="78">
        <f t="shared" si="6"/>
        <v>3.4370322936956512</v>
      </c>
      <c r="H21" s="28">
        <f t="shared" si="3"/>
        <v>70423.372348207762</v>
      </c>
      <c r="I21" s="28">
        <f t="shared" si="5"/>
        <v>54.598113659443975</v>
      </c>
    </row>
    <row r="22" spans="1:9" x14ac:dyDescent="0.3">
      <c r="A22" s="16">
        <v>2084</v>
      </c>
      <c r="B22" s="14">
        <v>5816</v>
      </c>
      <c r="C22" s="14">
        <v>6358</v>
      </c>
      <c r="D22" s="28">
        <f t="shared" si="1"/>
        <v>53.052258408497799</v>
      </c>
      <c r="E22" s="11">
        <f t="shared" si="2"/>
        <v>6360.3775999999998</v>
      </c>
      <c r="F22" s="11">
        <f t="shared" si="0"/>
        <v>6358</v>
      </c>
      <c r="G22" s="78">
        <f t="shared" si="6"/>
        <v>3.7381428423373109E-2</v>
      </c>
      <c r="H22" s="28">
        <f t="shared" si="3"/>
        <v>5813.8258961228976</v>
      </c>
      <c r="I22" s="28">
        <f t="shared" si="5"/>
        <v>53.052258408497799</v>
      </c>
    </row>
    <row r="23" spans="1:9" x14ac:dyDescent="0.3">
      <c r="A23" s="16">
        <v>2103</v>
      </c>
      <c r="B23" s="14">
        <v>2069</v>
      </c>
      <c r="C23" s="14">
        <v>2212</v>
      </c>
      <c r="D23" s="28">
        <f t="shared" si="1"/>
        <v>54.041037051343281</v>
      </c>
      <c r="E23" s="11">
        <f t="shared" si="2"/>
        <v>2262.6583999999998</v>
      </c>
      <c r="F23" s="11">
        <f t="shared" si="0"/>
        <v>2212</v>
      </c>
      <c r="G23" s="78">
        <f t="shared" si="6"/>
        <v>2.2388885569293109</v>
      </c>
      <c r="H23" s="28">
        <f t="shared" si="3"/>
        <v>2022.6773957571327</v>
      </c>
      <c r="I23" s="28">
        <f t="shared" si="5"/>
        <v>54.041037051343281</v>
      </c>
    </row>
    <row r="24" spans="1:9" x14ac:dyDescent="0.3">
      <c r="A24" s="16">
        <v>2105</v>
      </c>
      <c r="B24" s="14">
        <v>14584</v>
      </c>
      <c r="C24" s="14">
        <v>15320</v>
      </c>
      <c r="D24" s="28">
        <f t="shared" si="1"/>
        <v>54.838105970459985</v>
      </c>
      <c r="E24" s="11">
        <f t="shared" si="2"/>
        <v>15949.062399999999</v>
      </c>
      <c r="F24" s="11">
        <f t="shared" si="0"/>
        <v>15320</v>
      </c>
      <c r="G24" s="78">
        <f t="shared" si="6"/>
        <v>3.9441967447565958</v>
      </c>
      <c r="H24" s="28">
        <f t="shared" si="3"/>
        <v>14008.778346744697</v>
      </c>
      <c r="I24" s="28">
        <f t="shared" si="5"/>
        <v>54.838105970459985</v>
      </c>
    </row>
    <row r="25" spans="1:9" x14ac:dyDescent="0.3">
      <c r="A25" s="16">
        <v>2104</v>
      </c>
      <c r="B25" s="14">
        <v>20046</v>
      </c>
      <c r="C25" s="14">
        <v>21160</v>
      </c>
      <c r="D25" s="28">
        <f t="shared" si="1"/>
        <v>54.617079056286236</v>
      </c>
      <c r="E25" s="11">
        <f t="shared" si="2"/>
        <v>21922.3056</v>
      </c>
      <c r="F25" s="11">
        <f t="shared" si="0"/>
        <v>21160</v>
      </c>
      <c r="G25" s="78">
        <f t="shared" si="6"/>
        <v>3.4773057811948433</v>
      </c>
      <c r="H25" s="28">
        <f t="shared" si="3"/>
        <v>19348.939283101685</v>
      </c>
      <c r="I25" s="28">
        <f t="shared" si="5"/>
        <v>54.617079056286236</v>
      </c>
    </row>
    <row r="26" spans="1:9" x14ac:dyDescent="0.3">
      <c r="A26" s="16">
        <v>2088</v>
      </c>
      <c r="B26" s="14">
        <v>19717</v>
      </c>
      <c r="C26" s="14">
        <v>21223</v>
      </c>
      <c r="D26" s="28">
        <f t="shared" si="1"/>
        <v>53.737995186172434</v>
      </c>
      <c r="E26" s="11">
        <f t="shared" si="2"/>
        <v>21562.511199999997</v>
      </c>
      <c r="F26" s="11">
        <f t="shared" si="0"/>
        <v>21223</v>
      </c>
      <c r="G26" s="78">
        <f t="shared" si="6"/>
        <v>1.5745438778021281</v>
      </c>
      <c r="H26" s="28">
        <f t="shared" si="3"/>
        <v>19406.547183613755</v>
      </c>
      <c r="I26" s="28">
        <f t="shared" si="5"/>
        <v>53.737995186172434</v>
      </c>
    </row>
    <row r="27" spans="1:9" x14ac:dyDescent="0.3">
      <c r="A27" s="16">
        <v>1996</v>
      </c>
      <c r="B27" s="14">
        <v>24005</v>
      </c>
      <c r="C27" s="14">
        <v>5269</v>
      </c>
      <c r="D27" s="28">
        <f t="shared" si="1"/>
        <v>227.82697321554639</v>
      </c>
      <c r="E27" s="11">
        <f t="shared" si="2"/>
        <v>26251.867999999999</v>
      </c>
      <c r="F27" s="11">
        <f t="shared" si="0"/>
        <v>5269</v>
      </c>
      <c r="G27" s="78">
        <f t="shared" si="6"/>
        <v>79.929047334841087</v>
      </c>
      <c r="H27" s="28">
        <f t="shared" si="3"/>
        <v>4818.0321872713976</v>
      </c>
      <c r="I27" s="28">
        <f t="shared" si="5"/>
        <v>227.82697321554639</v>
      </c>
    </row>
    <row r="28" spans="1:9" x14ac:dyDescent="0.3">
      <c r="A28" s="16" t="s">
        <v>28</v>
      </c>
      <c r="B28" s="30">
        <v>101030</v>
      </c>
      <c r="C28" s="30">
        <v>545862</v>
      </c>
      <c r="D28" s="28">
        <f t="shared" si="1"/>
        <v>18.028114841666092</v>
      </c>
      <c r="E28" s="11">
        <f t="shared" si="2"/>
        <v>110486.408</v>
      </c>
      <c r="F28" s="11">
        <f t="shared" si="0"/>
        <v>545862</v>
      </c>
      <c r="G28" s="78">
        <f t="shared" si="6"/>
        <v>-394.05353100084494</v>
      </c>
      <c r="H28" s="28">
        <f t="shared" si="3"/>
        <v>499142.28237015364</v>
      </c>
      <c r="I28" s="28">
        <f t="shared" si="5"/>
        <v>18.028114841666092</v>
      </c>
    </row>
    <row r="29" spans="1:9" x14ac:dyDescent="0.3">
      <c r="D29" s="28" t="e">
        <f t="shared" si="1"/>
        <v>#DIV/0!</v>
      </c>
      <c r="E29" s="11">
        <f t="shared" si="2"/>
        <v>0</v>
      </c>
      <c r="F29" s="11">
        <f t="shared" si="0"/>
        <v>0</v>
      </c>
      <c r="G29" s="78" t="e">
        <f t="shared" si="6"/>
        <v>#DIV/0!</v>
      </c>
      <c r="H29" s="28">
        <f t="shared" si="3"/>
        <v>0</v>
      </c>
      <c r="I29" s="28" t="e">
        <f t="shared" si="5"/>
        <v>#DIV/0!</v>
      </c>
    </row>
    <row r="30" spans="1:9" x14ac:dyDescent="0.3">
      <c r="D30" s="28" t="e">
        <f t="shared" si="1"/>
        <v>#DIV/0!</v>
      </c>
      <c r="E30" s="11">
        <f t="shared" si="2"/>
        <v>0</v>
      </c>
      <c r="F30" s="11">
        <f t="shared" si="0"/>
        <v>0</v>
      </c>
      <c r="G30" s="78" t="e">
        <f t="shared" si="6"/>
        <v>#DIV/0!</v>
      </c>
      <c r="H30" s="28">
        <f t="shared" si="3"/>
        <v>0</v>
      </c>
      <c r="I30" s="28" t="e">
        <f t="shared" si="5"/>
        <v>#DIV/0!</v>
      </c>
    </row>
    <row r="31" spans="1:9" x14ac:dyDescent="0.3">
      <c r="D31" s="28" t="e">
        <f t="shared" si="1"/>
        <v>#DIV/0!</v>
      </c>
      <c r="E31" s="11">
        <f t="shared" si="2"/>
        <v>0</v>
      </c>
      <c r="F31" s="11">
        <f t="shared" si="0"/>
        <v>0</v>
      </c>
      <c r="G31" s="78" t="e">
        <f t="shared" si="6"/>
        <v>#DIV/0!</v>
      </c>
      <c r="H31" s="28">
        <f t="shared" si="3"/>
        <v>0</v>
      </c>
      <c r="I31" s="28" t="e">
        <f t="shared" si="5"/>
        <v>#DIV/0!</v>
      </c>
    </row>
    <row r="32" spans="1: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0</v>
      </c>
      <c r="H42" s="1">
        <v>46047</v>
      </c>
      <c r="J42">
        <f>SUMIFS(Table14[Debit], Table14[Date], Table15[[#This Row],[Date]], Table14[Party], "Parts")</f>
        <v>0</v>
      </c>
    </row>
    <row r="43" spans="2:10" x14ac:dyDescent="0.3">
      <c r="H43" s="1"/>
      <c r="J43">
        <f>SUM(Table15[Amount])</f>
        <v>374150</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5" workbookViewId="0">
      <selection activeCell="I30" sqref="I3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Billing!Q5</f>
        <v>BSC</v>
      </c>
      <c r="B2" s="105">
        <f>Billing!AD5</f>
        <v>19750734</v>
      </c>
      <c r="C2" s="103">
        <f>Billing!AE5</f>
        <v>17674579.482077554</v>
      </c>
    </row>
    <row r="3" spans="1:3" ht="21" x14ac:dyDescent="0.4">
      <c r="A3" s="102" t="str">
        <f>Billing!Q6</f>
        <v>Ejaz Sahab</v>
      </c>
      <c r="B3" s="105">
        <f>Billing!AD6</f>
        <v>6396773</v>
      </c>
      <c r="C3" s="103">
        <f>Billing!AE6</f>
        <v>182114.16166788712</v>
      </c>
    </row>
    <row r="4" spans="1:3" ht="21" x14ac:dyDescent="0.4">
      <c r="A4" s="102" t="str">
        <f>Billing!Q7</f>
        <v>Arshad</v>
      </c>
      <c r="B4" s="105">
        <f>Billing!AD7</f>
        <v>8892501</v>
      </c>
      <c r="C4" s="104">
        <f>Billing!AE7</f>
        <v>190269.66569129564</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9609871</v>
      </c>
      <c r="C7" s="103">
        <f>Billing!AE10</f>
        <v>206737.44915874302</v>
      </c>
    </row>
    <row r="8" spans="1:3" ht="21" x14ac:dyDescent="0.4">
      <c r="A8" s="102" t="str">
        <f>Billing!Q11</f>
        <v>Raaz Fabrics</v>
      </c>
      <c r="B8" s="105">
        <f>Billing!AD11</f>
        <v>1526321</v>
      </c>
      <c r="C8" s="104">
        <f>Billing!AE11</f>
        <v>148240.0826627654</v>
      </c>
    </row>
    <row r="9" spans="1:3" ht="21" x14ac:dyDescent="0.4">
      <c r="A9" s="102" t="str">
        <f>Billing!Q12</f>
        <v>Azam</v>
      </c>
      <c r="B9" s="105">
        <f>Billing!AD12</f>
        <v>7402540</v>
      </c>
      <c r="C9" s="103">
        <f>Billing!AE12</f>
        <v>531.50694952532649</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4638359</v>
      </c>
      <c r="C12" s="103">
        <f>Billing!AE15</f>
        <v>205112.10460863262</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6728187</v>
      </c>
      <c r="C18" s="104">
        <f>Billing!AE21</f>
        <v>25885.787125092931</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-183826.70811996982</v>
      </c>
    </row>
    <row r="21" spans="1:3" ht="21" x14ac:dyDescent="0.4">
      <c r="A21" s="102" t="str">
        <f>Billing!Q24</f>
        <v>Salman Zaffar</v>
      </c>
      <c r="B21" s="105">
        <f>Billing!AD24</f>
        <v>3296025</v>
      </c>
      <c r="C21" s="103">
        <f>Billing!AE24</f>
        <v>-26245.373079736717</v>
      </c>
    </row>
    <row r="22" spans="1:3" ht="21" x14ac:dyDescent="0.4">
      <c r="A22" s="102" t="str">
        <f>Billing!Q25</f>
        <v>Shahid Qasayi</v>
      </c>
      <c r="B22" s="105">
        <f>Billing!AD25</f>
        <v>3645477</v>
      </c>
      <c r="C22" s="103">
        <f>Billing!AE25</f>
        <v>11419.488661302254</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1445500</v>
      </c>
      <c r="C24" s="103">
        <f>Billing!AE27</f>
        <v>9344.5501097296365</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Shani Badshah</v>
      </c>
      <c r="B28" s="105">
        <f>Billing!AD31</f>
        <v>1800000</v>
      </c>
      <c r="C28" s="103">
        <f>Billing!AE31</f>
        <v>289305.96196049778</v>
      </c>
    </row>
    <row r="29" spans="1:3" ht="21" x14ac:dyDescent="0.4">
      <c r="A29" s="102" t="str">
        <f>Billing!Q32</f>
        <v>Rehman Ali</v>
      </c>
      <c r="B29" s="105">
        <f>Billing!AD32</f>
        <v>550000</v>
      </c>
      <c r="C29" s="103">
        <f>Billing!AE32</f>
        <v>45924.46964155091</v>
      </c>
    </row>
    <row r="30" spans="1:3" ht="21" x14ac:dyDescent="0.4">
      <c r="A30" s="102" t="str">
        <f>Billing!Q33</f>
        <v>Ahmad Shafique</v>
      </c>
      <c r="B30" s="105">
        <f>Billing!AD33</f>
        <v>636000</v>
      </c>
      <c r="C30" s="103">
        <f>Billing!AE33</f>
        <v>460.3145574250957</v>
      </c>
    </row>
    <row r="31" spans="1:3" ht="21" x14ac:dyDescent="0.4">
      <c r="A31" s="102" t="str">
        <f>Billing!Q34</f>
        <v>Hafiz Shawl</v>
      </c>
      <c r="B31" s="105">
        <f>Billing!AD34</f>
        <v>15855</v>
      </c>
      <c r="C31" s="103">
        <f>Billing!AE34</f>
        <v>0.8888076079019811</v>
      </c>
    </row>
    <row r="32" spans="1:3" ht="21" x14ac:dyDescent="0.4">
      <c r="A32" s="102" t="str">
        <f>Billing!Q35</f>
        <v>Zahid Ejaz</v>
      </c>
      <c r="B32" s="105">
        <f>Billing!AD35</f>
        <v>39278</v>
      </c>
      <c r="C32" s="103">
        <f>Billing!AE35</f>
        <v>0.52962692026630975</v>
      </c>
    </row>
    <row r="33" spans="1:3" ht="21" x14ac:dyDescent="0.4">
      <c r="A33" s="102" t="str">
        <f>Billing!Q36</f>
        <v>Faizan Kamoki</v>
      </c>
      <c r="B33" s="105">
        <f>Billing!AD36</f>
        <v>1012980.4930504755</v>
      </c>
      <c r="C33" s="103">
        <f>Billing!AE36</f>
        <v>0.48719824443105608</v>
      </c>
    </row>
    <row r="34" spans="1:3" ht="21" x14ac:dyDescent="0.4">
      <c r="A34" s="102">
        <f>Billing!Q37</f>
        <v>0</v>
      </c>
      <c r="B34" s="105">
        <f>Billing!AD37</f>
        <v>0</v>
      </c>
      <c r="C34" s="103">
        <f>Billing!AE37</f>
        <v>0</v>
      </c>
    </row>
    <row r="35" spans="1:3" ht="21" x14ac:dyDescent="0.4">
      <c r="A35" s="102">
        <f>Billing!Q38</f>
        <v>0</v>
      </c>
      <c r="B35" s="105">
        <f>Billing!AD38</f>
        <v>0</v>
      </c>
      <c r="C35" s="103">
        <f>Billing!AE38</f>
        <v>0</v>
      </c>
    </row>
    <row r="36" spans="1:3" ht="21" x14ac:dyDescent="0.4">
      <c r="A36" s="102">
        <f>Billing!Q39</f>
        <v>0</v>
      </c>
      <c r="B36" s="105">
        <f>Billing!AD39</f>
        <v>0</v>
      </c>
      <c r="C36" s="103">
        <f>Billing!AE39</f>
        <v>0</v>
      </c>
    </row>
    <row r="37" spans="1:3" ht="21" x14ac:dyDescent="0.4">
      <c r="A37" s="102">
        <f>Billing!Q40</f>
        <v>0</v>
      </c>
      <c r="B37" s="105">
        <f>Billing!AD40</f>
        <v>0</v>
      </c>
      <c r="C37" s="103">
        <f>Billing!AE40</f>
        <v>0</v>
      </c>
    </row>
    <row r="38" spans="1:3" ht="21" x14ac:dyDescent="0.4">
      <c r="A38" s="102">
        <f>Billing!Q41</f>
        <v>0</v>
      </c>
      <c r="B38" s="105">
        <f>Billing!AD41</f>
        <v>0</v>
      </c>
      <c r="C38" s="103">
        <f>Billing!AE41</f>
        <v>0</v>
      </c>
    </row>
    <row r="39" spans="1:3" ht="21" x14ac:dyDescent="0.4">
      <c r="A39" s="102">
        <f>Billing!Q42</f>
        <v>0</v>
      </c>
      <c r="B39" s="105">
        <f>Billing!AD42</f>
        <v>0</v>
      </c>
      <c r="C39" s="103">
        <f>Billing!AE42</f>
        <v>0</v>
      </c>
    </row>
    <row r="40" spans="1:3" ht="21" x14ac:dyDescent="0.4">
      <c r="A40" s="102">
        <f>Billing!Q43</f>
        <v>0</v>
      </c>
      <c r="B40" s="105">
        <f>Billing!AD43</f>
        <v>0</v>
      </c>
      <c r="C40" s="103">
        <f>Billing!AE43</f>
        <v>0</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1" t="str">
        <f>G2</f>
        <v>BSC</v>
      </c>
      <c r="B2" s="10">
        <f>_xlfn.XLOOKUP($A2,[1]Billing!$Q$5:$Q$40,[1]Billing!$AD$5:$AD$40)</f>
        <v>19750734</v>
      </c>
      <c r="G2" t="str" cm="1">
        <f t="array" ref="G2:G33">_xlfn.UNIQUE(Table1[Party Name])</f>
        <v>BSC</v>
      </c>
    </row>
    <row r="3" spans="1:7" x14ac:dyDescent="0.3">
      <c r="A3" s="81" t="str">
        <f t="shared" ref="A3:A38" si="0">G3</f>
        <v>Ejaz Sahab</v>
      </c>
      <c r="B3" s="10">
        <f>_xlfn.XLOOKUP($A3,[1]Billing!$Q$5:$Q$40,[1]Billing!$AD$5:$AD$40)</f>
        <v>6067319</v>
      </c>
      <c r="G3" t="str">
        <v>Ejaz Sahab</v>
      </c>
    </row>
    <row r="4" spans="1:7" x14ac:dyDescent="0.3">
      <c r="A4" s="81" t="str">
        <f t="shared" si="0"/>
        <v>Arshad</v>
      </c>
      <c r="B4" s="10">
        <f>_xlfn.XLOOKUP($A4,[1]Billing!$Q$5:$Q$40,[1]Billing!$AD$5:$AD$40)</f>
        <v>8492501</v>
      </c>
      <c r="G4" t="str">
        <v>Arshad</v>
      </c>
    </row>
    <row r="5" spans="1:7" x14ac:dyDescent="0.3">
      <c r="A5" s="81" t="str">
        <f t="shared" si="0"/>
        <v>Shehzad Kamoki</v>
      </c>
      <c r="B5" s="10">
        <f>_xlfn.XLOOKUP($A5,[1]Billing!$Q$5:$Q$40,[1]Billing!$AD$5:$AD$40)</f>
        <v>1353710</v>
      </c>
      <c r="G5" t="str">
        <v>Shehzad Kamoki</v>
      </c>
    </row>
    <row r="6" spans="1:7" x14ac:dyDescent="0.3">
      <c r="A6" s="81" t="str">
        <f t="shared" si="0"/>
        <v>Sufi Nawaz Sahab</v>
      </c>
      <c r="B6" s="10">
        <f>_xlfn.XLOOKUP($A6,[1]Billing!$Q$5:$Q$40,[1]Billing!$AD$5:$AD$40)</f>
        <v>11478764</v>
      </c>
      <c r="G6" t="str">
        <v>Sufi Nawaz Sahab</v>
      </c>
    </row>
    <row r="7" spans="1:7" x14ac:dyDescent="0.3">
      <c r="A7" s="81" t="str">
        <f t="shared" si="0"/>
        <v>Sajad Khan</v>
      </c>
      <c r="B7" s="10">
        <f>_xlfn.XLOOKUP($A7,[1]Billing!$Q$5:$Q$40,[1]Billing!$AD$5:$AD$40)</f>
        <v>9609871</v>
      </c>
      <c r="G7" t="str">
        <v>Sajad Khan</v>
      </c>
    </row>
    <row r="8" spans="1:7" x14ac:dyDescent="0.3">
      <c r="A8" s="81" t="str">
        <f t="shared" si="0"/>
        <v>Raaz Fabrics</v>
      </c>
      <c r="B8" s="10">
        <f>_xlfn.XLOOKUP($A8,[1]Billing!$Q$5:$Q$40,[1]Billing!$AD$5:$AD$40)</f>
        <v>1526321</v>
      </c>
      <c r="G8" t="str">
        <v>Raaz Fabrics</v>
      </c>
    </row>
    <row r="9" spans="1:7" x14ac:dyDescent="0.3">
      <c r="A9" s="81" t="str">
        <f t="shared" si="0"/>
        <v>Azam</v>
      </c>
      <c r="B9" s="10">
        <f>_xlfn.XLOOKUP($A9,[1]Billing!$Q$5:$Q$40,[1]Billing!$AD$5:$AD$40)</f>
        <v>7402540</v>
      </c>
      <c r="G9" t="str">
        <v>Azam</v>
      </c>
    </row>
    <row r="10" spans="1:7" x14ac:dyDescent="0.3">
      <c r="A10" s="81" t="str">
        <f t="shared" si="0"/>
        <v>Ubaidullah</v>
      </c>
      <c r="B10" s="10">
        <f>_xlfn.XLOOKUP($A10,[1]Billing!$Q$5:$Q$40,[1]Billing!$AD$5:$AD$40)</f>
        <v>1908190</v>
      </c>
      <c r="G10" t="str">
        <v>Ubaidullah</v>
      </c>
    </row>
    <row r="11" spans="1:7" x14ac:dyDescent="0.3">
      <c r="A11" s="81" t="str">
        <f t="shared" si="0"/>
        <v>Ashraf Zia</v>
      </c>
      <c r="B11" s="10">
        <f>_xlfn.XLOOKUP($A11,[1]Billing!$Q$5:$Q$40,[1]Billing!$AD$5:$AD$40)</f>
        <v>130000</v>
      </c>
      <c r="G11" t="str">
        <v>Ashraf Zia</v>
      </c>
    </row>
    <row r="12" spans="1:7" x14ac:dyDescent="0.3">
      <c r="A12" s="81" t="str">
        <f t="shared" si="0"/>
        <v>Hafiz Qureshi</v>
      </c>
      <c r="B12" s="10">
        <f>_xlfn.XLOOKUP($A12,[1]Billing!$Q$5:$Q$40,[1]Billing!$AD$5:$AD$40)</f>
        <v>4146179</v>
      </c>
      <c r="G12" t="str">
        <v>Hafiz Qureshi</v>
      </c>
    </row>
    <row r="13" spans="1:7" x14ac:dyDescent="0.3">
      <c r="A13" s="81" t="str">
        <f t="shared" si="0"/>
        <v>Badshah Fabrics</v>
      </c>
      <c r="B13" s="10">
        <f>_xlfn.XLOOKUP($A13,[1]Billing!$Q$5:$Q$40,[1]Billing!$AD$5:$AD$40)</f>
        <v>6545761</v>
      </c>
      <c r="G13" t="str">
        <v>Badshah Fabrics</v>
      </c>
    </row>
    <row r="14" spans="1:7" x14ac:dyDescent="0.3">
      <c r="A14" s="81" t="str">
        <f t="shared" si="0"/>
        <v>Gauhar Kashif</v>
      </c>
      <c r="B14" s="10">
        <f>_xlfn.XLOOKUP($A14,[1]Billing!$Q$5:$Q$40,[1]Billing!$AD$5:$AD$40)</f>
        <v>1214045</v>
      </c>
      <c r="G14" t="str">
        <v>Gauhar Kashif</v>
      </c>
    </row>
    <row r="15" spans="1:7" x14ac:dyDescent="0.3">
      <c r="A15" s="81" t="str">
        <f t="shared" si="0"/>
        <v>Amjad 7up</v>
      </c>
      <c r="B15" s="10">
        <f>_xlfn.XLOOKUP($A15,[1]Billing!$Q$5:$Q$40,[1]Billing!$AD$5:$AD$40)</f>
        <v>480000</v>
      </c>
      <c r="G15" t="str">
        <v>Amjad 7up</v>
      </c>
    </row>
    <row r="16" spans="1:7" x14ac:dyDescent="0.3">
      <c r="A16" s="81" t="str">
        <f t="shared" si="0"/>
        <v>Hazrat Khan</v>
      </c>
      <c r="B16" s="10">
        <f>_xlfn.XLOOKUP($A16,[1]Billing!$Q$5:$Q$40,[1]Billing!$AD$5:$AD$40)</f>
        <v>95000</v>
      </c>
      <c r="G16" t="str">
        <v>Hazrat Khan</v>
      </c>
    </row>
    <row r="17" spans="1:7" x14ac:dyDescent="0.3">
      <c r="A17" s="81" t="str">
        <f t="shared" si="0"/>
        <v>Haseeb Shamsi</v>
      </c>
      <c r="B17" s="10">
        <f>_xlfn.XLOOKUP($A17,[1]Billing!$Q$5:$Q$40,[1]Billing!$AD$5:$AD$40)</f>
        <v>594405</v>
      </c>
      <c r="G17" t="str">
        <v>Haseeb Shamsi</v>
      </c>
    </row>
    <row r="18" spans="1:7" x14ac:dyDescent="0.3">
      <c r="A18" s="81" t="str">
        <f t="shared" si="0"/>
        <v>Faizan</v>
      </c>
      <c r="B18" s="10">
        <f>_xlfn.XLOOKUP($A18,[1]Billing!$Q$5:$Q$40,[1]Billing!$AD$5:$AD$40)</f>
        <v>6024187</v>
      </c>
      <c r="G18" t="str">
        <v>Faizan</v>
      </c>
    </row>
    <row r="19" spans="1:7" x14ac:dyDescent="0.3">
      <c r="A19" s="81" t="str">
        <f t="shared" si="0"/>
        <v>Shafique Ansari</v>
      </c>
      <c r="B19" s="10">
        <f>_xlfn.XLOOKUP($A19,[1]Billing!$Q$5:$Q$40,[1]Billing!$AD$5:$AD$40)</f>
        <v>835660</v>
      </c>
      <c r="G19" t="str">
        <v>Shafique Ansari</v>
      </c>
    </row>
    <row r="20" spans="1:7" x14ac:dyDescent="0.3">
      <c r="A20" s="81" t="str">
        <f t="shared" si="0"/>
        <v>Amjad sohail</v>
      </c>
      <c r="B20" s="10">
        <f>_xlfn.XLOOKUP($A20,[1]Billing!$Q$5:$Q$40,[1]Billing!$AD$5:$AD$40)</f>
        <v>4417830</v>
      </c>
      <c r="G20" t="str">
        <v>Amjad sohail</v>
      </c>
    </row>
    <row r="21" spans="1:7" x14ac:dyDescent="0.3">
      <c r="A21" s="81" t="str">
        <f t="shared" si="0"/>
        <v>Salman Zaffar</v>
      </c>
      <c r="B21" s="10">
        <f>_xlfn.XLOOKUP($A21,[1]Billing!$Q$5:$Q$40,[1]Billing!$AD$5:$AD$40)</f>
        <v>3296025</v>
      </c>
      <c r="G21" t="str">
        <v>Salman Zaffar</v>
      </c>
    </row>
    <row r="22" spans="1:7" x14ac:dyDescent="0.3">
      <c r="A22" s="81" t="str">
        <f t="shared" si="0"/>
        <v>Shahid Qasayi</v>
      </c>
      <c r="B22" s="10">
        <f>_xlfn.XLOOKUP($A22,[1]Billing!$Q$5:$Q$40,[1]Billing!$AD$5:$AD$40)</f>
        <v>3625137</v>
      </c>
      <c r="G22" t="str">
        <v>Shahid Qasayi</v>
      </c>
    </row>
    <row r="23" spans="1:7" x14ac:dyDescent="0.3">
      <c r="A23" s="81" t="str">
        <f t="shared" si="0"/>
        <v>Hameed corporation</v>
      </c>
      <c r="B23" s="10">
        <f>_xlfn.XLOOKUP($A23,[1]Billing!$Q$5:$Q$40,[1]Billing!$AD$5:$AD$40)</f>
        <v>424323</v>
      </c>
      <c r="G23" t="str">
        <v>Hameed corporation</v>
      </c>
    </row>
    <row r="24" spans="1:7" x14ac:dyDescent="0.3">
      <c r="A24" s="81" t="str">
        <f t="shared" si="0"/>
        <v>ibraheem behraam</v>
      </c>
      <c r="B24" s="10">
        <f>_xlfn.XLOOKUP($A24,[1]Billing!$Q$5:$Q$40,[1]Billing!$AD$5:$AD$40)</f>
        <v>1415500</v>
      </c>
      <c r="G24" t="str">
        <v>ibraheem behraam</v>
      </c>
    </row>
    <row r="25" spans="1:7" x14ac:dyDescent="0.3">
      <c r="A25" s="81" t="str">
        <f t="shared" si="0"/>
        <v>Zia-ullah karachi</v>
      </c>
      <c r="B25" s="10">
        <f>_xlfn.XLOOKUP($A25,[1]Billing!$Q$5:$Q$40,[1]Billing!$AD$5:$AD$40)</f>
        <v>124560</v>
      </c>
      <c r="G25" t="str">
        <v>Zia-ullah karachi</v>
      </c>
    </row>
    <row r="26" spans="1:7" x14ac:dyDescent="0.3">
      <c r="A26" s="81" t="str">
        <f t="shared" si="0"/>
        <v>ZA</v>
      </c>
      <c r="B26" s="10">
        <f>_xlfn.XLOOKUP($A26,[1]Billing!$Q$5:$Q$40,[1]Billing!$AD$5:$AD$40)</f>
        <v>250000</v>
      </c>
      <c r="G26" t="str">
        <v>ZA</v>
      </c>
    </row>
    <row r="27" spans="1:7" x14ac:dyDescent="0.3">
      <c r="A27" s="81" t="str">
        <f t="shared" si="0"/>
        <v>Ahmad Javaid</v>
      </c>
      <c r="B27" s="10">
        <f>_xlfn.XLOOKUP($A27,[1]Billing!$Q$5:$Q$40,[1]Billing!$AD$5:$AD$40)</f>
        <v>0</v>
      </c>
      <c r="G27" t="str">
        <v>Ahmad Javaid</v>
      </c>
    </row>
    <row r="28" spans="1:7" x14ac:dyDescent="0.3">
      <c r="A28" s="81" t="str">
        <f t="shared" si="0"/>
        <v>Shani Badshah</v>
      </c>
      <c r="B28" s="10">
        <f>_xlfn.XLOOKUP($A28,[1]Billing!$Q$5:$Q$40,[1]Billing!$AD$5:$AD$40)</f>
        <v>1300000</v>
      </c>
      <c r="G28" t="str">
        <v>Shani Badshah</v>
      </c>
    </row>
    <row r="29" spans="1:7" x14ac:dyDescent="0.3">
      <c r="A29" s="81" t="str">
        <f t="shared" si="0"/>
        <v>Rehman Ali</v>
      </c>
      <c r="B29" s="10">
        <f>_xlfn.XLOOKUP($A29,[1]Billing!$Q$5:$Q$40,[1]Billing!$AD$5:$AD$40)</f>
        <v>550000</v>
      </c>
      <c r="G29" t="str">
        <v>Rehman Ali</v>
      </c>
    </row>
    <row r="30" spans="1:7" x14ac:dyDescent="0.3">
      <c r="A30" s="81" t="str">
        <f t="shared" si="0"/>
        <v>Ahmad Shafique</v>
      </c>
      <c r="B30" s="10">
        <f>_xlfn.XLOOKUP($A30,[1]Billing!$Q$5:$Q$40,[1]Billing!$AD$5:$AD$40)</f>
        <v>636000</v>
      </c>
      <c r="G30" t="str">
        <v>Ahmad Shafique</v>
      </c>
    </row>
    <row r="31" spans="1:7" x14ac:dyDescent="0.3">
      <c r="A31" s="81" t="str">
        <f t="shared" si="0"/>
        <v>Hafiz Shawl</v>
      </c>
      <c r="B31" s="10">
        <f>_xlfn.XLOOKUP($A31,[1]Billing!$Q$5:$Q$40,[1]Billing!$AD$5:$AD$40)</f>
        <v>15855</v>
      </c>
      <c r="G31" t="str">
        <v>Hafiz Shawl</v>
      </c>
    </row>
    <row r="32" spans="1:7" x14ac:dyDescent="0.3">
      <c r="A32" s="81" t="str">
        <f t="shared" si="0"/>
        <v>Zahid Ejaz</v>
      </c>
      <c r="B32" s="10" t="e">
        <f>_xlfn.XLOOKUP($A32,[1]Billing!$Q$5:$Q$40,[1]Billing!$AD$5:$AD$40)</f>
        <v>#N/A</v>
      </c>
      <c r="G32" t="str">
        <v>Zahid Ejaz</v>
      </c>
    </row>
    <row r="33" spans="1:7" x14ac:dyDescent="0.3">
      <c r="A33" s="81" t="str">
        <f t="shared" si="0"/>
        <v>Faizan Kamoki</v>
      </c>
      <c r="B33" s="10" t="e">
        <f>_xlfn.XLOOKUP($A33,[1]Billing!$Q$5:$Q$40,[1]Billing!$AD$5:$AD$40)</f>
        <v>#N/A</v>
      </c>
      <c r="G33" t="str">
        <v>Faizan Kamoki</v>
      </c>
    </row>
    <row r="34" spans="1:7" x14ac:dyDescent="0.3">
      <c r="A34" s="81">
        <f t="shared" si="0"/>
        <v>0</v>
      </c>
      <c r="B34" s="10" t="e">
        <f>_xlfn.XLOOKUP($A34,[1]Billing!$Q$5:$Q$40,[1]Billing!$AD$5:$AD$40)</f>
        <v>#N/A</v>
      </c>
    </row>
    <row r="35" spans="1:7" x14ac:dyDescent="0.3">
      <c r="A35" s="81">
        <f t="shared" si="0"/>
        <v>0</v>
      </c>
      <c r="B35" s="10" t="e">
        <f>_xlfn.XLOOKUP($A35,[1]Billing!$Q$5:$Q$40,[1]Billing!$AD$5:$AD$40)</f>
        <v>#N/A</v>
      </c>
    </row>
    <row r="36" spans="1:7" x14ac:dyDescent="0.3">
      <c r="A36" s="81">
        <f t="shared" si="0"/>
        <v>0</v>
      </c>
      <c r="B36" s="10" t="e">
        <f>_xlfn.XLOOKUP($A36,[1]Billing!$Q$5:$Q$40,[1]Billing!$AD$5:$AD$40)</f>
        <v>#N/A</v>
      </c>
    </row>
    <row r="37" spans="1:7" x14ac:dyDescent="0.3">
      <c r="A37" s="81">
        <f t="shared" si="0"/>
        <v>0</v>
      </c>
      <c r="B37" s="10" t="e">
        <f>_xlfn.XLOOKUP($A37,[1]Billing!$Q$5:$Q$40,[1]Billing!$AD$5:$AD$40)</f>
        <v>#N/A</v>
      </c>
    </row>
    <row r="38" spans="1:7" x14ac:dyDescent="0.3">
      <c r="A38" s="81">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2026-02-26T22:48:51Z</dcterms:modified>
  <cp:category/>
  <cp:contentStatus/>
</cp:coreProperties>
</file>